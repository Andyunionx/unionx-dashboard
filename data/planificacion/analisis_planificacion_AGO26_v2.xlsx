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lip\Desktop\UNIONX\FORECAST FINAL SKU\Analisis Planificacion\"/>
    </mc:Choice>
  </mc:AlternateContent>
  <xr:revisionPtr revIDLastSave="0" documentId="13_ncr:1_{391BABBB-4D6B-4AB8-ADBE-2B13055A1112}" xr6:coauthVersionLast="47" xr6:coauthVersionMax="47" xr10:uidLastSave="{00000000-0000-0000-0000-000000000000}"/>
  <bookViews>
    <workbookView xWindow="-108" yWindow="-108" windowWidth="23256" windowHeight="12456" tabRatio="810" firstSheet="4" activeTab="4" xr2:uid="{00000000-000D-0000-FFFF-FFFF00000000}"/>
  </bookViews>
  <sheets>
    <sheet name="Cómo Vamos Julio" sheetId="1" r:id="rId1"/>
    <sheet name="Comp. Marcas" sheetId="2" r:id="rId2"/>
    <sheet name="Comp. Canales" sheetId="3" r:id="rId3"/>
    <sheet name="CST x Marca" sheetId="4" r:id="rId4"/>
    <sheet name="Critico x Marca" sheetId="5" r:id="rId5"/>
    <sheet name="Detalle Critico" sheetId="6" r:id="rId6"/>
    <sheet name="Sin Reposición &lt; Oct" sheetId="7" r:id="rId7"/>
    <sheet name="Sobrestock x SKU Padre" sheetId="8" r:id="rId8"/>
    <sheet name="Sobrestock c-Llegada" sheetId="9" r:id="rId9"/>
    <sheet name="Tránsitos por Embarque" sheetId="10" r:id="rId10"/>
    <sheet name="Nuevos en Tránsito" sheetId="11" r:id="rId11"/>
    <sheet name="TD REPORTES UNID" sheetId="12" r:id="rId12"/>
  </sheets>
  <definedNames>
    <definedName name="_xlnm._FilterDatabase" localSheetId="4" hidden="1">'Critico x Marca'!$A$2:$J$10</definedName>
    <definedName name="_xlnm._FilterDatabase" localSheetId="3" hidden="1">'CST x Marca'!$A$3:$R$11</definedName>
    <definedName name="_xlnm._FilterDatabase" localSheetId="5" hidden="1">'Detalle Critico'!$A$2:$S$122</definedName>
    <definedName name="_xlnm._FilterDatabase" localSheetId="10" hidden="1">'Nuevos en Tránsito'!$A$2:$F$51</definedName>
    <definedName name="_xlnm._FilterDatabase" localSheetId="6" hidden="1">'Sin Reposición &lt; Oct'!$A$2:$R$63</definedName>
    <definedName name="_xlnm._FilterDatabase" localSheetId="8" hidden="1">'Sobrestock c-Llegada'!$A$2:$J$26</definedName>
    <definedName name="_xlnm._FilterDatabase" localSheetId="9" hidden="1">'Tránsitos por Embarque'!$A$2:$K$230</definedName>
  </definedNames>
  <calcPr calcId="191029"/>
  <pivotCaches>
    <pivotCache cacheId="234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5" l="1"/>
  <c r="U28" i="3"/>
  <c r="T28" i="3"/>
  <c r="V28" i="3" s="1"/>
  <c r="R28" i="3"/>
  <c r="Q28" i="3"/>
  <c r="S28" i="3" s="1"/>
  <c r="P28" i="3"/>
  <c r="O28" i="3"/>
  <c r="N28" i="3"/>
  <c r="M28" i="3"/>
  <c r="L28" i="3"/>
  <c r="K28" i="3"/>
  <c r="J28" i="3"/>
  <c r="I28" i="3"/>
  <c r="H28" i="3"/>
  <c r="F28" i="3"/>
  <c r="E28" i="3"/>
  <c r="G28" i="3" s="1"/>
  <c r="C28" i="3"/>
  <c r="B28" i="3"/>
  <c r="D28" i="3" s="1"/>
  <c r="Y27" i="3"/>
  <c r="X27" i="3"/>
  <c r="W27" i="3"/>
  <c r="V27" i="3"/>
  <c r="S27" i="3"/>
  <c r="P27" i="3"/>
  <c r="M27" i="3"/>
  <c r="J27" i="3"/>
  <c r="G27" i="3"/>
  <c r="D27" i="3"/>
  <c r="X26" i="3"/>
  <c r="W26" i="3"/>
  <c r="Y26" i="3" s="1"/>
  <c r="V26" i="3"/>
  <c r="S26" i="3"/>
  <c r="P26" i="3"/>
  <c r="M26" i="3"/>
  <c r="J26" i="3"/>
  <c r="G26" i="3"/>
  <c r="D26" i="3"/>
  <c r="Y25" i="3"/>
  <c r="X25" i="3"/>
  <c r="W25" i="3"/>
  <c r="V25" i="3"/>
  <c r="S25" i="3"/>
  <c r="P25" i="3"/>
  <c r="M25" i="3"/>
  <c r="J25" i="3"/>
  <c r="G25" i="3"/>
  <c r="D25" i="3"/>
  <c r="X24" i="3"/>
  <c r="W24" i="3"/>
  <c r="Y24" i="3" s="1"/>
  <c r="V24" i="3"/>
  <c r="S24" i="3"/>
  <c r="P24" i="3"/>
  <c r="M24" i="3"/>
  <c r="J24" i="3"/>
  <c r="G24" i="3"/>
  <c r="D24" i="3"/>
  <c r="Y23" i="3"/>
  <c r="X23" i="3"/>
  <c r="W23" i="3"/>
  <c r="V23" i="3"/>
  <c r="S23" i="3"/>
  <c r="P23" i="3"/>
  <c r="M23" i="3"/>
  <c r="J23" i="3"/>
  <c r="G23" i="3"/>
  <c r="D23" i="3"/>
  <c r="Y22" i="3"/>
  <c r="X22" i="3"/>
  <c r="W22" i="3"/>
  <c r="V22" i="3"/>
  <c r="S22" i="3"/>
  <c r="P22" i="3"/>
  <c r="M22" i="3"/>
  <c r="J22" i="3"/>
  <c r="G22" i="3"/>
  <c r="D22" i="3"/>
  <c r="X21" i="3"/>
  <c r="X28" i="3" s="1"/>
  <c r="W21" i="3"/>
  <c r="W28" i="3" s="1"/>
  <c r="Y28" i="3" s="1"/>
  <c r="V21" i="3"/>
  <c r="S21" i="3"/>
  <c r="P21" i="3"/>
  <c r="M21" i="3"/>
  <c r="J21" i="3"/>
  <c r="G21" i="3"/>
  <c r="D21" i="3"/>
  <c r="U15" i="3"/>
  <c r="T15" i="3"/>
  <c r="V15" i="3" s="1"/>
  <c r="R15" i="3"/>
  <c r="Q15" i="3"/>
  <c r="S15" i="3" s="1"/>
  <c r="O15" i="3"/>
  <c r="P15" i="3" s="1"/>
  <c r="N15" i="3"/>
  <c r="M15" i="3"/>
  <c r="L15" i="3"/>
  <c r="K15" i="3"/>
  <c r="I15" i="3"/>
  <c r="H15" i="3"/>
  <c r="J15" i="3" s="1"/>
  <c r="G15" i="3"/>
  <c r="F15" i="3"/>
  <c r="E15" i="3"/>
  <c r="C15" i="3"/>
  <c r="B15" i="3"/>
  <c r="D15" i="3" s="1"/>
  <c r="X14" i="3"/>
  <c r="W14" i="3"/>
  <c r="Y14" i="3" s="1"/>
  <c r="V14" i="3"/>
  <c r="S14" i="3"/>
  <c r="P14" i="3"/>
  <c r="M14" i="3"/>
  <c r="J14" i="3"/>
  <c r="G14" i="3"/>
  <c r="D14" i="3"/>
  <c r="Y13" i="3"/>
  <c r="X13" i="3"/>
  <c r="W13" i="3"/>
  <c r="V13" i="3"/>
  <c r="S13" i="3"/>
  <c r="P13" i="3"/>
  <c r="M13" i="3"/>
  <c r="J13" i="3"/>
  <c r="G13" i="3"/>
  <c r="D13" i="3"/>
  <c r="Y12" i="3"/>
  <c r="X12" i="3"/>
  <c r="W12" i="3"/>
  <c r="V12" i="3"/>
  <c r="S12" i="3"/>
  <c r="P12" i="3"/>
  <c r="M12" i="3"/>
  <c r="J12" i="3"/>
  <c r="G12" i="3"/>
  <c r="D12" i="3"/>
  <c r="X11" i="3"/>
  <c r="W11" i="3"/>
  <c r="Y11" i="3" s="1"/>
  <c r="V11" i="3"/>
  <c r="S11" i="3"/>
  <c r="P11" i="3"/>
  <c r="M11" i="3"/>
  <c r="J11" i="3"/>
  <c r="G11" i="3"/>
  <c r="D11" i="3"/>
  <c r="X10" i="3"/>
  <c r="Y10" i="3" s="1"/>
  <c r="W10" i="3"/>
  <c r="V10" i="3"/>
  <c r="S10" i="3"/>
  <c r="P10" i="3"/>
  <c r="M10" i="3"/>
  <c r="J10" i="3"/>
  <c r="G10" i="3"/>
  <c r="D10" i="3"/>
  <c r="Y9" i="3"/>
  <c r="X9" i="3"/>
  <c r="W9" i="3"/>
  <c r="V9" i="3"/>
  <c r="S9" i="3"/>
  <c r="P9" i="3"/>
  <c r="M9" i="3"/>
  <c r="J9" i="3"/>
  <c r="G9" i="3"/>
  <c r="D9" i="3"/>
  <c r="X8" i="3"/>
  <c r="X15" i="3" s="1"/>
  <c r="W8" i="3"/>
  <c r="W15" i="3" s="1"/>
  <c r="Y15" i="3" s="1"/>
  <c r="V8" i="3"/>
  <c r="S8" i="3"/>
  <c r="P8" i="3"/>
  <c r="M8" i="3"/>
  <c r="J8" i="3"/>
  <c r="G8" i="3"/>
  <c r="D8" i="3"/>
  <c r="V29" i="2"/>
  <c r="U29" i="2"/>
  <c r="T29" i="2"/>
  <c r="R29" i="2"/>
  <c r="Q29" i="2"/>
  <c r="S29" i="2" s="1"/>
  <c r="O29" i="2"/>
  <c r="N29" i="2"/>
  <c r="P29" i="2" s="1"/>
  <c r="M29" i="2"/>
  <c r="L29" i="2"/>
  <c r="K29" i="2"/>
  <c r="I29" i="2"/>
  <c r="J29" i="2" s="1"/>
  <c r="H29" i="2"/>
  <c r="F29" i="2"/>
  <c r="G29" i="2" s="1"/>
  <c r="E29" i="2"/>
  <c r="C29" i="2"/>
  <c r="B29" i="2"/>
  <c r="D29" i="2" s="1"/>
  <c r="Y28" i="2"/>
  <c r="X28" i="2"/>
  <c r="W28" i="2"/>
  <c r="V28" i="2"/>
  <c r="S28" i="2"/>
  <c r="P28" i="2"/>
  <c r="M28" i="2"/>
  <c r="J28" i="2"/>
  <c r="G28" i="2"/>
  <c r="D28" i="2"/>
  <c r="X27" i="2"/>
  <c r="Y27" i="2" s="1"/>
  <c r="W27" i="2"/>
  <c r="V27" i="2"/>
  <c r="S27" i="2"/>
  <c r="P27" i="2"/>
  <c r="M27" i="2"/>
  <c r="J27" i="2"/>
  <c r="G27" i="2"/>
  <c r="D27" i="2"/>
  <c r="Y26" i="2"/>
  <c r="X26" i="2"/>
  <c r="W26" i="2"/>
  <c r="V26" i="2"/>
  <c r="S26" i="2"/>
  <c r="P26" i="2"/>
  <c r="M26" i="2"/>
  <c r="J26" i="2"/>
  <c r="G26" i="2"/>
  <c r="D26" i="2"/>
  <c r="X25" i="2"/>
  <c r="W25" i="2"/>
  <c r="Y25" i="2" s="1"/>
  <c r="V25" i="2"/>
  <c r="S25" i="2"/>
  <c r="P25" i="2"/>
  <c r="M25" i="2"/>
  <c r="J25" i="2"/>
  <c r="G25" i="2"/>
  <c r="D25" i="2"/>
  <c r="Y24" i="2"/>
  <c r="X24" i="2"/>
  <c r="W24" i="2"/>
  <c r="V24" i="2"/>
  <c r="S24" i="2"/>
  <c r="P24" i="2"/>
  <c r="M24" i="2"/>
  <c r="J24" i="2"/>
  <c r="G24" i="2"/>
  <c r="D24" i="2"/>
  <c r="X23" i="2"/>
  <c r="W23" i="2"/>
  <c r="Y23" i="2" s="1"/>
  <c r="V23" i="2"/>
  <c r="S23" i="2"/>
  <c r="P23" i="2"/>
  <c r="M23" i="2"/>
  <c r="J23" i="2"/>
  <c r="G23" i="2"/>
  <c r="D23" i="2"/>
  <c r="Y22" i="2"/>
  <c r="X22" i="2"/>
  <c r="W22" i="2"/>
  <c r="V22" i="2"/>
  <c r="S22" i="2"/>
  <c r="P22" i="2"/>
  <c r="M22" i="2"/>
  <c r="J22" i="2"/>
  <c r="G22" i="2"/>
  <c r="D22" i="2"/>
  <c r="Y21" i="2"/>
  <c r="X21" i="2"/>
  <c r="X29" i="2" s="1"/>
  <c r="W21" i="2"/>
  <c r="W29" i="2" s="1"/>
  <c r="Y29" i="2" s="1"/>
  <c r="V21" i="2"/>
  <c r="S21" i="2"/>
  <c r="P21" i="2"/>
  <c r="M21" i="2"/>
  <c r="J21" i="2"/>
  <c r="G21" i="2"/>
  <c r="D21" i="2"/>
  <c r="U15" i="2"/>
  <c r="T15" i="2"/>
  <c r="V15" i="2" s="1"/>
  <c r="S15" i="2"/>
  <c r="R15" i="2"/>
  <c r="Q15" i="2"/>
  <c r="O15" i="2"/>
  <c r="N15" i="2"/>
  <c r="P15" i="2" s="1"/>
  <c r="M15" i="2"/>
  <c r="L15" i="2"/>
  <c r="K15" i="2"/>
  <c r="I15" i="2"/>
  <c r="H15" i="2"/>
  <c r="J15" i="2" s="1"/>
  <c r="F15" i="2"/>
  <c r="E15" i="2"/>
  <c r="G15" i="2" s="1"/>
  <c r="D15" i="2"/>
  <c r="C15" i="2"/>
  <c r="B15" i="2"/>
  <c r="Y14" i="2"/>
  <c r="X14" i="2"/>
  <c r="W14" i="2"/>
  <c r="V14" i="2"/>
  <c r="S14" i="2"/>
  <c r="P14" i="2"/>
  <c r="M14" i="2"/>
  <c r="J14" i="2"/>
  <c r="G14" i="2"/>
  <c r="D14" i="2"/>
  <c r="X13" i="2"/>
  <c r="W13" i="2"/>
  <c r="W15" i="2" s="1"/>
  <c r="V13" i="2"/>
  <c r="S13" i="2"/>
  <c r="P13" i="2"/>
  <c r="M13" i="2"/>
  <c r="J13" i="2"/>
  <c r="G13" i="2"/>
  <c r="D13" i="2"/>
  <c r="X12" i="2"/>
  <c r="W12" i="2"/>
  <c r="Y12" i="2" s="1"/>
  <c r="V12" i="2"/>
  <c r="S12" i="2"/>
  <c r="P12" i="2"/>
  <c r="M12" i="2"/>
  <c r="J12" i="2"/>
  <c r="G12" i="2"/>
  <c r="D12" i="2"/>
  <c r="Y11" i="2"/>
  <c r="X11" i="2"/>
  <c r="W11" i="2"/>
  <c r="V11" i="2"/>
  <c r="S11" i="2"/>
  <c r="P11" i="2"/>
  <c r="M11" i="2"/>
  <c r="J11" i="2"/>
  <c r="G11" i="2"/>
  <c r="D11" i="2"/>
  <c r="X10" i="2"/>
  <c r="W10" i="2"/>
  <c r="Y10" i="2" s="1"/>
  <c r="V10" i="2"/>
  <c r="S10" i="2"/>
  <c r="P10" i="2"/>
  <c r="M10" i="2"/>
  <c r="J10" i="2"/>
  <c r="G10" i="2"/>
  <c r="D10" i="2"/>
  <c r="X9" i="2"/>
  <c r="Y9" i="2" s="1"/>
  <c r="W9" i="2"/>
  <c r="V9" i="2"/>
  <c r="S9" i="2"/>
  <c r="P9" i="2"/>
  <c r="M9" i="2"/>
  <c r="J9" i="2"/>
  <c r="G9" i="2"/>
  <c r="D9" i="2"/>
  <c r="Y8" i="2"/>
  <c r="X8" i="2"/>
  <c r="X15" i="2" s="1"/>
  <c r="W8" i="2"/>
  <c r="V8" i="2"/>
  <c r="S8" i="2"/>
  <c r="P8" i="2"/>
  <c r="M8" i="2"/>
  <c r="J8" i="2"/>
  <c r="G8" i="2"/>
  <c r="D8" i="2"/>
  <c r="X7" i="2"/>
  <c r="W7" i="2"/>
  <c r="Y7" i="2" s="1"/>
  <c r="V7" i="2"/>
  <c r="S7" i="2"/>
  <c r="P7" i="2"/>
  <c r="M7" i="2"/>
  <c r="J7" i="2"/>
  <c r="G7" i="2"/>
  <c r="D7" i="2"/>
  <c r="Y15" i="2" l="1"/>
  <c r="Y13" i="2"/>
  <c r="Y21" i="3"/>
  <c r="Y8" i="3"/>
</calcChain>
</file>

<file path=xl/sharedStrings.xml><?xml version="1.0" encoding="utf-8"?>
<sst xmlns="http://schemas.openxmlformats.org/spreadsheetml/2006/main" count="3459" uniqueCount="1398">
  <si>
    <t>TRÁNSITOS POR EMBARQUE  —  [+] para ver SKUs  |  Cobertura: 🔴&lt;1m  🟠1-2m  🟢2-4m  🔵4-6m  🟣&gt;6m  |  AGO 2026</t>
  </si>
  <si>
    <t>PI / Embarque</t>
  </si>
  <si>
    <t>ETA Chile  |  Descripción SKU</t>
  </si>
  <si>
    <t>ETA
Bodega</t>
  </si>
  <si>
    <t>Mes
Llegada</t>
  </si>
  <si>
    <t>Marcas</t>
  </si>
  <si>
    <t>SKUs
Distintos</t>
  </si>
  <si>
    <t>Críticos
&lt;1m</t>
  </si>
  <si>
    <t>Inquiet.
1-2m</t>
  </si>
  <si>
    <t>Unidades</t>
  </si>
  <si>
    <t>Valor USD</t>
  </si>
  <si>
    <t>Nivel
Riesgo</t>
  </si>
  <si>
    <t>26TP0528PI</t>
  </si>
  <si>
    <t>28/07/2026</t>
  </si>
  <si>
    <t>02/08/2026</t>
  </si>
  <si>
    <t>AGO26</t>
  </si>
  <si>
    <t>Bandú, Levo, Lhotse, Simplit</t>
  </si>
  <si>
    <t>ALTO</t>
  </si>
  <si>
    <t xml:space="preserve">  ↳  BDTORRAPR</t>
  </si>
  <si>
    <t>Torre Aprendizaje Plegable Montesori Madera 3 Niveles Bandú</t>
  </si>
  <si>
    <t>Sin stock</t>
  </si>
  <si>
    <t xml:space="preserve">  ↳  SIMBASLUC-GR</t>
  </si>
  <si>
    <t>Basurero Cocina Lucca 12Lt Pedal Acero Inox Simplit</t>
  </si>
  <si>
    <t xml:space="preserve">  ↳  SIMBASLIV-BK</t>
  </si>
  <si>
    <t>Basurero Cocina Livorno 12Lt Pedal Acero Inox Simplit</t>
  </si>
  <si>
    <t xml:space="preserve">  ↳  SIMOREXBAS-WD</t>
  </si>
  <si>
    <t>Organizador Cubiertos Expandible Madera Acasia Basel Simplit</t>
  </si>
  <si>
    <t>0.17</t>
  </si>
  <si>
    <t xml:space="preserve">  ↳  SIMOREXOSL-WD</t>
  </si>
  <si>
    <t>Organizador de cubiertos expandible Oslo Simplit</t>
  </si>
  <si>
    <t xml:space="preserve">  ↳  SIMCUSTA-5</t>
  </si>
  <si>
    <t>Set Cuchillos Stahl 5 pcs Acero Inoxidable + Taco Simplit</t>
  </si>
  <si>
    <t>0.55</t>
  </si>
  <si>
    <t xml:space="preserve">  ↳  LVMOPRL-BK</t>
  </si>
  <si>
    <t>Mochila Notebook Prime Lite 15,6” Negra LEVO</t>
  </si>
  <si>
    <t xml:space="preserve">  ↳  LVMOVEL-BK</t>
  </si>
  <si>
    <t>Mochila Notebook Velar Lite 15,6” Negra LEVO</t>
  </si>
  <si>
    <t xml:space="preserve">  ↳  LVPANTOTPUB-50</t>
  </si>
  <si>
    <t>Pantalla Totem Publicitario 50" Touch Android Wifi Usb LEVO</t>
  </si>
  <si>
    <t>0.13</t>
  </si>
  <si>
    <t xml:space="preserve">  ↳  SIMBACOIR-40</t>
  </si>
  <si>
    <t>Basurero Cocina Iron 40lts Pedal Acero Inox Simplit</t>
  </si>
  <si>
    <t>1.80</t>
  </si>
  <si>
    <t xml:space="preserve">  ↳  1659999410637</t>
  </si>
  <si>
    <t>Mochila Notebook Puerto USB 15,6" Negra LEVO</t>
  </si>
  <si>
    <t>1.88</t>
  </si>
  <si>
    <t xml:space="preserve">  ↳  1623703942966</t>
  </si>
  <si>
    <t>Banano Lhotse Impermeable Negro</t>
  </si>
  <si>
    <t>1.54</t>
  </si>
  <si>
    <t xml:space="preserve">  ↳  LVPANTOTPUB-43</t>
  </si>
  <si>
    <t>Pantalla Totem Publicitario 43" Touch Android Wifi Usb LEVO</t>
  </si>
  <si>
    <t>1.41</t>
  </si>
  <si>
    <t>26TP0604PI</t>
  </si>
  <si>
    <t>30/07/2026</t>
  </si>
  <si>
    <t>04/08/2026</t>
  </si>
  <si>
    <t>Levo, Lhotse, Simplit, Xroad</t>
  </si>
  <si>
    <t xml:space="preserve">  ↳  LHAUDFIBUD-BK</t>
  </si>
  <si>
    <t>Audifonos Inalámbricos Bluetooth Deportivos FitBuds Lhotse</t>
  </si>
  <si>
    <t>0.91</t>
  </si>
  <si>
    <t xml:space="preserve">  ↳  SIMTAZSIE-4</t>
  </si>
  <si>
    <t>Set 4 Tazas Cerámica 330ml Siena Simplit</t>
  </si>
  <si>
    <t>0.38</t>
  </si>
  <si>
    <t xml:space="preserve">  ↳  SIMJULZBRU-30</t>
  </si>
  <si>
    <t>Juego de Loza 30 pcs Cerámica Bruselas 6 personas Simplit</t>
  </si>
  <si>
    <t>0.48</t>
  </si>
  <si>
    <t xml:space="preserve">  ↳  1628018206370</t>
  </si>
  <si>
    <t>Juego De 4 Cachos Eco Cuero Negro Simplit</t>
  </si>
  <si>
    <t>0.24</t>
  </si>
  <si>
    <t xml:space="preserve">  ↳  LVCAMSEGEX-BK</t>
  </si>
  <si>
    <t>Cámara de Seguridad Impermeable Wifi 5G 2MP GuardPro X5 LEVO</t>
  </si>
  <si>
    <t>0.59</t>
  </si>
  <si>
    <t xml:space="preserve">  ↳  XRPARTBAT-GR</t>
  </si>
  <si>
    <t>Partidor de Batería Portátil con Compresor de Aire 12V Xroad</t>
  </si>
  <si>
    <t>0.03</t>
  </si>
  <si>
    <t xml:space="preserve">  ↳  SIMJULZSIE-30</t>
  </si>
  <si>
    <t>Juego Loza Cerámica 30 pcs Siena 6 personas Simplit</t>
  </si>
  <si>
    <t>1.87</t>
  </si>
  <si>
    <t xml:space="preserve">  ↳  LVTELELE-60</t>
  </si>
  <si>
    <t>Telón Proyector 60 pulgadas Eléctrico 120 x 90 cm LEVO</t>
  </si>
  <si>
    <t>1.70</t>
  </si>
  <si>
    <t xml:space="preserve">  ↳  1479750635184</t>
  </si>
  <si>
    <t>Vr Box + Control Lentes de Realidad Virtual LEVO</t>
  </si>
  <si>
    <t>1.51</t>
  </si>
  <si>
    <t xml:space="preserve">  ↳  LHBOADV-BL</t>
  </si>
  <si>
    <t>Botella Termica Insulada 650ml Adventure Blue Lhotse</t>
  </si>
  <si>
    <t>1.35</t>
  </si>
  <si>
    <t xml:space="preserve">  ↳  LHMAMU-PK</t>
  </si>
  <si>
    <t>Mate Acero Inoxidable con Bombilla Pink Lhotse</t>
  </si>
  <si>
    <t>1.97</t>
  </si>
  <si>
    <t xml:space="preserve">  ↳  1538141129434</t>
  </si>
  <si>
    <t>Pesa Digital Balanza Baño Bluetooth Inteligente Negra LEVO</t>
  </si>
  <si>
    <t>1.56</t>
  </si>
  <si>
    <t xml:space="preserve">  ↳  LHRMPLU-BK</t>
  </si>
  <si>
    <t>Audifonos Bluetooth TWS Pantalla Touch ANC RMPLUS+ Black Lhotse</t>
  </si>
  <si>
    <t>10.97</t>
  </si>
  <si>
    <t xml:space="preserve">  ↳  LHRMPLU-WH</t>
  </si>
  <si>
    <t>Audifonos Bluetooth TWS Pantalla Touch ANC RMPLUS+ White Lhotse</t>
  </si>
  <si>
    <t>13.38</t>
  </si>
  <si>
    <t xml:space="preserve">  ↳  67933835988925</t>
  </si>
  <si>
    <t>Parlante Portatil Inalambrico Bluetooth Tune Up Green Lhotse</t>
  </si>
  <si>
    <t>64.30</t>
  </si>
  <si>
    <t xml:space="preserve">  ↳  67933835121467</t>
  </si>
  <si>
    <t>Parlante Portatil Inalambrico Bluetooth Tune Up Blue Lhotse</t>
  </si>
  <si>
    <t>37.23</t>
  </si>
  <si>
    <t xml:space="preserve">  ↳  67933833934278</t>
  </si>
  <si>
    <t>Parlante Portatil Inalambrico Bluetooth Tune Up Red Lhotse</t>
  </si>
  <si>
    <t>54.93</t>
  </si>
  <si>
    <t xml:space="preserve">  ↳  1659991971809</t>
  </si>
  <si>
    <t>Telón Proyector 100 pulgadas 200 x 150 cm LEVO</t>
  </si>
  <si>
    <t>8.97</t>
  </si>
  <si>
    <t xml:space="preserve">  ↳  LVTELBK-100</t>
  </si>
  <si>
    <t>Telón Proyector 100 pulgadas 200 x 150 cm Negro LEVO</t>
  </si>
  <si>
    <t>2.51</t>
  </si>
  <si>
    <t xml:space="preserve">  ↳  LVHUBMP-5</t>
  </si>
  <si>
    <t>Hub USB-C Adaptador Multipuerto 5 en 1 Macbook Windows LEVO</t>
  </si>
  <si>
    <t>14.27</t>
  </si>
  <si>
    <t xml:space="preserve">  ↳  LVHUBMP-6</t>
  </si>
  <si>
    <t>Hub USB-C Adaptador Multipuerto 6 en 1 Macbook Windows LEVO</t>
  </si>
  <si>
    <t>3.56</t>
  </si>
  <si>
    <t xml:space="preserve">  ↳  1658329968514</t>
  </si>
  <si>
    <t>Vr Box Ultra + Audífonos Lentes de Realidad Virtual LEVO</t>
  </si>
  <si>
    <t>7.27</t>
  </si>
  <si>
    <t xml:space="preserve">  ↳  LHCAMU-BK</t>
  </si>
  <si>
    <t>Taza Térmica Insulada Camping Black 350ml</t>
  </si>
  <si>
    <t>10.76</t>
  </si>
  <si>
    <t xml:space="preserve">  ↳  LHBOADV-BK</t>
  </si>
  <si>
    <t>Botella Termica Insulada 650ml Adventure Black Lhotse</t>
  </si>
  <si>
    <t>6.98</t>
  </si>
  <si>
    <t xml:space="preserve">  ↳  LHBOADV-WH</t>
  </si>
  <si>
    <t>Botella Termica Insulada 650ml Adventure White Lhotse</t>
  </si>
  <si>
    <t>4.89</t>
  </si>
  <si>
    <t xml:space="preserve">  ↳  LHBOADV-PK</t>
  </si>
  <si>
    <t>Botella Termica Insulada 650ml Adventure Pink Lhotse</t>
  </si>
  <si>
    <t>3.91</t>
  </si>
  <si>
    <t xml:space="preserve">  ↳  LHMAMU-BK</t>
  </si>
  <si>
    <t>Mate Acero Inoxidable con Bombilla Black Lhotse</t>
  </si>
  <si>
    <t>3.74</t>
  </si>
  <si>
    <t xml:space="preserve">  ↳  LHMAMU-GR</t>
  </si>
  <si>
    <t>Mate Acero Inoxidable con Bombilla Green Lhotse</t>
  </si>
  <si>
    <t>9.72</t>
  </si>
  <si>
    <t xml:space="preserve">  ↳  LHMAMU-LPK</t>
  </si>
  <si>
    <t>Mate Acero Inoxidable con Bombilla Light Pink Lhotse</t>
  </si>
  <si>
    <t>3.98</t>
  </si>
  <si>
    <t xml:space="preserve">  ↳  LHMAMU-RD</t>
  </si>
  <si>
    <t>Mate Acero Inoxidable con Bombilla Red Lhotse</t>
  </si>
  <si>
    <t>4.88</t>
  </si>
  <si>
    <t xml:space="preserve">  ↳  1660857800718</t>
  </si>
  <si>
    <t>Especiero Condimentos de Madera 8 Frascos Vidrio Simplit</t>
  </si>
  <si>
    <t>2.99</t>
  </si>
  <si>
    <t xml:space="preserve">  ↳  1543406075297</t>
  </si>
  <si>
    <t>Pesa Digital Balanza Baño Bluetooth Inteligente Blanca LEVO</t>
  </si>
  <si>
    <t>5.92</t>
  </si>
  <si>
    <t xml:space="preserve">  ↳  LHCAMACSUM</t>
  </si>
  <si>
    <t>Cámara de Acción Deportiva Summit 5k 30fps Accesorios</t>
  </si>
  <si>
    <t>6.81</t>
  </si>
  <si>
    <t>26TP0616PI</t>
  </si>
  <si>
    <t>0.0, Lhotse, Simplit, Xroad</t>
  </si>
  <si>
    <t xml:space="preserve">  ↳  1627418212924</t>
  </si>
  <si>
    <t>Set de 7 Contenedores Herméticos Plástico Simplit</t>
  </si>
  <si>
    <t>0.33</t>
  </si>
  <si>
    <t xml:space="preserve">  ↳  XRBARRUN-122</t>
  </si>
  <si>
    <t>Barra Portaequipaje Enganche Universal 122cm Xroad</t>
  </si>
  <si>
    <t xml:space="preserve">  ↳  XRBARRUN-129</t>
  </si>
  <si>
    <t>Barra Portaequipaje Enganche Universal 129cm Xroad</t>
  </si>
  <si>
    <t xml:space="preserve">  ↳  XRBARRUN-139</t>
  </si>
  <si>
    <t>Barra Portaequipaje Enganche Universal 139cm Xroad</t>
  </si>
  <si>
    <t xml:space="preserve">  ↳  SMBATOXBK</t>
  </si>
  <si>
    <t>Batería de Cocina Antiadherente Oxford Granito 15pcs Simplit</t>
  </si>
  <si>
    <t>0.06</t>
  </si>
  <si>
    <t xml:space="preserve">  ↳  XRCOOLPORT-GR</t>
  </si>
  <si>
    <t>Cooler Eléctrico Portátil 30L 12V Gris Xroad</t>
  </si>
  <si>
    <t xml:space="preserve">  ↳  1650302269777</t>
  </si>
  <si>
    <t>Toldo Camping Lateral Para Auto Techo Xroad</t>
  </si>
  <si>
    <t>1.34</t>
  </si>
  <si>
    <t xml:space="preserve">  ↳  XRFUNCASUN-BK</t>
  </si>
  <si>
    <t>Fundas Cubreasientos Ecocuero Universal Negro XRoad</t>
  </si>
  <si>
    <t>7.69</t>
  </si>
  <si>
    <t xml:space="preserve">  ↳  LHSHNUCO-BK</t>
  </si>
  <si>
    <t>Shaker Vaso Proteina Acero Inox 500ml NutriCore Black Lhotse</t>
  </si>
  <si>
    <t>3.16</t>
  </si>
  <si>
    <t xml:space="preserve">  ↳  LHSHNUCO-PK</t>
  </si>
  <si>
    <t>Shaker Vaso Proteina Acero Inox 500ml NutriCore Pink Lhotse</t>
  </si>
  <si>
    <t>2.40</t>
  </si>
  <si>
    <t>↳  LHMUTER590-BK</t>
  </si>
  <si>
    <t>Mug Térmico para Café Termicup 590 ml Acero Inox Black</t>
  </si>
  <si>
    <t>—</t>
  </si>
  <si>
    <t>↳  LHMUTER590-BG</t>
  </si>
  <si>
    <t>Mug Térmico para Café Termicup 590 ml Acero Inox Beige</t>
  </si>
  <si>
    <t>↳  LHMUTER590-PK</t>
  </si>
  <si>
    <t>Mug Térmico para Café Termicup 590 ml Acero Inox Pink</t>
  </si>
  <si>
    <t>↳  LHMUTER590-NY</t>
  </si>
  <si>
    <t>Mug Térmico para Café Termicup 590 ml Acero Inox Navy</t>
  </si>
  <si>
    <t>↳  LHMUTER590-GR</t>
  </si>
  <si>
    <t>Mug Térmico para Café Termicup 590 ml Acero Inox Green</t>
  </si>
  <si>
    <t>26TP0608PI</t>
  </si>
  <si>
    <t>21/08/2026</t>
  </si>
  <si>
    <t>26/08/2026</t>
  </si>
  <si>
    <t>SEP26</t>
  </si>
  <si>
    <t>Dynamo, Levo, Lhotse, Simplit, Xroad</t>
  </si>
  <si>
    <t xml:space="preserve">  ↳  LHTRMU-BK</t>
  </si>
  <si>
    <t>Botella Termica Insulada 900ml Travel Mug Black Lhotse</t>
  </si>
  <si>
    <t>0.66</t>
  </si>
  <si>
    <t xml:space="preserve">  ↳  67933856404072</t>
  </si>
  <si>
    <t>Set 6 Vasos Corto Vintage Charlotte 200ml Simplit</t>
  </si>
  <si>
    <t>0.36</t>
  </si>
  <si>
    <t xml:space="preserve">  ↳  67933857637909</t>
  </si>
  <si>
    <t>Set 6 Vasos Largo Vintage Charlotte 350ml Simplit</t>
  </si>
  <si>
    <t>0.05</t>
  </si>
  <si>
    <t xml:space="preserve">  ↳  1660857914743</t>
  </si>
  <si>
    <t>Set 2 Vasos de Vidrio Estilo Japonés 320 ml Simplit</t>
  </si>
  <si>
    <t xml:space="preserve">  ↳  1660859171584</t>
  </si>
  <si>
    <t>Espumador de Leche 4 en 1 Negro Simplit</t>
  </si>
  <si>
    <t>0.04</t>
  </si>
  <si>
    <t xml:space="preserve">  ↳  1650301031879</t>
  </si>
  <si>
    <t>Barras Portaequipaje de Aluminio para Techo Xroad</t>
  </si>
  <si>
    <t>0.68</t>
  </si>
  <si>
    <t xml:space="preserve">  ↳  1659990788079</t>
  </si>
  <si>
    <t>Control Joystick Controller Compatible Nintendo Switch LEVO</t>
  </si>
  <si>
    <t>0.10</t>
  </si>
  <si>
    <t xml:space="preserve">  ↳  1659990828178</t>
  </si>
  <si>
    <t>Control Joystick Inalámbrico doble Shock P4 Negro LEVO</t>
  </si>
  <si>
    <t xml:space="preserve">  ↳  66436804863605</t>
  </si>
  <si>
    <t>Control Joystick Inalámbrico doble Shock P4 Rojo LEVO</t>
  </si>
  <si>
    <t xml:space="preserve">  ↳  67327559384453</t>
  </si>
  <si>
    <t>Cámara HD Auto D3 Frontal, Interior y Trasera LEVO</t>
  </si>
  <si>
    <t>0.45</t>
  </si>
  <si>
    <t xml:space="preserve">  ↳  1629726159155</t>
  </si>
  <si>
    <t>Cafetera Italiana Negra Granito 4 Tazas Simplit</t>
  </si>
  <si>
    <t>0.02</t>
  </si>
  <si>
    <t xml:space="preserve">  ↳  SMCFIT4LC-GR</t>
  </si>
  <si>
    <t>Cafetera Italiana Lucca 4 Tazas Simplit</t>
  </si>
  <si>
    <t xml:space="preserve">  ↳  SMCFIT4SV-WH</t>
  </si>
  <si>
    <t>Cafetera Italiana Savannah 4 Tazas Simplit</t>
  </si>
  <si>
    <t xml:space="preserve">  ↳  LVSPBRX2MN</t>
  </si>
  <si>
    <t>Soporte Brazo Doble Monitor Notebook Escritorio Negro LEVO</t>
  </si>
  <si>
    <t>0.14</t>
  </si>
  <si>
    <t xml:space="preserve">  ↳  DYNTALSPER</t>
  </si>
  <si>
    <t>Kit Taladro Destornillador Inalámbrico Dynamo 21v 2 Baterías</t>
  </si>
  <si>
    <t xml:space="preserve">  ↳  1660859424566</t>
  </si>
  <si>
    <t>Carpa Funda Cubre Auto Impermeable Premium con Felpa Xroad</t>
  </si>
  <si>
    <t>0.32</t>
  </si>
  <si>
    <t xml:space="preserve">  ↳  LHTRMU-GR</t>
  </si>
  <si>
    <t>Botella Termica Insulada 900ml Travel Mug Green Lhotse</t>
  </si>
  <si>
    <t xml:space="preserve">  ↳  1660858025311</t>
  </si>
  <si>
    <t>Bowl Cortador Rallador de Verduras Multifuncional Simplit</t>
  </si>
  <si>
    <t>1.66</t>
  </si>
  <si>
    <t xml:space="preserve">  ↳  1661873799978</t>
  </si>
  <si>
    <t>Mochila Volcano Lhotse 19 Lt Negra</t>
  </si>
  <si>
    <t>1.06</t>
  </si>
  <si>
    <t xml:space="preserve">  ↳  1660858101318</t>
  </si>
  <si>
    <t>Mantequillero de Cerámica Tapa Bamboo 300 ml Simplit</t>
  </si>
  <si>
    <t>1.67</t>
  </si>
  <si>
    <t xml:space="preserve">  ↳  SIMMANCC-BK</t>
  </si>
  <si>
    <t>Mantequillero cerámica tapa bamboo con cuchillo 600ml NEGRO</t>
  </si>
  <si>
    <t>1.74</t>
  </si>
  <si>
    <t xml:space="preserve">  ↳  1650295282448</t>
  </si>
  <si>
    <t>Organizador Refrigerador con Cesta L Simplit</t>
  </si>
  <si>
    <t>1.39</t>
  </si>
  <si>
    <t xml:space="preserve">  ↳  1659989549286</t>
  </si>
  <si>
    <t>Set Alcuza Cerámica 2 Piezas Cuadrada 500 ml Simplit</t>
  </si>
  <si>
    <t>1.37</t>
  </si>
  <si>
    <t xml:space="preserve">  ↳  1615383366170</t>
  </si>
  <si>
    <t>Pick-up Pad Lhotse Porta 6 Bicicletas</t>
  </si>
  <si>
    <t>1.14</t>
  </si>
  <si>
    <t xml:space="preserve">  ↳  1652825295706</t>
  </si>
  <si>
    <t>Cafetera Italiana Negra Granito 12 Tazas Simplit</t>
  </si>
  <si>
    <t>1.75</t>
  </si>
  <si>
    <t xml:space="preserve">  ↳  LVSPALZNPLE</t>
  </si>
  <si>
    <t>Soporte Base Alzador Notebook Plegable Ajustable Gris LEVO</t>
  </si>
  <si>
    <t>1.86</t>
  </si>
  <si>
    <t xml:space="preserve">  ↳  LHSWVIBBK</t>
  </si>
  <si>
    <t>Reloj Smartwatch Lhotse Vibe 05 GPS Black 45mm</t>
  </si>
  <si>
    <t>1.91</t>
  </si>
  <si>
    <t xml:space="preserve">  ↳  XRCOBSUV-BS</t>
  </si>
  <si>
    <t>Carpa Funda Cubre SUV Impermeable Premium con Felpa Xroad</t>
  </si>
  <si>
    <t>4.59</t>
  </si>
  <si>
    <t>4.42</t>
  </si>
  <si>
    <t xml:space="preserve">  ↳  LHTRMU-PK</t>
  </si>
  <si>
    <t>Botella Termica Insulada 900ml Travel Mug Pink Lhotse</t>
  </si>
  <si>
    <t>4.14</t>
  </si>
  <si>
    <t xml:space="preserve">  ↳  1650298908518</t>
  </si>
  <si>
    <t>Set 2 Vasos Moscow Mule Mug Cobre + Bombillas Simplit</t>
  </si>
  <si>
    <t>2.84</t>
  </si>
  <si>
    <t xml:space="preserve">  ↳  1654207333519</t>
  </si>
  <si>
    <t>Taza Mug de Vidrio Doble Pared 300 ml Simplit</t>
  </si>
  <si>
    <t>2.85</t>
  </si>
  <si>
    <t xml:space="preserve">  ↳  1659999392257</t>
  </si>
  <si>
    <t>Mochila Notebook Puerto USB 15,6" Gris LEVO</t>
  </si>
  <si>
    <t>5.64</t>
  </si>
  <si>
    <t xml:space="preserve">  ↳  1661873818029</t>
  </si>
  <si>
    <t>Mochila Volcano Lhotse 19 Lt Verde</t>
  </si>
  <si>
    <t>2.19</t>
  </si>
  <si>
    <t xml:space="preserve">  ↳  1660858118518</t>
  </si>
  <si>
    <t>Mantequillero Cerámica Tapa Bamboo + Cuchillo 600 ml Simplit</t>
  </si>
  <si>
    <t>3.75</t>
  </si>
  <si>
    <t xml:space="preserve">  ↳  1660859287583</t>
  </si>
  <si>
    <t>Set 4 Contenedores de Vidrio Herméticos Tapa Bamboo Simplit</t>
  </si>
  <si>
    <t>2.31</t>
  </si>
  <si>
    <t xml:space="preserve">  ↳  1650295261109</t>
  </si>
  <si>
    <t>Organizador Refrigerador con Cesta M Simplit</t>
  </si>
  <si>
    <t>2.14</t>
  </si>
  <si>
    <t xml:space="preserve">  ↳  1654189048611</t>
  </si>
  <si>
    <t>Organizador Refrigerador con Drenaje S Simplit</t>
  </si>
  <si>
    <t>2.10</t>
  </si>
  <si>
    <t xml:space="preserve">  ↳  XRPARREQ-BK</t>
  </si>
  <si>
    <t>Parrilla Para Auto Aluminio Portaequipaje Universal Negra Xroad</t>
  </si>
  <si>
    <t>14.80</t>
  </si>
  <si>
    <t xml:space="preserve">  ↳  1639488921197</t>
  </si>
  <si>
    <t>Balanza Pesa Digital Para Cocina Simplit</t>
  </si>
  <si>
    <t>3.17</t>
  </si>
  <si>
    <t xml:space="preserve">  ↳  1615383407099</t>
  </si>
  <si>
    <t>Pick-up Pad Lhotse Porta 2 Bicicletas</t>
  </si>
  <si>
    <t xml:space="preserve">  ↳  SIMBACOUR-30</t>
  </si>
  <si>
    <t>Basurero Cocina Urban 30lts Pedal Acero Inox Simplit</t>
  </si>
  <si>
    <t>5.93</t>
  </si>
  <si>
    <t xml:space="preserve">  ↳  SIMBACOHA-55</t>
  </si>
  <si>
    <t>Basurero Cocina Handy 55lts Táctil Acero Inox Simplit</t>
  </si>
  <si>
    <t>2.66</t>
  </si>
  <si>
    <t xml:space="preserve">  ↳  XRCOBMOT-BS</t>
  </si>
  <si>
    <t>Carpa Funda Cubre Moto Impermeable Premium con Felpa Xroad</t>
  </si>
  <si>
    <t>2.53</t>
  </si>
  <si>
    <t xml:space="preserve">  ↳  DYNTALSCA</t>
  </si>
  <si>
    <t>Kit Taladro Destornillador Inalámbrico Dynamo 21V 2 baterías</t>
  </si>
  <si>
    <t>3.35</t>
  </si>
  <si>
    <t xml:space="preserve">  ↳  LHSWVIBCR</t>
  </si>
  <si>
    <t>Reloj Smartwatch Lhotse Vibe 05 GPS Cream 42mm</t>
  </si>
  <si>
    <t>2.34</t>
  </si>
  <si>
    <t xml:space="preserve">  ↳  LHSWSHAR-BK</t>
  </si>
  <si>
    <t>Reloj Smartwatch Lhotse Apex 01 GPS Black</t>
  </si>
  <si>
    <t>Sin venta</t>
  </si>
  <si>
    <t xml:space="preserve">  ↳  LHSWSHAR-PK</t>
  </si>
  <si>
    <t>Reloj Smartwatch Lhotse Apex 01 GPS Pink</t>
  </si>
  <si>
    <t xml:space="preserve">  ↳  LHSWSHAR-CR</t>
  </si>
  <si>
    <t>Reloj Smartwatch Lhotse Apex 01 GPS Rust</t>
  </si>
  <si>
    <t>26TP0702PI</t>
  </si>
  <si>
    <t>30/08/2026</t>
  </si>
  <si>
    <t>04/09/2026</t>
  </si>
  <si>
    <t>0.0, Levo, Lhotse, Simplit, Xroad</t>
  </si>
  <si>
    <t xml:space="preserve">  ↳  SMCFIT12LC-GR</t>
  </si>
  <si>
    <t>Cafetera Italiana Lucca 12 Tazas Simplit</t>
  </si>
  <si>
    <t xml:space="preserve">  ↳  SMCFIT12SV-WH</t>
  </si>
  <si>
    <t>Cafetera Italiana Savannah 12 Tazas Simplit</t>
  </si>
  <si>
    <t xml:space="preserve">  ↳  LVFNOTHS15-BK</t>
  </si>
  <si>
    <t>Funda HardShell Notebook 15-16" Negra LEVO</t>
  </si>
  <si>
    <t>0.67</t>
  </si>
  <si>
    <t xml:space="preserve">  ↳  LHPARTRGO-BL</t>
  </si>
  <si>
    <t>Parlante Portatil Inalambrico Bluetooth TripGo Blue Lhotse</t>
  </si>
  <si>
    <t>0.34</t>
  </si>
  <si>
    <t xml:space="preserve">  ↳  1661872956577</t>
  </si>
  <si>
    <t>Set 3 Fuentes de Cerámica para Horno Celeste Simplit</t>
  </si>
  <si>
    <t>0.12</t>
  </si>
  <si>
    <t xml:space="preserve">  ↳  LHMOMAK-GR</t>
  </si>
  <si>
    <t>Mochila Urbana Roll Top Impermeable Porta Notebook 22L Makalu Green Lhotse</t>
  </si>
  <si>
    <t xml:space="preserve">  ↳  LHMOPUM-GR</t>
  </si>
  <si>
    <t>Mochila Urbana Impermeable Porta Notebook 22L Pumori Green Lhotse</t>
  </si>
  <si>
    <t xml:space="preserve">  ↳  LHMOBROBK</t>
  </si>
  <si>
    <t>Mochila Viaje Impermeable Porta Notebook 17.3" 40L Broadpeak Black Lhotse</t>
  </si>
  <si>
    <t>0.07</t>
  </si>
  <si>
    <t xml:space="preserve">  ↳  LHBOLDUFBK-30</t>
  </si>
  <si>
    <t>Bolso Deportivo Impermeable Duffel 30L Traveller Black Lhotse</t>
  </si>
  <si>
    <t>0.25</t>
  </si>
  <si>
    <t xml:space="preserve">  ↳  LHBOLDUFNV-60</t>
  </si>
  <si>
    <t>Bolso Deportivo Impermeable Duffel 60L Traveller Navy Lhotse</t>
  </si>
  <si>
    <t xml:space="preserve">  ↳  LHMALEXPBK-90</t>
  </si>
  <si>
    <t>Maleta Trolley Impermeable Duffel 90L Expedition Black Lhotse</t>
  </si>
  <si>
    <t>0.63</t>
  </si>
  <si>
    <t xml:space="preserve">  ↳  SIMCUMAR-BK</t>
  </si>
  <si>
    <t>Set Cuchillos 5 pcs Paris Acero Inoxidable Simplit</t>
  </si>
  <si>
    <t xml:space="preserve">  ↳  SIMCUPAR-BK</t>
  </si>
  <si>
    <t>Set de Cuchillería 24 pcs Cubiertos Paris Simplit</t>
  </si>
  <si>
    <t xml:space="preserve">  ↳  SIMCENVER-CR</t>
  </si>
  <si>
    <t>Set de Cucharas Ensalada Versalle Acero Inoxidable Simplit</t>
  </si>
  <si>
    <t>0.71</t>
  </si>
  <si>
    <t xml:space="preserve">  ↳  XRHYDLAV-OR</t>
  </si>
  <si>
    <t>Hidrolavadora Eléctrica HydroX 1800W 120 Bar Xroad</t>
  </si>
  <si>
    <t>0.78</t>
  </si>
  <si>
    <t xml:space="preserve">  ↳  LVPROHEX</t>
  </si>
  <si>
    <t>Proyector Portatil Smart Hexa 8000lm WiFi BT Android LEVO</t>
  </si>
  <si>
    <t>0.20</t>
  </si>
  <si>
    <t xml:space="preserve">  ↳  LHTHCLA-BK</t>
  </si>
  <si>
    <t>Termo Liquido Acero Inoxidable Classic 1,3 lts Black Lhotse</t>
  </si>
  <si>
    <t>5.13</t>
  </si>
  <si>
    <t xml:space="preserve">  ↳  LHTHCLA-GR</t>
  </si>
  <si>
    <t>Termo Liquido Acero Inoxidable Classic 1,3 lts Green Lhotse</t>
  </si>
  <si>
    <t>4.06</t>
  </si>
  <si>
    <t xml:space="preserve">  ↳  LHTHCLA-PK</t>
  </si>
  <si>
    <t>Termo Liquido Acero Inoxidable Classic 1,3 lts Pink Lhotse</t>
  </si>
  <si>
    <t>4.56</t>
  </si>
  <si>
    <t xml:space="preserve">  ↳  LVFNOTHS13-BK</t>
  </si>
  <si>
    <t>Funda HardShell Notebook 13-14" Negra LEVO</t>
  </si>
  <si>
    <t>3.39</t>
  </si>
  <si>
    <t xml:space="preserve">  ↳  LHPARTRGO-BK</t>
  </si>
  <si>
    <t>Parlante Portatil Inalambrico Bluetooth TripGo Black Lhotse</t>
  </si>
  <si>
    <t>3.73</t>
  </si>
  <si>
    <t xml:space="preserve">  ↳  LHPARTRGO-GR</t>
  </si>
  <si>
    <t>Parlante Portatil Inalambrico Bluetooth TripGo Gray Lhotse</t>
  </si>
  <si>
    <t>2.70</t>
  </si>
  <si>
    <t xml:space="preserve">  ↳  LHBOLDUFBK-60</t>
  </si>
  <si>
    <t>Bolso Deportivo Impermeable Duffel 60L Traveller Black Lhotse</t>
  </si>
  <si>
    <t>2.44</t>
  </si>
  <si>
    <t xml:space="preserve">  ↳  SIMCUVER-WO</t>
  </si>
  <si>
    <t>Set de Cuchillería 24 pcs Cubiertos Le Mans Simplit</t>
  </si>
  <si>
    <t>2.52</t>
  </si>
  <si>
    <t xml:space="preserve">  ↳  SIMCUMAR-WO</t>
  </si>
  <si>
    <t>Set Cuchillos 5 pcs Marsella Acero Inoxidable Simplit</t>
  </si>
  <si>
    <t>4.38</t>
  </si>
  <si>
    <t xml:space="preserve">  ↳  LHBIGMU-PPN</t>
  </si>
  <si>
    <t>Vaso Termico Tumbler Acero Inox Antiderrame 1180ml Lilac Lhotse</t>
  </si>
  <si>
    <t>3.88</t>
  </si>
  <si>
    <t xml:space="preserve">  ↳  LHBIGMU-BKN</t>
  </si>
  <si>
    <t>Vaso Termico Tumbler Acero Inox Antiderrame 1180ml Black Lhotse</t>
  </si>
  <si>
    <t>3.65</t>
  </si>
  <si>
    <t xml:space="preserve">  ↳  67933863068841</t>
  </si>
  <si>
    <t>Set 6 Vaso Copa Cerveza Collins 420ml Simplit</t>
  </si>
  <si>
    <t>2.77</t>
  </si>
  <si>
    <t xml:space="preserve">  ↳  MLLLVMONDOB</t>
  </si>
  <si>
    <t>Muestra Pantalla Monitor doble 15,6"</t>
  </si>
  <si>
    <t xml:space="preserve">  ↳  MLLLVMON17</t>
  </si>
  <si>
    <t>Muestra Pantalla Monitor 17"</t>
  </si>
  <si>
    <t>26TP0716PI</t>
  </si>
  <si>
    <t xml:space="preserve">  ↳  LHNECKHUM-GR</t>
  </si>
  <si>
    <t>Neceser Viaje Waterproof 5L Khumbu Lhotse</t>
  </si>
  <si>
    <t>0.41</t>
  </si>
  <si>
    <t xml:space="preserve">  ↳  LVAUDGM-BK</t>
  </si>
  <si>
    <t>Audífono Gamer Inalámbrico Zenit Elite Bluetooth RGB Negro LEVO</t>
  </si>
  <si>
    <t xml:space="preserve">  ↳  LVTECMCL-BK</t>
  </si>
  <si>
    <t>Teclado Gamer NovaBlade Red Switch Mecánico Español RGB LEVO</t>
  </si>
  <si>
    <t xml:space="preserve">  ↳  1629726091782</t>
  </si>
  <si>
    <t>Set 12 Utensilios De Cocina Silicona Calipso Simplit</t>
  </si>
  <si>
    <t>0.44</t>
  </si>
  <si>
    <t xml:space="preserve">  ↳  SIMJULZOPO-30</t>
  </si>
  <si>
    <t>Juego de Loza 30 pcs Cerámica Oporto Simplit</t>
  </si>
  <si>
    <t>1.27</t>
  </si>
  <si>
    <t>1.89</t>
  </si>
  <si>
    <t xml:space="preserve">  ↳  SIMCUPGL-30</t>
  </si>
  <si>
    <t>Set de Cuchillería 30 pcs Cubiertos Acero Inoxidable Puglia</t>
  </si>
  <si>
    <t>2.88</t>
  </si>
  <si>
    <t>2.42</t>
  </si>
  <si>
    <t xml:space="preserve">  ↳  SIMBOWSIE-4</t>
  </si>
  <si>
    <t>Set 4 Bowls Cerámica 8,5cm Siena Simplit</t>
  </si>
  <si>
    <t>3.29</t>
  </si>
  <si>
    <t xml:space="preserve">  ↳  SIMJULZAMA-24</t>
  </si>
  <si>
    <t>Juego Loza Cerámica 24 pcs Amalfi Simplit</t>
  </si>
  <si>
    <t>3.03</t>
  </si>
  <si>
    <t>2.20</t>
  </si>
  <si>
    <t xml:space="preserve">  ↳  1623703861303</t>
  </si>
  <si>
    <t>Bolso Deportivo Lhotse Duffel 30 Lts Bag Negro</t>
  </si>
  <si>
    <t>2.47</t>
  </si>
  <si>
    <t xml:space="preserve">  ↳  LHNECKHUM-BK</t>
  </si>
  <si>
    <t>4.62</t>
  </si>
  <si>
    <t xml:space="preserve">  ↳  68432930518995</t>
  </si>
  <si>
    <t>Espumador de Leche 4 en 1 Blanco Simplit</t>
  </si>
  <si>
    <t>2.87</t>
  </si>
  <si>
    <t xml:space="preserve">  ↳  67933859111971</t>
  </si>
  <si>
    <t>Set 6 Vasos redondos Virginia 340ml Simplit</t>
  </si>
  <si>
    <t>3.00</t>
  </si>
  <si>
    <t xml:space="preserve">  ↳  1660858702400</t>
  </si>
  <si>
    <t>Set 2 Molinillos de Sal y Pimienta Vidrio Simplit</t>
  </si>
  <si>
    <t>3.21</t>
  </si>
  <si>
    <t xml:space="preserve">  ↳  SIMDESSOM</t>
  </si>
  <si>
    <t>Descorchador Abridor Vino Sommelier Simplit</t>
  </si>
  <si>
    <t>2.91</t>
  </si>
  <si>
    <t xml:space="preserve">  ↳  SIMCUTOL-2</t>
  </si>
  <si>
    <t>Set Parrillero Toledo Cuchillo y Tenedor Acero Inox Simplit</t>
  </si>
  <si>
    <t>26TP0706PI</t>
  </si>
  <si>
    <t>06/09/2026</t>
  </si>
  <si>
    <t>11/09/2026</t>
  </si>
  <si>
    <t>OCT26</t>
  </si>
  <si>
    <t>Lhotse, Simplit, UMA, Xroad</t>
  </si>
  <si>
    <t>cookware from Lucy
Order No. wechat, Seba, Apr. 14th</t>
  </si>
  <si>
    <t xml:space="preserve">  ↳  XRCADCANRR</t>
  </si>
  <si>
    <t>Cadena Antinapoleonica Rueda Repuesto</t>
  </si>
  <si>
    <t>0.01</t>
  </si>
  <si>
    <t xml:space="preserve">  ↳  LHBOHYTK750-BK</t>
  </si>
  <si>
    <t>Botella Hydrotek 700ml Black</t>
  </si>
  <si>
    <t xml:space="preserve">  ↳  LHBOHYTK750-BG</t>
  </si>
  <si>
    <t>Botella Hydrotek 700ml Beige</t>
  </si>
  <si>
    <t xml:space="preserve">  ↳  LHBOHYTK750-PK</t>
  </si>
  <si>
    <t>Botella Hydrotek 700ml Pink</t>
  </si>
  <si>
    <t xml:space="preserve">  ↳  LHBOHYTK750-NY</t>
  </si>
  <si>
    <t>Botella Hydrotek 700ml Navy</t>
  </si>
  <si>
    <t xml:space="preserve">  ↳  LHBOHYTK750-GR</t>
  </si>
  <si>
    <t>Botella Hydrotek 700ml Green</t>
  </si>
  <si>
    <t xml:space="preserve">  ↳  MTHWLGBT750-BK</t>
  </si>
  <si>
    <t>Botella Térmica insulada Hot Wheels Legends Black 750 ml UMA</t>
  </si>
  <si>
    <t xml:space="preserve">  ↳  MTHWLGBT750-YW</t>
  </si>
  <si>
    <t>BotellaTermica Insulada Hot Wheels Legends Yellow 750mlUMA</t>
  </si>
  <si>
    <t xml:space="preserve">  ↳  MTHWLGBT750-BY</t>
  </si>
  <si>
    <t>Botella Térmica Insulada Hot Wheels Legends Yellow Lid 750 mlUMA</t>
  </si>
  <si>
    <t xml:space="preserve">  ↳  MTHWLGVT590-YW</t>
  </si>
  <si>
    <t>Vaso Térmico para Cafe Mug Hot Wheels Legends Yellow 590 mIUMA</t>
  </si>
  <si>
    <t xml:space="preserve">  ↳  MTHWLGVT590-BG</t>
  </si>
  <si>
    <t>Vaso Térmico para Café Mug Hot Wheels Legends Beige 590 ml UMA</t>
  </si>
  <si>
    <t xml:space="preserve">  ↳  MTHWLGVT590-BK</t>
  </si>
  <si>
    <t>Vaso Térmico para Cafe Mug Hot Wheels Legends Black 590 mlUMA</t>
  </si>
  <si>
    <t xml:space="preserve">  ↳  MTHWLGBT590-BK</t>
  </si>
  <si>
    <t>Botella Termica Ninos Hot Wheels Legends 2 en 1 Negra 590mlAcero InoxUMA</t>
  </si>
  <si>
    <t xml:space="preserve">  ↳  MTHWLGBT590-AM</t>
  </si>
  <si>
    <t>Botella Termica Ninos Hot Wheels Legends 2 en 1 Amarilla 590ml Acero inoxUMA</t>
  </si>
  <si>
    <t xml:space="preserve">  ↳  SMBATSAV9-CR</t>
  </si>
  <si>
    <t>Bateria de ollas Zavannah 9 Piezas</t>
  </si>
  <si>
    <t>1.21</t>
  </si>
  <si>
    <t>26TP0720PI</t>
  </si>
  <si>
    <t>10/09/2026</t>
  </si>
  <si>
    <t>15/09/2026</t>
  </si>
  <si>
    <t>Levo, Lhotse, Simplit, T-Care, Xroad</t>
  </si>
  <si>
    <t>MEDIO</t>
  </si>
  <si>
    <t xml:space="preserve">  ↳  1571423280815</t>
  </si>
  <si>
    <t>Pick-up Pad Lhotse Porta 5 Bicicletas</t>
  </si>
  <si>
    <t xml:space="preserve">  ↳  LVMPADXXL-BK</t>
  </si>
  <si>
    <t>Mousepad Battlemat XXL 90x40 cm Antideslizante Negro LEVO</t>
  </si>
  <si>
    <t>1.32</t>
  </si>
  <si>
    <t xml:space="preserve">  ↳  SIMVASLARGINE</t>
  </si>
  <si>
    <t>Set 6 Vasos Largos 460ml Vidrio Ginebra Simplit</t>
  </si>
  <si>
    <t>5.34</t>
  </si>
  <si>
    <t xml:space="preserve">  ↳  1627418180602</t>
  </si>
  <si>
    <t>Especiero Condimentos Giratorio Metálico 16 Frascos Simplit</t>
  </si>
  <si>
    <t>3.86</t>
  </si>
  <si>
    <t>3.22</t>
  </si>
  <si>
    <t xml:space="preserve">  ↳  1630369674271</t>
  </si>
  <si>
    <t>Cafetera Prensa Francesa Negra 600 ml Simplit</t>
  </si>
  <si>
    <t>4.47</t>
  </si>
  <si>
    <t xml:space="preserve">  ↳  TCRANEBL</t>
  </si>
  <si>
    <t>Afeitadora Rasuradora Corporal Electrica NeoBlade 3.1 T-Care</t>
  </si>
  <si>
    <t>3.63</t>
  </si>
  <si>
    <t xml:space="preserve">  ↳  XRPISUNIS3-BK</t>
  </si>
  <si>
    <t>Alfombra Piso de Goma para auto Universal 3 piezas Xroad</t>
  </si>
  <si>
    <t>11.27</t>
  </si>
  <si>
    <t>26TP0704PI</t>
  </si>
  <si>
    <t>0.0</t>
  </si>
  <si>
    <t>OK</t>
  </si>
  <si>
    <t xml:space="preserve">  ↳  MLLLHAUDG602</t>
  </si>
  <si>
    <t>MUESTRA Audifono deportivo G602 Chris</t>
  </si>
  <si>
    <t xml:space="preserve">  ↳  MLLLHAUDG202</t>
  </si>
  <si>
    <t>MUESTRA Audifono deportivo G202 Chris</t>
  </si>
  <si>
    <t xml:space="preserve">  ↳  MLLLHAUDG605</t>
  </si>
  <si>
    <t>MUESTRA Audifono deportivo G605 Chris</t>
  </si>
  <si>
    <t xml:space="preserve">  ↳  MLLLHAUDA25</t>
  </si>
  <si>
    <t>MUESTRA Audifono deportivo A25 Chris</t>
  </si>
  <si>
    <t xml:space="preserve">  ↳  MLLLHAUDB09</t>
  </si>
  <si>
    <t>MUESTRA Audifono deportivo B09 Chris</t>
  </si>
  <si>
    <t xml:space="preserve">  ↳  MLLLHAUDB07</t>
  </si>
  <si>
    <t>MUESTRA Audifono deportivo B07 Chris</t>
  </si>
  <si>
    <t xml:space="preserve">  ↳  MLLTCSKINFLOW</t>
  </si>
  <si>
    <t>MUESTRA Afeitadora Rasuradora Facial Masculina SkinFlow T-Care</t>
  </si>
  <si>
    <t xml:space="preserve">  ↳  MLLLHTERMI-BK</t>
  </si>
  <si>
    <t>MUESTRA Mug Térmico para Café Termicup 590 ml Acero Inox Black</t>
  </si>
  <si>
    <t xml:space="preserve">  ↳  MLLLHTERMI-PK</t>
  </si>
  <si>
    <t>MUESTRA Mug Térmico para Café Termicup 590 ml Acero Inox Pink</t>
  </si>
  <si>
    <t xml:space="preserve">  ↳  MLLLHTERMI-GR</t>
  </si>
  <si>
    <t>MUESTRA Mug Térmico para Café Termicup 590 ml Acero Inox Green</t>
  </si>
  <si>
    <t xml:space="preserve">  ↳  MLLLHTERMI-BG</t>
  </si>
  <si>
    <t>MUESTRA Mug Térmico para Café Termicup 590 ml Acero Inox Beige</t>
  </si>
  <si>
    <t xml:space="preserve">  ↳  MLLLHTERMI-NV</t>
  </si>
  <si>
    <t>MUESTRA Mug Térmico para Café Termicup 590 ml Acero Inox Navy</t>
  </si>
  <si>
    <t xml:space="preserve">  ↳  MLLLGHYDROT-BK</t>
  </si>
  <si>
    <t>MUESTRA Botella Termica Agua Hydrotek 750 ml Acero Inox Black</t>
  </si>
  <si>
    <t xml:space="preserve">  ↳  MLLLGHYDROT-PK</t>
  </si>
  <si>
    <t>MUESTRA Botella Termica Agua Hydrotek 750 ml Acero Inox Pink</t>
  </si>
  <si>
    <t xml:space="preserve">  ↳  MLLLGHYDROT-GR</t>
  </si>
  <si>
    <t>MUESTRA Botella Termica Agua Hydrotek 750 ml Acero Inox Green</t>
  </si>
  <si>
    <t xml:space="preserve">  ↳  MLLLGHYDROT-NV</t>
  </si>
  <si>
    <t>MUESTRA Botella Termica Agua Hydrotek 750 ml Acero Inox Navy</t>
  </si>
  <si>
    <t xml:space="preserve">  ↳  MLLLGHYDROT-BG</t>
  </si>
  <si>
    <t>MUESTRA Botella Termica Agua Hydrotek 750 ml Acero Inox Beige</t>
  </si>
  <si>
    <t xml:space="preserve">  ↳  MLLUMAHWLG750-BK</t>
  </si>
  <si>
    <t>MUESTRA Botella Térmica Insulada Hot Wheels Legends Finish Black 750 ml UMA</t>
  </si>
  <si>
    <t xml:space="preserve">  ↳  MLLUMAHWLG750-YW</t>
  </si>
  <si>
    <t>MUESTRA Botella Térmica Insulada Hot Wheels Legends Torque Yellow 750 ml UMA</t>
  </si>
  <si>
    <t xml:space="preserve">  ↳  MLLUMAHWLG750-BY</t>
  </si>
  <si>
    <t>MUESTRA Botella Térmica Insulada Hot Wheels Legends Drift Yellow Lid 750 ml UMA</t>
  </si>
  <si>
    <t xml:space="preserve">  ↳  MLLUMAHWLGVAS-YW</t>
  </si>
  <si>
    <t>MUESTRA Vaso Térmico para Café Mug Hot Wheels Legends Turbo Yellow 590 ml UMA</t>
  </si>
  <si>
    <t xml:space="preserve">  ↳  MLLUMAHWLGVAS-BG</t>
  </si>
  <si>
    <t>MUESTRA Vaso Térmico para Café Mug Hot Wheels Legends Tour Beige 590 ml UMA</t>
  </si>
  <si>
    <t xml:space="preserve">  ↳  MLLUMAHWLGVAS-BK</t>
  </si>
  <si>
    <t>MUESTRA Vaso Térmico para Café Mug Hot Wheels Legends Champ Black 590 ml UMA</t>
  </si>
  <si>
    <t xml:space="preserve">  ↳  MLLUMAHWLG2EN1-BK</t>
  </si>
  <si>
    <t>MUESTRA Botella Termica Isulada Hot Wheels Legends Loop  2 en 1 Black 590ml UMA</t>
  </si>
  <si>
    <t xml:space="preserve">  ↳  MLLUMAHWLG2EN1-YW</t>
  </si>
  <si>
    <t>MUESTRA Botella Termica Insulada Hot Wheels Legends Nitro 2 en 1 Yellow 590ml UMA</t>
  </si>
  <si>
    <t>TOTAL</t>
  </si>
  <si>
    <t>9 embarques</t>
  </si>
  <si>
    <t>CÓMO VAMOS JULIO 2026  —  CIERRE FINAL  (día 31/31 — mes completo)</t>
  </si>
  <si>
    <t>Cierre de mes julio 2026 — datos finales. Real vs Meta al 31/31.</t>
  </si>
  <si>
    <t>VENTA NETA POR MARCA</t>
  </si>
  <si>
    <t>MARCA</t>
  </si>
  <si>
    <t>Meta Julio</t>
  </si>
  <si>
    <t>Meta Lineal
día 31/31</t>
  </si>
  <si>
    <t>Real Acum.
Julio</t>
  </si>
  <si>
    <t>vs Lineal ($)</t>
  </si>
  <si>
    <t>% vs Lineal</t>
  </si>
  <si>
    <t>% vs Meta</t>
  </si>
  <si>
    <t>LEVO</t>
  </si>
  <si>
    <t>Lhotse</t>
  </si>
  <si>
    <t>Simplit</t>
  </si>
  <si>
    <t>XROAD</t>
  </si>
  <si>
    <t>Marca Flash</t>
  </si>
  <si>
    <t>Prov. Nacionales</t>
  </si>
  <si>
    <t>Mattel</t>
  </si>
  <si>
    <t>Purito</t>
  </si>
  <si>
    <t>CONTRIBUCIÓN POR MARCA</t>
  </si>
  <si>
    <t>VENTA NETA POR CANAL</t>
  </si>
  <si>
    <t>CANAL</t>
  </si>
  <si>
    <t>Corporativo</t>
  </si>
  <si>
    <t>Distribución</t>
  </si>
  <si>
    <t>UnionX B2B</t>
  </si>
  <si>
    <t>Fidelización</t>
  </si>
  <si>
    <t>Marketplace</t>
  </si>
  <si>
    <t>P.Web</t>
  </si>
  <si>
    <t>Tiendas Propias</t>
  </si>
  <si>
    <t>CONTRIBUCIÓN POR CANAL</t>
  </si>
  <si>
    <t>COMPARATIVO REAL VS META 2026  --  ANALISIS POR MARCA</t>
  </si>
  <si>
    <t>Ene-Jul 2026 (Julio cierre final — mes completo, datos reales al 31/07)</t>
  </si>
  <si>
    <t>Meta: PPTO MARCA 2026 + hoja MATTEL.  Real: Ventas Netas - TD VENTAS Net + Contrib (FORECAST FINAL SKU).  UnionX B2B: meta redistribuida a Lhotse 49.7%, LEVO 29.4%, Simplit 17.3%, XROAD 3.6%.</t>
  </si>
  <si>
    <t>Ene</t>
  </si>
  <si>
    <t>Feb</t>
  </si>
  <si>
    <t>Mar</t>
  </si>
  <si>
    <t>Abr</t>
  </si>
  <si>
    <t>May</t>
  </si>
  <si>
    <t>Jun</t>
  </si>
  <si>
    <t>Jul</t>
  </si>
  <si>
    <t>TOTAL ENE-JUL</t>
  </si>
  <si>
    <t>META</t>
  </si>
  <si>
    <t>REAL</t>
  </si>
  <si>
    <t>VAR%</t>
  </si>
  <si>
    <t>CONTRIBUCION FRONTAL POR MARCA</t>
  </si>
  <si>
    <t>Meta: PPTO MARCA 2026 + hoja MATTEL.  Real: Margen Front - TD VENTAS Net + Contrib (FORECAST FINAL SKU).  UnionX B2B: meta redistribuida a Lhotse 49.7%, LEVO 29.4%, Simplit 17.3%, XROAD 3.6%.</t>
  </si>
  <si>
    <t>COMPARATIVO REAL VS META 2026  --  VENTA NETA Y CONTRIBUCION POR CANAL</t>
  </si>
  <si>
    <t>Meta venta canal: PPTO 2026 REAL PP+M + Mattel.  Meta contrib canal: PPTO MARCA 2026 + Mattel proporcional.  ITEK excluido del análisis de marcas.</t>
  </si>
  <si>
    <t>Meta: PPTO 2026 REAL PP+M + hoja MATTEL (VNT por canal).  Real: TD VENTAS Net + Contrib (FORECAST FINAL SKU).</t>
  </si>
  <si>
    <t>CONTRIBUCION FRONTAL POR CANAL</t>
  </si>
  <si>
    <t>Meta: PPTO MARCA 2026 + Mattel proporcional.  Real: TD VENTAS Net + Contrib (FORECAST FINAL SKU).</t>
  </si>
  <si>
    <t>REPORTE CST x MARCA — COBERTURA Y FLUJO 2026  (valores en $M CLP)</t>
  </si>
  <si>
    <t>STOCK HOY</t>
  </si>
  <si>
    <t>AGOSTO 26</t>
  </si>
  <si>
    <t>SEPTIEMBRE 26</t>
  </si>
  <si>
    <t>OCTUBRE 26</t>
  </si>
  <si>
    <t>Marca</t>
  </si>
  <si>
    <t>Stock Hoy
CST ($M)</t>
  </si>
  <si>
    <t>Cobert.
ACT</t>
  </si>
  <si>
    <t>StkIni
($M)</t>
  </si>
  <si>
    <t>Llegadas
($M)</t>
  </si>
  <si>
    <t>Stk+Ped
($M)</t>
  </si>
  <si>
    <t>Venta
($M)</t>
  </si>
  <si>
    <t>Cobert.</t>
  </si>
  <si>
    <t>Levo</t>
  </si>
  <si>
    <t>Xroad</t>
  </si>
  <si>
    <t>Dynamo</t>
  </si>
  <si>
    <t>Bandú</t>
  </si>
  <si>
    <t>T-Care</t>
  </si>
  <si>
    <t>UMA</t>
  </si>
  <si>
    <t>TOTAL PROPIA</t>
  </si>
  <si>
    <t>PROV. NACIONALES</t>
  </si>
  <si>
    <t>TOTAL EMPRESA</t>
  </si>
  <si>
    <t>Valores en millones de pesos CLP ($M).  Cobert. = Stk+Ped / Venta del mes.  Colores: 🔴 &lt;1m  🟠 1-2m  🟢 2-4m  🔵 4-6m  🟣 &gt;6m</t>
  </si>
  <si>
    <t>CRÍTICO x MARCA — Cobertura &lt; 1 mes | AGO 2026</t>
  </si>
  <si>
    <t>SKUs</t>
  </si>
  <si>
    <t>Cob.
Prom</t>
  </si>
  <si>
    <t>Sin
Stock</t>
  </si>
  <si>
    <t>Stock Hoy
Unidades</t>
  </si>
  <si>
    <t>Venta PPTO
AGO26 Unid</t>
  </si>
  <si>
    <t>Stock Hoy
CST</t>
  </si>
  <si>
    <t>Venta CST
AGO26</t>
  </si>
  <si>
    <t>Detalle Llegadas</t>
  </si>
  <si>
    <t>OCT26: 3</t>
  </si>
  <si>
    <t>SEP26: 1 | OCT26: 1</t>
  </si>
  <si>
    <t>AGO26: 1 | SEP26: 7 | OCT26: 10</t>
  </si>
  <si>
    <t>SEP26: 12 | OCT26: 5</t>
  </si>
  <si>
    <t>SEP26: 11 | OCT26: 4</t>
  </si>
  <si>
    <t>Sin embarque</t>
  </si>
  <si>
    <t>DETALLE CRITICOS — Cobertura &lt; 1 mes | Costo + Unidades | AGO 2026</t>
  </si>
  <si>
    <t>Cat. Comercial</t>
  </si>
  <si>
    <t>Cat. Padre</t>
  </si>
  <si>
    <t>Cat. Hijo</t>
  </si>
  <si>
    <t>Ranking
Comercial</t>
  </si>
  <si>
    <t>SKU</t>
  </si>
  <si>
    <t>Descripcion</t>
  </si>
  <si>
    <t>Cobert.
ACT 26</t>
  </si>
  <si>
    <t>Stock
Unid</t>
  </si>
  <si>
    <t>Venta PPTO
AGO Unid</t>
  </si>
  <si>
    <t>Stock
CST</t>
  </si>
  <si>
    <t>Venta
CST AGO</t>
  </si>
  <si>
    <t>Llegadas
AGO Unid</t>
  </si>
  <si>
    <t>Llegadas
SEP Unid</t>
  </si>
  <si>
    <t>Llegadas
OCT Unid</t>
  </si>
  <si>
    <t>Prox.
Llegada</t>
  </si>
  <si>
    <t>PI
Embarque</t>
  </si>
  <si>
    <t>Fecha Máx.
de Carga</t>
  </si>
  <si>
    <t>Oro</t>
  </si>
  <si>
    <t>Equipamiento</t>
  </si>
  <si>
    <t>Maletas</t>
  </si>
  <si>
    <t>LHMALEXPBK-30</t>
  </si>
  <si>
    <t>Maleta Trolley Impermeable Duffel 30L Expedition Black Lhotse</t>
  </si>
  <si>
    <t>Bronce</t>
  </si>
  <si>
    <t>Hidratación</t>
  </si>
  <si>
    <t>Botellas Termicas</t>
  </si>
  <si>
    <t>LHBOHY95-PK</t>
  </si>
  <si>
    <t>Botella Termica Insulada 960ml Hydro Pink Lhotse</t>
  </si>
  <si>
    <t>Diamante</t>
  </si>
  <si>
    <t>LHSHNUCO-BG</t>
  </si>
  <si>
    <t>Shaker Vaso Proteina Acero Inox NutriCore 500ml Beige Lhotse</t>
  </si>
  <si>
    <t>LHSHNUCO-NY</t>
  </si>
  <si>
    <t>Shaker Vaso Proteina Acero Inox NutriCore 500ml Blue Lhotse</t>
  </si>
  <si>
    <t>Mochilas</t>
  </si>
  <si>
    <t>LHMOMAK-GR</t>
  </si>
  <si>
    <t>LHMOBROBK</t>
  </si>
  <si>
    <t>LHBOHYCO-BG</t>
  </si>
  <si>
    <t>Botella Termica Acero Inox 3 Tapas 1L HydroCore Beige Lhotse</t>
  </si>
  <si>
    <t>LHMOPUM-GR</t>
  </si>
  <si>
    <t>LHBOHYCO-NY</t>
  </si>
  <si>
    <t>Botella Termica Acero Inox 3 Tapas 1L HydroCore Navy Lhotse</t>
  </si>
  <si>
    <t>Camping y Outdoor</t>
  </si>
  <si>
    <t>Pick Up Pads</t>
  </si>
  <si>
    <t>1571423280815</t>
  </si>
  <si>
    <t>Plata</t>
  </si>
  <si>
    <t>LHMOBI001-BK</t>
  </si>
  <si>
    <t>Mochila Outdoor con Bolsa de Agua HydroRoad Black Lhotse</t>
  </si>
  <si>
    <t>LHSHNUCO-GR</t>
  </si>
  <si>
    <t>Shaker Vaso Proteina Acero Inox 500ml NutriCore Green Lhotse</t>
  </si>
  <si>
    <t>Audio Menor</t>
  </si>
  <si>
    <t>Parlantes</t>
  </si>
  <si>
    <t>LHPARTRGO-BL</t>
  </si>
  <si>
    <t>LHPARJOUR-BL</t>
  </si>
  <si>
    <t>Parlante Portatil Inalambrico Bluetooth Journey Blue Lhotse</t>
  </si>
  <si>
    <t>Neceser</t>
  </si>
  <si>
    <t>LHNECKHUM-GR</t>
  </si>
  <si>
    <t>Bolsos deportivos</t>
  </si>
  <si>
    <t>LHBOLDUFNV-60</t>
  </si>
  <si>
    <t>LHMALEXPBK-90</t>
  </si>
  <si>
    <t>LHMOPUM-BK</t>
  </si>
  <si>
    <t>Mochila Urbana Impermeable Porta Notebook 22L Pumori Black Lhotse</t>
  </si>
  <si>
    <t>LHBOLDUFBK-30</t>
  </si>
  <si>
    <t>LHMALEXPBK-70</t>
  </si>
  <si>
    <t>Maleta Trolley Impermeable Duffel 70L Expedition Black Lhotse</t>
  </si>
  <si>
    <t>Audífonos</t>
  </si>
  <si>
    <t>LHHEDBEMA-KH</t>
  </si>
  <si>
    <t>Audifonos Bluetooth Inalambrico ANC BeatMaster Kaki Lhotse</t>
  </si>
  <si>
    <t>LHTRMU-BK</t>
  </si>
  <si>
    <t>LHMOMAK-BK</t>
  </si>
  <si>
    <t>Mochila Urbana Roll Top Impermeable Porta Notebook 22L Makalu Black Lhotse</t>
  </si>
  <si>
    <t>1661873799978</t>
  </si>
  <si>
    <t>Menaje de Cocina</t>
  </si>
  <si>
    <t>Baterías de cocina</t>
  </si>
  <si>
    <t>SMBATOXCR</t>
  </si>
  <si>
    <t>Batería de Cocina Antiadherente Oxford Beige 15 pcs Simplit</t>
  </si>
  <si>
    <t>Electrodomésticos</t>
  </si>
  <si>
    <t>Espumadores</t>
  </si>
  <si>
    <t>1660859171584</t>
  </si>
  <si>
    <t>Mundo Café</t>
  </si>
  <si>
    <t>Cafeteras</t>
  </si>
  <si>
    <t>1629726159155</t>
  </si>
  <si>
    <t>Mantequilleros</t>
  </si>
  <si>
    <t>1660858118518</t>
  </si>
  <si>
    <t>Cristalería y Bar</t>
  </si>
  <si>
    <t>Bar</t>
  </si>
  <si>
    <t>SIMHIECHAR</t>
  </si>
  <si>
    <t>Hielera Vidrio Charlotte Tapa Madera 3,8lts Simplit</t>
  </si>
  <si>
    <t>Vasos</t>
  </si>
  <si>
    <t>67933857637909</t>
  </si>
  <si>
    <t>1660857914743</t>
  </si>
  <si>
    <t>Cuchilleria</t>
  </si>
  <si>
    <t>SIMCUMAR-BK</t>
  </si>
  <si>
    <t>Vajilla</t>
  </si>
  <si>
    <t>Fuentes</t>
  </si>
  <si>
    <t>1661872956577</t>
  </si>
  <si>
    <t>67933856404072</t>
  </si>
  <si>
    <t>Utensilios de cocina</t>
  </si>
  <si>
    <t>1629726091782</t>
  </si>
  <si>
    <t>1654207372101</t>
  </si>
  <si>
    <t>Set 2 Vasos Vidrio Borosilicato 550 ml Simplit</t>
  </si>
  <si>
    <t>Organización</t>
  </si>
  <si>
    <t>Contenedores</t>
  </si>
  <si>
    <t>67327712330533</t>
  </si>
  <si>
    <t>Set de 7 Contenedores Herméticos Plástico Negro Simplit</t>
  </si>
  <si>
    <t>SIMCENVER-CR</t>
  </si>
  <si>
    <t>Loza Granel</t>
  </si>
  <si>
    <t>SIMPLSIE-4</t>
  </si>
  <si>
    <t>Set 4 Platos Fondo Cerámica 26,7cm Siena Simplit</t>
  </si>
  <si>
    <t>SIMDECROU</t>
  </si>
  <si>
    <t>Decantador Aireador Vino Rouge 1500ml</t>
  </si>
  <si>
    <t>1660858101318</t>
  </si>
  <si>
    <t>Perifericos de Computacion</t>
  </si>
  <si>
    <t>Gaming</t>
  </si>
  <si>
    <t>LVMORGB</t>
  </si>
  <si>
    <t>Mouse Gamer Inalambrico RGB Nova V2 Negro</t>
  </si>
  <si>
    <t>Smart Home</t>
  </si>
  <si>
    <t>Cámaras de seguridad</t>
  </si>
  <si>
    <t>LVCAMSEGEX-BK</t>
  </si>
  <si>
    <t>1659990788079</t>
  </si>
  <si>
    <t>Telones y Proyectores</t>
  </si>
  <si>
    <t>Proyectores</t>
  </si>
  <si>
    <t>LVPROHEX</t>
  </si>
  <si>
    <t>Accesorios</t>
  </si>
  <si>
    <t>Cable Cargador</t>
  </si>
  <si>
    <t>LVCABTCLIGH-WH</t>
  </si>
  <si>
    <t>Cable de Carga USB-C a Lightning 1 Mt Blanco LEVO</t>
  </si>
  <si>
    <t>LVAUDGM-BK</t>
  </si>
  <si>
    <t>Telones Proyector</t>
  </si>
  <si>
    <t>LVTELELE-80</t>
  </si>
  <si>
    <t>Telón Proyector 80 pulgadas Eléctrico 165 x 125 cm LEVO</t>
  </si>
  <si>
    <t>Cámaras de automovil</t>
  </si>
  <si>
    <t>67327559384453</t>
  </si>
  <si>
    <t>1659990828178</t>
  </si>
  <si>
    <t>66436804863605</t>
  </si>
  <si>
    <t>LVTELELE-100</t>
  </si>
  <si>
    <t>Telón Proyector 100 pulgadas Eléctrico 200 x 150 cm LEVO</t>
  </si>
  <si>
    <t>Oficina</t>
  </si>
  <si>
    <t>LVTECOFSL-GR</t>
  </si>
  <si>
    <t>Teclado Inalámbrico Cygna Slim Grafito LEVO</t>
  </si>
  <si>
    <t>LVTELBK-60</t>
  </si>
  <si>
    <t>Telón Proyector 60 pulgadas 120 x 90 cm Negro LEVO</t>
  </si>
  <si>
    <t>Mochilas y Fundas</t>
  </si>
  <si>
    <t>Fundas</t>
  </si>
  <si>
    <t>LVFNOTHS15-BK</t>
  </si>
  <si>
    <t>Accesorios de Instalacion</t>
  </si>
  <si>
    <t>Sensores de retroceso</t>
  </si>
  <si>
    <t>69746014453052</t>
  </si>
  <si>
    <t>Sensor De Retroceso Para Automóviles Xroad</t>
  </si>
  <si>
    <t>Accesorios de Automovil</t>
  </si>
  <si>
    <t>Cobertores y Tapices</t>
  </si>
  <si>
    <t>1656603353038</t>
  </si>
  <si>
    <t>Funda Cubre Asiento de Auto Impermeable Mascotas Negra Xroad</t>
  </si>
  <si>
    <t>1660859424566</t>
  </si>
  <si>
    <t>Herramientas Eléctricas</t>
  </si>
  <si>
    <t>Taladro y Atornilladores</t>
  </si>
  <si>
    <t>DYNTALSPER</t>
  </si>
  <si>
    <t>Jueguetes de Rol</t>
  </si>
  <si>
    <t>Cocina y Accesorios</t>
  </si>
  <si>
    <t>BDCOCPQMD</t>
  </si>
  <si>
    <t>Cocina de Juguete Infantil Niños Madera Rosada con Acc Bandú</t>
  </si>
  <si>
    <t>Juegos de Oficio</t>
  </si>
  <si>
    <t>BDSETDOC</t>
  </si>
  <si>
    <t>Set Juego de Roles Doctor Niños Madera 12 pcs Bandú</t>
  </si>
  <si>
    <t>Juguetes de Motricidad</t>
  </si>
  <si>
    <t>Andador y Correpasillos</t>
  </si>
  <si>
    <t>BNANDCONTRU</t>
  </si>
  <si>
    <t>Andador Correpasillos Bebe Juego Construccion Madera Bandú</t>
  </si>
  <si>
    <t>BDCOCMEDI</t>
  </si>
  <si>
    <t>Cocina de Juguete Infantil Niños Madera 11 Accesorios Bandú</t>
  </si>
  <si>
    <t>Cuidado Personal</t>
  </si>
  <si>
    <t>Secadores</t>
  </si>
  <si>
    <t>TCMULTSTY5N1</t>
  </si>
  <si>
    <t>Secador de pelo Multistyler T-Care 5 en 1</t>
  </si>
  <si>
    <t>SIN REPOSICIÓN HASTA OCT — Cobertura &lt; 2.5 meses | Sin llegadas AGO-AGO-SEP | AGO 2026</t>
  </si>
  <si>
    <t>LHNECTRRIM-BK</t>
  </si>
  <si>
    <t>Neceser Estuche de Viaje Travel Rimo Impermeable 5L Lhotse</t>
  </si>
  <si>
    <t>Tazas y vasos</t>
  </si>
  <si>
    <t>LHCAMU-BL</t>
  </si>
  <si>
    <t>Taza Térmica Insulada Camping Blue 350ml</t>
  </si>
  <si>
    <t>LHTRMU-WH</t>
  </si>
  <si>
    <t>Botella Termica Insulada 900ml Travel Mug White Lhotse</t>
  </si>
  <si>
    <t>LHPARJOUR-BK</t>
  </si>
  <si>
    <t>Parlante Portatil Inalambrico Bluetooth Journey Black Lhotse</t>
  </si>
  <si>
    <t>Cubetas de hielo</t>
  </si>
  <si>
    <t>66800506435054</t>
  </si>
  <si>
    <t>Cubeta de Hielo Silicona 160 Mini Hielos Simplit</t>
  </si>
  <si>
    <t>SIMCUROM-30</t>
  </si>
  <si>
    <t>Set de Cuchillería 30 pcs Cubiertos Acero Inoxidable Sicilia</t>
  </si>
  <si>
    <t>Basureros</t>
  </si>
  <si>
    <t>SIMBACOHA-55</t>
  </si>
  <si>
    <t>Especieros</t>
  </si>
  <si>
    <t>1627418180602</t>
  </si>
  <si>
    <t>1629726117626</t>
  </si>
  <si>
    <t>Set 12 Utensilios De Cocina Silicona Negro Simplit</t>
  </si>
  <si>
    <t>Tazas</t>
  </si>
  <si>
    <t>1654207295633</t>
  </si>
  <si>
    <t>Set 2 Tazas Vidrio Doble Pared Espreso 80 ml Simplit</t>
  </si>
  <si>
    <t>LVMPADXXL-BK</t>
  </si>
  <si>
    <t>LVTELRETR-100</t>
  </si>
  <si>
    <t>Telón Proyector 100 pulgadas Elevación 200 x 150cm LEVO</t>
  </si>
  <si>
    <t>LVPROORI</t>
  </si>
  <si>
    <t>Proyector Portatil Smart Orion 12000lm WiFi BT Android LEVO</t>
  </si>
  <si>
    <t>Aspiradoras</t>
  </si>
  <si>
    <t>1652825027456</t>
  </si>
  <si>
    <t>Aspiradora Inalámbrica Portátil Xpira Negra LEVO</t>
  </si>
  <si>
    <t>Accesorios de Viaje</t>
  </si>
  <si>
    <t>Accesorios de Camping</t>
  </si>
  <si>
    <t>XRESTAENER-OG</t>
  </si>
  <si>
    <t>Estación de Energía Portátil 300W 248WH 80.000mAh 220V Xroad</t>
  </si>
  <si>
    <t>DYNTALCPER</t>
  </si>
  <si>
    <t>Taladro Percutor Inalámbrico Dynamo 21v 2 Baterías + Accs</t>
  </si>
  <si>
    <t>Juguetes de Armado</t>
  </si>
  <si>
    <t>Pistas y Vehiculos</t>
  </si>
  <si>
    <t>BDHELMAD</t>
  </si>
  <si>
    <t>Juego Heladería Infantil Niños Madera Bandú</t>
  </si>
  <si>
    <t>Sets de Construccion</t>
  </si>
  <si>
    <t>BDMESHERRA</t>
  </si>
  <si>
    <t>Juego de Construcción Herramientas Madera para Niños Bandú</t>
  </si>
  <si>
    <t>BDANDDIDAC-PK</t>
  </si>
  <si>
    <t>Andador Correpasillos Bebe Didáctico Madera Bandú</t>
  </si>
  <si>
    <t>Escalada y Equilibrio</t>
  </si>
  <si>
    <t>BDGIMPIK</t>
  </si>
  <si>
    <t>Gimnasio Infantil Juego Pikler Parque 8 en 1 Bandú</t>
  </si>
  <si>
    <t>BDELECTCOC</t>
  </si>
  <si>
    <t>Juguete Infantil Mini Electrodomésticos Cocina Madera Bandú</t>
  </si>
  <si>
    <t>CAPITAL INMOVILIZADO EN SOBRESTOCK  |  Total exceso sobre 4 meses óptimos: $323,087,780</t>
  </si>
  <si>
    <t>Marca / Cat. Padre / Cat. Hijo / SKU</t>
  </si>
  <si>
    <t>Descripción</t>
  </si>
  <si>
    <t>Cobert.
ACT (m)</t>
  </si>
  <si>
    <t>Meses
Exceso</t>
  </si>
  <si>
    <t>Stock CST
($)</t>
  </si>
  <si>
    <t>Venta CST
Prom AGO-OCT ($)</t>
  </si>
  <si>
    <t>Stock
Óptimo ($)</t>
  </si>
  <si>
    <t>Capital
Inmovil.($)</t>
  </si>
  <si>
    <t>Tiene
Llegadas</t>
  </si>
  <si>
    <t>▶  Lhotse</t>
  </si>
  <si>
    <t>15/78 c/llegada</t>
  </si>
  <si>
    <t xml:space="preserve">   ▸  Audio Menor</t>
  </si>
  <si>
    <t>5/19</t>
  </si>
  <si>
    <t xml:space="preserve">         ▹  Audífonos</t>
  </si>
  <si>
    <t>2/12</t>
  </si>
  <si>
    <t xml:space="preserve">               ↳  1566335721736</t>
  </si>
  <si>
    <t>Audifonos Bluetooth Inalambrico RM12 Light Blue Lhotse</t>
  </si>
  <si>
    <t>No</t>
  </si>
  <si>
    <t xml:space="preserve">               ↳  1597086499840</t>
  </si>
  <si>
    <t>Audifonos Bluetooth Inalambrico RM7 Pro White Lhotse</t>
  </si>
  <si>
    <t xml:space="preserve">               ↳  1592492799236</t>
  </si>
  <si>
    <t>Audifonos Bluetooth Inalambrico RM12 Pink Lhotse</t>
  </si>
  <si>
    <t xml:space="preserve">               ↳  68658868763602</t>
  </si>
  <si>
    <t>Audifonos Bluetooth Inalambrico RM7 Pro Light Blue Lhotse</t>
  </si>
  <si>
    <t xml:space="preserve">               ↳  1564150627423</t>
  </si>
  <si>
    <t>Audifonos Bluetooth Inalambrico RM12 White Lhotse</t>
  </si>
  <si>
    <t xml:space="preserve">               ↳  68658866289861</t>
  </si>
  <si>
    <t>Audifonos Bluetooth Inalambrico RM7 Pro Pink Lhotse</t>
  </si>
  <si>
    <t xml:space="preserve">               ↳  1597098592591</t>
  </si>
  <si>
    <t>Audifonos Bluetooth Inalambrico RM7 Pro Black Lhotse</t>
  </si>
  <si>
    <t xml:space="preserve">               ↳  LHHEDWEPR-BK</t>
  </si>
  <si>
    <t>Audifonos Bluetooth Inalambrico Over Ear WavePro Black Lhotse</t>
  </si>
  <si>
    <t xml:space="preserve">               ↳  LHHEDBEMA-BK</t>
  </si>
  <si>
    <t>Audifonos Bluetooth Inalambrico ANC BeatMaster Black Lhotse</t>
  </si>
  <si>
    <t xml:space="preserve">               ↳  LHRMPLU-WH</t>
  </si>
  <si>
    <t>⚠ SÍ</t>
  </si>
  <si>
    <t xml:space="preserve">               ↳  LHRMPLU-BK</t>
  </si>
  <si>
    <t xml:space="preserve">               ↳  LHHEDWEPR-KH</t>
  </si>
  <si>
    <t>Audifonos Bluetooth Inalambrico Over Ear WavePro White Lhotse</t>
  </si>
  <si>
    <t xml:space="preserve">         ▹  Parlantes</t>
  </si>
  <si>
    <t>3/7</t>
  </si>
  <si>
    <t xml:space="preserve">               ↳  67933833934278</t>
  </si>
  <si>
    <t xml:space="preserve">               ↳  67933835121467</t>
  </si>
  <si>
    <t xml:space="preserve">               ↳  67933835988925</t>
  </si>
  <si>
    <t xml:space="preserve">               ↳  67933831843970</t>
  </si>
  <si>
    <t>Parlante Portatil Inalambrico Bluetooth Tune Up Black Lhotse</t>
  </si>
  <si>
    <t xml:space="preserve">               ↳  LHPARTRGO-RD</t>
  </si>
  <si>
    <t>Parlante Portatil Inalambrico Bluetooth TripGo Red Lhotse</t>
  </si>
  <si>
    <t xml:space="preserve">               ↳  LHPARPULS-RD</t>
  </si>
  <si>
    <t>Parlante Portatil Inalambrico Bluetooth Pulse On Red Lhotse</t>
  </si>
  <si>
    <t xml:space="preserve">               ↳  LHPARPULS-BK</t>
  </si>
  <si>
    <t>Parlante Portatil Inalambrico Bluetooth Pulse On Black Lhotse</t>
  </si>
  <si>
    <t xml:space="preserve">   ▸  Hidratación</t>
  </si>
  <si>
    <t>8/17</t>
  </si>
  <si>
    <t xml:space="preserve">         ▹  Botellas Termicas</t>
  </si>
  <si>
    <t>4/10</t>
  </si>
  <si>
    <t xml:space="preserve">               ↳  LHBIGMU-PKN</t>
  </si>
  <si>
    <t>Vaso Termico Tumbler Acero Inox Antiderrame 1180ml Pink Lhotse</t>
  </si>
  <si>
    <t xml:space="preserve">               ↳  LHBOHYCO-BK</t>
  </si>
  <si>
    <t>Botella Termica Acero Inox 3 Tapas 1L HydroCore Black Lhotse</t>
  </si>
  <si>
    <t xml:space="preserve">               ↳  LHBIGMU-GRN</t>
  </si>
  <si>
    <t>Vaso Termico Tumbler Acero Inox Antiderrame 1180ml Light Green Lhotse</t>
  </si>
  <si>
    <t xml:space="preserve">               ↳  LHBIGMU-CRN</t>
  </si>
  <si>
    <t>Vaso Termico Tumbler Acero Inox Antiderrame 1180ml Sand Lhotse</t>
  </si>
  <si>
    <t xml:space="preserve">               ↳  LHBIGMU-PPN</t>
  </si>
  <si>
    <t xml:space="preserve">               ↳  LHBOADV-BK</t>
  </si>
  <si>
    <t xml:space="preserve">               ↳  LHBIGMU-BKN</t>
  </si>
  <si>
    <t xml:space="preserve">               ↳  LHTRMU-BL</t>
  </si>
  <si>
    <t>Botella Termica Insulada 900ml Travel Mug Blue Lhotse</t>
  </si>
  <si>
    <t xml:space="preserve">               ↳  LHBIGMU-BLN</t>
  </si>
  <si>
    <t>Vaso Termico Tumbler Acero Inox Antiderrame 1180ml Light Blue Lhotse</t>
  </si>
  <si>
    <t xml:space="preserve">               ↳  LHTRMU-PK</t>
  </si>
  <si>
    <t xml:space="preserve">         ▹  Termos líquidos</t>
  </si>
  <si>
    <t>2/3</t>
  </si>
  <si>
    <t xml:space="preserve">               ↳  LHTHCLA-WH</t>
  </si>
  <si>
    <t>Termo Liquido Acero Inoxidable Classic 1,3 lts White Lhotse</t>
  </si>
  <si>
    <t xml:space="preserve">               ↳  LHTHCLA-BK</t>
  </si>
  <si>
    <t xml:space="preserve">               ↳  LHTHCLA-GR</t>
  </si>
  <si>
    <t xml:space="preserve">         ▹  Tazas y vasos</t>
  </si>
  <si>
    <t>2/4</t>
  </si>
  <si>
    <t xml:space="preserve">               ↳  LHCAMU-WH</t>
  </si>
  <si>
    <t>Taza Térmica Insulada Camping White 350ml</t>
  </si>
  <si>
    <t xml:space="preserve">               ↳  LHMAMU-GR</t>
  </si>
  <si>
    <t xml:space="preserve">               ↳  LHCAMU-GR</t>
  </si>
  <si>
    <t>Taza Térmica Insulada Camping Green 350ml</t>
  </si>
  <si>
    <t xml:space="preserve">               ↳  LHCAMU-BK</t>
  </si>
  <si>
    <t xml:space="preserve">   ▸  Equipamiento</t>
  </si>
  <si>
    <t>1/6</t>
  </si>
  <si>
    <t xml:space="preserve">         ▹  Bolsos deportivos</t>
  </si>
  <si>
    <t xml:space="preserve">               ↳  LHBOLDUFGR-60</t>
  </si>
  <si>
    <t>Bolso Deportivo Impermeable Duffel 60L Traveller Green Lhotse</t>
  </si>
  <si>
    <t xml:space="preserve">               ↳  LHBOLDUFNV-30</t>
  </si>
  <si>
    <t>Bolso Deportivo Impermeable Duffel 30L Traveller Navy Lhotse</t>
  </si>
  <si>
    <t xml:space="preserve">               ↳  LHBOLDUFGR-30</t>
  </si>
  <si>
    <t>Bolso Deportivo Impermeable Duffel 30L Traveller Green Lhotse</t>
  </si>
  <si>
    <t xml:space="preserve">         ▹  Mochilas</t>
  </si>
  <si>
    <t xml:space="preserve">               ↳  1623703690011</t>
  </si>
  <si>
    <t>Mochila Outdoor Plegable 25L Black Lhotse</t>
  </si>
  <si>
    <t xml:space="preserve">         ▹  Bananos</t>
  </si>
  <si>
    <t xml:space="preserve">               ↳  LHBANK2BK</t>
  </si>
  <si>
    <t>Banano Outdoor Impermeable K2 Negro 2L Lhotse</t>
  </si>
  <si>
    <t xml:space="preserve">         ▹  Neceser</t>
  </si>
  <si>
    <t>1/1</t>
  </si>
  <si>
    <t xml:space="preserve">               ↳  LHNECKHUM-BK</t>
  </si>
  <si>
    <t xml:space="preserve">   ▸  Accesorio Vestuario</t>
  </si>
  <si>
    <t xml:space="preserve">         ▹  Pantuflas</t>
  </si>
  <si>
    <t xml:space="preserve">               ↳  LHPANIMBKCM40-41</t>
  </si>
  <si>
    <t>Pantuflas Térmicas Nimbus Suela CloudGrip Outdoor Black Camo 40/41</t>
  </si>
  <si>
    <t xml:space="preserve">               ↳  LHPANIMBKCM42-43</t>
  </si>
  <si>
    <t>Pantuflas Térmicas Nimbus Suela CloudGrip Outdoor Black Camo 42/43</t>
  </si>
  <si>
    <t xml:space="preserve">               ↳  LHPANIMPK38-39</t>
  </si>
  <si>
    <t>Pantuflas Térmicas Nimbus Suela CloudGrip Outdoor Pink 38/39</t>
  </si>
  <si>
    <t xml:space="preserve">               ↳  LHPANIMPK36-37</t>
  </si>
  <si>
    <t>Pantuflas Térmicas Nimbus Suela CloudGrip Outdoor Pink 36/37</t>
  </si>
  <si>
    <t xml:space="preserve">               ↳  LHPANIMSGR40-41</t>
  </si>
  <si>
    <t>Pantuflas Térmicas Nimbus Suela CloudGrip Outdoor Smoky Green 40/41</t>
  </si>
  <si>
    <t xml:space="preserve">               ↳  LHPANIMSLIL38-39</t>
  </si>
  <si>
    <t>Pantuflas Térmicas Nimbus Suela CloudGrip Outdoor Smoky Lila 38/39</t>
  </si>
  <si>
    <t xml:space="preserve">               ↳  LHPANIMBKCM44-45</t>
  </si>
  <si>
    <t>Pantuflas Térmicas Nimbus Suela CloudGrip Outdoor Black Camo 44/45</t>
  </si>
  <si>
    <t xml:space="preserve">               ↳  LHPANIMBKCM38-39</t>
  </si>
  <si>
    <t>Pantuflas Térmicas Nimbus Suela CloudGrip Outdoor Black Camo 38/39</t>
  </si>
  <si>
    <t xml:space="preserve">               ↳  LHPANIMSLIL36-37</t>
  </si>
  <si>
    <t>Pantuflas Térmicas Nimbus Suela CloudGrip Outdoor Smoky Lila 36/37</t>
  </si>
  <si>
    <t xml:space="preserve">               ↳  LHPANIMPK40-41</t>
  </si>
  <si>
    <t>Pantuflas Térmicas Nimbus Suela CloudGrip Outdoor Pink 40/41</t>
  </si>
  <si>
    <t xml:space="preserve">               ↳  LHPANIMBKBK38-39</t>
  </si>
  <si>
    <t>Pantuflas Térmicas Nimbus Suela CloudGrip Outdoor Black 38/39</t>
  </si>
  <si>
    <t xml:space="preserve">               ↳  LHPANIMSLIL40-41</t>
  </si>
  <si>
    <t>Pantuflas Térmicas Nimbus Suela CloudGrip Outdoor Smoky Lila 40/41</t>
  </si>
  <si>
    <t xml:space="preserve">               ↳  LHPANIMPK34-35</t>
  </si>
  <si>
    <t>Pantuflas Térmicas Nimbus Suela CloudGrip Outdoor Pink 34/35</t>
  </si>
  <si>
    <t xml:space="preserve">               ↳  LHPANIMSLIL34-35</t>
  </si>
  <si>
    <t>Pantuflas Térmicas Nimbus Suela CloudGrip Outdoor Smoky Lila 34/35</t>
  </si>
  <si>
    <t xml:space="preserve">               ↳  LHPANIMBKCM36-37</t>
  </si>
  <si>
    <t>Pantuflas Térmicas Nimbus Suela CloudGrip Outdoor Black Camo 36/37</t>
  </si>
  <si>
    <t xml:space="preserve">               ↳  LHPANIMBKBK36-37</t>
  </si>
  <si>
    <t>Pantuflas Térmicas Nimbus Suela CloudGrip Outdoor Black 36/37</t>
  </si>
  <si>
    <t xml:space="preserve">         ▹  Calcetines</t>
  </si>
  <si>
    <t xml:space="preserve">               ↳  LHCALMEDGRML-XL</t>
  </si>
  <si>
    <t>Calcetin Corte Medio Andor Gray Melange L-XL</t>
  </si>
  <si>
    <t xml:space="preserve">               ↳  LHCALMEDEAS-M</t>
  </si>
  <si>
    <t>Calcetin Corte Medio Andor Earth S-M</t>
  </si>
  <si>
    <t xml:space="preserve">               ↳  LHCALMEDEAL-XL</t>
  </si>
  <si>
    <t>Calcetin Corte Medio Andor Earth L-XL</t>
  </si>
  <si>
    <t xml:space="preserve">               ↳  LHCALMEDBLL-XL</t>
  </si>
  <si>
    <t>Calcetin Corte Medio Andor Blue L-XL</t>
  </si>
  <si>
    <t xml:space="preserve">               ↳  LHCALTOBGRES-M</t>
  </si>
  <si>
    <t>Calcetin Corte Tobillo Numa Green S-M</t>
  </si>
  <si>
    <t xml:space="preserve">               ↳  LHCALMEDGRMS-M</t>
  </si>
  <si>
    <t>Calcetin Corte Medio Andor Gray Melange S-M</t>
  </si>
  <si>
    <t xml:space="preserve">               ↳  LHCALTOBBKS-M</t>
  </si>
  <si>
    <t>Calcetin Corte Tobillo Numa Black S-M</t>
  </si>
  <si>
    <t xml:space="preserve">               ↳  LHCALTOBGRS-M</t>
  </si>
  <si>
    <t>Calcetin Corte Tobillo Numa Gray S-M</t>
  </si>
  <si>
    <t xml:space="preserve">               ↳  LHCALTOBGREL-XL</t>
  </si>
  <si>
    <t>Calcetin Corte Tobillo Numa Green L-XL</t>
  </si>
  <si>
    <t xml:space="preserve">               ↳  LHCALMEDBLS-M</t>
  </si>
  <si>
    <t>Calcetin Corte Medio Andor Blue S-M</t>
  </si>
  <si>
    <t xml:space="preserve">               ↳  LHCALTOBGRL-XL</t>
  </si>
  <si>
    <t>Calcetin Corte Tobillo Numa Gray L-XL</t>
  </si>
  <si>
    <t xml:space="preserve">               ↳  LHCALTOBBKL-XL</t>
  </si>
  <si>
    <t>Calcetin Deportivo Corte Medio Trail Numa Lhotse</t>
  </si>
  <si>
    <t xml:space="preserve">               ↳  LHCALBAJBKS-M</t>
  </si>
  <si>
    <t>Calcetin Corte Bajo Vora Running Black S-M</t>
  </si>
  <si>
    <t xml:space="preserve">               ↳  LHCALBAJWHS-M</t>
  </si>
  <si>
    <t>Calcetin Corte Bajo Vora Running White S-M</t>
  </si>
  <si>
    <t xml:space="preserve">               ↳  LHCALBAJWHL-XL</t>
  </si>
  <si>
    <t>Calcetin Corte Bajo Vora Running White L-XL</t>
  </si>
  <si>
    <t xml:space="preserve">               ↳  LHCALBAJGRML-XL</t>
  </si>
  <si>
    <t>Calcetin Corte Bajo Vora Running Gray Melange L-XL</t>
  </si>
  <si>
    <t xml:space="preserve">               ↳  LHCALBAJGRMS-M</t>
  </si>
  <si>
    <t>Calcetin Corte Bajo Vora Running Gray Melange S-M</t>
  </si>
  <si>
    <t xml:space="preserve">               ↳  LHCALBAJBKL-XL</t>
  </si>
  <si>
    <t>Calcetin Corte Bajo Vora Running Black L-XL</t>
  </si>
  <si>
    <t xml:space="preserve">   ▸  Video</t>
  </si>
  <si>
    <t>1/2</t>
  </si>
  <si>
    <t xml:space="preserve">         ▹  Cámaras de acción</t>
  </si>
  <si>
    <t xml:space="preserve">               ↳  LHCAMACXPL</t>
  </si>
  <si>
    <t>Cámara de acción doble pantalla 4k 30ftps Xplore Lhotse</t>
  </si>
  <si>
    <t xml:space="preserve">               ↳  LHCAMACSUM</t>
  </si>
  <si>
    <t>▶  Simplit</t>
  </si>
  <si>
    <t>2/41 c/llegada</t>
  </si>
  <si>
    <t xml:space="preserve">   ▸  Organización</t>
  </si>
  <si>
    <t>1/21</t>
  </si>
  <si>
    <t xml:space="preserve">         ▹  Secadores de platos</t>
  </si>
  <si>
    <t xml:space="preserve">               ↳  1660858341796</t>
  </si>
  <si>
    <t>Secaplatos Escurridor 2 Niveles Acero Inox Negro Simplit</t>
  </si>
  <si>
    <t xml:space="preserve">               ↳  1660858356962</t>
  </si>
  <si>
    <t>Secaplatos Escurridor 2 Niveles Acero Inox Blanco Simplit</t>
  </si>
  <si>
    <t xml:space="preserve">               ↳  68540048936286</t>
  </si>
  <si>
    <t>Secaplatos Escurridor 1 Nivel Acero Inox Negro Simplit</t>
  </si>
  <si>
    <t xml:space="preserve">               ↳  SIMSECVALWH</t>
  </si>
  <si>
    <t>Secaplatos Escurridor Acero Inox Valencia 2 Niveles Simplit</t>
  </si>
  <si>
    <t xml:space="preserve">               ↳  68540051413139</t>
  </si>
  <si>
    <t>Secaplatos Escurridor 1 Nivel Acero Inox Blanco Simplit</t>
  </si>
  <si>
    <t xml:space="preserve">               ↳  SIMSECBILWH</t>
  </si>
  <si>
    <t>Secaplatos Escurridor Acero Inox Bilbao 2 Niveles</t>
  </si>
  <si>
    <t xml:space="preserve">         ▹  Contenedores</t>
  </si>
  <si>
    <t xml:space="preserve">               ↳  1654207748340</t>
  </si>
  <si>
    <t>Set 3 Bowls con Tapa Acero Inoxidable Antideslizante Simplit</t>
  </si>
  <si>
    <t xml:space="preserve">               ↳  1654189204021</t>
  </si>
  <si>
    <t>Organizador Refrigerador con Drenaje L Simplit</t>
  </si>
  <si>
    <t xml:space="preserve">               ↳  SIM4FRHRDUB-WD</t>
  </si>
  <si>
    <t>Set 4 Contenedores Herméticos Vidrio Tapa Madera Dublín Simplit</t>
  </si>
  <si>
    <t xml:space="preserve">               ↳  1660858844449</t>
  </si>
  <si>
    <t>Contenedor de Cerámica Hermético Tapa Madera L Simplit</t>
  </si>
  <si>
    <t xml:space="preserve">               ↳  1660858416606</t>
  </si>
  <si>
    <t>Panera Metálica con Tapa Bamboo Blanca Simplit</t>
  </si>
  <si>
    <t xml:space="preserve">               ↳  1660858828618</t>
  </si>
  <si>
    <t>Contenedor de Cerámica Hermético Tapa Madera M Simplit</t>
  </si>
  <si>
    <t xml:space="preserve">               ↳  1645629782262</t>
  </si>
  <si>
    <t>Set de 3 Contenedores Herméticos Plástico Simplit</t>
  </si>
  <si>
    <t xml:space="preserve">               ↳  1660858812938</t>
  </si>
  <si>
    <t>Contenedor de Cerámica Hermético Tapa Madera S Simplit</t>
  </si>
  <si>
    <t xml:space="preserve">               ↳  1660858793429</t>
  </si>
  <si>
    <t xml:space="preserve">               ↳  SIMTUPSILBEI</t>
  </si>
  <si>
    <t>Contenedor Plástico Hermético Bento Box</t>
  </si>
  <si>
    <t xml:space="preserve">               ↳  SIMTUPSILRD</t>
  </si>
  <si>
    <t xml:space="preserve">               ↳  1660858776726</t>
  </si>
  <si>
    <t xml:space="preserve">               ↳  1660858756233</t>
  </si>
  <si>
    <t xml:space="preserve">         ▹  Basureros</t>
  </si>
  <si>
    <t xml:space="preserve">               ↳  SIMBACOUR-30</t>
  </si>
  <si>
    <t xml:space="preserve">         ▹  Especieros</t>
  </si>
  <si>
    <t xml:space="preserve">               ↳  SIMMOLVER-WD</t>
  </si>
  <si>
    <t>Set 2 Molinillos Sal Pimienta Madera Verona Simplit</t>
  </si>
  <si>
    <t xml:space="preserve">   ▸  Menaje de Cocina</t>
  </si>
  <si>
    <t>1/8</t>
  </si>
  <si>
    <t xml:space="preserve">         ▹  Baterías de cocina</t>
  </si>
  <si>
    <t xml:space="preserve">               ↳  SMBATPMGR</t>
  </si>
  <si>
    <t>Batería de Cocina Antiadherente Pompei Granito 7 Piezas Simplit</t>
  </si>
  <si>
    <t xml:space="preserve">               ↳  SMBATCOPBK</t>
  </si>
  <si>
    <t>Batería de Cocina Antiadherente Black Copper 7 Pzs Simplit</t>
  </si>
  <si>
    <t xml:space="preserve">               ↳  1635956574926</t>
  </si>
  <si>
    <t>Batería de Cocina Antiadherente Copper 7 Piezas Simplit</t>
  </si>
  <si>
    <t xml:space="preserve">         ▹  Cuchilleria</t>
  </si>
  <si>
    <t xml:space="preserve">               ↳  SIMCUCER-24</t>
  </si>
  <si>
    <t>Set de Cuchillería 24 pcs Acero Inoxidable Cerdeña Simplit</t>
  </si>
  <si>
    <t xml:space="preserve">               ↳  SIMCUKUC-5</t>
  </si>
  <si>
    <t>Set Cuchillos Küche 5 pcs Acero Inoxidable + Base Simplit</t>
  </si>
  <si>
    <t xml:space="preserve">         ▹  Sartenes y Ollas</t>
  </si>
  <si>
    <t xml:space="preserve">               ↳  1635956592996</t>
  </si>
  <si>
    <t>Sartén Antiadherente Tapa 28cm Copper Simplit</t>
  </si>
  <si>
    <t xml:space="preserve">         ▹  Utensilios de cocina</t>
  </si>
  <si>
    <t xml:space="preserve">               ↳  SIMTABCUT-WD</t>
  </si>
  <si>
    <t>Tabla Para Picar Cortar Madera 40x28cm Cutte Simplit</t>
  </si>
  <si>
    <t xml:space="preserve">         ▹  Mantequilleros</t>
  </si>
  <si>
    <t xml:space="preserve">               ↳  1660858118518</t>
  </si>
  <si>
    <t xml:space="preserve">   ▸  Cristalería y Bar</t>
  </si>
  <si>
    <t xml:space="preserve">         ▹  Vasos</t>
  </si>
  <si>
    <t xml:space="preserve">               ↳  SIMCOPVINALSA</t>
  </si>
  <si>
    <t>Set 6 Copas Vino Blanco 400ml Cristal Alsacia Simplit</t>
  </si>
  <si>
    <t xml:space="preserve">               ↳  SIMCOPGINLDN</t>
  </si>
  <si>
    <t>Set 6 Copas Gin 650ml Cristal London Simplit</t>
  </si>
  <si>
    <t xml:space="preserve">               ↳  SIMCOPESPMON</t>
  </si>
  <si>
    <t>Set 6 Copas Espumante 200ml Cristal Monaco Simplit</t>
  </si>
  <si>
    <t xml:space="preserve">               ↳  1654207352499</t>
  </si>
  <si>
    <t>Set 2 Vasos Vidrio Doble Pared 400 ml Simplit</t>
  </si>
  <si>
    <t xml:space="preserve">               ↳  67933860407346</t>
  </si>
  <si>
    <t>Set 6 Vasos Whisky Kentucky 270ml Simplit</t>
  </si>
  <si>
    <t xml:space="preserve">               ↳  SIMVASCORGINE</t>
  </si>
  <si>
    <t>Set 6 Vasos Cortos 380ml Vidrio Ginebra Simplit</t>
  </si>
  <si>
    <t xml:space="preserve">         ▹  Cubetas de hielo</t>
  </si>
  <si>
    <t xml:space="preserve">               ↳  66800510263382</t>
  </si>
  <si>
    <t>Cubeta de Hielo Silicona 6 Hielos Grandes Simplit</t>
  </si>
  <si>
    <t xml:space="preserve">               ↳  66800507665930</t>
  </si>
  <si>
    <t>Cubeta de Hielo Silicona 15 Hielos Simplit</t>
  </si>
  <si>
    <t xml:space="preserve">         ▹  Bar</t>
  </si>
  <si>
    <t xml:space="preserve">               ↳  SIMDECCHA</t>
  </si>
  <si>
    <t>Decantador Aireador Vino Chateau 1650ml</t>
  </si>
  <si>
    <t xml:space="preserve">   ▸  Mundo Café</t>
  </si>
  <si>
    <t xml:space="preserve">         ▹  Tazas</t>
  </si>
  <si>
    <t xml:space="preserve">               ↳  1654207307551</t>
  </si>
  <si>
    <t>Taza de Vidrio Doble Pared 350 ml Simplit</t>
  </si>
  <si>
    <t xml:space="preserve">   ▸  Vajilla</t>
  </si>
  <si>
    <t xml:space="preserve">         ▹  Loza Granel</t>
  </si>
  <si>
    <t xml:space="preserve">               ↳  SIMBOWAMA-4</t>
  </si>
  <si>
    <t>Set 4 Bowls Cerámica 8,5cm Amalfi Simplit</t>
  </si>
  <si>
    <t xml:space="preserve">               ↳  SIMBOWTAZ-4</t>
  </si>
  <si>
    <t>Set 4 Tazas Cerámica 330ml Amalfi Simplit</t>
  </si>
  <si>
    <t>▶  Levo</t>
  </si>
  <si>
    <t>4/18 c/llegada</t>
  </si>
  <si>
    <t xml:space="preserve">   ▸  Perifericos de Computacion</t>
  </si>
  <si>
    <t xml:space="preserve">         ▹  Oficina</t>
  </si>
  <si>
    <t xml:space="preserve">               ↳  67898087132855</t>
  </si>
  <si>
    <t>Silla Escritorio Oficina Ejecutiva Reclinable Comfort LEVO</t>
  </si>
  <si>
    <t xml:space="preserve">               ↳  LVMSVEL-GR</t>
  </si>
  <si>
    <t>Mouse Inalámbrico Ultra Slim Silencioso Velar Grafito LEVO</t>
  </si>
  <si>
    <t xml:space="preserve">               ↳  LVSILLLIT-BL</t>
  </si>
  <si>
    <t>Silla de Escritorio Oficina Ergonomica Reclinable Lite LEVO</t>
  </si>
  <si>
    <t xml:space="preserve">         ▹  Gaming</t>
  </si>
  <si>
    <t>1/3</t>
  </si>
  <si>
    <t xml:space="preserve">               ↳  LVMPADBML-BK</t>
  </si>
  <si>
    <t>Mousepad Battlemat L 45x40 cm Antideslizante Negro LEVO</t>
  </si>
  <si>
    <t xml:space="preserve">               ↳  LVMPADOFS-BK</t>
  </si>
  <si>
    <t>Mousepad Officepad S 23x20 cm Antideslizante Negro LEVO</t>
  </si>
  <si>
    <t xml:space="preserve">               ↳  1658329968514</t>
  </si>
  <si>
    <t>Vr Box Ultra + Audífonos Lentes de Realidad Virtual  LEVO</t>
  </si>
  <si>
    <t xml:space="preserve">   ▸  Telones y Proyectores</t>
  </si>
  <si>
    <t xml:space="preserve">         ▹  Telones Proyector</t>
  </si>
  <si>
    <t xml:space="preserve">               ↳  1659991971809</t>
  </si>
  <si>
    <t xml:space="preserve">               ↳  LVTEL-80</t>
  </si>
  <si>
    <t>Telón Proyector 80 pulgadas 165 x 125 cm LEVO</t>
  </si>
  <si>
    <t xml:space="preserve">               ↳  LVTELBK-80</t>
  </si>
  <si>
    <t>Telón Proyector 80 pulgadas 165 x 125 cm Negro LEVO</t>
  </si>
  <si>
    <t xml:space="preserve">   ▸  Accesorios</t>
  </si>
  <si>
    <t xml:space="preserve">         ▹  Cargador de Celular</t>
  </si>
  <si>
    <t xml:space="preserve">               ↳  LVCAR45W-BK</t>
  </si>
  <si>
    <t>Cargador Ultra Rapido De Pared 45W USB-C Negro LEVO</t>
  </si>
  <si>
    <t xml:space="preserve">               ↳  LVCAR25W-BK</t>
  </si>
  <si>
    <t>Cargador Super Rapido De Pared 25W USB-C Negro LEVO</t>
  </si>
  <si>
    <t xml:space="preserve">               ↳  LVCAR25W-WH</t>
  </si>
  <si>
    <t>Cargador Super Rapido De Pared 25W USB-C Blanco LEVO</t>
  </si>
  <si>
    <t xml:space="preserve">         ▹  Cargador Automovil</t>
  </si>
  <si>
    <t xml:space="preserve">               ↳  1652825203439</t>
  </si>
  <si>
    <t>Cargador Inalámbrico Carga Rápida Magnético Auto VO1 LEVO</t>
  </si>
  <si>
    <t xml:space="preserve">               ↳  1650299083874</t>
  </si>
  <si>
    <t>Cargador Inalámbrico Carga Rapida iPhone 12/13 Auto V+ LEVO</t>
  </si>
  <si>
    <t xml:space="preserve">         ▹  Cable Cargador</t>
  </si>
  <si>
    <t xml:space="preserve">               ↳  LVCABTC-BK</t>
  </si>
  <si>
    <t>Cable de Carga Rápida USB-C 100W 5A 1Mt Negro LEVO</t>
  </si>
  <si>
    <t xml:space="preserve">               ↳  LVCABTC-WH</t>
  </si>
  <si>
    <t>Cable de Carga Rápida USB-C 100W 5A 1Mt Blanco LEVO</t>
  </si>
  <si>
    <t xml:space="preserve">         ▹  Dispositivo Multipuerto</t>
  </si>
  <si>
    <t xml:space="preserve">               ↳  LVHUBMP-5</t>
  </si>
  <si>
    <t xml:space="preserve">   ▸  Mochilas y Fundas</t>
  </si>
  <si>
    <t xml:space="preserve">               ↳  1659999392257</t>
  </si>
  <si>
    <t>▶  UMA</t>
  </si>
  <si>
    <t>Sin llegadas</t>
  </si>
  <si>
    <t xml:space="preserve">               ↳  MTBOBSHI590</t>
  </si>
  <si>
    <t>Botella Termica Niños Barbie Shine 2 en 1 590ml Acero Inox UMA</t>
  </si>
  <si>
    <t xml:space="preserve">               ↳  MTBOBMA450</t>
  </si>
  <si>
    <t>Botella Termica Niños Barbie Malibu 450ml Acero Inox UMA</t>
  </si>
  <si>
    <t xml:space="preserve">               ↳  MTBOBIC450</t>
  </si>
  <si>
    <t>Botella Termica Niños Barbie Iconic 450ml Acero Inox UMA</t>
  </si>
  <si>
    <t xml:space="preserve">               ↳  MTBOBBA450</t>
  </si>
  <si>
    <t>Botella Termica Niños Barbie 450ml Acero Inox UMA</t>
  </si>
  <si>
    <t xml:space="preserve">               ↳  MTBOBINS590</t>
  </si>
  <si>
    <t>Botella Termica Niños Barbie Inspire 2 en 1 590ml Acero Inox UMA</t>
  </si>
  <si>
    <t xml:space="preserve">               ↳  MTVTUMBVI590</t>
  </si>
  <si>
    <t>Vaso Termico Tumbler Mug Barbie Vibes 590ml Acero Inox UMA</t>
  </si>
  <si>
    <t xml:space="preserve">               ↳  MTVTUMBLO590</t>
  </si>
  <si>
    <t>Vaso Termico Tumbler Mug Barbie Love 590ml Acero Inox UMA</t>
  </si>
  <si>
    <t xml:space="preserve">               ↳  MTVTUMBDR590</t>
  </si>
  <si>
    <t>Vaso Termico Tumbler Mug Barbie Dreams 590ml Acero Inox UMA</t>
  </si>
  <si>
    <t xml:space="preserve">               ↳  MTBOHWFA590</t>
  </si>
  <si>
    <t>Botella Termica Niños Hot Wheels Fast 2 en 1 590ml Acero Inox UMA</t>
  </si>
  <si>
    <t xml:space="preserve">               ↳  MTBOHWCOM590</t>
  </si>
  <si>
    <t>Botella Termica Niños Hot Wheels Comic 2 en 1 590ml Acero Inox UMA</t>
  </si>
  <si>
    <t xml:space="preserve">               ↳  MTBOHWCL450</t>
  </si>
  <si>
    <t>Botella Termica Niños Hot Wheels Class 450ml Acero Inox UMA</t>
  </si>
  <si>
    <t xml:space="preserve">               ↳  MTBOHWTR450</t>
  </si>
  <si>
    <t>Botella Termica Niños Hot Wheels Trucks 450ml Acero Inox UMA</t>
  </si>
  <si>
    <t xml:space="preserve">               ↳  MTBOHWRA450</t>
  </si>
  <si>
    <t>Botella Termica Niños Hot Wheels Race 450ml Acero Inox UMA</t>
  </si>
  <si>
    <t xml:space="preserve">         ▹  Botellas Plasticas</t>
  </si>
  <si>
    <t xml:space="preserve">               ↳  MTBOBPET420</t>
  </si>
  <si>
    <t>Botella Agua Niños Barbie &amp; Pets 420ml con Bombilla UMA</t>
  </si>
  <si>
    <t xml:space="preserve">               ↳  MTBOBLOV420</t>
  </si>
  <si>
    <t>Botella Agua Niños Barbie Love 420ml con Bombilla UMA</t>
  </si>
  <si>
    <t xml:space="preserve">               ↳  MTBOHWRAC420</t>
  </si>
  <si>
    <t>Botella Agua Niños Hot Wheels Race 420ml con Bombilla UMA</t>
  </si>
  <si>
    <t xml:space="preserve">               ↳  MTBOHWMON420</t>
  </si>
  <si>
    <t>Botella Agua Niños Hot Wheels Monster Truck 420ml con Bombilla UMA</t>
  </si>
  <si>
    <t xml:space="preserve">   ▸  Termos</t>
  </si>
  <si>
    <t xml:space="preserve">         ▹  Termos de comida</t>
  </si>
  <si>
    <t xml:space="preserve">               ↳  MTTCBFUN450</t>
  </si>
  <si>
    <t>Termo Comida Barbie Fun + Cuchara 450ml Acero Inox UMA</t>
  </si>
  <si>
    <t xml:space="preserve">               ↳  MTTCHWTRU330</t>
  </si>
  <si>
    <t>Termo Comida Hot Wheels Truck + Cuchara 330ml Acero Inox UMA</t>
  </si>
  <si>
    <t xml:space="preserve">               ↳  MTTCHWCLA330</t>
  </si>
  <si>
    <t>Termo Comida Hot Wheels Class + Cuchara 330ml Acero Inox UMA</t>
  </si>
  <si>
    <t xml:space="preserve">               ↳  MTTCBFRI450</t>
  </si>
  <si>
    <t>Termo Comida Barbie &amp; Friends + Cuchara 450ml Acero Inox UMA</t>
  </si>
  <si>
    <t>▶  Xroad</t>
  </si>
  <si>
    <t>3/5 c/llegada</t>
  </si>
  <si>
    <t xml:space="preserve">   ▸  Accesorios de Instalacion</t>
  </si>
  <si>
    <t xml:space="preserve">         ▹  Barras y Portaequipajes</t>
  </si>
  <si>
    <t xml:space="preserve">               ↳  XRPARREQ-BK</t>
  </si>
  <si>
    <t xml:space="preserve">               ↳  1650302273911</t>
  </si>
  <si>
    <t>Parrilla Para Auto Aluminio Portaequipaje Universal Gris Xroad</t>
  </si>
  <si>
    <t xml:space="preserve">   ▸  Accesorios de Automovil</t>
  </si>
  <si>
    <t xml:space="preserve">         ▹  Cobertores y Tapices</t>
  </si>
  <si>
    <t xml:space="preserve">               ↳  XRFUNCASUN-BK</t>
  </si>
  <si>
    <t xml:space="preserve">               ↳  XRPISUNIS-BK</t>
  </si>
  <si>
    <t>Alfombra Piso de Goma para auto Universal 4 piezas Xroad</t>
  </si>
  <si>
    <t xml:space="preserve">               ↳  XRPISUNIS3-BK</t>
  </si>
  <si>
    <t>▶  Dynamo</t>
  </si>
  <si>
    <t xml:space="preserve">   ▸  Herramientas Eléctricas</t>
  </si>
  <si>
    <t xml:space="preserve">         ▹  Taladro y Atornilladores</t>
  </si>
  <si>
    <t xml:space="preserve">               ↳  DYNLLAIMP</t>
  </si>
  <si>
    <t>Llave de Impacto Inalámbrica Dynamo 21V + 2 Baterias y Acss</t>
  </si>
  <si>
    <t xml:space="preserve">               ↳  DYNTALIMPA</t>
  </si>
  <si>
    <t>Pack Taladro Percutor + Atornillador de Impacto 21V Dynamo</t>
  </si>
  <si>
    <t>▶  Purito</t>
  </si>
  <si>
    <t xml:space="preserve">   ▸  Belleza</t>
  </si>
  <si>
    <t xml:space="preserve">         ▹  Cosmetica</t>
  </si>
  <si>
    <t xml:space="preserve">               ↳  8809563103430</t>
  </si>
  <si>
    <t>PURITO Mighty Bamboo Panthenol Cream</t>
  </si>
  <si>
    <t xml:space="preserve">               ↳  8809563101054</t>
  </si>
  <si>
    <t>PURITO Oat-in Calming Gel Cream</t>
  </si>
  <si>
    <t xml:space="preserve">               ↳  8809563100316</t>
  </si>
  <si>
    <t>PURITO Wonder Releaf Centella Serum Unscented</t>
  </si>
  <si>
    <t>SOBRESTOCK CON LLEGADA ENCIMA  |  24 SKUs con &gt;6 meses de cobertura recibiendo más stock</t>
  </si>
  <si>
    <t>Stock
CST ($)</t>
  </si>
  <si>
    <t>Venta Prom.
AGO-OCT ($)</t>
  </si>
  <si>
    <t>67933835988925</t>
  </si>
  <si>
    <t>67933833934278</t>
  </si>
  <si>
    <t>67933835121467</t>
  </si>
  <si>
    <t>XRPARREQ-BK</t>
  </si>
  <si>
    <t>LVHUBMP-5</t>
  </si>
  <si>
    <t>LHRMPLU-WH</t>
  </si>
  <si>
    <t>1659999392257</t>
  </si>
  <si>
    <t>Nuevo</t>
  </si>
  <si>
    <t>XRPISUNIS3-BK</t>
  </si>
  <si>
    <t>LHRMPLU-BK</t>
  </si>
  <si>
    <t>LHCAMU-BK</t>
  </si>
  <si>
    <t>LHMAMU-GR</t>
  </si>
  <si>
    <t>1659991971809</t>
  </si>
  <si>
    <t>XRFUNCASUN-BK</t>
  </si>
  <si>
    <t>1658329968514</t>
  </si>
  <si>
    <t>SIMBACOUR-30</t>
  </si>
  <si>
    <t>LHNECKHUM-BK</t>
  </si>
  <si>
    <t>LHBOADV-BK</t>
  </si>
  <si>
    <t>LHTRMU-PK</t>
  </si>
  <si>
    <t>LHCAMACSUM</t>
  </si>
  <si>
    <t>LHTHCLA-BK</t>
  </si>
  <si>
    <t>LHTHCLA-GR</t>
  </si>
  <si>
    <t>LHBIGMU-PPN</t>
  </si>
  <si>
    <t>LHBIGMU-BKN</t>
  </si>
  <si>
    <t>NUEVOS EN TRÁNSITO — Tipo Categoría: NUEVO | AGO 2026</t>
  </si>
  <si>
    <t>Fecha ETA
Bodega</t>
  </si>
  <si>
    <t>Cantidad</t>
  </si>
  <si>
    <t xml:space="preserve">  ▶  Llegada AGO26</t>
  </si>
  <si>
    <t>BDTORRAPR</t>
  </si>
  <si>
    <t>LVMOPRL-BK</t>
  </si>
  <si>
    <t>LVMOVEL-BK</t>
  </si>
  <si>
    <t>SIMBASLIV-BK</t>
  </si>
  <si>
    <t>SIMBASLUC-GR</t>
  </si>
  <si>
    <t>SIMOREXOSL-WD</t>
  </si>
  <si>
    <t>XRBARRUN-122</t>
  </si>
  <si>
    <t>XRBARRUN-129</t>
  </si>
  <si>
    <t>XRBARRUN-139</t>
  </si>
  <si>
    <t>LHMUTER590-BG</t>
  </si>
  <si>
    <t>LHMUTER590-BK</t>
  </si>
  <si>
    <t>LHMUTER590-GR</t>
  </si>
  <si>
    <t>LHMUTER590-NY</t>
  </si>
  <si>
    <t>LHMUTER590-PK</t>
  </si>
  <si>
    <t xml:space="preserve">  ▶  Llegada SEP26</t>
  </si>
  <si>
    <t>LHSWSHAR-BK</t>
  </si>
  <si>
    <t>LHSWSHAR-CR</t>
  </si>
  <si>
    <t>LHSWSHAR-PK</t>
  </si>
  <si>
    <t>LVSPALZNPLE</t>
  </si>
  <si>
    <t>LVSPBRX2MN</t>
  </si>
  <si>
    <t>SMCFIT4LC-GR</t>
  </si>
  <si>
    <t>SMCFIT4SV-WH</t>
  </si>
  <si>
    <t>XRCOBMOT-BS</t>
  </si>
  <si>
    <t>XRCOBSUV-BS</t>
  </si>
  <si>
    <t>LVTECMCL-BK</t>
  </si>
  <si>
    <t>SIMCUPAR-BK</t>
  </si>
  <si>
    <t>SIMCUTOL-2</t>
  </si>
  <si>
    <t>SIMJULZAMA-24</t>
  </si>
  <si>
    <t>SIMJULZOPO-30</t>
  </si>
  <si>
    <t>SMCFIT12LC-GR</t>
  </si>
  <si>
    <t>SMCFIT12SV-WH</t>
  </si>
  <si>
    <t xml:space="preserve">  ▶  Llegada OCT26</t>
  </si>
  <si>
    <t>LHBOHYTK750-BG</t>
  </si>
  <si>
    <t>LHBOHYTK750-BK</t>
  </si>
  <si>
    <t>LHBOHYTK750-GR</t>
  </si>
  <si>
    <t>LHBOHYTK750-NY</t>
  </si>
  <si>
    <t>LHBOHYTK750-PK</t>
  </si>
  <si>
    <t>MTHWLGBT590-AM</t>
  </si>
  <si>
    <t>MTHWLGBT590-BK</t>
  </si>
  <si>
    <t>MTHWLGBT750-BK</t>
  </si>
  <si>
    <t>MTHWLGBT750-BY</t>
  </si>
  <si>
    <t>MTHWLGBT750-YW</t>
  </si>
  <si>
    <t>MTHWLGVT590-BG</t>
  </si>
  <si>
    <t>MTHWLGVT590-BK</t>
  </si>
  <si>
    <t>MTHWLGVT590-YW</t>
  </si>
  <si>
    <t>XRCADCANRR</t>
  </si>
  <si>
    <t>51 items</t>
  </si>
  <si>
    <t>NO TOTAL</t>
  </si>
  <si>
    <t>Categoria Producto</t>
  </si>
  <si>
    <t>(Todas)</t>
  </si>
  <si>
    <t>Ranking Comercial</t>
  </si>
  <si>
    <t>Valores</t>
  </si>
  <si>
    <t>Categoria Padre</t>
  </si>
  <si>
    <t>Categoria Hijo</t>
  </si>
  <si>
    <t>Sku</t>
  </si>
  <si>
    <t xml:space="preserve"> Stock HOY</t>
  </si>
  <si>
    <t xml:space="preserve"> Transito AGO 26</t>
  </si>
  <si>
    <t xml:space="preserve"> Stock + Pedido Unid AGO26</t>
  </si>
  <si>
    <t xml:space="preserve">  Venta PPTO AGO26</t>
  </si>
  <si>
    <t xml:space="preserve"> Cobert. AGO 26 Unid</t>
  </si>
  <si>
    <t xml:space="preserve"> Stock Inicial AGO26</t>
  </si>
  <si>
    <t xml:space="preserve"> Stock Inicial SEP26</t>
  </si>
  <si>
    <t xml:space="preserve"> Transito SEP 26</t>
  </si>
  <si>
    <t xml:space="preserve"> Stock + Pedido Unid SEP26</t>
  </si>
  <si>
    <t xml:space="preserve">  Venta PPTO SEP26</t>
  </si>
  <si>
    <t xml:space="preserve"> Cobert. SEP 26 Unid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</si>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</sst>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0.0%"/>
    <numFmt numFmtId="165" formatCode="\$\ #,##0.0,,"/>
    <numFmt numFmtId="166" formatCode="0.000"/>
    <numFmt numFmtId="167" formatCode="\$\ #,##0"/>
    <numFmt numFmtId="168" formatCode="0.0"/>
    <numFmt numFmtId="169" formatCode="\$#,##0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i/>
      <sz val="8"/>
      <color rgb="FF595959"/>
      <name val="Arial"/>
      <family val="2"/>
    </font>
    <font>
      <i/>
      <sz val="8"/>
      <color rgb="FF7F4F00"/>
      <name val="Arial"/>
      <family val="2"/>
    </font>
    <font>
      <b/>
      <sz val="12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595959"/>
      <name val="Arial"/>
      <family val="2"/>
    </font>
    <font>
      <b/>
      <sz val="10"/>
      <color rgb="FF595959"/>
      <name val="Arial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6C3483"/>
      <name val="Calibri"/>
      <family val="2"/>
    </font>
    <font>
      <sz val="9"/>
      <color rgb="FFE74C3C"/>
      <name val="Calibri"/>
      <family val="2"/>
    </font>
    <font>
      <sz val="9"/>
      <color rgb="FF1A5276"/>
      <name val="Calibri"/>
      <family val="2"/>
    </font>
    <font>
      <sz val="9"/>
      <color rgb="FF1E8449"/>
      <name val="Calibri"/>
      <family val="2"/>
    </font>
    <font>
      <sz val="9"/>
      <color rgb="FFE67E22"/>
      <name val="Calibri"/>
      <family val="2"/>
    </font>
    <font>
      <i/>
      <sz val="8"/>
      <color rgb="FF7F8C8D"/>
      <name val="Calibri"/>
      <family val="2"/>
    </font>
    <font>
      <b/>
      <sz val="9"/>
      <color rgb="FFC0392B"/>
      <name val="Calibri"/>
      <family val="2"/>
    </font>
    <font>
      <sz val="8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AAAAAA"/>
      <name val="Calibri"/>
      <family val="2"/>
    </font>
    <font>
      <b/>
      <sz val="9"/>
      <color rgb="FFCA6F1E"/>
      <name val="Calibri"/>
      <family val="2"/>
    </font>
    <font>
      <sz val="9"/>
      <color rgb="FFCA6F1E"/>
      <name val="Calibri"/>
      <family val="2"/>
    </font>
    <font>
      <b/>
      <sz val="9"/>
      <color rgb="FF1E8449"/>
      <name val="Calibri"/>
      <family val="2"/>
    </font>
    <font>
      <sz val="9"/>
      <color rgb="FFC0392B"/>
      <name val="Calibri"/>
      <family val="2"/>
    </font>
    <font>
      <b/>
      <sz val="9"/>
      <color rgb="FFB7950B"/>
      <name val="Calibri"/>
      <family val="2"/>
    </font>
    <font>
      <b/>
      <sz val="9"/>
      <color rgb="FF1A5276"/>
      <name val="Calibri"/>
      <family val="2"/>
    </font>
    <font>
      <sz val="9"/>
      <color rgb="FFD7BDE2"/>
      <name val="Calibri"/>
      <family val="2"/>
    </font>
    <font>
      <sz val="9"/>
      <color rgb="FFFFFFFF"/>
      <name val="Calibri"/>
      <family val="2"/>
    </font>
    <font>
      <b/>
      <sz val="9"/>
      <color rgb="FF4A235A"/>
      <name val="Calibri"/>
      <family val="2"/>
    </font>
    <font>
      <sz val="9"/>
      <color rgb="FF566573"/>
      <name val="Calibri"/>
      <family val="2"/>
    </font>
    <font>
      <sz val="9"/>
      <color rgb="FF4A235A"/>
      <name val="Calibri"/>
      <family val="2"/>
    </font>
    <font>
      <sz val="8"/>
      <color rgb="FF1A5276"/>
      <name val="Calibri"/>
      <family val="2"/>
    </font>
    <font>
      <b/>
      <sz val="8"/>
      <color rgb="FF6C3483"/>
      <name val="Calibri"/>
      <family val="2"/>
    </font>
    <font>
      <sz val="8"/>
      <color rgb="FF6C3483"/>
      <name val="Calibri"/>
      <family val="2"/>
    </font>
    <font>
      <sz val="8"/>
      <color rgb="FF566573"/>
      <name val="Calibri"/>
      <family val="2"/>
    </font>
    <font>
      <b/>
      <sz val="8"/>
      <color rgb="FFCB4335"/>
      <name val="Calibri"/>
      <family val="2"/>
    </font>
    <font>
      <sz val="8"/>
      <color rgb="FFCB4335"/>
      <name val="Calibri"/>
      <family val="2"/>
    </font>
    <font>
      <b/>
      <sz val="8"/>
      <color rgb="FFCA6F1E"/>
      <name val="Calibri"/>
      <family val="2"/>
    </font>
    <font>
      <b/>
      <sz val="8"/>
      <color rgb="FFE67E22"/>
      <name val="Calibri"/>
      <family val="2"/>
    </font>
    <font>
      <sz val="8"/>
      <color rgb="FFE67E22"/>
      <name val="Calibri"/>
      <family val="2"/>
    </font>
    <font>
      <b/>
      <sz val="9"/>
      <color rgb="FF6C3483"/>
      <name val="Calibri"/>
      <family val="2"/>
    </font>
    <font>
      <b/>
      <sz val="9"/>
      <color rgb="FF784212"/>
      <name val="Calibri"/>
      <family val="2"/>
    </font>
    <font>
      <sz val="9"/>
      <color rgb="FFCB4335"/>
      <name val="Calibri"/>
      <family val="2"/>
    </font>
    <font>
      <b/>
      <sz val="9"/>
      <color rgb="FFCB4335"/>
      <name val="Calibri"/>
      <family val="2"/>
    </font>
    <font>
      <b/>
      <sz val="9"/>
      <color rgb="FFE67E22"/>
      <name val="Calibri"/>
      <family val="2"/>
    </font>
    <font>
      <b/>
      <i/>
      <sz val="8"/>
      <color rgb="FF1A5276"/>
      <name val="Calibri"/>
      <family val="2"/>
    </font>
    <font>
      <sz val="8"/>
      <color rgb="FF4D5656"/>
      <name val="Calibri"/>
      <family val="2"/>
    </font>
    <font>
      <sz val="8"/>
      <color rgb="FFC0392B"/>
      <name val="Calibri"/>
      <family val="2"/>
    </font>
    <font>
      <b/>
      <sz val="8"/>
      <color rgb="FFC0392B"/>
      <name val="Calibri"/>
      <family val="2"/>
    </font>
    <font>
      <i/>
      <sz val="8"/>
      <color rgb="FF1A5276"/>
      <name val="Calibri"/>
      <family val="2"/>
    </font>
    <font>
      <sz val="8"/>
      <color rgb="FFCA6F1E"/>
      <name val="Calibri"/>
      <family val="2"/>
    </font>
    <font>
      <sz val="8"/>
      <color rgb="FF1E8449"/>
      <name val="Calibri"/>
      <family val="2"/>
    </font>
    <font>
      <sz val="8"/>
      <color rgb="FF95A5A6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1E8449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8E1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375623"/>
      </patternFill>
    </fill>
    <fill>
      <patternFill patternType="solid">
        <fgColor rgb="FFD9D9D9"/>
      </patternFill>
    </fill>
    <fill>
      <patternFill patternType="solid">
        <fgColor rgb="FF7030A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BFBFBF"/>
      </patternFill>
    </fill>
    <fill>
      <patternFill patternType="solid">
        <fgColor rgb="FF1B2631"/>
      </patternFill>
    </fill>
    <fill>
      <patternFill patternType="solid">
        <fgColor rgb="FF6E2F1A"/>
      </patternFill>
    </fill>
    <fill>
      <patternFill patternType="solid">
        <fgColor rgb="FF1B4F72"/>
      </patternFill>
    </fill>
    <fill>
      <patternFill patternType="solid">
        <fgColor rgb="FF4D5656"/>
      </patternFill>
    </fill>
    <fill>
      <patternFill patternType="solid">
        <fgColor rgb="FF0E6655"/>
      </patternFill>
    </fill>
    <fill>
      <patternFill patternType="solid">
        <fgColor rgb="FF2C3E50"/>
      </patternFill>
    </fill>
    <fill>
      <patternFill patternType="solid">
        <fgColor rgb="FF935116"/>
      </patternFill>
    </fill>
    <fill>
      <patternFill patternType="solid">
        <fgColor rgb="FF21618C"/>
      </patternFill>
    </fill>
    <fill>
      <patternFill patternType="solid">
        <fgColor rgb="FF616A6B"/>
      </patternFill>
    </fill>
    <fill>
      <patternFill patternType="solid">
        <fgColor rgb="FFF8F9FA"/>
      </patternFill>
    </fill>
    <fill>
      <patternFill patternType="solid">
        <fgColor rgb="FFE8DAEF"/>
      </patternFill>
    </fill>
    <fill>
      <patternFill patternType="solid">
        <fgColor rgb="FFF2D7D5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EBF5FB"/>
      </patternFill>
    </fill>
    <fill>
      <patternFill patternType="solid">
        <fgColor rgb="FFF9EBEA"/>
      </patternFill>
    </fill>
    <fill>
      <patternFill patternType="solid">
        <fgColor rgb="FF1A5276"/>
      </patternFill>
    </fill>
    <fill>
      <patternFill patternType="solid">
        <fgColor rgb="FFFCF3CF"/>
      </patternFill>
    </fill>
    <fill>
      <patternFill patternType="solid">
        <fgColor rgb="FF4A235A"/>
      </patternFill>
    </fill>
    <fill>
      <patternFill patternType="solid">
        <fgColor rgb="FF7D3C98"/>
      </patternFill>
    </fill>
    <fill>
      <patternFill patternType="solid">
        <fgColor rgb="FFD7BDE2"/>
      </patternFill>
    </fill>
    <fill>
      <patternFill patternType="solid">
        <fgColor rgb="FFF4ECF7"/>
      </patternFill>
    </fill>
    <fill>
      <patternFill patternType="solid">
        <fgColor rgb="FF784212"/>
      </patternFill>
    </fill>
    <fill>
      <patternFill patternType="solid">
        <fgColor rgb="FFF4F6F7"/>
      </patternFill>
    </fill>
    <fill>
      <patternFill patternType="solid">
        <fgColor rgb="FF196F3D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1">
    <xf numFmtId="0" fontId="0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  <xf numFmtId="0" fontId="1" fillId="0" borderId="4"/>
  </cellStyleXfs>
  <cellXfs count="198">
    <xf numFmtId="0" fontId="0" fillId="0" borderId="0" xfId="0" applyBorder="1"/>
    <xf numFmtId="0" fontId="3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right" vertical="center"/>
    </xf>
    <xf numFmtId="0" fontId="11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3" fontId="10" fillId="6" borderId="2" xfId="0" applyNumberFormat="1" applyFont="1" applyFill="1" applyBorder="1" applyAlignment="1">
      <alignment horizontal="right" vertical="center"/>
    </xf>
    <xf numFmtId="3" fontId="10" fillId="7" borderId="2" xfId="0" applyNumberFormat="1" applyFont="1" applyFill="1" applyBorder="1" applyAlignment="1">
      <alignment horizontal="right" vertical="center"/>
    </xf>
    <xf numFmtId="164" fontId="10" fillId="8" borderId="2" xfId="0" applyNumberFormat="1" applyFont="1" applyFill="1" applyBorder="1" applyAlignment="1">
      <alignment horizontal="right" vertical="center"/>
    </xf>
    <xf numFmtId="3" fontId="11" fillId="9" borderId="2" xfId="0" applyNumberFormat="1" applyFont="1" applyFill="1" applyBorder="1" applyAlignment="1">
      <alignment horizontal="right" vertical="center"/>
    </xf>
    <xf numFmtId="3" fontId="11" fillId="10" borderId="2" xfId="0" applyNumberFormat="1" applyFont="1" applyFill="1" applyBorder="1" applyAlignment="1">
      <alignment horizontal="right" vertical="center"/>
    </xf>
    <xf numFmtId="164" fontId="11" fillId="11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right" vertical="center"/>
    </xf>
    <xf numFmtId="3" fontId="3" fillId="12" borderId="2" xfId="0" applyNumberFormat="1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3" fontId="10" fillId="8" borderId="2" xfId="0" applyNumberFormat="1" applyFont="1" applyFill="1" applyBorder="1" applyAlignment="1">
      <alignment horizontal="right" vertical="center"/>
    </xf>
    <xf numFmtId="164" fontId="3" fillId="14" borderId="2" xfId="0" applyNumberFormat="1" applyFont="1" applyFill="1" applyBorder="1" applyAlignment="1">
      <alignment horizontal="center" vertical="center"/>
    </xf>
    <xf numFmtId="164" fontId="12" fillId="2" borderId="2" xfId="0" applyNumberFormat="1" applyFont="1" applyFill="1" applyBorder="1" applyAlignment="1">
      <alignment horizontal="center" vertical="center"/>
    </xf>
    <xf numFmtId="164" fontId="3" fillId="16" borderId="2" xfId="0" applyNumberFormat="1" applyFont="1" applyFill="1" applyBorder="1" applyAlignment="1">
      <alignment horizontal="center" vertical="center"/>
    </xf>
    <xf numFmtId="3" fontId="11" fillId="11" borderId="2" xfId="0" applyNumberFormat="1" applyFont="1" applyFill="1" applyBorder="1" applyAlignment="1">
      <alignment horizontal="right" vertical="center"/>
    </xf>
    <xf numFmtId="164" fontId="13" fillId="13" borderId="2" xfId="0" applyNumberFormat="1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 wrapText="1"/>
    </xf>
    <xf numFmtId="49" fontId="11" fillId="17" borderId="2" xfId="0" applyNumberFormat="1" applyFont="1" applyFill="1" applyBorder="1" applyAlignment="1">
      <alignment horizontal="center" vertical="center"/>
    </xf>
    <xf numFmtId="49" fontId="12" fillId="2" borderId="2" xfId="0" applyNumberFormat="1" applyFont="1" applyFill="1" applyBorder="1" applyAlignment="1">
      <alignment horizontal="center" vertical="center"/>
    </xf>
    <xf numFmtId="164" fontId="3" fillId="12" borderId="2" xfId="0" applyNumberFormat="1" applyFont="1" applyFill="1" applyBorder="1" applyAlignment="1">
      <alignment horizontal="center" vertical="center"/>
    </xf>
    <xf numFmtId="164" fontId="11" fillId="15" borderId="2" xfId="0" applyNumberFormat="1" applyFont="1" applyFill="1" applyBorder="1" applyAlignment="1">
      <alignment horizontal="center" vertical="center"/>
    </xf>
    <xf numFmtId="0" fontId="0" fillId="18" borderId="0" xfId="0" applyFill="1" applyBorder="1"/>
    <xf numFmtId="0" fontId="16" fillId="23" borderId="5" xfId="0" applyFont="1" applyFill="1" applyBorder="1" applyAlignment="1">
      <alignment horizontal="center" vertical="center" wrapText="1"/>
    </xf>
    <xf numFmtId="0" fontId="16" fillId="24" borderId="5" xfId="0" applyFont="1" applyFill="1" applyBorder="1" applyAlignment="1">
      <alignment horizontal="center" vertical="center" wrapText="1"/>
    </xf>
    <xf numFmtId="0" fontId="16" fillId="25" borderId="5" xfId="0" applyFont="1" applyFill="1" applyBorder="1" applyAlignment="1">
      <alignment horizontal="center" vertical="center" wrapText="1"/>
    </xf>
    <xf numFmtId="0" fontId="16" fillId="26" borderId="5" xfId="0" applyFont="1" applyFill="1" applyBorder="1" applyAlignment="1">
      <alignment horizontal="center" vertical="center" wrapText="1"/>
    </xf>
    <xf numFmtId="0" fontId="17" fillId="27" borderId="5" xfId="0" applyFont="1" applyFill="1" applyBorder="1" applyAlignment="1">
      <alignment horizontal="left" vertical="center"/>
    </xf>
    <xf numFmtId="165" fontId="18" fillId="27" borderId="5" xfId="0" applyNumberFormat="1" applyFont="1" applyFill="1" applyBorder="1" applyAlignment="1">
      <alignment horizontal="right" vertical="center"/>
    </xf>
    <xf numFmtId="2" fontId="19" fillId="28" borderId="5" xfId="0" applyNumberFormat="1" applyFont="1" applyFill="1" applyBorder="1" applyAlignment="1">
      <alignment horizontal="right" vertical="center"/>
    </xf>
    <xf numFmtId="2" fontId="20" fillId="29" borderId="5" xfId="0" applyNumberFormat="1" applyFont="1" applyFill="1" applyBorder="1" applyAlignment="1">
      <alignment horizontal="right" vertical="center"/>
    </xf>
    <xf numFmtId="2" fontId="21" fillId="30" borderId="5" xfId="0" applyNumberFormat="1" applyFont="1" applyFill="1" applyBorder="1" applyAlignment="1">
      <alignment horizontal="right" vertical="center"/>
    </xf>
    <xf numFmtId="0" fontId="17" fillId="31" borderId="5" xfId="0" applyFont="1" applyFill="1" applyBorder="1" applyAlignment="1">
      <alignment horizontal="left" vertical="center"/>
    </xf>
    <xf numFmtId="165" fontId="18" fillId="31" borderId="5" xfId="0" applyNumberFormat="1" applyFont="1" applyFill="1" applyBorder="1" applyAlignment="1">
      <alignment horizontal="right" vertical="center"/>
    </xf>
    <xf numFmtId="2" fontId="22" fillId="32" borderId="5" xfId="0" applyNumberFormat="1" applyFont="1" applyFill="1" applyBorder="1" applyAlignment="1">
      <alignment horizontal="right" vertical="center"/>
    </xf>
    <xf numFmtId="2" fontId="23" fillId="33" borderId="5" xfId="0" applyNumberFormat="1" applyFont="1" applyFill="1" applyBorder="1" applyAlignment="1">
      <alignment horizontal="right" vertical="center"/>
    </xf>
    <xf numFmtId="0" fontId="16" fillId="18" borderId="5" xfId="0" applyFont="1" applyFill="1" applyBorder="1" applyAlignment="1">
      <alignment horizontal="left" vertical="center"/>
    </xf>
    <xf numFmtId="165" fontId="16" fillId="18" borderId="5" xfId="0" applyNumberFormat="1" applyFont="1" applyFill="1" applyBorder="1" applyAlignment="1">
      <alignment horizontal="right" vertical="center"/>
    </xf>
    <xf numFmtId="2" fontId="16" fillId="18" borderId="5" xfId="0" applyNumberFormat="1" applyFont="1" applyFill="1" applyBorder="1" applyAlignment="1">
      <alignment horizontal="right" vertical="center"/>
    </xf>
    <xf numFmtId="0" fontId="17" fillId="31" borderId="5" xfId="0" applyFont="1" applyFill="1" applyBorder="1" applyAlignment="1">
      <alignment horizontal="center" vertical="center"/>
    </xf>
    <xf numFmtId="2" fontId="25" fillId="35" borderId="5" xfId="0" applyNumberFormat="1" applyFont="1" applyFill="1" applyBorder="1" applyAlignment="1">
      <alignment horizontal="center" vertical="center"/>
    </xf>
    <xf numFmtId="0" fontId="25" fillId="35" borderId="5" xfId="0" applyFont="1" applyFill="1" applyBorder="1" applyAlignment="1">
      <alignment horizontal="center" vertical="center"/>
    </xf>
    <xf numFmtId="3" fontId="18" fillId="31" borderId="5" xfId="0" applyNumberFormat="1" applyFont="1" applyFill="1" applyBorder="1" applyAlignment="1">
      <alignment horizontal="right" vertical="center"/>
    </xf>
    <xf numFmtId="3" fontId="18" fillId="32" borderId="5" xfId="0" applyNumberFormat="1" applyFont="1" applyFill="1" applyBorder="1" applyAlignment="1">
      <alignment horizontal="right" vertical="center"/>
    </xf>
    <xf numFmtId="0" fontId="26" fillId="31" borderId="5" xfId="0" applyFont="1" applyFill="1" applyBorder="1" applyAlignment="1">
      <alignment horizontal="left" vertical="center"/>
    </xf>
    <xf numFmtId="0" fontId="17" fillId="36" borderId="5" xfId="0" applyFont="1" applyFill="1" applyBorder="1" applyAlignment="1">
      <alignment horizontal="left" vertical="center"/>
    </xf>
    <xf numFmtId="0" fontId="17" fillId="36" borderId="5" xfId="0" applyFont="1" applyFill="1" applyBorder="1" applyAlignment="1">
      <alignment horizontal="center" vertical="center"/>
    </xf>
    <xf numFmtId="0" fontId="18" fillId="36" borderId="5" xfId="0" applyFont="1" applyFill="1" applyBorder="1" applyAlignment="1">
      <alignment horizontal="center" vertical="center"/>
    </xf>
    <xf numFmtId="3" fontId="18" fillId="36" borderId="5" xfId="0" applyNumberFormat="1" applyFont="1" applyFill="1" applyBorder="1" applyAlignment="1">
      <alignment horizontal="right" vertical="center"/>
    </xf>
    <xf numFmtId="0" fontId="26" fillId="36" borderId="5" xfId="0" applyFont="1" applyFill="1" applyBorder="1" applyAlignment="1">
      <alignment horizontal="left" vertical="center"/>
    </xf>
    <xf numFmtId="2" fontId="25" fillId="37" borderId="5" xfId="0" applyNumberFormat="1" applyFont="1" applyFill="1" applyBorder="1" applyAlignment="1">
      <alignment horizontal="center" vertical="center"/>
    </xf>
    <xf numFmtId="0" fontId="16" fillId="23" borderId="5" xfId="0" applyFont="1" applyFill="1" applyBorder="1" applyAlignment="1">
      <alignment horizontal="center" vertical="center"/>
    </xf>
    <xf numFmtId="0" fontId="16" fillId="23" borderId="5" xfId="0" applyFont="1" applyFill="1" applyBorder="1" applyAlignment="1">
      <alignment horizontal="right" vertical="center"/>
    </xf>
    <xf numFmtId="3" fontId="16" fillId="23" borderId="5" xfId="0" applyNumberFormat="1" applyFont="1" applyFill="1" applyBorder="1" applyAlignment="1">
      <alignment horizontal="right" vertical="center"/>
    </xf>
    <xf numFmtId="0" fontId="18" fillId="31" borderId="5" xfId="0" applyFont="1" applyFill="1" applyBorder="1" applyAlignment="1">
      <alignment horizontal="left" vertical="center"/>
    </xf>
    <xf numFmtId="0" fontId="18" fillId="31" borderId="5" xfId="0" applyFont="1" applyFill="1" applyBorder="1" applyAlignment="1">
      <alignment horizontal="center" vertical="center"/>
    </xf>
    <xf numFmtId="166" fontId="25" fillId="37" borderId="5" xfId="0" applyNumberFormat="1" applyFont="1" applyFill="1" applyBorder="1" applyAlignment="1">
      <alignment horizontal="center" vertical="center"/>
    </xf>
    <xf numFmtId="0" fontId="28" fillId="31" borderId="5" xfId="0" applyFont="1" applyFill="1" applyBorder="1" applyAlignment="1">
      <alignment horizontal="right" vertical="center"/>
    </xf>
    <xf numFmtId="3" fontId="22" fillId="32" borderId="5" xfId="0" applyNumberFormat="1" applyFont="1" applyFill="1" applyBorder="1" applyAlignment="1">
      <alignment horizontal="right" vertical="center"/>
    </xf>
    <xf numFmtId="0" fontId="29" fillId="33" borderId="5" xfId="0" applyFont="1" applyFill="1" applyBorder="1" applyAlignment="1">
      <alignment horizontal="center" vertical="center"/>
    </xf>
    <xf numFmtId="0" fontId="30" fillId="33" borderId="5" xfId="0" applyFont="1" applyFill="1" applyBorder="1" applyAlignment="1">
      <alignment horizontal="center" vertical="center"/>
    </xf>
    <xf numFmtId="0" fontId="18" fillId="36" borderId="5" xfId="0" applyFont="1" applyFill="1" applyBorder="1" applyAlignment="1">
      <alignment horizontal="left" vertical="center"/>
    </xf>
    <xf numFmtId="166" fontId="29" fillId="33" borderId="5" xfId="0" applyNumberFormat="1" applyFont="1" applyFill="1" applyBorder="1" applyAlignment="1">
      <alignment horizontal="center" vertical="center"/>
    </xf>
    <xf numFmtId="0" fontId="28" fillId="36" borderId="5" xfId="0" applyFont="1" applyFill="1" applyBorder="1" applyAlignment="1">
      <alignment horizontal="right" vertical="center"/>
    </xf>
    <xf numFmtId="166" fontId="25" fillId="35" borderId="5" xfId="0" applyNumberFormat="1" applyFont="1" applyFill="1" applyBorder="1" applyAlignment="1">
      <alignment horizontal="center" vertical="center"/>
    </xf>
    <xf numFmtId="0" fontId="31" fillId="32" borderId="5" xfId="0" applyFont="1" applyFill="1" applyBorder="1" applyAlignment="1">
      <alignment horizontal="center" vertical="center"/>
    </xf>
    <xf numFmtId="0" fontId="32" fillId="35" borderId="5" xfId="0" applyFont="1" applyFill="1" applyBorder="1" applyAlignment="1">
      <alignment horizontal="left" vertical="center"/>
    </xf>
    <xf numFmtId="166" fontId="33" fillId="39" borderId="5" xfId="0" applyNumberFormat="1" applyFont="1" applyFill="1" applyBorder="1" applyAlignment="1">
      <alignment horizontal="center" vertical="center"/>
    </xf>
    <xf numFmtId="166" fontId="34" fillId="30" borderId="5" xfId="0" applyNumberFormat="1" applyFont="1" applyFill="1" applyBorder="1" applyAlignment="1">
      <alignment horizontal="center" vertical="center"/>
    </xf>
    <xf numFmtId="0" fontId="16" fillId="40" borderId="5" xfId="0" applyFont="1" applyFill="1" applyBorder="1" applyAlignment="1">
      <alignment horizontal="left" vertical="center"/>
    </xf>
    <xf numFmtId="0" fontId="18" fillId="40" borderId="5" xfId="0" applyFont="1" applyFill="1" applyBorder="1" applyAlignment="1">
      <alignment horizontal="left" vertical="center"/>
    </xf>
    <xf numFmtId="0" fontId="16" fillId="40" borderId="5" xfId="0" applyFont="1" applyFill="1" applyBorder="1" applyAlignment="1">
      <alignment horizontal="center" vertical="center"/>
    </xf>
    <xf numFmtId="167" fontId="16" fillId="40" borderId="5" xfId="0" applyNumberFormat="1" applyFont="1" applyFill="1" applyBorder="1" applyAlignment="1">
      <alignment horizontal="right" vertical="center"/>
    </xf>
    <xf numFmtId="167" fontId="35" fillId="40" borderId="5" xfId="0" applyNumberFormat="1" applyFont="1" applyFill="1" applyBorder="1" applyAlignment="1">
      <alignment horizontal="right" vertical="center"/>
    </xf>
    <xf numFmtId="0" fontId="36" fillId="40" borderId="5" xfId="0" applyFont="1" applyFill="1" applyBorder="1" applyAlignment="1">
      <alignment horizontal="center" vertical="center"/>
    </xf>
    <xf numFmtId="0" fontId="16" fillId="41" borderId="5" xfId="0" applyFont="1" applyFill="1" applyBorder="1" applyAlignment="1">
      <alignment horizontal="left" vertical="center"/>
    </xf>
    <xf numFmtId="0" fontId="18" fillId="41" borderId="5" xfId="0" applyFont="1" applyFill="1" applyBorder="1" applyAlignment="1">
      <alignment horizontal="left" vertical="center"/>
    </xf>
    <xf numFmtId="0" fontId="16" fillId="41" borderId="5" xfId="0" applyFont="1" applyFill="1" applyBorder="1" applyAlignment="1">
      <alignment horizontal="center" vertical="center"/>
    </xf>
    <xf numFmtId="167" fontId="16" fillId="41" borderId="5" xfId="0" applyNumberFormat="1" applyFont="1" applyFill="1" applyBorder="1" applyAlignment="1">
      <alignment horizontal="right" vertical="center"/>
    </xf>
    <xf numFmtId="167" fontId="35" fillId="41" borderId="5" xfId="0" applyNumberFormat="1" applyFont="1" applyFill="1" applyBorder="1" applyAlignment="1">
      <alignment horizontal="right" vertical="center"/>
    </xf>
    <xf numFmtId="0" fontId="36" fillId="41" borderId="5" xfId="0" applyFont="1" applyFill="1" applyBorder="1" applyAlignment="1">
      <alignment horizontal="center" vertical="center"/>
    </xf>
    <xf numFmtId="0" fontId="37" fillId="42" borderId="5" xfId="0" applyFont="1" applyFill="1" applyBorder="1" applyAlignment="1">
      <alignment horizontal="left" vertical="center"/>
    </xf>
    <xf numFmtId="0" fontId="18" fillId="42" borderId="5" xfId="0" applyFont="1" applyFill="1" applyBorder="1" applyAlignment="1">
      <alignment horizontal="left" vertical="center"/>
    </xf>
    <xf numFmtId="0" fontId="37" fillId="42" borderId="5" xfId="0" applyFont="1" applyFill="1" applyBorder="1" applyAlignment="1">
      <alignment horizontal="center" vertical="center"/>
    </xf>
    <xf numFmtId="167" fontId="37" fillId="42" borderId="5" xfId="0" applyNumberFormat="1" applyFont="1" applyFill="1" applyBorder="1" applyAlignment="1">
      <alignment horizontal="right" vertical="center"/>
    </xf>
    <xf numFmtId="167" fontId="38" fillId="42" borderId="5" xfId="0" applyNumberFormat="1" applyFont="1" applyFill="1" applyBorder="1" applyAlignment="1">
      <alignment horizontal="right" vertical="center"/>
    </xf>
    <xf numFmtId="0" fontId="39" fillId="42" borderId="5" xfId="0" applyFont="1" applyFill="1" applyBorder="1" applyAlignment="1">
      <alignment horizontal="center" vertical="center"/>
    </xf>
    <xf numFmtId="0" fontId="40" fillId="43" borderId="5" xfId="0" applyFont="1" applyFill="1" applyBorder="1" applyAlignment="1">
      <alignment horizontal="left" vertical="center"/>
    </xf>
    <xf numFmtId="0" fontId="26" fillId="43" borderId="5" xfId="0" applyFont="1" applyFill="1" applyBorder="1" applyAlignment="1">
      <alignment horizontal="left" vertical="center"/>
    </xf>
    <xf numFmtId="0" fontId="18" fillId="43" borderId="5" xfId="0" applyFont="1" applyFill="1" applyBorder="1" applyAlignment="1">
      <alignment horizontal="left" vertical="center"/>
    </xf>
    <xf numFmtId="2" fontId="41" fillId="28" borderId="5" xfId="0" applyNumberFormat="1" applyFont="1" applyFill="1" applyBorder="1" applyAlignment="1">
      <alignment horizontal="center" vertical="center"/>
    </xf>
    <xf numFmtId="168" fontId="42" fillId="28" borderId="5" xfId="0" applyNumberFormat="1" applyFont="1" applyFill="1" applyBorder="1" applyAlignment="1">
      <alignment horizontal="center" vertical="center"/>
    </xf>
    <xf numFmtId="167" fontId="26" fillId="43" borderId="5" xfId="0" applyNumberFormat="1" applyFont="1" applyFill="1" applyBorder="1" applyAlignment="1">
      <alignment horizontal="right" vertical="center"/>
    </xf>
    <xf numFmtId="167" fontId="43" fillId="43" borderId="5" xfId="0" applyNumberFormat="1" applyFont="1" applyFill="1" applyBorder="1" applyAlignment="1">
      <alignment horizontal="right" vertical="center"/>
    </xf>
    <xf numFmtId="167" fontId="41" fillId="28" borderId="5" xfId="0" applyNumberFormat="1" applyFont="1" applyFill="1" applyBorder="1" applyAlignment="1">
      <alignment horizontal="right" vertical="center"/>
    </xf>
    <xf numFmtId="0" fontId="43" fillId="43" borderId="5" xfId="0" applyFont="1" applyFill="1" applyBorder="1" applyAlignment="1">
      <alignment horizontal="center" vertical="center"/>
    </xf>
    <xf numFmtId="0" fontId="40" fillId="31" borderId="5" xfId="0" applyFont="1" applyFill="1" applyBorder="1" applyAlignment="1">
      <alignment horizontal="left" vertical="center"/>
    </xf>
    <xf numFmtId="167" fontId="26" fillId="31" borderId="5" xfId="0" applyNumberFormat="1" applyFont="1" applyFill="1" applyBorder="1" applyAlignment="1">
      <alignment horizontal="right" vertical="center"/>
    </xf>
    <xf numFmtId="167" fontId="43" fillId="31" borderId="5" xfId="0" applyNumberFormat="1" applyFont="1" applyFill="1" applyBorder="1" applyAlignment="1">
      <alignment horizontal="right" vertical="center"/>
    </xf>
    <xf numFmtId="0" fontId="43" fillId="31" borderId="5" xfId="0" applyFont="1" applyFill="1" applyBorder="1" applyAlignment="1">
      <alignment horizontal="center" vertical="center"/>
    </xf>
    <xf numFmtId="2" fontId="44" fillId="35" borderId="5" xfId="0" applyNumberFormat="1" applyFont="1" applyFill="1" applyBorder="1" applyAlignment="1">
      <alignment horizontal="center" vertical="center"/>
    </xf>
    <xf numFmtId="168" fontId="45" fillId="35" borderId="5" xfId="0" applyNumberFormat="1" applyFont="1" applyFill="1" applyBorder="1" applyAlignment="1">
      <alignment horizontal="center" vertical="center"/>
    </xf>
    <xf numFmtId="167" fontId="44" fillId="35" borderId="5" xfId="0" applyNumberFormat="1" applyFont="1" applyFill="1" applyBorder="1" applyAlignment="1">
      <alignment horizontal="right" vertical="center"/>
    </xf>
    <xf numFmtId="0" fontId="46" fillId="33" borderId="5" xfId="0" applyFont="1" applyFill="1" applyBorder="1" applyAlignment="1">
      <alignment horizontal="center" vertical="center"/>
    </xf>
    <xf numFmtId="2" fontId="47" fillId="33" borderId="5" xfId="0" applyNumberFormat="1" applyFont="1" applyFill="1" applyBorder="1" applyAlignment="1">
      <alignment horizontal="center" vertical="center"/>
    </xf>
    <xf numFmtId="168" fontId="48" fillId="33" borderId="5" xfId="0" applyNumberFormat="1" applyFont="1" applyFill="1" applyBorder="1" applyAlignment="1">
      <alignment horizontal="center" vertical="center"/>
    </xf>
    <xf numFmtId="167" fontId="47" fillId="33" borderId="5" xfId="0" applyNumberFormat="1" applyFont="1" applyFill="1" applyBorder="1" applyAlignment="1">
      <alignment horizontal="right" vertical="center"/>
    </xf>
    <xf numFmtId="0" fontId="0" fillId="40" borderId="0" xfId="0" applyFill="1" applyBorder="1"/>
    <xf numFmtId="0" fontId="15" fillId="40" borderId="5" xfId="0" applyFont="1" applyFill="1" applyBorder="1" applyAlignment="1">
      <alignment horizontal="center" vertical="center"/>
    </xf>
    <xf numFmtId="1" fontId="15" fillId="40" borderId="5" xfId="0" applyNumberFormat="1" applyFont="1" applyFill="1" applyBorder="1" applyAlignment="1">
      <alignment horizontal="right" vertical="center"/>
    </xf>
    <xf numFmtId="167" fontId="15" fillId="40" borderId="5" xfId="0" applyNumberFormat="1" applyFont="1" applyFill="1" applyBorder="1" applyAlignment="1">
      <alignment horizontal="right" vertical="center"/>
    </xf>
    <xf numFmtId="2" fontId="49" fillId="28" borderId="5" xfId="0" applyNumberFormat="1" applyFont="1" applyFill="1" applyBorder="1" applyAlignment="1">
      <alignment horizontal="center" vertical="center"/>
    </xf>
    <xf numFmtId="167" fontId="18" fillId="31" borderId="5" xfId="0" applyNumberFormat="1" applyFont="1" applyFill="1" applyBorder="1" applyAlignment="1">
      <alignment horizontal="right" vertical="center"/>
    </xf>
    <xf numFmtId="0" fontId="50" fillId="33" borderId="5" xfId="0" applyFont="1" applyFill="1" applyBorder="1" applyAlignment="1">
      <alignment horizontal="center" vertical="center"/>
    </xf>
    <xf numFmtId="0" fontId="38" fillId="31" borderId="5" xfId="0" applyFont="1" applyFill="1" applyBorder="1" applyAlignment="1">
      <alignment horizontal="center" vertical="center"/>
    </xf>
    <xf numFmtId="0" fontId="51" fillId="35" borderId="5" xfId="0" applyFont="1" applyFill="1" applyBorder="1" applyAlignment="1">
      <alignment horizontal="center" vertical="center"/>
    </xf>
    <xf numFmtId="167" fontId="18" fillId="36" borderId="5" xfId="0" applyNumberFormat="1" applyFont="1" applyFill="1" applyBorder="1" applyAlignment="1">
      <alignment horizontal="right" vertical="center"/>
    </xf>
    <xf numFmtId="0" fontId="38" fillId="36" borderId="5" xfId="0" applyFont="1" applyFill="1" applyBorder="1" applyAlignment="1">
      <alignment horizontal="center" vertical="center"/>
    </xf>
    <xf numFmtId="2" fontId="52" fillId="35" borderId="5" xfId="0" applyNumberFormat="1" applyFont="1" applyFill="1" applyBorder="1" applyAlignment="1">
      <alignment horizontal="center" vertical="center"/>
    </xf>
    <xf numFmtId="2" fontId="53" fillId="33" borderId="5" xfId="0" applyNumberFormat="1" applyFont="1" applyFill="1" applyBorder="1" applyAlignment="1">
      <alignment horizontal="center" vertical="center"/>
    </xf>
    <xf numFmtId="0" fontId="38" fillId="31" borderId="5" xfId="0" applyFont="1" applyFill="1" applyBorder="1" applyAlignment="1">
      <alignment horizontal="left" vertical="center"/>
    </xf>
    <xf numFmtId="169" fontId="18" fillId="31" borderId="5" xfId="0" applyNumberFormat="1" applyFont="1" applyFill="1" applyBorder="1" applyAlignment="1">
      <alignment horizontal="right" vertical="center"/>
    </xf>
    <xf numFmtId="0" fontId="52" fillId="35" borderId="5" xfId="0" applyFont="1" applyFill="1" applyBorder="1" applyAlignment="1">
      <alignment horizontal="center" vertical="center"/>
    </xf>
    <xf numFmtId="0" fontId="54" fillId="35" borderId="5" xfId="0" applyFont="1" applyFill="1" applyBorder="1" applyAlignment="1">
      <alignment horizontal="left" vertical="center" indent="1"/>
    </xf>
    <xf numFmtId="0" fontId="55" fillId="45" borderId="5" xfId="0" applyFont="1" applyFill="1" applyBorder="1" applyAlignment="1">
      <alignment horizontal="left" vertical="center"/>
    </xf>
    <xf numFmtId="0" fontId="56" fillId="35" borderId="5" xfId="0" applyFont="1" applyFill="1" applyBorder="1" applyAlignment="1">
      <alignment horizontal="center" vertical="center"/>
    </xf>
    <xf numFmtId="0" fontId="18" fillId="45" borderId="5" xfId="0" applyFont="1" applyFill="1" applyBorder="1" applyAlignment="1">
      <alignment horizontal="left" vertical="center"/>
    </xf>
    <xf numFmtId="0" fontId="57" fillId="35" borderId="5" xfId="0" applyFont="1" applyFill="1" applyBorder="1" applyAlignment="1">
      <alignment horizontal="center" vertical="center"/>
    </xf>
    <xf numFmtId="3" fontId="55" fillId="45" borderId="5" xfId="0" applyNumberFormat="1" applyFont="1" applyFill="1" applyBorder="1" applyAlignment="1">
      <alignment horizontal="right" vertical="center"/>
    </xf>
    <xf numFmtId="169" fontId="55" fillId="45" borderId="5" xfId="0" applyNumberFormat="1" applyFont="1" applyFill="1" applyBorder="1" applyAlignment="1">
      <alignment horizontal="right" vertical="center"/>
    </xf>
    <xf numFmtId="0" fontId="58" fillId="45" borderId="5" xfId="0" applyFont="1" applyFill="1" applyBorder="1" applyAlignment="1">
      <alignment horizontal="left" vertical="center" indent="1"/>
    </xf>
    <xf numFmtId="0" fontId="59" fillId="33" borderId="5" xfId="0" applyFont="1" applyFill="1" applyBorder="1" applyAlignment="1">
      <alignment horizontal="center" vertical="center"/>
    </xf>
    <xf numFmtId="0" fontId="42" fillId="28" borderId="5" xfId="0" applyFont="1" applyFill="1" applyBorder="1" applyAlignment="1">
      <alignment horizontal="center" vertical="center"/>
    </xf>
    <xf numFmtId="0" fontId="60" fillId="32" borderId="5" xfId="0" applyFont="1" applyFill="1" applyBorder="1" applyAlignment="1">
      <alignment horizontal="center" vertical="center"/>
    </xf>
    <xf numFmtId="0" fontId="40" fillId="30" borderId="5" xfId="0" applyFont="1" applyFill="1" applyBorder="1" applyAlignment="1">
      <alignment horizontal="center" vertical="center"/>
    </xf>
    <xf numFmtId="0" fontId="61" fillId="45" borderId="5" xfId="0" applyFont="1" applyFill="1" applyBorder="1" applyAlignment="1">
      <alignment horizontal="center" vertical="center"/>
    </xf>
    <xf numFmtId="0" fontId="40" fillId="36" borderId="5" xfId="0" applyFont="1" applyFill="1" applyBorder="1" applyAlignment="1">
      <alignment horizontal="center" vertical="center"/>
    </xf>
    <xf numFmtId="0" fontId="38" fillId="36" borderId="5" xfId="0" applyFont="1" applyFill="1" applyBorder="1" applyAlignment="1">
      <alignment horizontal="left" vertical="center"/>
    </xf>
    <xf numFmtId="169" fontId="18" fillId="36" borderId="5" xfId="0" applyNumberFormat="1" applyFont="1" applyFill="1" applyBorder="1" applyAlignment="1">
      <alignment horizontal="right" vertical="center"/>
    </xf>
    <xf numFmtId="0" fontId="49" fillId="28" borderId="5" xfId="0" applyFont="1" applyFill="1" applyBorder="1" applyAlignment="1">
      <alignment horizontal="center" vertical="center"/>
    </xf>
    <xf numFmtId="0" fontId="53" fillId="33" borderId="5" xfId="0" applyFont="1" applyFill="1" applyBorder="1" applyAlignment="1">
      <alignment horizontal="center" vertical="center"/>
    </xf>
    <xf numFmtId="0" fontId="55" fillId="45" borderId="5" xfId="0" applyFont="1" applyFill="1" applyBorder="1" applyAlignment="1">
      <alignment horizontal="center" vertical="center"/>
    </xf>
    <xf numFmtId="169" fontId="16" fillId="23" borderId="5" xfId="0" applyNumberFormat="1" applyFont="1" applyFill="1" applyBorder="1" applyAlignment="1">
      <alignment horizontal="right" vertical="center"/>
    </xf>
    <xf numFmtId="3" fontId="31" fillId="32" borderId="5" xfId="0" applyNumberFormat="1" applyFont="1" applyFill="1" applyBorder="1" applyAlignment="1">
      <alignment horizontal="right" vertical="center"/>
    </xf>
    <xf numFmtId="0" fontId="0" fillId="0" borderId="4" xfId="0"/>
    <xf numFmtId="0" fontId="1" fillId="0" borderId="4" xfId="10"/>
    <xf numFmtId="0" fontId="1" fillId="0" borderId="4" xfId="10" applyAlignment="1">
      <alignment horizontal="left"/>
    </xf>
    <xf numFmtId="0" fontId="2" fillId="0" borderId="1" xfId="10" applyFont="1" applyBorder="1" applyAlignment="1">
      <alignment horizontal="left"/>
    </xf>
    <xf numFmtId="0" fontId="2" fillId="0" borderId="1" xfId="10" applyFont="1" applyBorder="1"/>
    <xf numFmtId="3" fontId="1" fillId="0" borderId="4" xfId="10" applyNumberFormat="1"/>
    <xf numFmtId="4" fontId="1" fillId="0" borderId="4" xfId="10" applyNumberFormat="1"/>
    <xf numFmtId="0" fontId="62" fillId="27" borderId="5" xfId="0" applyFont="1" applyFill="1" applyBorder="1" applyAlignment="1">
      <alignment horizontal="left" vertical="center"/>
    </xf>
    <xf numFmtId="165" fontId="63" fillId="27" borderId="5" xfId="0" applyNumberFormat="1" applyFont="1" applyFill="1" applyBorder="1" applyAlignment="1">
      <alignment horizontal="right" vertical="center"/>
    </xf>
    <xf numFmtId="2" fontId="64" fillId="32" borderId="5" xfId="0" applyNumberFormat="1" applyFont="1" applyFill="1" applyBorder="1" applyAlignment="1">
      <alignment horizontal="right" vertical="center"/>
    </xf>
    <xf numFmtId="0" fontId="14" fillId="34" borderId="4" xfId="0" applyFont="1" applyFill="1" applyAlignment="1">
      <alignment horizontal="center" vertical="center"/>
    </xf>
    <xf numFmtId="0" fontId="27" fillId="38" borderId="4" xfId="0" applyFont="1" applyFill="1" applyAlignment="1">
      <alignment horizontal="center" vertical="center"/>
    </xf>
    <xf numFmtId="0" fontId="0" fillId="0" borderId="0" xfId="0" applyBorder="1"/>
    <xf numFmtId="0" fontId="6" fillId="3" borderId="4" xfId="0" applyFont="1" applyFill="1" applyAlignment="1">
      <alignment horizontal="center" vertical="center"/>
    </xf>
    <xf numFmtId="0" fontId="0" fillId="0" borderId="4" xfId="0"/>
    <xf numFmtId="0" fontId="9" fillId="5" borderId="4" xfId="0" applyFont="1" applyFill="1" applyAlignment="1">
      <alignment horizontal="center" vertical="center"/>
    </xf>
    <xf numFmtId="0" fontId="9" fillId="12" borderId="4" xfId="0" applyFont="1" applyFill="1" applyAlignment="1">
      <alignment horizontal="center" vertical="center"/>
    </xf>
    <xf numFmtId="0" fontId="7" fillId="0" borderId="4" xfId="0" applyFont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" fillId="1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8" fillId="4" borderId="4" xfId="0" applyFont="1" applyFill="1" applyAlignment="1">
      <alignment horizontal="left" vertical="center" wrapText="1"/>
    </xf>
    <xf numFmtId="0" fontId="15" fillId="18" borderId="6" xfId="0" applyFont="1" applyFill="1" applyBorder="1" applyAlignment="1">
      <alignment horizontal="center" vertical="center"/>
    </xf>
    <xf numFmtId="0" fontId="0" fillId="0" borderId="3" xfId="0" applyBorder="1"/>
    <xf numFmtId="0" fontId="24" fillId="0" borderId="4" xfId="0" applyFont="1" applyAlignment="1">
      <alignment horizontal="left" vertical="center"/>
    </xf>
    <xf numFmtId="0" fontId="15" fillId="19" borderId="6" xfId="0" applyFont="1" applyFill="1" applyBorder="1" applyAlignment="1">
      <alignment horizontal="center" vertical="center"/>
    </xf>
    <xf numFmtId="0" fontId="15" fillId="20" borderId="6" xfId="0" applyFont="1" applyFill="1" applyBorder="1" applyAlignment="1">
      <alignment horizontal="center" vertical="center"/>
    </xf>
    <xf numFmtId="0" fontId="15" fillId="21" borderId="6" xfId="0" applyFont="1" applyFill="1" applyBorder="1" applyAlignment="1">
      <alignment horizontal="center" vertical="center"/>
    </xf>
    <xf numFmtId="0" fontId="14" fillId="18" borderId="4" xfId="0" applyFont="1" applyFill="1" applyAlignment="1">
      <alignment horizontal="center" vertical="center"/>
    </xf>
    <xf numFmtId="0" fontId="27" fillId="34" borderId="4" xfId="0" applyFont="1" applyFill="1" applyAlignment="1">
      <alignment horizontal="center" vertical="center"/>
    </xf>
    <xf numFmtId="0" fontId="27" fillId="40" borderId="4" xfId="0" applyFont="1" applyFill="1" applyAlignment="1">
      <alignment horizontal="center" vertical="center"/>
    </xf>
    <xf numFmtId="0" fontId="27" fillId="44" borderId="4" xfId="0" applyFont="1" applyFill="1" applyAlignment="1">
      <alignment horizontal="center" vertical="center"/>
    </xf>
    <xf numFmtId="0" fontId="15" fillId="46" borderId="5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14" fillId="22" borderId="4" xfId="0" applyFont="1" applyFill="1" applyAlignment="1">
      <alignment horizontal="center" vertical="center"/>
    </xf>
  </cellXfs>
  <cellStyles count="11">
    <cellStyle name="Normal" xfId="0" builtinId="0"/>
    <cellStyle name="Normal 10" xfId="9" xr:uid="{00000000-0005-0000-0000-000009000000}"/>
    <cellStyle name="Normal 11" xfId="10" xr:uid="{00000000-0005-0000-0000-00000A000000}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00000000-0005-0000-0000-000008000000}"/>
  </cellStyles>
  <dxfs count="18"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Caballero Blanco" refreshedDate="46230.635274884262" createdVersion="8" refreshedVersion="8" minRefreshableVersion="3" recordCount="693" xr:uid="{00000000-000A-0000-FFFF-FFFFE8000000}">
  <cacheSource type="worksheet">
    <worksheetSource ref="A3:HU696" sheet="FCST BASE SKU MACRO"/>
  </cacheSource>
  <cacheFields count="275">
    <cacheField name="ID" numFmtId="0">
      <sharedItems containsBlank="1" containsMixedTypes="1" containsNumber="1" containsInteger="1" minValue="3" maxValue="3"/>
    </cacheField>
    <cacheField name="Marca" numFmtId="0">
      <sharedItems count="17">
        <s v="Levo"/>
        <s v="Lhotse"/>
        <s v="Simplit"/>
        <s v="Xroad"/>
        <s v="Dynamo"/>
        <s v="T-Care"/>
        <s v="Bandú"/>
        <s v="Innovate-K"/>
        <s v="UMA"/>
        <s v="Total Levo" u="1"/>
        <s v="Total Lhotse" u="1"/>
        <s v="Total Simplit" u="1"/>
        <s v="Total Xroad" u="1"/>
        <s v="Dinamo Tools" u="1"/>
        <s v="Total Dinamo Tools" u="1"/>
        <s v="Total Bandú" u="1"/>
        <s v="Total Innovate-K" u="1"/>
      </sharedItems>
    </cacheField>
    <cacheField name="Categoria Padre" numFmtId="0">
      <sharedItems containsBlank="1" count="68">
        <s v="Accesorios"/>
        <s v="Perifericos de Computacion"/>
        <m/>
        <s v="Smart Home"/>
        <s v="Mochilas y Fundas"/>
        <s v="Telones y Proyectores"/>
        <s v="Pantallas"/>
        <s v="Soportes"/>
        <s v="Camping y Outdoor"/>
        <s v="Deporte"/>
        <s v="Audio Menor"/>
        <s v="Equipamiento"/>
        <s v="Hidratación"/>
        <s v="Video"/>
        <s v="Smartwatch"/>
        <s v="Accesorio Vestuario"/>
        <s v="Vestuario"/>
        <s v="Menaje de Cocina"/>
        <s v="Mundo Café"/>
        <s v="Organización"/>
        <s v="Cristalería y Bar"/>
        <s v="Electrodomésticos"/>
        <s v="Juegos de Mesa"/>
        <s v="Vajilla"/>
        <s v="Accesorios de Instalacion"/>
        <s v="Accesorios de Automovil"/>
        <s v="Herramientas y Mantenimiento"/>
        <s v="Accesorios de Viaje"/>
        <s v="Herramientas Eléctricas"/>
        <s v="Cuidado Personal"/>
        <s v="Accesorios de Bebe"/>
        <s v="Jueguetes de Rol"/>
        <s v="Juguetes de Armado"/>
        <s v="Juguetes de Motricidad"/>
        <s v="Gasfiteria"/>
        <s v="Hogar"/>
        <s v="Termos"/>
        <s v="Total Accesorios" u="1"/>
        <s v="Total Periféricos de Computacion" u="1"/>
        <s v="Total Smart Home" u="1"/>
        <s v="Total Mochilas y Fundas" u="1"/>
        <s v="Total Telones y Proyectores" u="1"/>
        <s v="Total Pantallas" u="1"/>
        <s v="Total Soportes" u="1"/>
        <s v="Total Camping y Outdoor" u="1"/>
        <s v="Total Deporte" u="1"/>
        <s v="Total Audio Menor" u="1"/>
        <s v="Total Equipamiento" u="1"/>
        <s v="Total Hidratación" u="1"/>
        <s v="Total Video" u="1"/>
        <s v="Total Smartwatch" u="1"/>
        <s v="Total Accesorio Vestuario" u="1"/>
        <s v="Total Vestuario" u="1"/>
        <s v="Total Menaje de Cocina" u="1"/>
        <s v="Total Mundo Café" u="1"/>
        <s v="Total Organización" u="1"/>
        <s v="Total Cristalería y Bar" u="1"/>
        <s v="Total Electrodomésticos" u="1"/>
        <s v="Total Juegos de Mesa" u="1"/>
        <s v="Total Vajilla" u="1"/>
        <s v="Total Accesorios de Instalacion" u="1"/>
        <s v="Total Accesorios de Automovil" u="1"/>
        <s v="Total Herramientas y Mantenimiento" u="1"/>
        <s v="Total Accesorios de Viaje" u="1"/>
        <s v="Total Herramientas Eléctricas" u="1"/>
        <s v="Total Cuidado Personal" u="1"/>
        <s v="Total Jugueteria" u="1"/>
        <s v="Camaras de Inspeccion" u="1"/>
      </sharedItems>
    </cacheField>
    <cacheField name="Categoria Hijo" numFmtId="0">
      <sharedItems containsBlank="1" count="90">
        <s v="Cargador Automovil"/>
        <s v="Cargador de Celular"/>
        <s v="Cable Cargador"/>
        <s v="Dispositivo Multipuerto"/>
        <s v="Gaming"/>
        <m/>
        <s v="Oficina"/>
        <s v="Aspiradoras"/>
        <s v="Cámaras de automovil"/>
        <s v="Pesas Digitales"/>
        <s v="Cámaras de seguridad"/>
        <s v="Citofonia"/>
        <s v="Mochilas"/>
        <s v="Fundas"/>
        <s v="Proyectores"/>
        <s v="Telones Proyector"/>
        <s v="Monitores"/>
        <s v="Pantallas Publicitarias"/>
        <s v="Soportes de Television"/>
        <s v="Soporte Computacion"/>
        <s v="Pick Up Pads"/>
        <s v="Accesorios fitness"/>
        <s v="Audífonos"/>
        <s v="Parlantes"/>
        <s v="Bananos"/>
        <s v="Maletas"/>
        <s v="Bolsos deportivos"/>
        <s v="Neceser"/>
        <s v="Botellas Termicas"/>
        <s v="Termos líquidos"/>
        <s v="Tazas y vasos"/>
        <s v="Cámaras de acción"/>
        <s v="Smartband"/>
        <s v="Smartwatch"/>
        <s v="Jockey"/>
        <s v="Toalla"/>
        <s v="Calcetines"/>
        <s v="Pantuflas"/>
        <s v="Poleras y Primeras Capas"/>
        <s v="Polar y Polerones"/>
        <s v="Parkas e Impermeables"/>
        <s v="Pantalones y Shorts"/>
        <s v="Calzas y Petos"/>
        <s v="Baterías de cocina"/>
        <s v="Mantequilleros"/>
        <s v="Sartenes y Ollas"/>
        <s v="Termos de comida"/>
        <s v="Utensilios de cocina"/>
        <s v="Cuchilleria"/>
        <s v="Cafeteras"/>
        <s v="Contenedores"/>
        <s v="Tazas"/>
        <s v="Especieros"/>
        <s v="Secadores de platos"/>
        <s v="Basureros"/>
        <s v="Cubetas de hielo"/>
        <s v="Vasos"/>
        <s v="Bar"/>
        <s v="Espumadores"/>
        <s v="Juegos de Mesa"/>
        <s v="Alcuzas"/>
        <s v="Juego de Loza"/>
        <s v="Loza Granel"/>
        <s v="Fuentes"/>
        <s v="Toldos y Carpas"/>
        <s v="Barras y Portaequipajes"/>
        <s v="Sensores de retroceso"/>
        <s v="Cobertores y Tapices"/>
        <s v="Seguridad"/>
        <s v="Lavado y Limpieza"/>
        <s v="Herramientas de Asistencia"/>
        <s v="Accesorios de Camping"/>
        <s v="Otras"/>
        <s v="Taladro y Atornilladores"/>
        <s v="Afeitadoras"/>
        <s v="Secadores"/>
        <s v="Alisadores"/>
        <s v="Accesorios de Bebe"/>
        <s v="Cocina y Accesorios"/>
        <s v="Juegos de Oficio"/>
        <s v="Maquillaje y Belleza"/>
        <s v="Sets de Construccion"/>
        <s v="Pistas y Vehiculos"/>
        <s v="Andador y Correpasillos"/>
        <s v="Escalada y Equilibrio"/>
        <s v="Didacticos"/>
        <s v="Baroscopios"/>
        <s v="Accesorios de Baño"/>
        <s v="Botellas Plasticas"/>
        <s v="Accesorios camping" u="1"/>
      </sharedItems>
    </cacheField>
    <cacheField name="Sku Padre" numFmtId="0">
      <sharedItems containsBlank="1" containsMixedTypes="1" containsNumber="1" containsInteger="1" minValue="1479750635184" maxValue="69746014453052"/>
    </cacheField>
    <cacheField name="Sku" numFmtId="0">
      <sharedItems containsBlank="1" containsMixedTypes="1" containsNumber="1" containsInteger="1" minValue="1479750635184" maxValue="69746014453052" count="720">
        <n v="1652825203439"/>
        <n v="1650299083874"/>
        <s v="LVCAR25W-WH"/>
        <s v="LVCAR25W-BK"/>
        <s v="LVCAR45W-WH"/>
        <s v="LVCAR45W-BK"/>
        <s v="LVCABTC-WH"/>
        <s v="LVCABTC-BK"/>
        <s v="LVCABTCLIGH-WH"/>
        <s v="LVHUBMP-5"/>
        <s v="LVHUBMP-6"/>
        <n v="1659990788079"/>
        <s v="LVCONJOY-RB"/>
        <n v="1659990828178"/>
        <n v="66436804863605"/>
        <s v="LVAUDGM-BK"/>
        <s v="LVAUDGM-WH"/>
        <s v="LVMPADXXL-BK"/>
        <s v="LVMPADOFS-BK"/>
        <s v="LVMPADBML-BK"/>
        <s v="LVTECMCC-BK"/>
        <s v="LVTECMCL-BK"/>
        <s v="LVMSGMNS-BK"/>
        <m/>
        <n v="1479750635184"/>
        <n v="1658329968514"/>
        <s v="LVMICPORT"/>
        <s v="LVTECOFSL-GR"/>
        <s v="LVMSVEL-GR"/>
        <n v="67898087132855"/>
        <s v="LVSILLERGO-BL"/>
        <s v="LVSILLLIT-BL"/>
        <n v="1652825027456"/>
        <n v="67327559384453"/>
        <n v="1538141129434"/>
        <n v="1543406075297"/>
        <s v="LVCAMSEGEX-BK"/>
        <s v="LVCITMONWF"/>
        <n v="1659999392257"/>
        <n v="1659999410637"/>
        <s v="LVMOMA-BK"/>
        <s v="LVMOMA-GR"/>
        <s v="LVMOWO-BK"/>
        <s v="LVMOVITR-BK"/>
        <s v="LVMOPRL-BK"/>
        <s v="LVMOVEL-BK"/>
        <s v="LVFUEX-BK"/>
        <s v="LVFUEX-GR"/>
        <s v="LVFNOTHS13-BK"/>
        <s v="LVFNOTHS15-BK"/>
        <s v="LVPROLUM"/>
        <s v="LVPROORI"/>
        <s v="LVPRONOV"/>
        <s v="LVPROHEX"/>
        <n v="1659991971809"/>
        <s v="LVTEL-80"/>
        <n v="1659991999728"/>
        <s v="LVTELBK-100"/>
        <s v="LVTELBK-80"/>
        <s v="LVTELBK-60"/>
        <s v="LVTELELE-100"/>
        <s v="LVTELELE-80"/>
        <s v="LVTELELE-60"/>
        <s v="LVTELRETR-100"/>
        <s v="LVMONPOR-15"/>
        <s v="LVMONEXV-15"/>
        <s v="LVPANTOTPUB-43"/>
        <s v="LVPANTOTPUB-50"/>
        <s v="LVSPTVUN"/>
        <s v="LVSPBRX2MN"/>
        <s v="LVSPALZNPLE"/>
        <n v="1615383366170"/>
        <n v="1571423280815"/>
        <n v="1615383407099"/>
        <n v="1627416841030"/>
        <n v="1592492799236"/>
        <n v="1564150661249"/>
        <n v="1566335721736"/>
        <n v="1564150627423"/>
        <n v="1597086499840"/>
        <n v="1597098592591"/>
        <n v="68658866289861"/>
        <n v="68658868763602"/>
        <s v="LHHEDBEMA-BK"/>
        <s v="LHHEDBEMA-KH"/>
        <s v="LHAUDTUNAIR-BK"/>
        <s v="LHAUDFIBUD-BK"/>
        <s v="LHHEDWEPR-BK"/>
        <s v="LHHEDWEPR-KH"/>
        <s v="LHRMPLU-WH"/>
        <s v="LHRMPLU-BK"/>
        <n v="67898461965813"/>
        <n v="67933831843970"/>
        <n v="67933833934278"/>
        <n v="67933835121467"/>
        <n v="67933835988925"/>
        <s v="LHPARTRGO-BK"/>
        <s v="LHPARTRGO-GR"/>
        <s v="LHPARTRGO-RD"/>
        <s v="LHPARTRGO-BL"/>
        <s v="LHPARPULS-BK"/>
        <s v="LHPARPULS-GR"/>
        <s v="LHPARPULS-RD"/>
        <s v="LHPARPULS-BL"/>
        <s v="LHPARJOUR-BK"/>
        <s v="LHPARJOUR-BL"/>
        <n v="1623703942966"/>
        <s v="LHBANHIM-BK"/>
        <s v="LHBANHIM-BL"/>
        <s v="LHBANHIM-RD"/>
        <s v="LHBANK2BK"/>
        <s v="LHMALEXPBK-90"/>
        <s v="LHMALEXPBK-70"/>
        <s v="LHMALEXPBK-30"/>
        <n v="1623703861303"/>
        <s v="LHBOLDUFNV-60"/>
        <s v="LHBOLDUFGR-60"/>
        <s v="LHBOLDUFBK-60"/>
        <s v="LHBOLDUFNV-30"/>
        <s v="LHBOLDUFGR-30"/>
        <s v="LHBOLDUFBK-30"/>
        <s v="LHMALFRONT-S"/>
        <s v="LHMALFRONT-M"/>
        <s v="LHMALFRONT-L"/>
        <s v="LHNECKHUM-BK"/>
        <s v="LHNECKHUM-GR"/>
        <s v="LHNECTRRIM-BK"/>
        <n v="1566849947902"/>
        <n v="1661873799978"/>
        <n v="1661873818029"/>
        <s v="LHMOMAK-BK"/>
        <s v="LHMOMAK-GR"/>
        <s v="LHMOPUM-BK"/>
        <s v="LHMOPUM-GR"/>
        <s v="LHMOVINOM-BK"/>
        <s v="LHMOCLATK-BK"/>
        <s v="LHMOCLATK-BU"/>
        <n v="1623703728452"/>
        <n v="1623703690011"/>
        <s v="LHMOBI001-BK"/>
        <s v="LHMOBROBK"/>
        <s v="LHBOADV-BK"/>
        <s v="LHBOADV-BL"/>
        <s v="LHBOADV-PK"/>
        <s v="LHBOADV-WH"/>
        <s v="LHBOHY95-LY"/>
        <s v="LHBOHY95-PK"/>
        <s v="LHTPHY01"/>
        <s v="LHTRMU-BK"/>
        <s v="LHTRMU-BL"/>
        <s v="LHTRMU-GR"/>
        <s v="LHTRMU-PK"/>
        <s v="LHTRMU-WH"/>
        <s v="LHBOIND-BK"/>
        <s v="LHBOIND-LY"/>
        <s v="LHBOIND-RD"/>
        <s v="LHBOHYCO-BK"/>
        <s v="LHBOHYCO-BG"/>
        <s v="LHBOHYCO-PK"/>
        <s v="LHBOHYCO-NY"/>
        <s v="LHBOHYCO-GR"/>
        <s v="LHSHNUCO-BK"/>
        <s v="LHSHNUCO-PK"/>
        <s v="LHSHNUCO-GR"/>
        <s v="LHSHNUCO-BG"/>
        <s v="LHSHNUCO-NY"/>
        <s v="LHBIGMU-BL"/>
        <s v="LHBIGMU-CR"/>
        <s v="LHBIGMU-PK"/>
        <s v="LHBIGMU-CRN"/>
        <s v="LHBIGMU-PKN"/>
        <s v="LHBIGMU-PPN"/>
        <s v="LHBIGMU-GRN"/>
        <s v="LHBIGMU-BKN"/>
        <s v="LHBIGMU-BLN"/>
        <s v="LHBOHYTK750-BK"/>
        <s v="LHBOHYTK750-PK"/>
        <s v="LHBOHYTK750-GR"/>
        <s v="LHBOHYTK750-NY"/>
        <s v="LHBOHYTK750-BG"/>
        <s v="LHMUTER590-BK"/>
        <s v="LHMUTER590-PK"/>
        <s v="LHMUTER590-GR"/>
        <s v="LHMUTER590-BG"/>
        <s v="LHMUTER590-NY"/>
        <s v="LHTHCLA-BK"/>
        <s v="LHTHCLA-GR"/>
        <s v="LHTHCLA-PK"/>
        <s v="LHTHCLA-WH"/>
        <s v="LHVACAM-BK"/>
        <s v="LHVACAM-PK"/>
        <s v="LHVACAM-RD"/>
        <s v="LHVACAM-WH"/>
        <s v="LHMAMU-BK"/>
        <s v="LHMAMU-GR"/>
        <s v="LHMAMU-PK"/>
        <s v="LHMAMU-RD"/>
        <s v="LHMAMU-WH"/>
        <s v="LHMAMU-LPK"/>
        <s v="LHCAMU-BK"/>
        <s v="LHCAMU-BL"/>
        <s v="LHCAMU-GR"/>
        <s v="LHCAMU-WH"/>
        <s v="LHCAMACXPL"/>
        <s v="LHCAMACSUM"/>
        <s v="LHSWFLOBK"/>
        <s v="LHSWFLOPK"/>
        <n v="1652824924113"/>
        <n v="1639085706913"/>
        <n v="1652824942453"/>
        <n v="1652824957424"/>
        <s v="LHSWVIBBK"/>
        <s v="LHSWVIBCR"/>
        <s v="LHSWRHYX10-BK"/>
        <s v="LHSWRHYX10-PK"/>
        <s v="LHSWMOVON7-PK"/>
        <n v="1639085745522"/>
        <n v="1639085755244"/>
        <n v="1639085763857"/>
        <s v="LHSWSHAR-BK"/>
        <s v="LHSWSHAR-PK"/>
        <s v="LHSWSHAR-CR"/>
        <s v="LHJOKTRE-BK"/>
        <s v="LHJOKTRE-OR"/>
        <s v="LHJOKTRE-GR"/>
        <s v="LHJOKHIK-BK"/>
        <s v="LHJOKHIK-GB"/>
        <s v="LHJOKFLF-GR"/>
        <s v="LHJOKFLF-BL"/>
        <s v="LHJOKRD-GR"/>
        <s v="LHJOKRD-ML"/>
        <s v="LHJOKWV-GR"/>
        <s v="LHJOKWV-BK"/>
        <s v="LHTOAMIC-LIL"/>
        <s v="LHTOAMIC-BL"/>
        <s v="LHCALTOBGRS-M"/>
        <s v="LHCALTOBGRL-XL"/>
        <s v="LHCALTOBGRES-M"/>
        <s v="LHCALTOBGREL-XL"/>
        <s v="LHCALTOBBKS-M"/>
        <s v="LHCALTOBBKL-XL"/>
        <s v="LHCALBAJGRMS-M"/>
        <s v="LHCALBAJGRML-XL"/>
        <s v="LHCALBAJBKS-M"/>
        <s v="LHCALBAJBKL-XL"/>
        <s v="LHCALBAJWHS-M"/>
        <s v="LHCALBAJWHL-XL"/>
        <s v="LHCALMEDGRMS-M"/>
        <s v="LHCALMEDGRML-XL"/>
        <s v="LHCALMEDBLS-M"/>
        <s v="LHCALMEDBLL-XL"/>
        <s v="LHCALMEDEAS-M"/>
        <s v="LHCALMEDEAL-XL"/>
        <s v="LHPANCLOGR38-39"/>
        <s v="LHPANIMBKCM36-37"/>
        <s v="LHPANIMBKCM38-39"/>
        <s v="LHPANIMBKCM40-41"/>
        <s v="LHPANIMBKCM42-43"/>
        <s v="LHPANIMBKCM44-45"/>
        <s v="LHPANIMBKBK36-37"/>
        <s v="LHPANIMBKBK38-39"/>
        <s v="LHPANIMBKBK40-41"/>
        <s v="LHPANIMBKBK42-43"/>
        <s v="LHPANIMBKBK44-45"/>
        <s v="LHPANIMPK34-35"/>
        <s v="LHPANIMPK36-37"/>
        <s v="LHPANIMPK38-39"/>
        <s v="LHPANIMPK40-41"/>
        <s v="LHPANIMSLIL34-35"/>
        <s v="LHPANIMSLIL36-37"/>
        <s v="LHPANIMSLIL38-39"/>
        <s v="LHPANIMSLIL40-41"/>
        <s v="LHPANIMSGR36-37"/>
        <s v="LHPANIMSGR38-39"/>
        <s v="LHPANIMSGR40-41"/>
        <s v="LHPANIMSGR42-43"/>
        <s v="LHPANIMSGR44-45"/>
        <s v="LTW25-MFL01S-BK"/>
        <s v="LTW25-MFL01M-BK"/>
        <s v="LTW25-MFL01L-BK"/>
        <s v="LTW25-MFL01XL-BK"/>
        <s v="LTW25-MTS02S-BG"/>
        <s v="LTW25-MTS02M-BG"/>
        <s v="LTW25-MTS02L-BG"/>
        <s v="LTW25-MTS02XL-BG"/>
        <s v="LTW25-MTS02S-GRY"/>
        <s v="LTW25-MTS02M-GRY"/>
        <s v="LTW25-MTS02L-GRY"/>
        <s v="LTW25-MTS02S-GR"/>
        <s v="LTW25-MTS02M-GR"/>
        <s v="LTW25-MTS02L-GR"/>
        <s v="LTW25-MTS02XL-GR"/>
        <s v="LTW25-MKF03S-BK"/>
        <s v="LTW25-MKF03M-BK"/>
        <s v="LTW25-MKF03L-BK"/>
        <s v="LTW25-MKF03S-GR"/>
        <s v="LTW25-MKF03M-GR"/>
        <s v="LTW25-MKF03L-GR"/>
        <s v="LTW25-MKF03XL-GR"/>
        <s v="LTW25-MKF04S-BL"/>
        <s v="LTW25-MKF04M-BL"/>
        <s v="LTW25-MKF04L-BL"/>
        <s v="LTW25-MKF04XL-BL"/>
        <s v="LTW25-MKF04S-BK"/>
        <s v="LTW25-MKF04M-BK"/>
        <s v="LTW25-MKF04L-BK"/>
        <s v="LTW25-MKF04XL-BK"/>
        <s v="LTW25-MKF05S-BL"/>
        <s v="LTW25-MKF05M-BL"/>
        <s v="LTW25-MKF05L-BL"/>
        <s v="LTW25-MKF05XL-BL"/>
        <s v="LTW25-MKF05S-BK"/>
        <s v="LTW25-MKF05M-BK"/>
        <s v="LTW25-MKF05L-BK"/>
        <s v="LTW25-MKF05XL-BK"/>
        <s v="LTW25-MSW06S-GRY"/>
        <s v="LTW25-MSW06M-GRY"/>
        <s v="LTW25-MSW06L-GRY"/>
        <s v="LTW25-MSW06XL-GRY"/>
        <s v="LTW25-MSW06S-GR"/>
        <s v="LTW25-MSW06M-GR"/>
        <s v="LTW25-MSW06L-GR"/>
        <s v="LTW25-MSW06XL-GR"/>
        <s v="LTW25-MKF07S-GR"/>
        <s v="LTW25-MKF07M-GR"/>
        <s v="LTW25-MKF07L-GR"/>
        <s v="LTW25-MKF07XL-GR"/>
        <s v="LTW25-MKF07S-ECRU"/>
        <s v="LTW25-MKF07M-ECRU"/>
        <s v="LTW25-MKF07L-ECRU"/>
        <s v="LTW25-MKF07XL-ECRU"/>
        <s v="LTW25-MPK08S-BK"/>
        <s v="LTW25-MPK08M-BK"/>
        <s v="LTW25-MPK08L-BK"/>
        <s v="LTW25-MPK08S-GR"/>
        <s v="LTW25-MPK08M-GR"/>
        <s v="LTW25-MPK08L-GR"/>
        <s v="LTW25-MPK08XL-GR"/>
        <s v="LTW25-MPK10S-BK"/>
        <s v="LTW25-MPK10M-BK"/>
        <s v="LTW25-MPK10L-BK"/>
        <s v="LTW25-MPK10XL-BK"/>
        <s v="LTW25-MPT1140-GRY"/>
        <s v="LTW25-MPT1142-GRY"/>
        <s v="LTW25-MPT1144-GRY"/>
        <s v="LTW25-MPT1140-GR"/>
        <s v="LTW25-MPT1142-GR"/>
        <s v="LTW25-MPT1144-GR"/>
        <s v="LTW25-MPT1146-GR"/>
        <s v="LTW25-MPK09S-BK"/>
        <s v="LTW25-MPK09M-BK"/>
        <s v="LTW25-MPK09L-BK"/>
        <s v="LTW25-MPK09S-BL"/>
        <s v="LTW25-MPK09M-BL"/>
        <s v="LTW25-MPK09L-BL"/>
        <s v="LTS26-MTS01S-GR"/>
        <s v="LTS26-MTS01M-GR"/>
        <s v="LTS26-MTS01L-GR"/>
        <s v="LTS26-MTS01XL-GR"/>
        <s v="LTS26-MTS01S-BL"/>
        <s v="LTS26-MTS01M-BL"/>
        <s v="LTS26-MTS01L-BL"/>
        <s v="LTS26-MTS01XL-BL"/>
        <s v="LTS26-MTS01S-BK"/>
        <s v="LTS26-MTS01M-BK"/>
        <s v="LTS26-MTS01L-BK"/>
        <s v="LTS26-MTS01XL-BK"/>
        <s v="LTS26-MTS02BDS-BK"/>
        <s v="LTS26-MTS02BDM-BK"/>
        <s v="LTS26-MTS02BDL-BK"/>
        <s v="LTS26-MTS02BDXL-BK"/>
        <s v="LTS26-MTS02BMYS-PK"/>
        <s v="LTS26-MTS02BMYM-PK"/>
        <s v="LTS26-MTS02BMYL-PK"/>
        <s v="LTS26-MTS02BMYXL-PK"/>
        <s v="LTS26-MTS02BES-BG"/>
        <s v="LTS26-MTS02BEM-BG"/>
        <s v="LTS26-MTS02BEL-BG"/>
        <s v="LTS26-MTS02BEXL-BG"/>
        <s v="LTS26-MTS02BLS-GY"/>
        <s v="LTS26-MTS02BLM-GY"/>
        <s v="LTS26-MTS02BLL-GY"/>
        <s v="LTS26-MTS02BLXL-GY"/>
        <s v="LTS26-MTS02BMUS-GR"/>
        <s v="LTS26-MTS02BMUM-GR"/>
        <s v="LTS26-MTS02BMUL-GR"/>
        <s v="LTS26-MTS02BMUXL-GR"/>
        <s v="LTS26-MSW03OR-S"/>
        <s v="LTS26-MSW03OR-M"/>
        <s v="LTS26-MSW03OR-L"/>
        <s v="LTS26-MSW03OR-XL"/>
        <s v="LTS26-MSW03MY-S"/>
        <s v="LTS26-MSW03MY-M"/>
        <s v="LTS26-MSW03MY-L"/>
        <s v="LTS26-MSW03MY-XL"/>
        <s v="LTS26-MWS0640-BK"/>
        <s v="LTS26-MWS0642-BK"/>
        <s v="LTS26-MWS0644-BK"/>
        <s v="LTS26-MWS0646-BK"/>
        <s v="LTS26-MWS0640-GR"/>
        <s v="LTS26-MWS0642-GR"/>
        <s v="LTS26-MWS0644-GR"/>
        <s v="LTS26-MWS0646-GR"/>
        <s v="LTS26-WSB01S-BK"/>
        <s v="LTS26-WSB01M-BK"/>
        <s v="LTS26-WSB01L-BK"/>
        <s v="LTS26-WSB01XL-BK"/>
        <s v="LTS26-WSB01S-TL"/>
        <s v="LTS26-WSB01M-TL"/>
        <s v="LTS26-WSB01L-TL"/>
        <s v="LTS26-WSB01XL-TL"/>
        <s v="LTS26-WLG03S-BK"/>
        <s v="LTS26-WLG03M-BK"/>
        <s v="LTS26-WLG03L-BK"/>
        <s v="LTS26-WLG03XL-BK"/>
        <s v="LTS26-WLG03S-TL"/>
        <s v="LTS26-WLG03M-TL"/>
        <s v="LTS26-WLG03L-TL"/>
        <s v="LTS26-WLG03XL-TL"/>
        <s v="LTS26-WPT0638-BK"/>
        <s v="LTS26-WPT0640-BK"/>
        <s v="LTS26-WPT0642-BK"/>
        <s v="LTS26-WPT0644-BK"/>
        <s v="LTS26-WPT0638-PT"/>
        <s v="LTS26-WPT0640-PT"/>
        <s v="LTS26-WPT0642-PT"/>
        <s v="LTS26-WPT0644-PT"/>
        <s v="LTS26-WKF04S-BK"/>
        <s v="LTS26-WKF04M-BK"/>
        <s v="LTS26-WKF04L-BK"/>
        <s v="LTS26-WKF04XL-BK"/>
        <s v="LTS26-WKF04S-PK"/>
        <s v="LTS26-WKF04M-PK"/>
        <s v="LTS26-WKF04L-PK"/>
        <s v="LTS26-WKF04XL-PK"/>
        <s v="LTS26-WLG02S-BK"/>
        <s v="LTS26-WLG02M-BK"/>
        <s v="LTS26-WLG02L-BK"/>
        <s v="LTS26-WLG02XL-BK"/>
        <s v="LTS26-WLG02S-TL"/>
        <s v="LTS26-WLG02M-TL"/>
        <s v="LTS26-WLG02L-TL"/>
        <s v="LTS26-WLG02XL-TL"/>
        <n v="1635956574926"/>
        <n v="1634845754276"/>
        <s v="SIMBATORG-BK"/>
        <s v="SMBATCOPBK"/>
        <s v="SMBATSAV9-CR"/>
        <s v="SIMBATOTOUL"/>
        <s v="SMBATOXBK"/>
        <s v="SMBATOXCR"/>
        <s v="SMBATPMGR"/>
        <s v="SMBATLCGR"/>
        <n v="1660858101318"/>
        <s v="SIMMANCC-BK"/>
        <n v="1660858118518"/>
        <n v="1635956592996"/>
        <n v="1635956597983"/>
        <n v="66800469437952"/>
        <n v="66800471275549"/>
        <n v="66800472805184"/>
        <n v="68142280732690"/>
        <n v="1629726091782"/>
        <n v="1629726117626"/>
        <n v="1639488921197"/>
        <n v="1660858025311"/>
        <s v="SIMTABCUT-WD"/>
        <s v="SIMCUROM-30"/>
        <s v="SIMCUPGL-30"/>
        <s v="SIMCUVER-CR"/>
        <s v="SIMCUVER-WO"/>
        <s v="SIMCUPAR-BK"/>
        <s v="SIMCUCER-24"/>
        <s v="SIMCUMAR-WO"/>
        <s v="SIMCUMAR-BK"/>
        <s v="SIMCUPRO-4"/>
        <s v="SIMCUSTA-5"/>
        <s v="SIMCUKUC-5"/>
        <s v="SIMCUHOL-5"/>
        <s v="SIMCENVER-CR"/>
        <s v="SIMO28TOUL"/>
        <n v="1630369674271"/>
        <n v="1629726159155"/>
        <n v="1652825295706"/>
        <s v="SIMCAFFRCO"/>
        <s v="SMCFIT4LC-GR"/>
        <s v="SMCFIT4SV-WH"/>
        <s v="SMCFIT12LC-GR"/>
        <s v="SMCFIT12SV-WH"/>
        <s v="SMCONTCAFMI"/>
        <n v="1654207295633"/>
        <n v="1654207307551"/>
        <n v="1654207333519"/>
        <n v="1660858266475"/>
        <n v="67951423489593"/>
        <n v="67951425161311"/>
        <n v="1645629782262"/>
        <n v="1654207748340"/>
        <n v="1660858416606"/>
        <n v="1627418212924"/>
        <n v="1660859287583"/>
        <n v="67327712330533"/>
        <n v="1660858756233"/>
        <n v="1660858776726"/>
        <n v="1660858793429"/>
        <n v="1660858812938"/>
        <n v="1660858828618"/>
        <n v="1660858844449"/>
        <n v="1660859102915"/>
        <s v="SIMTUPSILBEI"/>
        <s v="SIMTUPSILBL"/>
        <s v="SIMTUPSILGR"/>
        <s v="SIMTUPSILRD"/>
        <n v="1650295261109"/>
        <n v="1654189204021"/>
        <n v="1654189048611"/>
        <n v="1650295282448"/>
        <s v="SIMOREXBAS-WD"/>
        <s v="SIM4FRHRDUB-WD"/>
        <s v="SIMOREXOSL-WD"/>
        <n v="1627418180602"/>
        <n v="1660857800718"/>
        <n v="1660858702400"/>
        <s v="SIMMOLVER-WD"/>
        <n v="1660858341796"/>
        <n v="1660858356962"/>
        <n v="68540048936286"/>
        <n v="68540051413139"/>
        <s v="SIMSECBILBK"/>
        <s v="SIMSECBILWH"/>
        <s v="SIMSECVALBK"/>
        <s v="SIMSECVALWH"/>
        <s v="SIMBACOIR-40"/>
        <s v="SIMBACOUR-30"/>
        <s v="SIMBACOHA-55"/>
        <s v="SIMBASLUC-GR"/>
        <s v="SIMBASLIV-BK"/>
        <n v="66800507665930"/>
        <n v="66800506435054"/>
        <n v="66800509015029"/>
        <n v="66800510263382"/>
        <n v="67933856404072"/>
        <n v="67933857637909"/>
        <n v="67933859111971"/>
        <n v="67933863068841"/>
        <n v="1650298908518"/>
        <n v="1654207372101"/>
        <s v="SMVABOR4"/>
        <n v="1654207352499"/>
        <n v="1660857914743"/>
        <n v="67933854599885"/>
        <n v="67933860407346"/>
        <n v="67933861722733"/>
        <s v="SIMCOPESPMON"/>
        <s v="SIMCOPVINPIAM"/>
        <s v="SIMCOPVINALSA"/>
        <s v="SIMCOPGINLDN"/>
        <s v="SIMVASLARGINE"/>
        <s v="SIMVASCORGINE"/>
        <s v="SIMDESSOM"/>
        <s v="SIMDECCHA"/>
        <s v="SIMDECROU"/>
        <s v="SIMHIECHAR"/>
        <n v="1660859171584"/>
        <n v="68432930518995"/>
        <n v="1628018206370"/>
        <n v="1659989549286"/>
        <s v="SIMJULZSIE-30"/>
        <s v="SIMJULZAMA-16"/>
        <s v="SIMJULZAMA-24"/>
        <s v="SIMJULZTOS-12"/>
        <s v="SIMJULZBRU-30"/>
        <s v="SIMJULZOPO-30"/>
        <s v="SIMPLSIE-4"/>
        <s v="SIMBOWSIE-4"/>
        <s v="SIMTAZSIE-4"/>
        <s v="SIMPLAMA-4"/>
        <s v="SIMBOWAMA-4"/>
        <s v="SIMBOWTAZ-4"/>
        <s v="SIMTAZPAL-2"/>
        <n v="1661872956577"/>
        <n v="1659991481176"/>
        <n v="1650302269777"/>
        <s v="XRTOLLAT270-BG"/>
        <n v="1650301031879"/>
        <s v="XRBARRUN-122"/>
        <s v="XRBARRUN-129"/>
        <s v="XRBARRUN-139"/>
        <n v="1650302273911"/>
        <s v="XRPARREQ-BK"/>
        <n v="69746014453052"/>
        <s v="XRBOLBL-430"/>
        <s v="XRBOLBL-410"/>
        <n v="1660859424566"/>
        <s v="XRCOBSUV-BS"/>
        <s v="XRCOBMOT-BS"/>
        <n v="1656603353038"/>
        <s v="XRPISUNIS-BK"/>
        <s v="XRPISUNIS3-BK"/>
        <s v="XRFUNCASUN-BK"/>
        <s v="XRCADCANRR"/>
        <s v="XRHYDLAV-OR"/>
        <s v="XRPARTBAT-GR"/>
        <s v="XRCOOLPORT-GR"/>
        <s v="XRCOOLPORT40-GR"/>
        <s v="XRCOOLPORT20-GR"/>
        <s v="XRCOOLPOR50-BK"/>
        <s v="XRCOOLPORTF40-GR"/>
        <s v="XRESTAENER-OG"/>
        <s v="XRCARINF34-CL"/>
        <s v="XRCARINF68-CL"/>
        <s v="XRCARAA10-CL"/>
        <s v="XRQUITCD-CL"/>
        <s v="XRCOLINF2P-CL"/>
        <s v="XRCARRTRACT-CL"/>
        <s v="DYNHYDLA"/>
        <s v="DYNLLAIMP"/>
        <s v="DYNTALSPER"/>
        <s v="DYNTALSCA"/>
        <s v="DYNTALPOW"/>
        <s v="DYNTALCPER"/>
        <s v="DYNTALIMPA"/>
        <s v="TCRANEBL"/>
        <s v="TCAFSKIFL"/>
        <s v="TCMULTSTY5N1"/>
        <s v="TCMULTSTY5N1-BG"/>
        <s v="TCALSCAEGL-PP"/>
        <s v="BDBBYCHK"/>
        <s v="BDCOCGRND"/>
        <s v="BDCOCMEDI"/>
        <s v="BDCOCPQMD"/>
        <s v="BDCOCMIN"/>
        <s v="BDSETPAST"/>
        <s v="BDELECTCOC"/>
        <s v="BDSETDOC"/>
        <s v="BDSETLIMP"/>
        <s v="BDPZMG2E1"/>
        <s v="BDCASMUÑEC-WD"/>
        <s v="BDPKMESILL"/>
        <s v="BDSETMAQ"/>
        <s v="BDTOCMD-WH"/>
        <s v="BDMESHERRA"/>
        <s v="BDJUETRE"/>
        <s v="BDHELMAD"/>
        <s v="BDJUEAUT"/>
        <s v="BDANDDIDAC-GR"/>
        <s v="BDANDDIDAC-PK"/>
        <s v="BNANDCONTRU"/>
        <s v="BDMROBLDESC"/>
        <s v="BDGIMPIK"/>
        <s v="BDSILLEVREG"/>
        <s v="BDTORRAPR"/>
        <s v="BDGMNMVBB"/>
        <s v="BDMESDIDAC"/>
        <s v="BDMBAVTHIE"/>
        <s v="BDMBMNMRIO"/>
        <s v="BDMBSPAVMRIO"/>
        <s v="BDMBBOESP"/>
        <s v="BDMBCIUMG"/>
        <n v="1661877072053"/>
        <s v="INNCAMINSH5512-20"/>
        <s v="INNCAMINSH3-70"/>
        <s v="INNCAMINSH5-20"/>
        <s v="INNCAMINSH6-40"/>
        <s v="INCAMINS92-40"/>
        <n v="1661877043628"/>
        <s v="INNCAMINS-96"/>
        <s v="INNCAMINS-7F"/>
        <s v="INNCAMINS-U9"/>
        <n v="1571055493973"/>
        <s v="MTBOBIC450"/>
        <s v="MTBOBMA450"/>
        <s v="MTBOBBA450"/>
        <s v="MTBOHWRA450"/>
        <s v="MTBOHWCL450"/>
        <s v="MTBOHWTR450"/>
        <s v="MTVTUMBPR590"/>
        <s v="MTVTUMBLO590"/>
        <s v="MTVTUMBDR590"/>
        <s v="MTVTUMBVI590"/>
        <s v="MTBOBSHI590"/>
        <s v="MTBOBINS590"/>
        <s v="MTBOHWFA590"/>
        <s v="MTBOHWCOM590"/>
        <s v="MTTCBFRI450"/>
        <s v="MTTCBFUN450"/>
        <s v="MTTCHWTRU330"/>
        <s v="MTTCHWCLA330"/>
        <s v="MTBOBPET420"/>
        <s v="MTBOBLOV420"/>
        <s v="MTBOHWMON420"/>
        <s v="MTBOHWRAC420"/>
        <n v="1659990807310" u="1"/>
        <n v="1748316345017" u="1"/>
        <n v="1513614057219" u="1"/>
        <n v="67898463643999" u="1"/>
        <n v="1656603804695" u="1"/>
        <n v="1656603823688" u="1"/>
        <n v="1661873760641" u="1"/>
        <n v="1659992478281" u="1"/>
        <n v="1659992503614" u="1"/>
        <n v="68321385498620" u="1"/>
        <n v="1627418225537" u="1"/>
        <n v="1640091153797" u="1"/>
        <n v="1639085799549" u="1"/>
        <n v="1639085807876" u="1"/>
        <n v="67898303200803" u="1"/>
        <n v="67898307709665" u="1"/>
        <n v="1639085780345" u="1"/>
        <n v="1639085790351" u="1"/>
        <n v="1652824902758" u="1"/>
        <n v="1542051526349" u="1"/>
        <n v="1565277372026" u="1"/>
        <n v="1610816087324" u="1"/>
        <n v="1610816377646" u="1"/>
        <n v="1629291104067" u="1"/>
        <n v="1660857963520" u="1"/>
        <n v="1660858235219" u="1"/>
        <n v="67951421434761" u="1"/>
        <n v="1659991379695" u="1"/>
      </sharedItems>
    </cacheField>
    <cacheField name="Descripcion" numFmtId="0">
      <sharedItems containsBlank="1" count="1239">
        <s v="Cargador Inalámbrico Carga Rápida Magnético Auto VO1 LEVO"/>
        <s v="Cargador Inalámbrico Carga Rapida iPhone 12/13 Auto V+ LEVO"/>
        <s v="Cargador Super Rapido De Pared 25W USB-C Blanco LEVO"/>
        <s v="Cargador Super Rapido De Pared 25W USB-C Negro LEVO"/>
        <s v="Cargador Ultra Rapido De Pared 45W USB-C Blanco LEVO"/>
        <s v="Cargador Ultra Rapido De Pared 45W USB-C Negro LEVO"/>
        <s v="Cable de Carga Rápida USB-C 100W 5A 1Mt Blanco LEVO"/>
        <s v="Cable de Carga Rápida USB-C 100W 5A 1Mt Negro LEVO"/>
        <s v="Cable de Carga USB-C a Lightning 1 Mt Blanco LEVO"/>
        <s v="Hub USB-C Adaptador Multipuerto 5 en 1 Macbook Windows LEVO"/>
        <s v="Hub USB-C Adaptador Multipuerto 6 en 1 Macbook Windows LEVO"/>
        <s v="Control Joystick Controller Compatible Nintendo Switch LEVO"/>
        <s v="Control Joystick Inalámbrico Compatible Switch Joy-Con LEVO"/>
        <s v="Control Joystick Inalámbrico doble Shock P4 Negro LEVO"/>
        <s v="Control Joystick Inalámbrico doble Shock P4 Rojo LEVO"/>
        <s v="Audífono Gamer Inalámbrico Zenit Elite Bluetooth RGB Negro LEVO"/>
        <s v="Audífono Gamer Inalámbrico Zenit Elite Bluetooth RGB Blanco LEVO"/>
        <s v="Mousepad Battlemat XXL 90x40 cm Antideslizante Negro LEVO"/>
        <s v="Mousepad Officepad S 23x20 cm Antideslizante Negro LEVO"/>
        <s v="Mousepad Battlemat L 45x40 cm Antideslizante Negro LEVO"/>
        <s v="Teclado Gamer NovaBlade TKL Red Switch Mecánico Español RGB LEVO"/>
        <s v="Teclado Gamer NovaBlade Red Switch Mecánico Español RGB LEVO"/>
        <s v="Mouse Gamer Inalambrico RGB NovaStrike Negro LEVO"/>
        <s v="Mouse Gamer Inalambrico RGB Nova V2 Negro"/>
        <s v="Vr Box + Control Lentes de Realidad Virtual LEVO"/>
        <s v="Vr Box Ultra + Audífonos Lentes de Realidad Virtual  LEVO"/>
        <s v="KIT Micrófono de Solapa Inalámbrico Lavalier EchoPro LEVO"/>
        <s v="Teclado Inalámbrico Cygna Slim Grafito LEVO"/>
        <s v="Mouse Inalámbrico Ultra Slim Silencioso Velar Grafito LEVO"/>
        <s v="Silla Escritorio Oficina Ejecutiva Reclinable Comfort LEVO"/>
        <s v="Silla Escritorio Oficina Ergonómica Reclinable Ergotech LEVO"/>
        <s v="Silla de Escritorio Oficina Ergonomica Reclinable Lite LEVO"/>
        <s v="Aspiradora Inalámbrica Portátil Xpira Negra LEVO"/>
        <s v="Cámara HD Auto D3 Frontal, Interior y Trasera LEVO"/>
        <s v="Pesa Digital Balanza Baño Bluetooth Inteligente Negra LEVO"/>
        <s v="Pesa Digital Balanza Baño Bluetooth Inteligente Blanca LEVO"/>
        <s v="Cámara de Seguridad Impermeable Wifi 5G 2MP GuardPro X5 LEVO"/>
        <s v="Timbre Video Portero Citofono Monitor WIFI LEVO"/>
        <s v="Mochila Notebook Puerto USB 15,6&quot; Gris LEVO"/>
        <s v="Mochila Notebook Puerto USB 15,6&quot; Negra LEVO"/>
        <s v="Mochila Notebook MANAGER 15,6&quot; Negra LEVO"/>
        <s v="Mochila Notebook MANAGER 15,6&quot; Gris LEVO"/>
        <s v="Mochila Notebook WOLF Negra 15,6&quot; LEVO"/>
        <s v="Mochila Viaje Impermeable Notebook 30L Aerosuite Negra LEVO"/>
        <s v="Mochila Notebook Prime Lite 15,6” Negra LEVO"/>
        <s v="Mochila Notebook Velar Lite 15,6” Negra LEVO"/>
        <s v="Funda Maletin Notebook EXECUTIVE 15,6&quot; Negra LEVO"/>
        <s v="Funda HardShell Notebook 13-14&quot; Negra LEVO"/>
        <s v="Funda HardShell Notebook 15-16&quot; Negra LEVO"/>
        <s v="Proyector Portatil Smart Lumix 9000lm Inalambrico BT LEVO"/>
        <s v="Proyector Portatil Smart Orion 12000lm WiFi BT Android LEVO"/>
        <s v="Proyector Portatil Smart Nova 9000lm WiFi BT Android LEVO"/>
        <s v="Proyector Portatil Smart Hexa 8000lm WiFi BT Android LEVO"/>
        <s v="Proyector Portatil LEVO"/>
        <s v="Telón Proyector 100 pulgadas 200 x 150 cm LEVO"/>
        <s v="Telón Proyector 80 pulgadas 165 x 125 cm LEVO"/>
        <s v="Telón Proyector 60 pulgadas 120 x 90 cm LEVO"/>
        <s v="Telón Proyector 100 pulgadas 200 x 150 cm Negro LEVO"/>
        <s v="Telón Proyector 80 pulgadas 165 x 125 cm Negro LEVO"/>
        <s v="Telón Proyector 60 pulgadas 120 x 90 cm Negro LEVO"/>
        <s v="Telón Proyector 100 pulgadas Eléctrico 200 x 150 cm LEVO"/>
        <s v="Telón Proyector 80 pulgadas Eléctrico 165 x 125 cm LEVO"/>
        <s v="Telón Proyector 60 pulgadas Eléctrico 120 x 90 cm LEVO"/>
        <s v="Telón Proyector 100 pulgadas Elevación 200 x 150cm LEVO"/>
        <s v="Monitor Portátil Gamer ViewGo 15,6&quot; Full HD 1080P LEVO"/>
        <s v="Monitor Portátil Gamer NexView 15.6&quot; Full HD 1080P LEVO"/>
        <s v="Pantalla Totem Publicitario 43&quot; Touch Android Wifi Usb LEVO"/>
        <s v="Pantalla Totem Publicitario 50&quot; Touch Android Wifi Usb LEVO"/>
        <s v="Soporte de Television Ajustable 32&quot; a 72&quot; LEVO"/>
        <s v="Soporte Brazo Doble Monitor Notebook Escritorio Negro LEVO"/>
        <s v="Soporte Base Alzador Notebook Plegable Ajustable Gris LEVO"/>
        <s v="Pick-up Pad Lhotse Porta 6 Bicicletas"/>
        <s v="Pick-up Pad Lhotse Porta 5 Bicicletas"/>
        <s v="Pick-up Pad Lhotse Porta 2 Bicicletas"/>
        <s v="Set Deportivo 7 en 1 Rueda Abdominal Cuerda Lhotse Fit"/>
        <s v="Audifonos Bluetooth Inalambrico RM12 Pink Lhotse"/>
        <s v="Audifonos Bluetooth Inalambrico RM12 Black Lhotse"/>
        <s v="Audifonos Bluetooth Inalambrico RM12 Light Blue Lhotse"/>
        <s v="Audifonos Bluetooth Inalambrico RM12 White Lhotse"/>
        <s v="Audifonos Bluetooth Inalambrico RM7 Pro White Lhotse"/>
        <s v="Audifonos Bluetooth Inalambrico RM7 Pro Black Lhotse"/>
        <s v="Audifonos Bluetooth Inalambrico RM7 Pro Pink Lhotse"/>
        <s v="Audifonos Bluetooth Inalambrico RM7 Pro Light Blue Lhotse"/>
        <s v="Audifonos Bluetooth Inalambrico ANC BeatMaster Black Lhotse"/>
        <s v="Audifonos Bluetooth Inalambrico ANC BeatMaster Kaki Lhotse"/>
        <s v="Audifonos Inalámbricos Bluetooth Deportivos ENC Tuneair"/>
        <s v="Audifonos Inalámbricos Bluetooth Deportivos FitBuds Lhotse"/>
        <s v="Audifonos Bluetooth Inalambrico Over Ear WavePro Black Lhotse"/>
        <s v="Audifonos Bluetooth Inalambrico Over Ear WavePro White Lhotse"/>
        <s v="Audifonos Bluetooth TWS Pantalla Touch ANC RMPLUS+ White Lhotse"/>
        <s v="Audifonos Bluetooth TWS Pantalla Touch ANC RMPLUS+ Black Lhotse"/>
        <s v="Parlante Bounce Mini Black"/>
        <s v="Parlante Portatil Inalambrico Bluetooth Tune Up Black Lhotse"/>
        <s v="Parlante Portatil Inalambrico Bluetooth Tune Up Red Lhotse"/>
        <s v="Parlante Portatil Inalambrico Bluetooth Tune Up Blue Lhotse"/>
        <s v="Parlante Portatil Inalambrico Bluetooth Tune Up Green Lhotse"/>
        <s v="Parlante Portatil Inalambrico Bluetooth TripGo Black Lhotse"/>
        <s v="Parlante Portatil Inalambrico Bluetooth TripGo Gray Lhotse"/>
        <s v="Parlante Portatil Inalambrico Bluetooth TripGo Red Lhotse"/>
        <s v="Parlante Portatil Inalambrico Bluetooth TripGo Blue Lhotse"/>
        <s v="Parlante Portatil Inalambrico Bluetooth Pulse On Black Lhotse"/>
        <s v="Parlante Portatil Inalambrico Bluetooth Pulse On Gray Lhotse"/>
        <s v="Parlante Portatil Inalambrico Bluetooth Pulse On Red Lhotse"/>
        <s v="Parlante Portatil Inalambrico Bluetooth Pulse On Blue Lhotse"/>
        <s v="Parlante Portatil Inalambrico Bluetooth Journey Black Lhotse"/>
        <s v="Parlante Portatil Inalambrico Bluetooth Journey Blue Lhotse"/>
        <s v="Banano Lhotse Impermeable Negro"/>
        <s v="Banano Outdoor Golight 1Lt Himalaya Lhotse"/>
        <s v="Banano Outdoor Impermeable K2 Negro 2L Lhotse"/>
        <s v="Maleta Trolley Impermeable Duffel 90L Expedition Black Lhotse"/>
        <s v="Maleta Trolley Impermeable Duffel 70L Expedition Black Lhotse"/>
        <s v="Maleta Trolley Impermeable Duffel 30L Expedition Black Lhotse"/>
        <s v="Bolso Deportivo Lhotse Duffel 30 Lts Bag Negro"/>
        <s v="Bolso Deportivo Impermeable Duffel 60L Traveller Navy Lhotse"/>
        <s v="Bolso Deportivo Impermeable Duffel 60L Traveller Green Lhotse"/>
        <s v="Bolso Deportivo Impermeable Duffel 60L Traveller Black Lhotse"/>
        <s v="Bolso Deportivo Impermeable Duffel 30L Traveller Navy Lhotse"/>
        <s v="Bolso Deportivo Impermeable Duffel 30L Traveller Green Lhotse"/>
        <s v="Bolso Deportivo Impermeable Duffel 30L Traveller Black Lhotse"/>
        <s v="Maleta Cabina S Frontier Lhotse"/>
        <s v="Maleta Mediana M Frontier Lhotse"/>
        <s v="Maleta Grande L Frontier Lhotse"/>
        <s v="Neceser Viaje Waterproof 5L Khumbu Lhotse"/>
        <s v="Neceser Estuche de Viaje Travel Rimo Impermeable 5L Lhotse"/>
        <s v="Mochila Antirrobo Lhotse Gris"/>
        <s v="Mochila Volcano Lhotse 19 Lt Negra"/>
        <s v="Mochila Volcano Lhotse 19 Lt Verde"/>
        <s v="Mochila Urbana Roll Top Impermeable Porta Notebook 22L Makalu Black Lhotse"/>
        <s v="Mochila Urbana Roll Top Impermeable Porta Notebook 22L Makalu Green Lhotse"/>
        <s v="Mochila Urbana Impermeable Porta Notebook 22L Pumori Black Lhotse"/>
        <s v="Mochila Urbana Impermeable Porta Notebook 22L Pumori Green Lhotse"/>
        <s v="Mochila Viaje Impermeable Porta Notebook 17.3&quot; 35L Nomad Black Lhotse"/>
        <s v="Mochila Outdoor 28L Latok Black Lhotse"/>
        <s v="Mochila Outdoor 28L Latok Burdeo Lhotse"/>
        <s v="Mochila Outdoor Plegable 25 Lt Naranja Lhotse"/>
        <s v="Mochila Outdoor Plegable 25L Black Lhotse"/>
        <s v="Mochila Outdoor con Bolsa de Agua HydroRoad Black Lhotse"/>
        <s v="Mochila Viaje Impermeable Porta Notebook 17.3&quot; 40L Broadpeak Black Lhotse"/>
        <s v="Botella Termica Insulada 650ml Adventure Black Lhotse"/>
        <s v="Botella Termica Insulada 650ml Adventure Blue Lhotse"/>
        <s v="Botella Termica Insulada 650ml Adventure Pink Lhotse"/>
        <s v="Botella Termica Insulada 650ml Adventure White Lhotse"/>
        <s v="Botella Termica Insulada 960ml Hydro Lilac Lhotse"/>
        <s v="Botella Termica Insulada 960ml Hydro Pink Lhotse"/>
        <s v="Tapa Botella Boca Ancha Hydro Black Lhotse"/>
        <s v="Botella Termica Insulada 900ml Travel Mug Black Lhotse"/>
        <s v="Botella Termica Insulada 900ml Travel Mug Blue Lhotse"/>
        <s v="Botella Termica Insulada 900ml Travel Mug Green Lhotse"/>
        <s v="Botella Termica Insulada 900ml Travel Mug Pink Lhotse"/>
        <s v="Botella Termica Insulada 900ml Travel Mug White Lhotse"/>
        <s v="Botella Termica Insulada 800ml Indo Black Lhotse"/>
        <s v="Botella Termica Insulada 800ml Indo Lilac Lhotse"/>
        <s v="Botella Termica Insulada 800ml Indo Red Lhotse"/>
        <s v="Botella Termica Acero Inox 3 Tapas 1L HydroCore Black Lhotse"/>
        <s v="Botella Termica Acero Inox 3 Tapas 1L HydroCore Beige Lhotse"/>
        <s v="Botella Termica Acero Inox 3 Tapas 1L HydroCore Pink Lhotse"/>
        <s v="Botella Termica Acero Inox 3 Tapas 1L HydroCore Navy Lhotse"/>
        <s v="Botella Termica Acero Inox 3 Tapas 1L HydroCore Green Lhotse"/>
        <s v="Shaker Vaso Proteina Acero Inox 500ml NutriCore Black Lhotse"/>
        <s v="Shaker Vaso Proteina Acero Inox 500ml NutriCore Pink Lhotse"/>
        <s v="Shaker Vaso Proteina Acero Inox 500ml NutriCore Green Lhotse"/>
        <s v="Shaker Vaso Proteina Acero Inox NutriCore 500ml Beige Lhotse"/>
        <s v="Shaker Vaso Proteina Acero Inox NutriCore 500ml Blue Lhotse"/>
        <s v="Vaso Térmico Tumbler 1180ml Lhotse Light Blue"/>
        <s v="Vaso Térmico Tumbler 1180ml Lhotse Arena"/>
        <s v="Vaso Térmico Tumbler 1180ml Lhotse Pink"/>
        <s v="Vaso Termico Tumbler Acero Inox Antiderrame 1180ml Sand Lhotse"/>
        <s v="Vaso Termico Tumbler Acero Inox Antiderrame 1180ml Pink Lhotse"/>
        <s v="Vaso Termico Tumbler Acero Inox Antiderrame 1180ml Lilac Lhotse"/>
        <s v="Vaso Termico Tumbler Acero Inox Antiderrame 1180ml Light Green Lhotse"/>
        <s v="Vaso Termico Tumbler Acero Inox Antiderrame 1180ml Black Lhotse"/>
        <s v="Vaso Termico Tumbler Acero Inox Antiderrame 1180ml Light Blue Lhotse"/>
        <s v="Botella Termica Agua Hydrotek 750 ml Acero Inox Black"/>
        <s v="Botella Termica Agua Hydrotek 750 ml Acero Inox Pink"/>
        <s v="Botella Termica Agua Hydrotek 750 ml Acero Inox Green"/>
        <s v="Botella Termica Agua Hydrotek 750 ml Acero Inox Navy"/>
        <s v="Botella Termica Agua Hydrotek 750 ml Acero Inox Beige"/>
        <s v="Mug Térmico para Café Termicup 590 ml Acero Inox Black"/>
        <s v="Mug Térmico para Café Termicup 590 ml Acero Inox Pink"/>
        <s v="Mug Térmico para Café Termicup 590 ml Acero Inox Green"/>
        <s v="Mug Térmico para Café Termicup 590 ml Acero Inox Beige"/>
        <s v="Mug Térmico para Café Termicup 590 ml Acero Inox Navy"/>
        <s v="Termo Liquido Acero Inoxidable Classic 1,3 lts Black Lhotse"/>
        <s v="Termo Liquido Acero Inoxidable Classic 1,3 lts Green Lhotse"/>
        <s v="Termo Liquido Acero Inoxidable Classic 1,3 lts Pink Lhotse"/>
        <s v="Termo Liquido Acero Inoxidable Classic 1,3 lts White Lhotse"/>
        <s v="Vaso Térmico Insulado Camping Black480ml"/>
        <s v="Vaso Térmico Insulado Camping Pink 480ml"/>
        <s v="Vaso Térmico Insulado Camping Red 480ml"/>
        <s v="Vaso Térmico Insulado Camping White 480ml"/>
        <s v="Mate Acero Inoxidable con Bombilla Black Lhotse"/>
        <s v="Mate Acero Inoxidable con Bombilla Green Lhotse"/>
        <s v="Mate Acero Inoxidable con Bombilla Pink Lhotse"/>
        <s v="Mate Acero Inoxidable con Bombilla Red Lhotse"/>
        <s v="Mate Acero Inoxidable con Bombilla White Lhotse"/>
        <s v="Mate Acero Inoxidable con Bombilla Light Pink Lhotse"/>
        <s v="Taza Térmica Insulada Camping Black 350ml"/>
        <s v="Taza Térmica Insulada Camping Blue 350ml"/>
        <s v="Taza Térmica Insulada Camping Green 350ml"/>
        <s v="Taza Térmica Insulada Camping White 350ml"/>
        <s v="Cámara de acción doble pantalla 4k 30ftps Xplore Lhotse"/>
        <s v="Cámara de Acción Deportiva Summit 5k 30fps Accesorios"/>
        <s v="Banda Smartband Lhotse Flow 3"/>
        <s v="Smartwatch Mini Live 206 Pink"/>
        <s v="Reloj Smartwatch Lhotse Runner 219 46mm Black"/>
        <s v="Reloj Smartwatch Lhotse Live 206 40mm Mini Black"/>
        <s v="Reloj Smartwatch Lhotse Live 206 Mini 40mm Light Green"/>
        <s v="Reloj Smartwatch Lhotse Vibe 05 GPS Black 45mm"/>
        <s v="Reloj Smartwatch Lhotse Vibe 05 GPS Cream 42mm"/>
        <s v="Reloj Smartwatch Music Rhythm X10 41mm"/>
        <s v="Reloj Smartwatch GPS MoveOn 7 37/38mm"/>
        <s v="Reloj Smartwatch Lhotse Ultimate GPS 217 Black"/>
        <s v="Reloj Smartwatch Lhotse Ultimate GPS 217 Pink"/>
        <s v="Reloj Smartwatch Lhotse Ultimate GPS 217 Gray"/>
        <s v="Reloj Smartwatch Shar GPS T1 43,5mm Black Lhotse"/>
        <s v="Reloj Smartwatch Shar GPS T1 43,5mm Pink Lhotse"/>
        <s v="Reloj Smartwatch Shar GPS T1 43,5 Cream Lhotse"/>
        <s v="Jockey Trekker Algodón Unisex Lhotse"/>
        <s v="Jockey Hike Algodón Unisex Lhotse"/>
        <s v="Jockey Deportivo FlexFlow DryFit Lhotse"/>
        <s v="Jockey Ride Algodón Unisex Lhotse"/>
        <s v="Jockey Wave Algodón Unisex Lhotse"/>
        <s v="Toalla Microfibra Secado Rapido QuickTrek Lhotse"/>
        <s v="Calcetin Corte Tobillo Numa Gray S-M"/>
        <s v="Calcetin Corte Tobillo Numa Gray L-XL"/>
        <s v="Calcetin Corte Tobillo Numa Green S-M"/>
        <s v="Calcetin Corte Tobillo Numa Green L-XL"/>
        <s v="Calcetin Corte Tobillo Numa Black S-M"/>
        <s v="Calcetin Deportivo Corte Medio Trail Numa Lhotse"/>
        <s v="Calcetin Corte Bajo Vora Running Gray Melange S-M"/>
        <s v="Calcetin Corte Bajo Vora Running Gray Melange L-XL"/>
        <s v="Calcetin Corte Bajo Vora Running Black S-M"/>
        <s v="Calcetin Corte Bajo Vora Running Black L-XL"/>
        <s v="Calcetin Corte Bajo Vora Running White S-M"/>
        <s v="Calcetin Corte Bajo Vora Running White L-XL"/>
        <s v="Calcetin Corte Medio Andor Gray Melange S-M"/>
        <s v="Calcetin Corte Medio Andor Gray Melange L-XL"/>
        <s v="Calcetin Corte Medio Andor Blue S-M"/>
        <s v="Calcetin Corte Medio Andor Blue L-XL"/>
        <s v="Calcetin Corte Medio Andor Earth S-M"/>
        <s v="Calcetin Corte Medio Andor Earth L-XL"/>
        <s v="Pantuflas Térmicas Cloudfit Outdoor Suela WarmPath"/>
        <s v="Pantuflas Térmicas Nimbus Suela CloudGrip Outdoor Black Camo 36/37"/>
        <s v="Pantuflas Térmicas Nimbus Suela CloudGrip Outdoor Black Camo 38/39"/>
        <s v="Pantuflas Térmicas Nimbus Suela CloudGrip Outdoor Black Camo 40/41"/>
        <s v="Pantuflas Térmicas Nimbus Suela CloudGrip Outdoor Black Camo 42/43"/>
        <s v="Pantuflas Térmicas Nimbus Suela CloudGrip Outdoor Black Camo 44/45"/>
        <s v="Pantuflas Térmicas Nimbus Suela CloudGrip Outdoor Black 36/37"/>
        <s v="Pantuflas Térmicas Nimbus Suela CloudGrip Outdoor Black 38/39"/>
        <s v="Pantuflas Térmicas Nimbus Suela CloudGrip Outdoor Black 40/41"/>
        <s v="Pantuflas Térmicas Nimbus Suela CloudGrip Outdoor Black 42/43"/>
        <s v="Pantuflas Térmicas Nimbus Suela CloudGrip Outdoor Black 44/45"/>
        <s v="Pantuflas Térmicas Nimbus Suela CloudGrip Outdoor Pink 34/35"/>
        <s v="Pantuflas Térmicas Nimbus Suela CloudGrip Outdoor Pink 36/37"/>
        <s v="Pantuflas Térmicas Nimbus Suela CloudGrip Outdoor Pink 38/39"/>
        <s v="Pantuflas Térmicas Nimbus Suela CloudGrip Outdoor Pink 40/41"/>
        <s v="Pantuflas Térmicas Nimbus Suela CloudGrip Outdoor Smoky Lila 34/35"/>
        <s v="Pantuflas Térmicas Nimbus Suela CloudGrip Outdoor Smoky Lila 36/37"/>
        <s v="Pantuflas Térmicas Nimbus Suela CloudGrip Outdoor Smoky Lila 38/39"/>
        <s v="Pantuflas Térmicas Nimbus Suela CloudGrip Outdoor Smoky Lila 40/41"/>
        <s v="Pantuflas Térmicas Nimbus Suela CloudGrip Outdoor Smoky Green 36/37"/>
        <s v="Pantuflas Térmicas Nimbus Suela CloudGrip Outdoor Smoky Green 38/39"/>
        <s v="Pantuflas Térmicas Nimbus Suela CloudGrip Outdoor Smoky Green 40/41"/>
        <s v="Pantuflas Térmicas Nimbus Suela CloudGrip Outdoor Smoky Green 42/43"/>
        <s v="Pantuflas Térmicas Nimbus Suela CloudGrip Outdoor Smoky Green 44/45"/>
        <s v="Primera Capa Térmica Hombre Dugla Stay Warm Top Lhotse"/>
        <s v="Polera Hombre Manga Corta Nepal Lhotse"/>
        <s v="Polar Segunda Capa Lobuche Lhotse"/>
        <s v="Polar Hombre Tejido Térmico Anti-peeling Middle Lhotse"/>
        <s v="Polar Hombre Half Zip Térmico con Bolsillos Shar Lhotse"/>
        <s v="Polerón Hombre Hoodie Katmandú Lhotse"/>
        <s v="Polar Hombre Chiporro Sherpa Térmico Main Lhotse"/>
        <s v="Chaqueta Parka Hombre Nuptse Lhotse"/>
        <s v="Parka Puffa Hombre Khumbu Lhotse"/>
        <s v="Pantalon Trekking Hombre Desmontable Lukla Lhotse"/>
        <s v="Cortaviento Impermeable Gorak Shep Lhotse"/>
        <s v="Polera Deportiva Manga Corta Hombre Boyak DryCool Lhotse"/>
        <s v="Polera Manga Corta Hombre Digueñe Lhotse"/>
        <s v="Polera Manga Corta Hombre Micelio Mycena Lhotse"/>
        <s v="Polera Manga Corta Hombre Morchella Esculenta Lhotse"/>
        <s v="Polera Manga Corta Hombre Boletus Loyo Lhotse"/>
        <s v="Polera Manga Corta Hombre Amanita Muscaria Lhotse"/>
        <s v="Polerón Unisex Sweatshirt Origin Lhotse"/>
        <s v="Polerón Unisex Sweatshirt Mycena Lhotse"/>
        <s v="Short Hombre Cargo Adventure Barun UV50+ Lhotse"/>
        <s v="Peto Deportivo Mujer Middle Kalo Lhotse"/>
        <s v="Calza Deportiva Mujer Legging Bergenia Lhotse"/>
        <s v="Pantalón Trekking Desmontable Mujer UV50+ Lukla-W Lhotse"/>
        <s v="Polar Segunda Capa Mujer Lobuche Cap Lhotse"/>
        <s v="Calza Deportiva Mujer Biker Dhara Lhotse"/>
        <s v="Batería de Cocina Antiadherente Copper 7 Piezas Simplit"/>
        <s v="Batería de Cocina Antiadherente Classic 8 Piezas Simplit"/>
        <s v="Batería de Cocina Antiadherente Oregon 5 Piezas Simplit"/>
        <s v="Batería de Cocina Antiadherente Black Copper 7 Pzs Simplit"/>
        <s v="Batería de Cocina Antiadherente Savannah 9 Piezas"/>
        <s v="Batería de Cocina Toulouse 7 pcs + Accesorios Simplit"/>
        <s v="Batería de Cocina Antiadherente Oxford Granito 15pcs Simplit"/>
        <s v="Batería de Cocina Antiadherente Oxford Beige 15 pcs Simplit"/>
        <s v="Batería de Cocina Antiadherente Pompei Granito 7 Piezas Simplit"/>
        <s v="Batería de Cocina Antiadherente Lucca 10 Piezas Simplit"/>
        <s v="Mantequillero de Cerámica Tapa Bamboo 300 ml Simplit"/>
        <s v="Mantequillero cerámica tapa bamboo con cuchillo 600ml NEGRO"/>
        <s v="Mantequillero Cerámica Tapa Bamboo + Cuchillo 600 ml Simplit"/>
        <s v="Sartén Antiadherente Tapa 28cm Copper Simplit"/>
        <s v="Sartén Antiadherente 24cm Copper Simplit"/>
        <s v="Termo de Comida Insulado Acero Inox 750 ml Rosado Simplit"/>
        <s v="Termo de Comida Insulado Acero Inox 750 ml Negro Simplit"/>
        <s v="Termo de Comida Insulado Acero Inox 750 ml Gris Simplit"/>
        <s v="Termo Comida 400ml Negro Cuchara Acero Inox Simplit"/>
        <s v="Set 12 Utensilios De Cocina Silicona Calipso Simplit"/>
        <s v="Set 12 Utensilios De Cocina Silicona Negro Simplit"/>
        <s v="Balanza Pesa Digital Para Cocina Simplit"/>
        <s v="Bowl Cortador Rallador de Verduras Multifuncional Simplit"/>
        <s v="Tabla Para Picar Cortar Madera 40x28cm Cutte Simplit"/>
        <s v="Set de Cuchillería 30 pcs Cubiertos Acero Inoxidable Sicilia"/>
        <s v="Set de Cuchillería 30 pcs Cubiertos Acero Inoxidable Puglia"/>
        <s v="Set de Cuchillería 24 pcs Cubiertos Versalle Simplit"/>
        <s v="Set de Cuchillería 24 pcs Cubiertos Le Mans Simplit"/>
        <s v="Set de Cuchillería 24 pcs Cubiertos Paris Simplit"/>
        <s v="Set de Cuchillería 24 pcs Acero Inoxidable Cerdeña Simplit"/>
        <s v="Set Cuchillos 5 pcs Marsella Acero Inoxidable Simplit"/>
        <s v="Set Cuchillos 5 pcs Paris Acero Inoxidable Simplit"/>
        <s v="Set Cuchillos para Queso 4 pcs Provenza Simplit"/>
        <s v="Set Cuchillos Stahl 5 pcs Acero Inoxidable + Taco Simplit"/>
        <s v="Set Cuchillos Küche 5 pcs Acero Inoxidable + Base Simplit"/>
        <s v="Set Cuchillos Holz 5 pcs Acero Inoxidable + Taco Simplit"/>
        <s v="Set de Cucharas Ensalada Versalle Acero Inoxidable Simplit"/>
        <s v="Olla Cacerola Antiadherente 28cm Toulouse Simplit"/>
        <s v="Cafetera Prensa Francesa Negra 600 ml Simplit"/>
        <s v="Cafetera Italiana Negra Granito 4 Tazas Simplit"/>
        <s v="Cafetera Italiana Negra Granito 12 Tazas Simplit"/>
        <s v="Cafetera Prensa Francesa Vidrio Cobre 600 ml Simplit"/>
        <s v="Cafetera Italiana Lucca 4 Tazas Simplit"/>
        <s v="Cafetera Italiana Savannah 4 Tazas Simplit"/>
        <s v="Cafetera Italiana Lucca 12 Tazas Simplit"/>
        <s v="Cafetera Italiana Savannah 12 Tazas Simplit"/>
        <s v="Contenedor Hermético De Café Acero Inoxidable Milán Simplit"/>
        <s v="Set 2 Tazas Vidrio Doble Pared Espreso 80 ml Simplit"/>
        <s v="Taza de Vidrio Doble Pared 350 ml Simplit"/>
        <s v="Taza Mug de Vidrio Doble Pared 300 ml Simplit"/>
        <s v="Termo Jarra Insulado 1 Lt Simplit"/>
        <s v="Vaso Térmico Tumbler 750ml Tapa y Bombilla Simplit"/>
        <s v="Set de 3 Contenedores Herméticos Plástico Simplit"/>
        <s v="Set 3 Bowls con Tapa Acero Inoxidable Antideslizante Simplit"/>
        <s v="Panera Metálica con Tapa Bamboo Blanca Simplit"/>
        <s v="Set de 7 Contenedores Herméticos Plástico Simplit"/>
        <s v="Set 4 Contenedores de Vidrio Herméticos Tapa Bamboo Simplit"/>
        <s v="Set de 7 Contenedores Herméticos Plástico Negro Simplit"/>
        <s v="Contenedor de Cerámica Hermético Tapa Madera S Simplit"/>
        <s v="Contenedor de Cerámica Hermético Tapa Madera M Simplit"/>
        <s v="Contenedor de Cerámica Hermético Tapa Madera L Simplit"/>
        <s v="Tupper de Acero Inoxidable Tapa Madera 800 ml Simplit"/>
        <s v="Contenedor Plástico Hermético Bento Box"/>
        <s v="Organizador Refrigerador con Cesta M Simplit"/>
        <s v="Organizador Refrigerador con Drenaje L Simplit"/>
        <s v="Organizador Refrigerador con Drenaje S Simplit"/>
        <s v="Organizador Refrigerador con Cesta L Simplit"/>
        <s v="Organizador Cubiertos Expandible Madera Acasia Basel Simplit"/>
        <s v="Set 4 Contenedores Herméticos Vidrio Tapa Madera Dublín Simplit"/>
        <s v="Organizador de cubiertos expandible Oslo Simplit"/>
        <s v="Especiero Condimentos Giratorio Metálico 16 Frascos Simplit"/>
        <s v="Especiero Condimentos de Madera 8 Frascos Vidrio Simplit"/>
        <s v="Set 2 Molinillos de Sal y Pimienta Vidrio Simplit"/>
        <s v="Set 2 Molinillos Sal Pimienta Madera Verona Simplit"/>
        <s v="Secaplatos Escurridor 2 Niveles Acero Inox Negro Simplit"/>
        <s v="Secaplatos Escurridor 2 Niveles Acero Inox Blanco Simplit"/>
        <s v="Secaplatos Escurridor 1 Nivel Acero Inox Negro Simplit"/>
        <s v="Secaplatos Escurridor 1 Nivel Acero Inox Blanco Simplit"/>
        <s v="Secaplatos Escurridor Acero Inox Bilbao 2 Niveles"/>
        <s v="Secaplatos Escurridor Acero Inox Valencia 2 Niveles Simplit"/>
        <s v="Basurero Cocina Iron 40lts Pedal Acero Inox Simplit"/>
        <s v="Basurero Cocina Urban 30lts Pedal Acero Inox Simplit"/>
        <s v="Basurero Cocina Handy 55lts Táctil Acero Inox Simplit"/>
        <s v="Basurero Cocina Lucca 12Lt Pedal Acero Inox Simplit"/>
        <s v="Basurero Cocina Livorno 12Lt Pedal Acero Inox Simplit"/>
        <s v="Cubeta de Hielo Silicona 15 Hielos Simplit"/>
        <s v="Cubeta de Hielo Silicona 160 Mini Hielos Simplit"/>
        <s v="Cubeta de Hielo Silicona 6 Hielos Redondos Simplit"/>
        <s v="Cubeta de Hielo Silicona 6 Hielos Grandes Simplit"/>
        <s v="Set 6 Vasos Corto Vintage Charlotte 200ml Simplit"/>
        <s v="Set 6 Vasos Largo Vintage Charlotte 350ml Simplit"/>
        <s v="Set 6 Vasos redondos Virginia 340ml Simplit"/>
        <s v="Set 6 Vaso Copa Cerveza Collins 420ml Simplit"/>
        <s v="Set 2 Vasos Moscow Mule Mug Cobre + Bombillas Simplit"/>
        <s v="Set 2 Vasos Vidrio Borosilicato 550 ml Simplit"/>
        <s v="Set 4 Vasos Vidrio Borosilicato 550 ml Simplit"/>
        <s v="Set 2 Vasos Vidrio Doble Pared 400 ml Simplit"/>
        <s v="Set 2 Vasos de Vidrio Estilo Japonés 320 ml Simplit"/>
        <s v="Set 2 Vasos Cobre Moscow Mule Mojito Bar + Bombilla Simplit"/>
        <s v="Set 6 Vasos Whisky Kentucky 270ml Simplit"/>
        <s v="Set 6 Vasos Cerveza Portland 380ml Simplit"/>
        <s v="Set 6 Copas Espumante 200ml Cristal Monaco Simplit"/>
        <s v="Set 6 Copas Vino Tinto 540ml Cristal Piamonte Simplit"/>
        <s v="Set 6 Copas Vino Blanco 400ml Cristal Alsacia Simplit"/>
        <s v="Set 6 Copas Gin 650ml Cristal London Simplit"/>
        <s v="Set 6 Vasos Largos 460ml Vidrio Ginebra Simplit"/>
        <s v="Set 6 Vasos Cortos 380ml Vidrio Ginebra Simplit"/>
        <s v="Descorchador Abridor Vino Sommelier Simplit"/>
        <s v="Decantador Aireador Vino Chateau 1650ml"/>
        <s v="Decantador Aireador Vino Rouge 1500ml"/>
        <s v="Hielera Vidrio Charlotte Tapa Madera 3,8lts Simplit"/>
        <s v="Espumador de Leche 4 en 1 Negro Simplit"/>
        <s v="Espumador de Leche 4 en 1 Blanco Simplit"/>
        <s v="Juego De 4 Cachos Eco Cuero Negro Simplit"/>
        <s v="Set Alcuza Cerámica 2 Piezas Cuadrada 500 ml Simplit"/>
        <s v="Juego Loza Cerámica 30 pcs Siena 6 personas Simplit"/>
        <s v="Juego Loza Cerámica 16 pcs Amalfi 4 personas Simplit"/>
        <s v="Juego Loza Cerámica 24 pcs Amalfi Simplit"/>
        <s v="Juego de Loza 12 pcs Cerámica Toscana Simplit"/>
        <s v="Juego de Loza 30 pcs Cerámica Bruselas 6 personas Simplit"/>
        <s v="Juego de Loza 30 pcs Cerámica Oporto Simplit"/>
        <s v="Set 4 Platos Fondo Cerámica 26,7cm Siena Simplit"/>
        <s v="Set 4 Bowls Cerámica 8,5cm Siena Simplit"/>
        <s v="Set 4 Tazas Cerámica 330ml Siena Simplit"/>
        <s v="Set 4 Platos Fondo Cerámica 27,4 cm Amalfi Simplit"/>
        <s v="Set 4 Bowls Cerámica 8,5cm Amalfi Simplit"/>
        <s v="Set 4 Tazas Cerámica 330ml Amalfi Simplit"/>
        <s v="Set 2 Tazas Cerámica 420 ml Palermo Simplit"/>
        <s v="Set 3 Fuentes de Cerámica para Horno Celeste Simplit"/>
        <s v="Fuente de Cerámica para Horno Cacerola Olla Roja Simplit"/>
        <s v="Toldo Camping Lateral Para Auto Techo Xroad"/>
        <s v="Toldo Camping Lateral Para Auto Techo 270° Xroad"/>
        <s v="Barras Portaequipaje de Aluminio para Techo Xroad"/>
        <s v="Barra Portaequipaje Enganche Universal 122cm Xroad"/>
        <s v="Barra Portaequipaje Enganche Universal 129cm Xroad"/>
        <s v="Barra Portaequipaje Enganche Universal 139cm Xroad"/>
        <s v="Parrilla Para Auto Aluminio Portaequipaje Universal Gris Xroad"/>
        <s v="Parrilla Para Auto Aluminio Portaequipaje Universal Negra Xroad"/>
        <s v="Sensor De Retroceso Para Automóviles Xroad"/>
        <s v="Bolso para Techo Porta Equipajes Blando Color Xroad"/>
        <s v="Bolso para Techo Porta Equipajes Blando Gris Xroad"/>
        <s v="Carpa Funda Cubre Auto Impermeable Premium con Felpa Xroad"/>
        <s v="Carpa Funda Cubre SUV Impermeable Premium con Felpa Xroad"/>
        <s v="Carpa Funda Cubre Moto Impermeable Premium con Felpa Xroad"/>
        <s v="Funda Cubre Asiento de Auto Impermeable Mascotas Negra Xroad"/>
        <s v="Alfombra Piso de Goma para auto Universal 4 piezas Xroad"/>
        <s v="Alfombra Piso de Goma para auto Universal 3 piezas Xroad"/>
        <s v="Fundas Cubreasientos Ecocuero Universal Negro XRoad"/>
        <s v="Cadena + Candado para Rueda de Repuesto Antirrobo XRoad"/>
        <s v="Hidrolavadora Eléctrica HydroX 1800W 120 Bar Xroad"/>
        <s v="Partidor de Batería Portátil con Compresor de Aire 12V Xroad"/>
        <s v="Cooler Eléctrico Portátil 30L 12V Gris Xroad"/>
        <s v="Cooler Eléctrico Portátil 40L 12V Gris Xroad"/>
        <s v="Cooler Eléctrico Portátil 20L 12V Gris Xroad"/>
        <s v="Cooler Portátil 50L con Ruedas Negro Xroad"/>
        <s v="Cooler Freezer Eléctrico Portátil 40L 12V Gris Xroad"/>
        <s v="Estación de Energía Portátil 300W 248WH 80.000mAh 220V Xroad"/>
        <s v="Carpa Inflable 3-4 Personas 3 Estaciones Beige Xroad"/>
        <s v="Carpa Inflable 6-8 personas Xroad"/>
        <s v="Carpa Armado Automatico 10 personas Xroad"/>
        <s v="Quitasol Con Drill de Instalacion Xroad"/>
        <s v="Colchon inflable Automatico 2 plazas Xroad"/>
        <s v="Carro de Transporte con Techo 150 KG Negro Xroad"/>
        <s v="Hidrolavadora eléctrica Dynamo WP 1800w 130bar 220/240V 60Hz"/>
        <s v="Llave de Impacto Inalámbrica Dynamo 21V + 2 Baterias y Acss"/>
        <s v="Kit Taladro Destornillador Inalámbrico Dynamo 21v 2 Baterías"/>
        <s v="Taladro Inalámbrico Dynamo Rotomartillo Percutor 2 Baterías"/>
        <s v="Taladro Percutor Inalámbrico Dynamo 21v 2 Baterías + Accs"/>
        <s v="Pack Taladro Percutor + Atornillador de Impacto 21V Dynamo"/>
        <s v="Afeitadora Rasuradora Corporal Electrica NeoBlade 3.1 T-Care"/>
        <s v="Afeitadora Facial Masculina SkinFlow T-Care"/>
        <s v="Secador de pelo Multistyler T-Care 5 en 1"/>
        <s v="Secador de pelo Multistyler 5 en 1 AeroFlow Beige"/>
        <s v="Alisador y Secador de Pelo 2 en 1 AeroGliss T-Care"/>
        <s v="Mecedor Eléctrico Coche Recargable Bebé Baby Chick Bandú"/>
        <s v="Cocina de Juguete Infantil Niños Madera Accesorios Bandú"/>
        <s v="Cocina de Juguete Infantil Niños Madera 11 Accesorios Bandú"/>
        <s v="Cocina de Juguete Infantil Niños Madera Rosada con Acc Bandú"/>
        <s v="Set Juego Mini Cocina de Juguete Alimentos Madera Bandú"/>
        <s v="Set Juego Pastelería Corta Postre Infantil Niño Madera Bandú"/>
        <s v="Juguete Infantil Mini Electrodomésticos Cocina Madera Bandú"/>
        <s v="Set Juego de Roles Doctor Niños Madera 12 pcs Bandú"/>
        <s v="Set Juego de Limpieza y Aseo Madera Bandú"/>
        <s v="Pizarra Madera Infantil Magnética 2 en 1 Didáctica Bandú"/>
        <s v="Casa de Muñecas de Madera Juguete Infantil Bandú"/>
        <s v="Pack Infantil 1 Mesa 2 Sillas Madera Didáctico Bandú"/>
        <s v="Juego de Maquillaje Set Belleza de Roll Niños Madera Bandú"/>
        <s v="Tocador Infantil Para Niñas Espejo Maquillaje Madera Bandú"/>
        <s v="Juego de Construcción Herramientas Madera para Niños Bandú"/>
        <s v="Pista de Autos y Tren de Madera Juego Didactico 70pcs Bandú"/>
        <s v="Juego Heladería Infantil Niños Madera Bandú"/>
        <s v="Set Autos de Juguete Tren Pista y Señaleticas Madera Bandú"/>
        <s v="Andador Correpasillos Bebe Didáctico Madera Bandú"/>
        <s v="Andador Correpasillos Bebe Juego Construccion Madera Bandú"/>
        <s v="Torre Aprendizaje Infantil Pikler Escalada Montessori Bandú"/>
        <s v="Gimnasio Infantil Juego Pikler Parque 8 en 1 Bandú"/>
        <s v="Silla de Comer Infantil Evolutiva Madera Regulable Bandú"/>
        <s v="Torre Aprendizaje Plegable Montesori Madera 3 Niveles Bandú"/>
        <s v="Gimnasio Móvil de Madera Bebé Infantil Bandú"/>
        <s v="Mesa Infantil Aprendizaje Didactica 7 en 1 Montessori Bandú"/>
        <s v="Juego Bloques Magnéticos 89pcs MineBlocks Aventura Bandú"/>
        <s v="⁠Juego Bloques Magnéticos 75pcs MineBlocks Mundo Bandú"/>
        <s v="⁠Juego Bloques Magnéticos 146pcs MineBlocks Mapa Bandú"/>
        <s v="Juego Bloques Magnéticos 54pcs MineBlocks Bob Marino Bandú"/>
        <s v="Juego Bloques Magnéticos 114pcs MineBlocks Ciudad Bandú"/>
        <s v="Cámara de Inspección Baroscopio con Sonda 20 Mts H6"/>
        <s v="Cámara de Inspección Baroscopio 512 Hz con Sonda 20 Mts H5"/>
        <s v="Cámara de Inspección Baroscopio con Sonda 20 Mts H3"/>
        <s v="Cámara de Inspección Baroscopio con Sonda 20 Mts H5"/>
        <s v="Cámara de Inspección Baroscopio con Sonda 40 Mts H6"/>
        <s v="Cámara de Inspección Baroscopio con Sonda 40 Mts TP9200"/>
        <s v="Cámara de Inspección Baroscopio con Sonda 20 Mts TP9200"/>
        <s v="Cámara de Inspección de Tuberías Endoscopio Industrial TP9600"/>
        <s v="Cámara de Inspección Baroscopio con Sonda 20 Mts TP9607F"/>
        <s v="Cámara de Inspección de Tuberías Endoscopio Industrial U9"/>
        <s v="Secador De Toallas Pedestal 6 Niveles"/>
        <s v="Botella Termica Niños Barbie Iconic 450ml Acero Inox UMA"/>
        <s v="Botella Termica Niños Barbie Malibu 450ml Acero Inox UMA"/>
        <s v="Botella Termica Niños Barbie 450ml Acero Inox UMA"/>
        <s v="Botella Termica Niños Hot Wheels Race 450ml Acero Inox UMA"/>
        <s v="Botella Termica Niños Hot Wheels Class 450ml Acero Inox UMA"/>
        <s v="Botella Termica Niños Hot Wheels Trucks 450ml Acero Inox UMA"/>
        <s v="Vaso Termico Tumbler Mug Barbie Print 590ml Acero Inox UMA"/>
        <s v="Vaso Termico Tumbler Mug Barbie Love 590ml Acero Inox UMA"/>
        <s v="Vaso Termico Tumbler Mug Barbie Dreams 590ml Acero Inox UMA"/>
        <s v="Vaso Termico Tumbler Mug Barbie Vibes 590ml Acero Inox UMA"/>
        <s v="Botella Termica Niños Barbie Shine 2 en 1 590ml Acero Inox UMA"/>
        <s v="Botella Termica Niños Barbie Inspire 2 en 1 590ml Acero Inox UMA"/>
        <s v="Botella Termica Niños Hot Wheels Fast 2 en 1 590ml Acero Inox UMA"/>
        <s v="Botella Termica Niños Hot Wheels Comic 2 en 1 590ml Acero Inox UMA"/>
        <s v="Termo Comida Barbie &amp; Friends + Cuchara 450ml Acero Inox UMA"/>
        <s v="Termo Comida Barbie Fun + Cuchara 450ml Acero Inox UMA"/>
        <s v="Termo Comida Hot Wheels Truck + Cuchara 330ml Acero Inox UMA"/>
        <s v="Termo Comida Hot Wheels Class + Cuchara 330ml Acero Inox UMA"/>
        <s v="Botella Agua Niños Barbie &amp; Pets 420ml con Bombilla UMA"/>
        <s v="Botella Agua Niños Barbie Love 420ml con Bombilla UMA"/>
        <s v="Botella Agua Niños Hot Wheels Monster Truck 420ml con Bombilla UMA"/>
        <s v="Botella Agua Niños Hot Wheels Race 420ml con Bombilla UMA"/>
        <s v="Set 4 contenedores vidrio" u="1"/>
        <s v="Mochila Outdoor 28L Latok Lhotse" u="1"/>
        <s v="Reloj Smartwatch Lhotse Apex 01 GPS Black" u="1"/>
        <s v="Reloj Smartwatch Lhotse Apex 01 GPS Pink" u="1"/>
        <s v="Reloj Smartwatch Lhotse Apex 01 GPS Rust" u="1"/>
        <s v="Batería de Cocina Antiadherente Oxford Granito 15 pcs Beige" u="1"/>
        <s v="Bolso para Techo Porta Equipajes Expandible 362 - 450 L Xroad" u="1"/>
        <s v="Bolso para Techo Porta Equipajes XX L Xroad" u="1"/>
        <s v="Control Joystick Inalámbrico Nintendo Switch Joy-Con LEVO" u="1"/>
        <s v="Pack Teclado + Mouse Oficina" u="1"/>
        <s v="Bolso Deportivo Impermeable Duffel 60L Traveller Gray Lhotse" u="1"/>
        <s v="TOTALES" u="1"/>
        <m u="1"/>
        <s v="Smartwatch GTS1 E Negro" u="1"/>
        <s v="Smartwatch GTS1 E Rosado" u="1"/>
        <s v="set 3 contenedores vidrio Taper" u="1"/>
        <s v="Cooler Portátil 45L Gris Xroad" u="1"/>
        <s v="Carpa Inflable 3-4 personas Xroad" u="1"/>
        <s v="Carrito transporte Niños para Playa Xroad" u="1"/>
        <s v="Set 3 Contenedores tupper vidrio" u="1"/>
        <s v="Parlante Portatil Inalambrico Bluetooth Tune Up White Lhotse" u="1"/>
        <s v="Cargador Inalámbrico Magnético Carga Rápida Auto VO1 LEVO" u="1"/>
        <s v="Cargador Inalámbrico Rápido Auto iPhone 12/13 V+ LEVO" u="1"/>
        <s v="Cargador Super Rapido De Pared 25W USB-C LEVO" u="1"/>
        <s v="Cargador Ultra Rapido De Pared 45W USB-C LEVO" u="1"/>
        <s v="Cable de Carga Rápida USB-C 100W 5A 1Mt LEVO" u="1"/>
        <s v="Control Inalámbrico Joystick Nintendo Switch Joy-Con LEVO" u="1"/>
        <s v="Audífono Gamer Inalámbrico Zenit Elite Bluetooth Rgb LEVO" u="1"/>
        <s v="Audífono Gamer Inalámbrico Zenit Elite Bluetooth Rgb Bl Levo" u="1"/>
        <s v="Vr Box + Control Lente De Realidad Virtual LEVO" u="1"/>
        <s v="Lentes de Realidad Virtual Vr Box Ultra + Audífonos LEVO" u="1"/>
        <s v="Silla de Escritorio Lite Ergonómica LEVO" u="1"/>
        <s v="Pesa Digital Balanza Baño Bluetooth Negra Inteligente LEVO" u="1"/>
        <s v="Pesa Digital Balanza Baño Bluetooth Blanca Inteligente LEVO" u="1"/>
        <s v="Mochila para Notebook con Puerto USB 15&quot; Gris LEVO" u="1"/>
        <s v="Mochila para Notebook con Puerto USB 15&quot; Negra LEVO" u="1"/>
        <s v="Mochila Notebook MANAGER 15,6&quot; LEVO" u="1"/>
        <s v="Mochila de viaje Notebook WOLF Negra 15,6&quot; LEVO" u="1"/>
        <s v="Mochila Notebook Prime Lite 15,6” LEVO" u="1"/>
        <s v="Mochila Notebook Velar Lite 15,6” LEVO" u="1"/>
        <s v="Funda Maletin Notebook EXECUTIVE 15,6&quot; LEVO" u="1"/>
        <s v="Funda HardShell para Notebook 13-14&quot; Negro LEVO" u="1"/>
        <s v="Funda HardShell para Notebook 15-16&quot; Negro LEVO" u="1"/>
        <s v="Telón 100 pulgadas Eléctrico con control 200 x 150 cm LEVO" u="1"/>
        <s v="Telón 80 pulgadas Eléctrico con control 165 x 125 cm LEVO" u="1"/>
        <s v="Telón 60 pulgadas Eléctrico con control 120 x 90 cm LEVO" u="1"/>
        <s v="Telón Proyector 100'' Sistema de Elevación 200 x 150cm LEVO" u="1"/>
        <s v="Pantalla Monitor Portátil 15.6 LED Full HD NexView LEVO" u="1"/>
        <s v="Soporte de Tv Ajustable 32 a 72&quot; LEVO" u="1"/>
        <s v="Audífonos Lhotse Bluetooth Inalámbrico Rm12 Rosado" u="1"/>
        <s v="Audífonos Lhotse Bluetooth Inalámbrico Rm12 Negro" u="1"/>
        <s v="Audífonos Lhotse Bluetooth Inalámbrico Rm12 Celeste" u="1"/>
        <s v="Audífonos Lhotse Bluetooth Inalámbrico Rm12 Blanco" u="1"/>
        <s v="Audífonos Lhotse RM7 Pro Inalámbrico Blanco" u="1"/>
        <s v="Audífonos Lhotse RM7 Pro Inalámbrico Negro" u="1"/>
        <s v="Audífonos Inalámbrico Lhotse RM7 Pro Rosado" u="1"/>
        <s v="Audífonos Lhotse RM7 Pro Inalámbrico Celeste" u="1"/>
        <s v="Audifonos Bluetooth Inalambrico BeatMaster ANC" u="1"/>
        <s v="Audifonos Bluetooth Inalambricos Over Ear WavePro" u="1"/>
        <s v="Audífonos Bluetooth TWS Pantalla Touch ANC RMPLUS+ Lhotse" u="1"/>
        <s v="Parlante Portatil Bluetooth Lhotse Tune Up" u="1"/>
        <s v="Parlante Portátil Inalámbrico Bluetooth TripGo" u="1"/>
        <s v="Parlante Portátil Inalámbrico Bluetooth Pulse On" u="1"/>
        <s v="Parlante Portátil Inalámbrico Bluetooth Journey" u="1"/>
        <s v="Bolso Deportivo Impermeable Duffel 30 lts Lhotse" u="1"/>
        <s v="Bolso Deportivo Impermeable Duffel 60 lts Lhotse" u="1"/>
        <s v="Maleta Bolso Trolly Expedition Duffel 70lts Black" u="1"/>
        <s v="Maleta Bolso Trolly Expedition Duffel 30lts Black" u="1"/>
        <s v="Maleta Bolso Trolly Expedition Duffel 90lts Black" u="1"/>
        <s v="Mochila Roll Top Makalu 22L Impermeable Porta Notebook Lhotse" u="1"/>
        <s v="Mochila Urbana Pumori 22L Impermeable Porta Notebook Lhotse" u="1"/>
        <s v="Mochila Maleta de Viaje Nomad 35L Impermeable Lhotse" u="1"/>
        <s v="Mochila Outdoor Lhotse Plegable 25Lt Naranja" u="1"/>
        <s v="Mochila Outdoor Lhotse Plegable 25Lt Negra" u="1"/>
        <s v="Mochila Outdoor HYDROROAD + Bolsa de Agua Lhotse" u="1"/>
        <s v="Mochila Viaje impermeable Notebook 17,3&quot;Broadpeak 40L Lhotse" u="1"/>
        <s v="Botella Térmica Insulada Lhotse Adventure Black 650ml" u="1"/>
        <s v="Botella Térmica Insulada Lhotse Adventure Blue 650ml" u="1"/>
        <s v="Botella Térmica Insulada Lhotse Adventure Pink 650ml" u="1"/>
        <s v="Botella Térmica Insulada Lhotse Adventure Blanco 650ml" u="1"/>
        <s v="Botella Térmica Insulada Lhotse Hydro Lilac 960ml" u="1"/>
        <s v="Botella Térmica Insulada Lhotse Hydro Pink 960ml" u="1"/>
        <s v="Botella Térmica Insulada Lhotse Travel Mug Black 900ml" u="1"/>
        <s v="Botella Térmica Insulada Lhotse Travel Mug Blue 900ml" u="1"/>
        <s v="Botella Térmica Insulada Lhotse Travel Mug Green 900ml" u="1"/>
        <s v="Botella Térmica Insulada Lhotse Travel Mug Pink 900ml" u="1"/>
        <s v="Botella Térmica Insulada Lhotse Travel Mug Blanco 900ml" u="1"/>
        <s v="Botella Térmica Insulada Indo 800ml Black Lhotse" u="1"/>
        <s v="Botella Térmica Insulada Indo 800ml Lilac Lhotse" u="1"/>
        <s v="Botella Térmica Insulada Indo 800ml Red Lhotse" u="1"/>
        <s v="Botella Térmica Agua Acero Inox 3 Tapas HydroCore 1Lt Black Lhotse" u="1"/>
        <s v="Botella Térmica Agua Acero Inox 3 Tapas HydroCore 1Lt Beige Lhotse" u="1"/>
        <s v="Botella Térmica Agua Acero Inox 3 Tapas HydroCore 1Lt Pink Lhotse" u="1"/>
        <s v="Botella Térmica Agua Acero Inox 3 Tapas HydroCore 1Lt Blue Lhotse" u="1"/>
        <s v="Botella Térmica Agua Acero Inox 3 Tapas HydroCore 1Lt Green Lhotse" u="1"/>
        <s v="Shaker Vaso Proteina Acero Inox NutriCore 500ml Black Lhotse" u="1"/>
        <s v="Shaker Vaso Proteina Acero Inox NutriCore 500ml Pink Lhotse" u="1"/>
        <s v="Shaker Vaso Proteina Acero Inox NutriCore 500ml Green Lhotse" u="1"/>
        <s v="Vaso Térmico Tumbler 1180ml Acero Inoxidable con Tapa Sand Lhotse" u="1"/>
        <s v="Vaso Térmico Tumbler 1180ml Acero Inoxidable con Tapa Pink Lhotse" u="1"/>
        <s v="Vaso Térmico Tumbler 1180ml Acero Inoxidable con Tapa Lilac Lhotse" u="1"/>
        <s v="Vaso Térmico Tumbler 1180ml Acero Inoxidable con Tapa Light Green Lhotse" u="1"/>
        <s v="Vaso Térmico Tumbler 1180ml Acero Inoxidable con Tapa Black Lhotse" u="1"/>
        <s v="Vaso Térmico Tumbler 1180ml Acero Inoxidable con Tapa Light Blue Lhotse" u="1"/>
        <s v="Toldo lateral 270° Auto camping" u="1"/>
        <s v="Parrilla Para Auto Aluminio portaequipaje Universal XROAD" u="1"/>
        <s v="Parrilla Para Auto Portaequipaje Universal Negra XROAD" u="1"/>
        <s v="Maleta blanda Tipo Kano" u="1"/>
        <s v="Maleta blanda " u="1"/>
        <s v="Fundas Cubreasientos Ecocuero Negro Universal XRoad" u="1"/>
        <s v="Hidrolavadora Eléctrica 1800W 120 Bar HydroX Xroad" u="1"/>
        <s v="Cooler Eléctrico Portátil 30 Lts Gris 12V XRoad" u="1"/>
        <s v="Cooler Eléctrico Portátil 40 Lts Gris 12V XRoad" u="1"/>
        <s v="Cooler Eléctrico Portátil 20 Lts Gris 12V XRoad" u="1"/>
        <s v="Cooler Portátil 45 Lts Gris XRoad" u="1"/>
        <s v="Cooler Freezer Eléctrico 40 Lts Gris 12V XRoad" u="1"/>
        <s v="Soporte Cargador Magnético VO1" u="1"/>
        <s v="Soporte Cargador Magnético V+" u="1"/>
        <s v="Cargador Rapido 25W Blanco" u="1"/>
        <s v="Cargador Rapido 25W Negro" u="1"/>
        <s v="Cargador Ultra Rapido 45 W Blanco" u="1"/>
        <s v="Cargador Ultra Rapido 45 W Negro" u="1"/>
        <s v="Cable USB Tipo-C a Tipo-C (5A) blanco" u="1"/>
        <s v="Cable USB Tipo-C a Tipo-C (5A) negro" u="1"/>
        <s v="Cable USB Tipo-C a Lightning blanco" u="1"/>
        <s v="Hub multipuerto Tipo-C 5 puertos con entrada Ethernet" u="1"/>
        <s v="Hub multipuerto Tipo-C 6 puertos con entrada TF y SD" u="1"/>
        <s v="Pro Controller Inalámbrico Nintendo S" u="1"/>
        <s v="Joystick Inalámbrico Dualshock 4" u="1"/>
        <s v="Joystick Inalámbrico Dualshock 4 ROJO" u="1"/>
        <s v="Control Gamer Inalámbrico PC" u="1"/>
        <s v="Audifono Gamer Zenit Elite Wireless 7.1 Negro Levo" u="1"/>
        <s v="Audifono Gamer Zenit Elite Wireless 7.1 Blanco Levo" u="1"/>
        <s v="Mousepad Levo BattleMat XXL Negro" u="1"/>
        <s v="Mousepad OfficePad S Negro Levo" u="1"/>
        <s v="Mousepad BattleMat L Negro Levo" u="1"/>
        <s v="Teclado Gamer NovaBlade Red Switch Mecanico Levo" u="1"/>
        <s v="Teclado Gamer NovaBlade Red Switch Mecanico Ext Levo" u="1"/>
        <s v="Mouse Inalámbrico Gamer NovaStrike Negro Levo" u="1"/>
        <s v="Vr Box + Control" u="1"/>
        <s v="Vr Box Ultra + audifonos" u="1"/>
        <s v="KIT Transmisiones Sonidos" u="1"/>
        <s v="Teclado Inalambrico Slim Levo Cygna Grafito" u="1"/>
        <s v="Mouse Inalámbrico Slim Velar Grafito Levo" u="1"/>
        <s v="Silla Ejecutiva Negra" u="1"/>
        <s v="Silla Escritorio Ergonomica" u="1"/>
        <s v="Aspiradora Inalámbrica XPIRA" u="1"/>
        <s v="Cámara de Auto Dual D3" u="1"/>
        <s v="Dual Camara con GPS R300" u="1"/>
        <s v="Pesa Digital Balanza Negra Inteligente" u="1"/>
        <s v="Pesa Digital Balanza Blanca Inteligente" u="1"/>
        <s v="Cámara de Seguridad Exterior 5G Wifi Negra Levo" u="1"/>
        <s v="Citofono monitor" u="1"/>
        <s v="Citofono Monitor WIFI" u="1"/>
        <s v="Mochila Levo Computador Gris" u="1"/>
        <s v="Mochila Levo Computador Negro" u="1"/>
        <s v="Mochila Notebook MANAGER Negra LEVO" u="1"/>
        <s v="Mochila Notebook MANAGER Gris LEVO" u="1"/>
        <s v="Mochila Notebook WOLF Negra LEVO" u="1"/>
        <s v="Mochila de Viaje AeroSuite 30 L Negra Levo" u="1"/>
        <s v="Funda Maletin Notebook EXECUTIVE Negro 15,6&quot; LEVO" u="1"/>
        <s v="Funda Maletin Notebook EXECUTIVE Gris 15,6&quot; LEVO" u="1"/>
        <s v="Funda Notebook Hardshell 13,3" u="1"/>
        <s v="Funda Notebook Hardshell 15,6" u="1"/>
        <s v="Proyector Led inalambrico portatil HD lumix" u="1"/>
        <s v="Proyector Led portatil Halo HD" u="1"/>
        <s v="Proyector Led portatil Orion FullHD" u="1"/>
        <s v="Proyector Led portatil Nova FullHD" u="1"/>
        <s v="Proyector Led portatil Hexa FullHD" u="1"/>
        <s v="Telon Proyector 100 pulgadas" u="1"/>
        <s v="Telon Proyector 80 pulgadas" u="1"/>
        <s v="Telon Proyector 60 pulgadas" u="1"/>
        <s v="Telon Proyector 100 pulgadas Negro" u="1"/>
        <s v="Telon Proyector 80 pulgadas Negro" u="1"/>
        <s v="Telon Proyector 60 pulgadas Negro" u="1"/>
        <s v="Telon Proyector 100 Electrico" u="1"/>
        <s v="Telon Proyector 80 Electrico" u="1"/>
        <s v="Telon Proyector 60 Electrico" u="1"/>
        <s v="Telon Proyector 100 Plegable 200 x 150 cm" u="1"/>
        <s v="Monitor Portatil ViewGo Levo" u="1"/>
        <s v="Pantalla Monitor Portátil 15.6 LED NexView Full HD LEVO" u="1"/>
        <s v="Soporte TV 32&quot;-80&quot;" u="1"/>
        <s v="Lámpara Solar Linterna Inflable Camping Pesca Outdoor" u="1"/>
        <s v="Pick-up Pad Porta 6 Bicicletas Camioneta" u="1"/>
        <s v="Pick-up Pad Lhotse Porta Bicicletas Camionetas" u="1"/>
        <s v="Set deportivo 7 en 1" u="1"/>
        <s v="Audífonos Bluetooth Rm12 Rosados" u="1"/>
        <s v="Audífonos Bluetooth Rm12 Negro" u="1"/>
        <s v="Audífonos Bluetooth Rm12 Celeste" u="1"/>
        <s v="Audífonos Bluetooth Rm12 Blanco" u="1"/>
        <s v="Audífonos Bluetooth RM7 Pro Blanco" u="1"/>
        <s v="Audífonos Bluetooth RM7 Pro Negro" u="1"/>
        <s v="Audífonos RM7 Pro Inalámbrico Rosado" u="1"/>
        <s v="Audífonos RM7 Pro Inalámbrico Celeste" u="1"/>
        <s v="Audifonos BeatMaster NC1 Black" u="1"/>
        <s v="Audifonos BeatMaster NC1 Cream" u="1"/>
        <s v="Audifonos On Ear Tuneair T5 Black" u="1"/>
        <s v="Audifonos Deportivos FitBuds T1 Black" u="1"/>
        <s v="Audifonos Over Ear WavePro Black" u="1"/>
        <s v="Audifonos Over Ear WavePro Cream" u="1"/>
        <s v="Audífonos Bluetooth Inalámbrico RmPlus+ Blanco" u="1"/>
        <s v="Audífonos Bluetooth Inalámbrico RmPlus+ Negro" u="1"/>
        <s v="Parlante TUNE UP NEGRO" u="1"/>
        <s v="Parlante TUNE UP ROJO" u="1"/>
        <s v="Parlante TUNE UP AZUL" u="1"/>
        <s v="Parlante TUNE UP VERDE" u="1"/>
        <s v="Parlante Bounce Mini White" u="1"/>
        <s v="Parlante Trip Go+ Black" u="1"/>
        <s v="Parlante Trip Go+ Grey" u="1"/>
        <s v="Parlante Trip Go+ Red" u="1"/>
        <s v="Parlante Trip Go+ Blue" u="1"/>
        <s v="Parlante Pulse Black" u="1"/>
        <s v="Parlante Pulse Grey" u="1"/>
        <s v="Parlante Pulse Red" u="1"/>
        <s v="Parlante Pulse Blue" u="1"/>
        <s v="Parlante Journey Black" u="1"/>
        <s v="Parlante Journey Blue" u="1"/>
        <s v="Banano Impermeable Negro" u="1"/>
        <s v="Banano Himalaya Black" u="1"/>
        <s v="Banano Himalaya Blue" u="1"/>
        <s v="Banano Himalaya Red" u="1"/>
        <s v="Banano Outdoor K2 Negro Lhotse" u="1"/>
        <s v="Bolso Deportivo Duffel 30 Litros Negro" u="1"/>
        <s v="Bolso Impermeable Duffel 70lts Negro" u="1"/>
        <s v="Bolso Impermeable 70lts Azul" u="1"/>
        <s v="Bolso Deportivo Impermeable Duffel 30 lts Negro Lhotse" u="1"/>
        <s v="Bolso Deportivo Impermeable Duffel 60 lts Lhotse Black" u="1"/>
        <s v="Bolso Deportivo Impermeable Duffel 30 lts Verde Lhotse" u="1"/>
        <s v="Bolso Deportivo Impermeable Duffel 60 lts Lhotse Green " u="1"/>
        <s v="Bolso Deportivo Impermeable Duffel 30 lts Navy Lhotse" u="1"/>
        <s v="Bolso Deportivo Impermeable Duffel 60 lts Navy Lhotse" u="1"/>
        <s v="Maleta Bolso Trolley Bag 70L" u="1"/>
        <s v="Maleta Bolso Trolley Bag 30L" u="1"/>
        <s v="Maleta Bolso Trolley Bag 90L" u="1"/>
        <s v="Neceser Viaje 5L Khumbu Black" u="1"/>
        <s v="Neceser Viaje 5L Khumbu Green" u="1"/>
        <s v="Neceser Travel Rimo Negro Lhotse" u="1"/>
        <s v="Mochila Street Negra" u="1"/>
        <s v="Mochila Volcano Roll Style Negra" u="1"/>
        <s v="Mochila Volcano Roll Style Verde" u="1"/>
        <s v="Mochila Makalu Negra Lhotse" u="1"/>
        <s v="Mochila Makalu Verde Lhotse" u="1"/>
        <s v="Mochila Pumori Negra Lhotse" u="1"/>
        <s v="Mochila Pumori Verde Lhotse" u="1"/>
        <s v="Mochila Viaje Nomad 35 L Negra Lhotse" u="1"/>
        <s v="Mochila Outdoor Plegable Naranja" u="1"/>
        <s v="Mochila Outdoor Plegable Negra" u="1"/>
        <s v="Mochila Outdoor Bicicleta HYDROROAD Negra + Bolsa de Agua Lhotse" u="1"/>
        <s v="Mochila Outdoor Bicicleta HYDROROAD Azul + Bolsa de Agua Lhotse" u="1"/>
        <s v="Mochila Outdoor Bicicleta HYDROROAD Gris + Bolsa de Agua Lhotse" u="1"/>
        <s v="Mochila Viaje Notebook Broadpeak Lhotse Black" u="1"/>
        <s v="Mochila Outdoor Himalaya Lhotse Black" u="1"/>
        <s v="Mochila Outdoor Himalaya Lhotse Blue" u="1"/>
        <s v="Botella 800ml coihue Negra Lhotse" u="1"/>
        <s v="Botella 800ml coihue Azul Lhotse" u="1"/>
        <s v="Botella 800ml coihue White Lhotse" u="1"/>
        <s v="Botella Insulada Adventure 650ml Negra" u="1"/>
        <s v="Botella Insulada Adventure 650ml Azul" u="1"/>
        <s v="Botella Insulada Adventure 650ml Pink" u="1"/>
        <s v="Botella Insulada Adventure 650ml Blanca" u="1"/>
        <s v="Botella Hydro 360ml Lhotse Green" u="1"/>
        <s v="Botella Hydro 360ml Lhotse Lila" u="1"/>
        <s v="Botella Hydro 360ml Lhotse Rosado" u="1"/>
        <s v="Botella Hydro 960ml Lhotse Negro" u="1"/>
        <s v="Botella Hydro 960ml Lhotse Celeste" u="1"/>
        <s v="Botella Hydro 960ml Lhotse Verde" u="1"/>
        <s v="Botella Hydro 960ml Lhotse Lila" u="1"/>
        <s v="Botella Hydro 960ml Lhotse Rosado" u="1"/>
        <s v="Tapa Botella Adventure Black" u="1"/>
        <s v="Tapa Botella Boca Ancha Hydro Black" u="1"/>
        <s v="Insulated Travel Mug 900ml Negro" u="1"/>
        <s v="Insulated Travel Mug 900ml Celeste" u="1"/>
        <s v="Insulated Travel Mug 900ml Verde" u="1"/>
        <s v="Insulated Travel Mug 900ml Rosado" u="1"/>
        <s v="Insulated Travel Mug 900ml Blanco" u="1"/>
        <s v="Botella Indo 800ml Black" u="1"/>
        <s v="Botella Indo 800ml Light Blue" u="1"/>
        <s v="Botella Indo 800ml White" u="1"/>
        <s v="Botella Indo 800ml Green" u="1"/>
        <s v="Botella Indo 800ml Pink" u="1"/>
        <s v="Botella Indo 800ml Lilac" u="1"/>
        <s v="Botella Indo 800ml Red" u="1"/>
        <s v="Botella HydroCore 1l Black" u="1"/>
        <s v="Botella HydroCore 1l Beige" u="1"/>
        <s v="Botella HydroCore 1l Pink" u="1"/>
        <s v="Botella HydroCore 1l Navy" u="1"/>
        <s v="Botella HydroCore 1l Green" u="1"/>
        <s v="Shaker Vaso Proteina Acero Inox NutriCore 500ml Navy Lhotse" u="1"/>
        <s v="Big Mug Tumbler 1118ml Negro" u="1"/>
        <s v="Big Mug Tumbler 1118ml Celeste" u="1"/>
        <s v="Big Mug Tumbler 1118ml Arena" u="1"/>
        <s v="Big Mug Tumbler 1118ml Light Green" u="1"/>
        <s v="Big Mug Tumbler 1118ml Light Pink" u="1"/>
        <s v="Big Mug Tumbler 1118ml Lila" u="1"/>
        <s v="Vaso Térmico Tumbler 1180ml Acero Inoxidable con Tapa Lila Lhotse" u="1"/>
        <s v="Termo Classic 1,3lts Negro" u="1"/>
        <s v="Termo Classic 1,3lts Verde" u="1"/>
        <s v="Termo Classic 1,3lts Rosado" u="1"/>
        <s v="Termo Classic 1,3lts Blanco" u="1"/>
        <s v="Termo Classic 1,3lts Verde Claro" u="1"/>
        <s v="Termo Lhotse Patagón 1 Lt Verde" u="1"/>
        <s v="Vaso Camping Termico 480ml Negro" u="1"/>
        <s v="Vaso Camping Termico 480ml Rosado" u="1"/>
        <s v="Vaso Camping Termico 480ml Rojo" u="1"/>
        <s v="Vaso Camping Termico 480ml Verde" u="1"/>
        <s v="Vaso Camping Termico 480ml Blanco" u="1"/>
        <s v="Mate Mug + Bombilla Negro" u="1"/>
        <s v="Mate Mug + Bombilla Verde" u="1"/>
        <s v="Mate Mug + Bombilla Rosado" u="1"/>
        <s v="Mate Mug + Bombilla Rojo" u="1"/>
        <s v="Mate Mug + Bombilla Blanco" u="1"/>
        <s v="Mate Mug + Bombilla Rosado Claro" u="1"/>
        <s v="Taza Insulated Cup Mug 350ml Negro" u="1"/>
        <s v="Taza Insulated Cup Mug 350ml Celeste" u="1"/>
        <s v="Taza Insulated Cup Mug 350ml Verde" u="1"/>
        <s v="Taza Insulated Cup Mug 350ml Blanco" u="1"/>
        <s v="Camara de Accion HD 4K" u="1"/>
        <s v="Camara de acción doble pantalla 4k 30ftps" u="1"/>
        <s v="Camara de accion doble 5K 60ftp" u="1"/>
        <s v="Smartband Urban GT Black" u="1"/>
        <s v="Smartband Urban GT Pink" u="1"/>
        <s v="Smartband Urban GT Blue" u="1"/>
        <s v="Smartband Urban GT Green" u="1"/>
        <s v="Smartband Flow 03 Black" u="1"/>
        <s v="Smartband Flow 03 Blue" u="1"/>
        <s v="Smartband Flow 03 Pink" u="1"/>
        <s v="Smartwatch Live 206 Pink" u="1"/>
        <s v="Smartwatch Runner 219 Black" u="1"/>
        <s v="Smartwatch Mini Live 206 Black" u="1"/>
        <s v="Smartwatch Mini Live 206 Light Green" u="1"/>
        <s v="Smartwatch Live 206 Light Green" u="1"/>
        <s v="Smartwatch Mini Live 206 White" u="1"/>
        <s v="Smartwatch Vibe 05 Black 45'" u="1"/>
        <s v="Smartwatch Vibe 05 Cream 42'" u="1"/>
        <s v="Smartwatch Music Rhythm X10 Black" u="1"/>
        <s v="Smartwatch Music Rhythm X10 Pink" u="1"/>
        <s v="Smartwatch Music Rhythm X10 Blue" u="1"/>
        <s v="Smartwatch GPS MoveOn 7 Black" u="1"/>
        <s v="Smartwatch GPS MoveOn 7 Pink" u="1"/>
        <s v="Correa Smartwatch Lhotse SW88 20mm Rojo" u="1"/>
        <s v="Correa Smartwatch Lhotse SW88 20mm Negra" u="1"/>
        <s v="Correa Smartwatch Lhotse SW88 20mm Negra Roja" u="1"/>
        <s v="Correa Smartwatch Lhotse SW88 20mm Negra Verde Hebilla" u="1"/>
        <s v="Correa Smartwatch Lhotse SW88 20mm Sandía" u="1"/>
        <s v="Jockey Trekker Black" u="1"/>
        <s v="Jockey Trekker Orange" u="1"/>
        <s v="Jockey Trekker Green" u="1"/>
        <s v="Jockey Hike Black" u="1"/>
        <s v="Jockey Hike Green/Black" u="1"/>
        <s v="Jockey Hike Green/Beige" u="1"/>
        <s v="Jockey FlexFlow Dri Fit Black Lhotse" u="1"/>
        <s v="Jockey FlexFlow Dri Fit Green Lhotse" u="1"/>
        <s v="Jockey FlexFlow Dri Fit Blue Lhotse" u="1"/>
        <s v="Jockey Ride Algodón Green Lhotse" u="1"/>
        <s v="Jockey Ride Algodón Black/Green Lhotse" u="1"/>
        <s v="Jockey Ride Algodón Blue/Black/Beige Lhotse" u="1"/>
        <s v="Jockey Wave Algodón Green Lhotse" u="1"/>
        <s v="Jockey Wave Algodón Black/Green Lhotse" u="1"/>
        <s v="Toalla Secado Rapido Microfibra QuickTrek Lilac (80*130cm)" u="1"/>
        <s v="Toalla Secado Rapido Microfibra QuickTrek Blue (80*130cm)" u="1"/>
        <s v="Calcetin Corte Tobillo Numa Black L-XL" u="1"/>
        <s v="Pantufla CloudFit Negro 36/37" u="1"/>
        <s v="Pantufla CloudFit Negro 38/39" u="1"/>
        <s v="Pantufla CloudFit Negro 40/41" u="1"/>
        <s v="Pantufla CloudFit Negro 42/43" u="1"/>
        <s v="Pantufla CloudFit Negro 44/45" u="1"/>
        <s v="Pantufla CloudFit Azul 36/37" u="1"/>
        <s v="Pantufla CloudFit Azul 38/39" u="1"/>
        <s v="Pantufla CloudFit Azul 40/41" u="1"/>
        <s v="Pantufla CloudFit Azul 42/43" u="1"/>
        <s v="Pantufla CloudFit Azul 44/45" u="1"/>
        <s v="Pantufla CloudFit Verde 36/37" u="1"/>
        <s v="Pantufla CloudFit Verde 38/39" u="1"/>
        <s v="Pantufla CloudFit Verde 40/41" u="1"/>
        <s v="Pantufla CloudFit Verde 42/43" u="1"/>
        <s v="Pantufla CloudFit Verde 44/45" u="1"/>
        <s v="Primera Capa Térmica Hombre Dugla Stay Warm Top S Black" u="1"/>
        <s v="Primera Capa Térmica Hombre Dugla Stay Warm Top M Black" u="1"/>
        <s v="Primera Capa Térmica Hombre Dugla Stay Warm Top L Black" u="1"/>
        <s v="Primera Capa Térmica Hombre Dugla Stay Warm Top XL Black" u="1"/>
        <s v="Polera Hombre Manga Corta Nepal S Beige" u="1"/>
        <s v="Polera Hombre Manga Corta Nepal M Beige" u="1"/>
        <s v="Polera Hombre Manga Corta Nepal L Beige" u="1"/>
        <s v="Polera Hombre Manga Corta Nepal XL Beige" u="1"/>
        <s v="Polera Hombre Manga Corta Nepal S Deep Grey" u="1"/>
        <s v="Polera Hombre Manga Corta Nepal M Deep Grey" u="1"/>
        <s v="Polera Hombre Manga Corta Nepal L Deep Grey" u="1"/>
        <s v="Polera Hombre Manga Corta Nepal XL Deep Grey" u="1"/>
        <s v="Polera Hombre Manga Corta Nepal S Green" u="1"/>
        <s v="Polera Hombre Manga Corta Nepal M Green" u="1"/>
        <s v="Polera Hombre Manga Corta Nepal L Green" u="1"/>
        <s v="Polera Hombre Manga Corta Nepal XL Green" u="1"/>
        <s v="Polar Segunda Capa Lobuche Black S Lhotse" u="1"/>
        <s v="Polar Segunda Capa Lobuche Black M Lhotse" u="1"/>
        <s v="Polar Segunda Capa Lobuche Black L Lhotse" u="1"/>
        <s v="Polar Segunda Capa Lobuche Black XL Lhotse" u="1"/>
        <s v="Polar Segunda Capa Lobuche Green S Lhotse" u="1"/>
        <s v="Polar Segunda Capa Lobuche Green M Lhotse" u="1"/>
        <s v="Polar Segunda Capa Lobuche Green L Lhotse" u="1"/>
        <s v="Polar Segunda Capa Lobuche Green XL Lhotse" u="1"/>
        <s v="Polar Hombre Tejido Middle 84 Lhotse Blue S" u="1"/>
        <s v="Polar Hombre Tejido Middle 84 Lhotse Blue M" u="1"/>
        <s v="Polar Hombre Tejido Middle 84 Lhotse Blue L" u="1"/>
        <s v="Polar Hombre Tejido Middle 84 Lhotse Blue XL" u="1"/>
        <s v="Polar Hombre Tejido Middle 84 Lhotse Black S" u="1"/>
        <s v="Polar Hombre Tejido Middle 84 Lhotse Black M" u="1"/>
        <s v="Polar Hombre Tejido Middle 84 Lhotse Black L" u="1"/>
        <s v="Polar Hombre Tejido Middle 84 Lhotse Black XL" u="1"/>
        <s v="Polar Hombre Shar 83 Half Zipper Lhotse Blue S" u="1"/>
        <s v="Polar Hombre Shar 83 Half Zipper Lhotse Blue M" u="1"/>
        <s v="Polar Hombre Shar 83 Half Zipper Lhotse Blue L" u="1"/>
        <s v="Polar Hombre Shar 83 Half Zipper Lhotse Blue XL" u="1"/>
        <s v="Polar Hombre Shar 83 Half Zipper Lhotse Black S" u="1"/>
        <s v="Polar Hombre Shar 83 Half Zipper Lhotse Black M" u="1"/>
        <s v="Polar Hombre Shar 83 Half Zipper Lhotse Black L" u="1"/>
        <s v="Polar Hombre Shar 83 Half Zipper Lhotse Black XL" u="1"/>
        <s v="Polerón Katmandú  NEGRO S" u="1"/>
        <s v="Polerón Katmandú  NEGRO M" u="1"/>
        <s v="Polerón Katmandú  NEGRO L" u="1"/>
        <s v="Polerón Katmandú  NEGRO XL" u="1"/>
        <s v="Polerón Katmandú  VERDE S" u="1"/>
        <s v="Polerón Katmandú  VERDE M" u="1"/>
        <s v="Polerón Katmandú  VERDE L" u="1"/>
        <s v="Polerón Katmandú  VERDE XL" u="1"/>
        <s v="Sherpa Main 85  VERDE S" u="1"/>
        <s v="Sherpa Main 85  VERDE M" u="1"/>
        <s v="Sherpa Main 85  VERDE L" u="1"/>
        <s v="Sherpa Main 85  VERDE XL" u="1"/>
        <s v="Sherpa Main 85  BEIGE S" u="1"/>
        <s v="Sherpa Main 85  BEIGE M" u="1"/>
        <s v="Sherpa Main 85  BEIGE L" u="1"/>
        <s v="Sherpa Main 85  BEIGE XL" u="1"/>
        <s v="Parka light Nuptse  NEGRO S" u="1"/>
        <s v="Parka light Nuptse  NEGRO M" u="1"/>
        <s v="Parka light Nuptse  NEGRO L" u="1"/>
        <s v="Parka light Nuptse  NEGRO XL" u="1"/>
        <s v="Parka light Nuptse  VERDE S" u="1"/>
        <s v="Parka light Nuptse  VERDE M" u="1"/>
        <s v="Parka light Nuptse  VERDE L" u="1"/>
        <s v="Parka light Nuptse  VERDE XL" u="1"/>
        <s v="Parka Puffa Khumbu  NEGRO S" u="1"/>
        <s v="Parka Puffa Khumbu  NEGRO M" u="1"/>
        <s v="Parka Puffa Khumbu  NEGRO L" u="1"/>
        <s v="Parka Puffa Khumbu  NEGRO XL" u="1"/>
        <s v="Pantalón Lukla Negro S" u="1"/>
        <s v="Pantalón Lukla Negro M" u="1"/>
        <s v="Pantalón Lukla Negro L" u="1"/>
        <s v="Pantalón Lukla Negro XL" u="1"/>
        <s v="Pantalón Lukla Verde S" u="1"/>
        <s v="Pantalón Lukla Verde M" u="1"/>
        <s v="Pantalón Lukla Verde L" u="1"/>
        <s v="Pantalón Lukla Verde XL" u="1"/>
        <s v="Hardshell Gorak Shep Negro S" u="1"/>
        <s v="Hardshell Gorak Shep Negro M" u="1"/>
        <s v="Hardshell Gorak Shep Negro L" u="1"/>
        <s v="Hardshell Gorak Shep Negro XL" u="1"/>
        <s v="Hardshell Gorak Shep Azul S" u="1"/>
        <s v="Hardshell Gorak Shep Azul M" u="1"/>
        <s v="Hardshell Gorak Shep Azul L" u="1"/>
        <s v="Hardshell Gorak Shep Azul XL" u="1"/>
        <s v="Polera Hombre Deportiva Boyak Green Talla S" u="1"/>
        <s v="Polera Hombre Deportiva Boyak Green Talla M" u="1"/>
        <s v="Polera Hombre Deportiva Boyak Green Talla L" u="1"/>
        <s v="Polera Hombre Deportiva Boyak Green Talla XL" u="1"/>
        <s v="Polera Hombre Deportiva Boyak Blue Talla S" u="1"/>
        <s v="Polera Hombre Deportiva Boyak Blue Talla M" u="1"/>
        <s v="Polera Hombre Deportiva Boyak Blue Talla L" u="1"/>
        <s v="Polera Hombre Deportiva Boyak Blue Talla XL" u="1"/>
        <s v="Polera Hombre Deportiva Boyak Gray Talla S" u="1"/>
        <s v="Polera Hombre Deportiva Boyak Gray Talla M" u="1"/>
        <s v="Polera Hombre Deportiva Boyak Gray Talla L" u="1"/>
        <s v="Polera Hombre Deportiva Boyak Gray Talla XL" u="1"/>
        <s v="Polera Hombre Manga Corta Digueñe Talla S" u="1"/>
        <s v="Polera Hombre Manga Corta Digueñe Talla M" u="1"/>
        <s v="Polera Hombre Manga Corta Digueñe Talla L" u="1"/>
        <s v="Polera Hombre Manga Corta Digueñe Talla XL" u="1"/>
        <s v="Polera Hombre Manga Corta Micelio Mycena Talla S" u="1"/>
        <s v="Polera Hombre Manga Corta Micelio Mycena Talla M" u="1"/>
        <s v="Polera Hombre Manga Corta Micelio Mycena Talla L" u="1"/>
        <s v="Polera Hombre Manga Corta Micelio Mycena Talla XL" u="1"/>
        <s v="Polera Hombre Manga Corta Morchella Esculenta Talla S" u="1"/>
        <s v="Polera Hombre Manga Corta Morchella Esculenta Talla M" u="1"/>
        <s v="Polera Hombre Manga Corta Morchella Esculenta Talla L" u="1"/>
        <s v="Polera Hombre Manga Corta Morchella Esculenta Talla XL" u="1"/>
        <s v="Polera Hombre Manga Corta Boletus Loyo Talla S" u="1"/>
        <s v="Polera Hombre Manga Corta Boletus Loyo Talla M" u="1"/>
        <s v="Polera Hombre Manga Corta Boletus Loyo Talla L" u="1"/>
        <s v="Polera Hombre Manga Corta Boletus Loyo Talla XL" u="1"/>
        <s v="Polera Hombre Manga Corta Amanita Muscaria Talla S" u="1"/>
        <s v="Polera Hombre Manga Corta Amanita Muscaria Talla M" u="1"/>
        <s v="Polera Hombre Manga Corta Amanita Muscaria Talla L" u="1"/>
        <s v="Polera Hombre Manga Corta Amanita Muscaria Talla XL" u="1"/>
        <s v="Polerón Unisex Sweatshirt Origin Black Talla S" u="1"/>
        <s v="Polerón Unisex Sweatshirt Origin Black Talla M" u="1"/>
        <s v="Polerón Unisex Sweatshirt Origin Black Talla L" u="1"/>
        <s v="Polerón Unisex Sweatshirt Origin Black Talla XL" u="1"/>
        <s v="Polerón Unisex Sweatshirt Mycena Green Talla S" u="1"/>
        <s v="Polerón Unisex Sweatshirt Mycena Green Talla M" u="1"/>
        <s v="Polerón Unisex Sweatshirt Mycena Green Talla L" u="1"/>
        <s v="Polerón Unisex Sweatshirt Mycena Green Talla XL" u="1"/>
        <s v="Short Hombre Barun Black Talla 40" u="1"/>
        <s v="Short Hombre Barun Black Talla 42" u="1"/>
        <s v="Short Hombre Barun Black Talla 44" u="1"/>
        <s v="Short Hombre Barun Black Talla 46" u="1"/>
        <s v="Short Hombre Barun Green Talla 40" u="1"/>
        <s v="Short Hombre Barun Green Talla 42" u="1"/>
        <s v="Short Hombre Barun Green Talla 44" u="1"/>
        <s v="Short Hombre Barun Green Talla 46" u="1"/>
        <s v="Peto Deportivo Kalo Black Talla S" u="1"/>
        <s v="Peto Deportivo Kalo Black Talla M" u="1"/>
        <s v="Peto Deportivo Kalo Black Talla L" u="1"/>
        <s v="Peto Deportivo Kalo Black Talla XL" u="1"/>
        <s v="Peto Deportivo Kalo Teal Green Talla S" u="1"/>
        <s v="Peto Deportivo Kalo Teal Green Talla M" u="1"/>
        <s v="Peto Deportivo Kalo Teal Green Talla L" u="1"/>
        <s v="Peto Deportivo Kalo Teal Green Talla XL" u="1"/>
        <s v="Calza Legging Deportiva Bergenia Black Lhotse Talla S" u="1"/>
        <s v="Calza Legging Deportiva Bergenia Black Lhotse Talla M" u="1"/>
        <s v="Calza Legging Deportiva Bergenia Black Lhotse Talla L" u="1"/>
        <s v="Calza Legging Deportiva Bergenia Black Lhotse Talla XL" u="1"/>
        <s v="Calza Legging Deportiva Bergenia Teal Green Lhotse Talla S" u="1"/>
        <s v="Calza Legging Deportiva Bergenia Teal Green Lhotse Talla M" u="1"/>
        <s v="Calza Legging Deportiva Bergenia Teal Green Lhotse Talla L" u="1"/>
        <s v="Calza Legging Deportiva Bergenia Teal Green Lhotse Talla XL" u="1"/>
        <s v="Pantalón Mujer Lukla-W Black Talla 38" u="1"/>
        <s v="Pantalón Mujer Lukla-W Black Talla 40" u="1"/>
        <s v="Pantalón Mujer Lukla-W Black Talla 42" u="1"/>
        <s v="Pantalón Mujer Lukla-W Black Talla 44" u="1"/>
        <s v="Pantalón Mujer Lukla-W Petroleo Talla 38" u="1"/>
        <s v="Pantalón Mujer Lukla-W Petroleo Talla 40" u="1"/>
        <s v="Pantalón Mujer Lukla-W Petroleo Talla 42" u="1"/>
        <s v="Pantalón Mujer Lukla-W Petroleo Talla 44" u="1"/>
        <s v="Segunda Capa Mujer Lobuche Cap Black Talla S" u="1"/>
        <s v="Segunda Capa Mujer Lobuche Cap Black Talla M" u="1"/>
        <s v="Segunda Capa Mujer Lobuche Cap Black Talla L" u="1"/>
        <s v="Segunda Capa Mujer Lobuche Cap Black Talla XL" u="1"/>
        <s v="Segunda Capa Mujer Lobuche Cap Pink Talla S" u="1"/>
        <s v="Segunda Capa Mujer Lobuche Cap Pink Talla M" u="1"/>
        <s v="Segunda Capa Mujer Lobuche Cap Pink Talla L" u="1"/>
        <s v="Segunda Capa Mujer Lobuche Cap Pink Talla XL" u="1"/>
        <s v="Biker Short Mujer Dhara Black Talla S" u="1"/>
        <s v="Biker Short Mujer Dhara Black Talla M" u="1"/>
        <s v="Biker Short Mujer Dhara Black Talla L" u="1"/>
        <s v="Biker Short Mujer Dhara Black Talla XL" u="1"/>
        <s v="Biker Short Mujer Dhara Teal Green Talla S" u="1"/>
        <s v="Biker Short Mujer Dhara Teal Green Talla M" u="1"/>
        <s v="Biker Short Mujer Dhara Teal Green Talla L" u="1"/>
        <s v="Biker Short Mujer Dhara Teal Green Talla XL" u="1"/>
        <s v="Batería de Cocina Oregon 5 piezas" u="1"/>
        <s v="Bateria de olla Black Cooper 7 Piezas" u="1"/>
        <s v="Bateria de ollas Savannah 9 Piezas" u="1"/>
        <s v="Bateria de ollas 7 pcs Toulouse" u="1"/>
        <s v="Batería de Cocina Antiadherente Oxford Granito 15 pcs Black" u="1"/>
        <s v="Mantequillero cerámica tapa bamboo 300ml" u="1"/>
        <s v="Mantequillero cerámica tapa bamboo con cuchillo 600ml" u="1"/>
        <s v="Sartén Antiadherente Tapa 28cm Copper" u="1"/>
        <s v="Sarten 24cm Copper Colection" u="1"/>
        <s v="Sarten Toulouse Serie 24 cm" u="1"/>
        <s v="Termo Comida 750 ml Simplit Rosado" u="1"/>
        <s v="Termo Comida 750 ml Simplit Negro" u="1"/>
        <s v="Termo Comida 750 ml Simplit Gris" u="1"/>
        <s v="Termo Comida 430ml Negro" u="1"/>
        <s v="Set de utensilios de cocina Calipso" u="1"/>
        <s v="Set de utensilios de cocina Negro" u="1"/>
        <s v="Pesa Cocina silver" u="1"/>
        <s v="Cortador colador multifuncional" u="1"/>
        <s v="Tabla de corte Plegable 3 en 1" u="1"/>
        <s v="Tabla de corte Madera Cutte Simplit" u="1"/>
        <s v="Set de Cuchilleria 30 pcs Acero Inoxidable Sicilia Simplit" u="1"/>
        <s v="Ser de Cuchilleria 30 pcs Acero Inoxidable Puglia Simplit" u="1"/>
        <s v="Set de cuchilleria 24 pcs cubiertos Versalle Simplit" u="1"/>
        <s v="Set de cuchilleria 24 pcs cubiertos Le Mans Simplit" u="1"/>
        <s v="Set de cuchilleria 24 pcs cubiertos Paris Simplit" u="1"/>
        <s v="Set de Cuchilleria 24 pcs Acero Inoxidable Cerdeña Simplit" u="1"/>
        <s v="Set Cuchillos 5 pcs Marsella Simplit" u="1"/>
        <s v="Set Cuchillos 5 pcs Paris Simplit" u="1"/>
        <s v="Set Cuchillos Stahl 5pcs + Taco Acero Inoxidable Simplit" u="1"/>
        <s v="Set Cuchillos Küche 5pcs + Base Magnetica Acero Inoxidable Simplit" u="1"/>
        <s v="Set Cuchillos Holz 5pcs + Taco Acero Inoxidable Simplit" u="1"/>
        <s v="Set de Cucharas Ensalada Versalle Simplit" u="1"/>
        <s v="Olla salsa Toulouse Serie 18cm" u="1"/>
        <s v="Olla Toulouse Serie 24 cms" u="1"/>
        <s v="Caserola Toulouse Serie 28cm" u="1"/>
        <s v="Cafetera Francesa 600ml Negro" u="1"/>
        <s v="Cafetera Italiana Negro Granito 4 tazas" u="1"/>
        <s v="Cafetera Italiana Negro Granito12 Tazas" u="1"/>
        <s v="Cafetera Prensa Francesa Vidrio Cobre 600 ml" u="1"/>
        <s v="Set 2 Tazas Doble Pared Espresso 80 ml" u="1"/>
        <s v="Taza Vidrio Doble Pared 350 ml" u="1"/>
        <s v="Taza Mug Vidrio Doble Pared 300 ml" u="1"/>
        <s v="Termo Insulado 1 Lt Gris" u="1"/>
        <s v="Termo Insulado 1 Lt Blanco" u="1"/>
        <s v="Vaso termico con tapa y bombilla Rosado" u="1"/>
        <s v="Vaso termico con tapa y bombilla Morado" u="1"/>
        <s v="Vaso termico con tapa y bombilla Negro" u="1"/>
        <s v="Set 3 Contenedores Hermeticos" u="1"/>
        <s v="Set 3 Bowl Metálico" u="1"/>
        <s v="Panera Metálica con Tapa Bamboo Blanca" u="1"/>
        <s v="Set 7 Contenedores Hermeticos" u="1"/>
        <s v="Set 4 Tupper vidrio tapa Bamboo" u="1"/>
        <s v="Set de 7 Contenedores Herméticos Plástico NEGROS Simplit" u="1"/>
        <s v="Contenedor Cerámica S Negro" u="1"/>
        <s v="Contenedor Cerámica M Negro" u="1"/>
        <s v="Contenedor Cerámica L Negro" u="1"/>
        <s v="Contenedor Cerámica S Blanco" u="1"/>
        <s v="Contenedor Cerámica M Blanco" u="1"/>
        <s v="Contenedor Cerámica L Blanco" u="1"/>
        <s v="Tupper acero inoxidable tapa Bamboo 800 ml" u="1"/>
        <s v="Tupper Plástico Hermético Bento Box Beige" u="1"/>
        <s v="Tupper Plástico Hermético Bento Box Blue" u="1"/>
        <s v="Tupper Plástico Hermético Bento Box Green" u="1"/>
        <s v="Tupper Plástico Hermético Bento Box Red" u="1"/>
        <s v="Organizador de refrigerador con cesta M" u="1"/>
        <s v="Organizador de refrigerador L" u="1"/>
        <s v="Organizador de refrigerador S" u="1"/>
        <s v="Organizador de refrigerador con cesta L" u="1"/>
        <s v="Organizador de cubiertos expandible Basel Simplit" u="1"/>
        <s v="Set de Especiero 16 Unidades" u="1"/>
        <s v="Especiero Madera 8 Frascos vidrio" u="1"/>
        <s v="Molinillo de Sal y Pimienta" u="1"/>
        <s v="Set 2 Molinillos Madera Verona Simplit" u="1"/>
        <s v="Secaplatos 2 niveles armable" u="1"/>
        <s v="Secaplatos Escurridor 2 Niveles Acero Inox Negro" u="1"/>
        <s v="Secaplatos Escurridor 2 Niveles Acero Inox Blanco" u="1"/>
        <s v="Secaplato Negro 1 Nivel" u="1"/>
        <s v="Secaplato Blanco 1 Nivel" u="1"/>
        <s v="Secaplatos Escurridor Acero Inox Bilbao 2 niveles Negro" u="1"/>
        <s v="Secaplatos Escurridor Acero Inox Bilbao 2 niveles Blanco" u="1"/>
        <s v="Secaplatos Escurridor Acero Inox Valencia 2 niveles Negro" u="1"/>
        <s v="Secaplatos Escurridor Acero Inox Valencia 2 niveles Blanco" u="1"/>
        <s v="Basurero Cocina Iron 40lts Pedal Acero Inox" u="1"/>
        <s v="Basurero Cocina Urban 30lts Pedal Acero Inox" u="1"/>
        <s v="Basurero Cocina Handy 55lts Táctil Acero Inox" u="1"/>
        <s v="Cubeta Hielo Regular 15 unidades" u="1"/>
        <s v="Cubeta Hielo Pequeño" u="1"/>
        <s v="Cubeta Hielo redondo 6 unidades" u="1"/>
        <s v="Cubeta de Hielo Silicona 6 Hielos Grandes" u="1"/>
        <s v="Set 6 vasos Vintage 200ml" u="1"/>
        <s v="Set 6 vasos vintage 350ml" u="1"/>
        <s v="Set 6 vasos copa redondos 340ml" u="1"/>
        <s v="Set 6 copas cerveceras 420ml" u="1"/>
        <s v="Set 2 Moscow Mule Mug" u="1"/>
        <s v="Set 2 Vasos Vidrio Borosilicato 550 ml" u="1"/>
        <s v="Set 4 Vasos Vidrio Borosilicato 550 ml" u="1"/>
        <s v="Set 2 Vasos Vidrio Doble Pared 400 ml" u="1"/>
        <s v="Set 2 Vasos de Vidrio Estilo Japonés 320 ml" u="1"/>
        <s v="Set 2 vasos Moscow Mule M2" u="1"/>
        <s v="Set 6 vasos whisky 270ml" u="1"/>
        <s v="Set 6 vasos cerveceros 380ml" u="1"/>
        <s v="Set 6 Copas Espumante Monaco Simplit" u="1"/>
        <s v="Set 6 Copas Vino Tinto Piamonte Simplit" u="1"/>
        <s v="Set 6 Copas Vino Blanco Alsacia Simplit" u="1"/>
        <s v="Set 6 Copas Gin London Simplit" u="1"/>
        <s v="Set 6 Vasos Largos Ginebra Simplit" u="1"/>
        <s v="Set 6 Vasos Cortos Ginebra Simplit" u="1"/>
        <s v="Descorchador Sommelier Simplit" u="1"/>
        <s v="Decantador Chateau 1650ml" u="1"/>
        <s v="Decantador Rouge 1500ml" u="1"/>
        <s v="Espumador de Leche NEGRO" u="1"/>
        <s v="Espumador de Leche BLANCO" u="1"/>
        <s v="Juego de cachos 4 unidades" u="1"/>
        <s v="Set 2 Alcuza de Cerámica cuadrada" u="1"/>
        <s v="Juego Loza Cerámica 30 pcs Siena Simplit" u="1"/>
        <s v="Juego Loza Cerámica 16 pcs Amalfi Simplit" u="1"/>
        <s v="Juego Loza Cerámica 12 pcs Toscana Simplit" u="1"/>
        <s v="Juego de Loza 30 pcs Cerámica Bruselas Simplit" u="1"/>
        <s v="Set 4 Platos Fondo Cerámica 27,4cm Siena Simplit" u="1"/>
        <s v="Set 4 Bowls Cerámica 7,5cm Siena Simplit" u="1"/>
        <s v="Set 4 Vasos Cerámica 270ml Siena Simplit" u="1"/>
        <s v="Set 4 Platos Fondo Cerámica 27,4cm Amalfi Simplit" u="1"/>
        <s v="Set 4 Bowls Cerámica 7,5cm Amalfi Simplit" u="1"/>
        <s v="Set 4 Vasos Cerámica 270ml Amalfi Simplit" u="1"/>
        <s v="Set 2 Tazas Cerámica 420ml Palermo Simplit" u="1"/>
        <s v="Set 3 Fuentes para horno" u="1"/>
        <s v="Fuente para Horno Olla Cerámica Roja" u="1"/>
        <s v="Fuente Ovalada Aperitivo Cerámica Amalfi Simplit" u="1"/>
        <s v="Fuente Ovalada Aperitivo Cerámica Vittoria Simplit" u="1"/>
        <s v="Toldo lateral Auto camping" u="1"/>
        <s v="Barra para auto universal XROOF" u="1"/>
        <s v="Parrilla Para Auto Portaequipaje Universal XROAD" u="1"/>
        <s v="Sensor De Retroceso Para Automóviles" u="1"/>
        <s v="Cobertor de auto para mascotas" u="1"/>
        <s v="Cubre Asientos Cuero Premium" u="1"/>
        <s v="Cadena Antinapoleonica Rueda Repuesto" u="1"/>
        <s v="Hydrolavadora Eléctrica 1800W 120 Bar HydroX Xroad" u="1"/>
        <s v="Partidor De Batería Portátil Con Compresor De Aire 12V XRoad" u="1"/>
        <s v="Generador Eléctrico Portatil 300/600W 248WH 80.000 mAh Xroad" u="1"/>
        <s v="Kit Taladro Destornillador Inalámbrico Dynamo 21v 2 Baterías_x000a_" u="1"/>
        <s v="Taladro Desatornillador Inalámbrico Dynamo YM 21V 2 baterías" u="1"/>
        <s v="Afeitadora Rasuradora Corporal NeoBlade 3.1 T-Care" u="1"/>
        <s v="Secador de pelo Multistyler 5 en 1 AeroFlow" u="1"/>
        <s v="Mecedor Electrico Coche Recargable Bebe Baby Chick Bandú" u="1"/>
        <s v="Casa De Muñecas Clásica Madera Rosada Con Accesorios Bandú" u="1"/>
        <s v="Set Juego Tazas De Té Juguete Didáctico 16pcs Madera Bandú" u="1"/>
        <s v="Juguete Infantil mini Heladeria" u="1"/>
        <s v="Andador Correpasillos Bebe Didáctico Madera Bandú Verde" u="1"/>
        <s v="Andador Correpasillos Bebe Didáctico Madera Bandú Rosado" u="1"/>
        <s v="Gimancio Infantil Juego Pikler Parque 8 en 1 Bandu" u="1"/>
        <s v="Mesa Didactica de Juguete 7 en 1 Montessori Animales Bandú" u="1"/>
        <s v="⁠MineBlocks Aventura en Hielo 89pcs - Bandú" u="1"/>
        <s v="⁠⁠MineBlocks Mundo Mario 75pcs - Bandú" u="1"/>
        <s v="⁠⁠MineBlocks Súper Aventura Mario 146pcs - Bandú" u="1"/>
        <s v="MineBlocks Fondo Marino Bob Esponja 54pcs - Bandú" u="1"/>
        <s v="MineBlocks Ciudad Magnética 114pcs - Bandú" u="1"/>
        <s v="Cámara de inspección alcantarillado con pantalla LCD de 7 pulgadas H6 endoscopio boroscopio" u="1"/>
        <s v="Cámara de Inspección Baroscopio con Sonda 70 Mts H3" u="1"/>
        <s v="Cámara de Inspección de Tuberías Endoscopio Industrial TP9607F" u="1"/>
        <s v="Shaker NutriCore 500ml Black" u="1"/>
        <s v="Shaker NutriCore 500ml Pink" u="1"/>
        <s v="Shaker NutriCore 500ml Green" u="1"/>
        <s v="Bateria de Ollas Oxford 15 Piezas" u="1"/>
      </sharedItems>
    </cacheField>
    <cacheField name="TOTAL" numFmtId="0">
      <sharedItems containsBlank="1" count="3">
        <s v="NO TOTAL"/>
        <m/>
        <s v="TOTALES" u="1"/>
      </sharedItems>
    </cacheField>
    <cacheField name="Categoria Producto" numFmtId="0">
      <sharedItems containsBlank="1" count="9">
        <s v="Plata"/>
        <s v="Bronce"/>
        <s v="Nuevo"/>
        <s v="Diamante"/>
        <s v="Oro"/>
        <m/>
        <s v="Descontinuado"/>
        <s v="Corporativo"/>
        <s v="In/Out"/>
      </sharedItems>
    </cacheField>
    <cacheField name="% Proyeccion Vta" numFmtId="9">
      <sharedItems containsSemiMixedTypes="0" containsString="0" containsNumber="1" minValue="0.5" maxValue="1.8"/>
    </cacheField>
    <cacheField name="Ranking Comercial" numFmtId="41">
      <sharedItems containsString="0" containsBlank="1" containsNumber="1" containsInteger="1" minValue="0" maxValue="422" count="423">
        <n v="239"/>
        <n v="360"/>
        <n v="348"/>
        <n v="306"/>
        <n v="247"/>
        <n v="268"/>
        <n v="297"/>
        <n v="262"/>
        <n v="252"/>
        <n v="249"/>
        <n v="206"/>
        <n v="72"/>
        <n v="0"/>
        <n v="89"/>
        <n v="180"/>
        <n v="10"/>
        <n v="70"/>
        <n v="68"/>
        <n v="24"/>
        <n v="182"/>
        <m/>
        <n v="92"/>
        <n v="76"/>
        <n v="37"/>
        <n v="205"/>
        <n v="57"/>
        <n v="13"/>
        <n v="100"/>
        <n v="39"/>
        <n v="213"/>
        <n v="212"/>
        <n v="59"/>
        <n v="102"/>
        <n v="135"/>
        <n v="153"/>
        <n v="107"/>
        <n v="80"/>
        <n v="21"/>
        <n v="29"/>
        <n v="4"/>
        <n v="196"/>
        <n v="9"/>
        <n v="23"/>
        <n v="67"/>
        <n v="279"/>
        <n v="401"/>
        <n v="364"/>
        <n v="15"/>
        <n v="47"/>
        <n v="126"/>
        <n v="177"/>
        <n v="48"/>
        <n v="43"/>
        <n v="88"/>
        <n v="96"/>
        <n v="229"/>
        <n v="264"/>
        <n v="86"/>
        <n v="41"/>
        <n v="81"/>
        <n v="194"/>
        <n v="121"/>
        <n v="209"/>
        <n v="188"/>
        <n v="128"/>
        <n v="113"/>
        <n v="203"/>
        <n v="277"/>
        <n v="56"/>
        <n v="104"/>
        <n v="189"/>
        <n v="143"/>
        <n v="91"/>
        <n v="110"/>
        <n v="97"/>
        <n v="62"/>
        <n v="85"/>
        <n v="155"/>
        <n v="117"/>
        <n v="167"/>
        <n v="116"/>
        <n v="214"/>
        <n v="114"/>
        <n v="230"/>
        <n v="224"/>
        <n v="193"/>
        <n v="197"/>
        <n v="192"/>
        <n v="61"/>
        <n v="226"/>
        <n v="162"/>
        <n v="54"/>
        <n v="79"/>
        <n v="186"/>
        <n v="131"/>
        <n v="75"/>
        <n v="152"/>
        <n v="51"/>
        <n v="175"/>
        <n v="158"/>
        <n v="141"/>
        <n v="422"/>
        <n v="130"/>
        <n v="219"/>
        <n v="71"/>
        <n v="95"/>
        <n v="136"/>
        <n v="120"/>
        <n v="73"/>
        <n v="142"/>
        <n v="124"/>
        <n v="399"/>
        <n v="145"/>
        <n v="14"/>
        <n v="165"/>
        <n v="150"/>
        <n v="185"/>
        <n v="173"/>
        <n v="308"/>
        <n v="149"/>
        <n v="201"/>
        <n v="160"/>
        <n v="168"/>
        <n v="217"/>
        <n v="146"/>
        <n v="187"/>
        <n v="111"/>
        <n v="148"/>
        <n v="211"/>
        <n v="101"/>
        <n v="151"/>
        <n v="164"/>
        <n v="199"/>
        <n v="144"/>
        <n v="161"/>
        <n v="184"/>
        <n v="118"/>
        <n v="191"/>
        <n v="204"/>
        <n v="228"/>
        <n v="242"/>
        <n v="280"/>
        <n v="231"/>
        <n v="285"/>
        <n v="243"/>
        <n v="267"/>
        <n v="278"/>
        <n v="238"/>
        <n v="397"/>
        <n v="259"/>
        <n v="398"/>
        <n v="296"/>
        <n v="16"/>
        <n v="395"/>
        <n v="26"/>
        <n v="34"/>
        <n v="342"/>
        <n v="337"/>
        <n v="356"/>
        <n v="368"/>
        <n v="384"/>
        <n v="326"/>
        <n v="319"/>
        <n v="359"/>
        <n v="378"/>
        <n v="307"/>
        <n v="390"/>
        <n v="331"/>
        <n v="316"/>
        <n v="321"/>
        <n v="367"/>
        <n v="351"/>
        <n v="377"/>
        <n v="266"/>
        <n v="261"/>
        <n v="248"/>
        <n v="260"/>
        <n v="386"/>
        <n v="325"/>
        <n v="302"/>
        <n v="315"/>
        <n v="380"/>
        <n v="371"/>
        <n v="332"/>
        <n v="339"/>
        <n v="355"/>
        <n v="334"/>
        <n v="282"/>
        <n v="336"/>
        <n v="352"/>
        <n v="303"/>
        <n v="287"/>
        <n v="305"/>
        <n v="402"/>
        <n v="324"/>
        <n v="309"/>
        <n v="345"/>
        <n v="344"/>
        <n v="330"/>
        <n v="293"/>
        <n v="322"/>
        <n v="385"/>
        <n v="392"/>
        <n v="301"/>
        <n v="375"/>
        <n v="354"/>
        <n v="341"/>
        <n v="310"/>
        <n v="361"/>
        <n v="394"/>
        <n v="357"/>
        <n v="363"/>
        <n v="333"/>
        <n v="382"/>
        <n v="383"/>
        <n v="311"/>
        <n v="349"/>
        <n v="353"/>
        <n v="343"/>
        <n v="283"/>
        <n v="328"/>
        <n v="403"/>
        <n v="379"/>
        <n v="340"/>
        <n v="404"/>
        <n v="405"/>
        <n v="370"/>
        <n v="406"/>
        <n v="407"/>
        <n v="408"/>
        <n v="409"/>
        <n v="410"/>
        <n v="411"/>
        <n v="412"/>
        <n v="391"/>
        <n v="346"/>
        <n v="413"/>
        <n v="414"/>
        <n v="387"/>
        <n v="288"/>
        <n v="338"/>
        <n v="365"/>
        <n v="415"/>
        <n v="350"/>
        <n v="416"/>
        <n v="304"/>
        <n v="369"/>
        <n v="329"/>
        <n v="373"/>
        <n v="318"/>
        <n v="417"/>
        <n v="393"/>
        <n v="376"/>
        <n v="323"/>
        <n v="418"/>
        <n v="362"/>
        <n v="388"/>
        <n v="18"/>
        <n v="6"/>
        <n v="5"/>
        <n v="2"/>
        <n v="166"/>
        <n v="147"/>
        <n v="127"/>
        <n v="132"/>
        <n v="234"/>
        <n v="82"/>
        <n v="27"/>
        <n v="176"/>
        <n v="122"/>
        <n v="140"/>
        <n v="12"/>
        <n v="25"/>
        <n v="17"/>
        <n v="93"/>
        <n v="289"/>
        <n v="195"/>
        <n v="60"/>
        <n v="66"/>
        <n v="90"/>
        <n v="169"/>
        <n v="98"/>
        <n v="157"/>
        <n v="50"/>
        <n v="215"/>
        <n v="253"/>
        <n v="298"/>
        <n v="291"/>
        <n v="241"/>
        <n v="44"/>
        <n v="159"/>
        <n v="35"/>
        <n v="106"/>
        <n v="69"/>
        <n v="299"/>
        <n v="286"/>
        <n v="290"/>
        <n v="317"/>
        <n v="314"/>
        <n v="320"/>
        <n v="265"/>
        <n v="227"/>
        <n v="202"/>
        <n v="218"/>
        <n v="200"/>
        <n v="174"/>
        <n v="156"/>
        <n v="245"/>
        <n v="77"/>
        <n v="139"/>
        <n v="63"/>
        <n v="216"/>
        <n v="240"/>
        <n v="28"/>
        <n v="46"/>
        <n v="58"/>
        <n v="65"/>
        <n v="112"/>
        <n v="129"/>
        <n v="40"/>
        <n v="83"/>
        <n v="64"/>
        <n v="105"/>
        <n v="42"/>
        <n v="221"/>
        <n v="220"/>
        <n v="232"/>
        <n v="171"/>
        <n v="94"/>
        <n v="31"/>
        <n v="178"/>
        <n v="198"/>
        <n v="208"/>
        <n v="276"/>
        <n v="419"/>
        <n v="300"/>
        <n v="255"/>
        <n v="272"/>
        <n v="258"/>
        <n v="154"/>
        <n v="134"/>
        <n v="246"/>
        <n v="138"/>
        <n v="125"/>
        <n v="183"/>
        <n v="251"/>
        <n v="273"/>
        <n v="275"/>
        <n v="108"/>
        <n v="8"/>
        <n v="55"/>
        <n v="170"/>
        <n v="109"/>
        <n v="1"/>
        <n v="115"/>
        <n v="7"/>
        <n v="225"/>
        <n v="210"/>
        <n v="235"/>
        <n v="223"/>
        <n v="237"/>
        <n v="233"/>
        <n v="87"/>
        <n v="22"/>
        <n v="11"/>
        <n v="74"/>
        <n v="222"/>
        <n v="19"/>
        <n v="172"/>
        <n v="284"/>
        <n v="396"/>
        <n v="133"/>
        <n v="33"/>
        <n v="32"/>
        <n v="313"/>
        <n v="49"/>
        <n v="45"/>
        <n v="84"/>
        <n v="99"/>
        <n v="52"/>
        <n v="53"/>
        <n v="78"/>
        <n v="3"/>
        <n v="274"/>
        <n v="179"/>
        <n v="38"/>
        <n v="20"/>
        <n v="30"/>
        <n v="163"/>
        <n v="137"/>
        <n v="250"/>
        <n v="420"/>
        <n v="421"/>
        <n v="207"/>
        <n v="263"/>
        <n v="181"/>
        <n v="123"/>
        <n v="103"/>
        <n v="366"/>
        <n v="400"/>
        <n v="36"/>
        <n v="270"/>
        <n v="381"/>
        <n v="294"/>
        <n v="281"/>
        <n v="327"/>
        <n v="312"/>
        <n v="119"/>
        <n v="254"/>
        <n v="236"/>
        <n v="257"/>
        <n v="374"/>
        <n v="256"/>
        <n v="389"/>
        <n v="372"/>
        <n v="190"/>
        <n v="244"/>
        <n v="269"/>
        <n v="271"/>
        <n v="347"/>
        <n v="335"/>
        <n v="295"/>
        <n v="292"/>
      </sharedItems>
    </cacheField>
    <cacheField name="Stock HOY" numFmtId="41">
      <sharedItems containsSemiMixedTypes="0" containsString="0" containsNumber="1" containsInteger="1" minValue="-2" maxValue="6992"/>
    </cacheField>
    <cacheField name="OHNSO" numFmtId="41">
      <sharedItems containsString="0" containsBlank="1" containsNumber="1" containsInteger="1" minValue="100" maxValue="1500"/>
    </cacheField>
    <cacheField name="OHNSO CST" numFmtId="41">
      <sharedItems containsString="0" containsBlank="1" containsNumber="1" minValue="0" maxValue="18050000"/>
    </cacheField>
    <cacheField name="CST Actual" numFmtId="41">
      <sharedItems containsString="0" containsBlank="1" containsNumber="1" minValue="691" maxValue="1867612"/>
    </cacheField>
    <cacheField name="Stock Hoy CST" numFmtId="41">
      <sharedItems containsString="0" containsBlank="1" containsNumber="1" minValue="-43538" maxValue="18194059.423827268"/>
    </cacheField>
    <cacheField name="COSTO USD" numFmtId="0">
      <sharedItems containsSemiMixedTypes="0" containsString="0" containsNumber="1" minValue="0.5" maxValue="1709.4846681922199"/>
    </cacheField>
    <cacheField name="COST CLP" numFmtId="41">
      <sharedItems containsString="0" containsBlank="1" containsNumber="1" minValue="546.25" maxValue="1916332.3130434779"/>
    </cacheField>
    <cacheField name="Ticekt Promedio" numFmtId="41">
      <sharedItems containsSemiMixedTypes="0" containsString="0" containsNumber="1" minValue="0" maxValue="5042008.4033613447"/>
    </cacheField>
    <cacheField name="Ticekt Promedio Evento" numFmtId="41">
      <sharedItems containsSemiMixedTypes="0" containsString="0" containsNumber="1" minValue="0" maxValue="5042008.4033613447"/>
    </cacheField>
    <cacheField name="Puerto Origen" numFmtId="41">
      <sharedItems/>
    </cacheField>
    <cacheField name="Tipo Pago" numFmtId="0">
      <sharedItems containsBlank="1"/>
    </cacheField>
    <cacheField name="LEAD TIME" numFmtId="41">
      <sharedItems containsSemiMixedTypes="0" containsString="0" containsNumber="1" containsInteger="1" minValue="30" maxValue="60"/>
    </cacheField>
    <cacheField name="MOQ" numFmtId="41">
      <sharedItems containsSemiMixedTypes="0" containsString="0" containsNumber="1" containsInteger="1" minValue="1" maxValue="2000"/>
    </cacheField>
    <cacheField name="VENTA REAL UNID ENE 25" numFmtId="41">
      <sharedItems containsString="0" containsBlank="1" containsNumber="1" containsInteger="1" minValue="0" maxValue="3238"/>
    </cacheField>
    <cacheField name="MG FRONT ENE 25" numFmtId="164">
      <sharedItems containsBlank="1" containsMixedTypes="1" containsNumber="1" minValue="-0.1008019242333132" maxValue="1.3778107475711301"/>
    </cacheField>
    <cacheField name="VENTA REAL UNID FEB 25" numFmtId="41">
      <sharedItems containsString="0" containsBlank="1" containsNumber="1" containsInteger="1" minValue="0" maxValue="928"/>
    </cacheField>
    <cacheField name="MG FRONT FEB 25" numFmtId="164">
      <sharedItems containsBlank="1" containsMixedTypes="1" containsNumber="1" minValue="0" maxValue="1.5228450871169601"/>
    </cacheField>
    <cacheField name="VENTA REAL UNID MAR 25" numFmtId="41">
      <sharedItems containsString="0" containsBlank="1" containsNumber="1" containsInteger="1" minValue="0" maxValue="4022"/>
    </cacheField>
    <cacheField name="MG FRONT MAR 25" numFmtId="164">
      <sharedItems containsBlank="1" containsMixedTypes="1" containsNumber="1" minValue="-6.6078947368421057E-2" maxValue="1.5108339762982601"/>
    </cacheField>
    <cacheField name="VENTA REAL UNID ABR 25" numFmtId="41">
      <sharedItems containsString="0" containsBlank="1" containsNumber="1" containsInteger="1" minValue="0" maxValue="2076"/>
    </cacheField>
    <cacheField name="MG FRONT ABR 25" numFmtId="0">
      <sharedItems containsBlank="1" containsMixedTypes="1" containsNumber="1" minValue="-2.806032970884856E-5" maxValue="1.4463139681163"/>
    </cacheField>
    <cacheField name="VENTA REAL UNID MAY 25" numFmtId="41">
      <sharedItems containsString="0" containsBlank="1" containsNumber="1" containsInteger="1" minValue="0" maxValue="1919"/>
    </cacheField>
    <cacheField name="MG FRONT MAY 25" numFmtId="0">
      <sharedItems containsBlank="1" containsMixedTypes="1" containsNumber="1" minValue="-2.689114930428662E-5" maxValue="1.5486194368245201"/>
    </cacheField>
    <cacheField name="VENTA REAL UNID JUN 25" numFmtId="41">
      <sharedItems containsString="0" containsBlank="1" containsNumber="1" containsInteger="1" minValue="0" maxValue="3320"/>
    </cacheField>
    <cacheField name="MG FRONT JUN 25" numFmtId="0">
      <sharedItems containsBlank="1" containsMixedTypes="1" containsNumber="1" minValue="-9.2396553804798401E-2" maxValue="2.815199476213945"/>
    </cacheField>
    <cacheField name="VENTA REAL UNID JUL 25" numFmtId="41">
      <sharedItems containsString="0" containsBlank="1" containsNumber="1" containsInteger="1" minValue="0" maxValue="2164"/>
    </cacheField>
    <cacheField name="MG FRONT JUL 25" numFmtId="0">
      <sharedItems containsBlank="1" containsMixedTypes="1" containsNumber="1" minValue="0" maxValue="1.4570594404145401"/>
    </cacheField>
    <cacheField name="VENTA REAL UNID AGO 25" numFmtId="41">
      <sharedItems containsString="0" containsBlank="1" containsNumber="1" containsInteger="1" minValue="-228" maxValue="591"/>
    </cacheField>
    <cacheField name="MG FRONT AGO 25" numFmtId="0">
      <sharedItems containsBlank="1" containsMixedTypes="1" containsNumber="1" minValue="-6.5003685740092132E-2" maxValue="1.5048120543835699"/>
    </cacheField>
    <cacheField name="VENTA REAL UNID SEP 25" numFmtId="41">
      <sharedItems containsString="0" containsBlank="1" containsNumber="1" containsInteger="1" minValue="-1" maxValue="2809"/>
    </cacheField>
    <cacheField name="MG FRONT SEP 25" numFmtId="164">
      <sharedItems containsBlank="1" containsMixedTypes="1" containsNumber="1" minValue="0" maxValue="1"/>
    </cacheField>
    <cacheField name="VENTA REAL UNID OCT 25" numFmtId="41">
      <sharedItems containsString="0" containsBlank="1" containsNumber="1" containsInteger="1" minValue="0" maxValue="1791"/>
    </cacheField>
    <cacheField name="MG FRONT OCT 25" numFmtId="0">
      <sharedItems containsBlank="1" containsMixedTypes="1" containsNumber="1" minValue="-0.18692180513706891" maxValue="1"/>
    </cacheField>
    <cacheField name="VENTA REAL UNID NOV 25" numFmtId="41">
      <sharedItems containsString="0" containsBlank="1" containsNumber="1" containsInteger="1" minValue="-7" maxValue="2880"/>
    </cacheField>
    <cacheField name="MG FRONT NOV 25" numFmtId="0">
      <sharedItems containsBlank="1" containsMixedTypes="1" containsNumber="1" minValue="0" maxValue="1.000054735840076"/>
    </cacheField>
    <cacheField name="VENTA REAL UNID DIC 25" numFmtId="41">
      <sharedItems containsString="0" containsBlank="1" containsNumber="1" containsInteger="1" minValue="-1" maxValue="507"/>
    </cacheField>
    <cacheField name="MG FRONT DIC 25" numFmtId="0">
      <sharedItems containsBlank="1" containsMixedTypes="1" containsNumber="1" minValue="-1.1134888264745411" maxValue="1"/>
    </cacheField>
    <cacheField name="VENTA REAL UNID ENE 26" numFmtId="41">
      <sharedItems containsString="0" containsBlank="1" containsNumber="1" containsInteger="1" minValue="0" maxValue="2097"/>
    </cacheField>
    <cacheField name="MG FRONT ENE 26" numFmtId="0">
      <sharedItems containsBlank="1" containsMixedTypes="1" containsNumber="1" minValue="0" maxValue="0.74220331613867674"/>
    </cacheField>
    <cacheField name="VENTA REAL UNID FEB 26" numFmtId="41">
      <sharedItems containsString="0" containsBlank="1" containsNumber="1" containsInteger="1" minValue="0" maxValue="304"/>
    </cacheField>
    <cacheField name="MG FRONT FEB 26" numFmtId="9">
      <sharedItems containsBlank="1" containsMixedTypes="1" containsNumber="1" minValue="-6.5562552541616345E-2" maxValue="0.75592673542080013"/>
    </cacheField>
    <cacheField name="VENTA REAL UNID MAR 26" numFmtId="3">
      <sharedItems containsString="0" containsBlank="1" containsNumber="1" containsInteger="1" minValue="-6" maxValue="1978"/>
    </cacheField>
    <cacheField name="MG FRONT MAR 26" numFmtId="9">
      <sharedItems containsBlank="1" containsMixedTypes="1" containsNumber="1" minValue="-3.6170212765957448E-3" maxValue="0.69908895691496076"/>
    </cacheField>
    <cacheField name="VENTA REAL UNID ABR 26" numFmtId="41">
      <sharedItems containsString="0" containsBlank="1" containsNumber="1" containsInteger="1" minValue="0" maxValue="1000"/>
    </cacheField>
    <cacheField name="MG FRONT ABR 26" numFmtId="9">
      <sharedItems containsBlank="1" containsMixedTypes="1" containsNumber="1" minValue="9.6356867825459339E-2" maxValue="0.75194380297538566"/>
    </cacheField>
    <cacheField name="% Cumplimiento ABR 26" numFmtId="9">
      <sharedItems containsString="0" containsBlank="1" containsNumber="1" minValue="0" maxValue="7.2222222222222223"/>
    </cacheField>
    <cacheField name="VENTA REAL UNID MAY 26" numFmtId="3">
      <sharedItems containsString="0" containsBlank="1" containsNumber="1" containsInteger="1" minValue="-2" maxValue="1661"/>
    </cacheField>
    <cacheField name="MG FRONT MAY 26" numFmtId="9">
      <sharedItems containsBlank="1" containsMixedTypes="1" containsNumber="1" minValue="0.19814571216428009" maxValue="0.82233333333333336"/>
    </cacheField>
    <cacheField name="% Cumplimiento MAY 26" numFmtId="9">
      <sharedItems containsString="0" containsBlank="1" containsNumber="1" minValue="-1" maxValue="18"/>
    </cacheField>
    <cacheField name="VENTA REAL UNID JUN 26" numFmtId="41">
      <sharedItems containsString="0" containsBlank="1" containsNumber="1" containsInteger="1" minValue="-7" maxValue="1174"/>
    </cacheField>
    <cacheField name="MG FRONT JUN 26" numFmtId="9">
      <sharedItems containsBlank="1" containsMixedTypes="1" containsNumber="1" minValue="-0.20597215528304219" maxValue="0.99999666666666653"/>
    </cacheField>
    <cacheField name="% Cumplimiento JUN 26" numFmtId="9">
      <sharedItems containsString="0" containsBlank="1" containsNumber="1" minValue="-0.17499999999999999" maxValue="6.333333333333333"/>
    </cacheField>
    <cacheField name="VENTA REAL UNID JUL 26" numFmtId="3">
      <sharedItems containsSemiMixedTypes="0" containsString="0" containsNumber="1" containsInteger="1" minValue="-6" maxValue="383"/>
    </cacheField>
    <cacheField name="MG FRONT JUL 26" numFmtId="9">
      <sharedItems containsMixedTypes="1" containsNumber="1" minValue="2.262517518979721E-2" maxValue="0.98244348745320986"/>
    </cacheField>
    <cacheField name="% Cumplimiento JUL 26" numFmtId="9">
      <sharedItems containsSemiMixedTypes="0" containsString="0" containsNumber="1" minValue="-1" maxValue="13"/>
    </cacheField>
    <cacheField name="Venta FCST ENE Inicial" numFmtId="41">
      <sharedItems containsString="0" containsBlank="1" containsNumber="1" minValue="0" maxValue="900"/>
    </cacheField>
    <cacheField name="Stock Inicial ENE26" numFmtId="41">
      <sharedItems containsString="0" containsBlank="1" containsNumber="1" containsInteger="1" minValue="0" maxValue="7028"/>
    </cacheField>
    <cacheField name=" Venta PPTO ENE26" numFmtId="41">
      <sharedItems containsString="0" containsBlank="1" containsNumber="1" minValue="0" maxValue="900"/>
    </cacheField>
    <cacheField name="PEDIDO SEP_x000a_LLEGADAS ENE26" numFmtId="41">
      <sharedItems containsString="0" containsBlank="1" containsNumber="1" containsInteger="1" minValue="0" maxValue="1000"/>
    </cacheField>
    <cacheField name="TRANSITO ENE" numFmtId="41">
      <sharedItems containsString="0" containsBlank="1" containsNumber="1" containsInteger="1" minValue="0" maxValue="1500"/>
    </cacheField>
    <cacheField name="EMBARQUE ENERO" numFmtId="41">
      <sharedItems containsString="0" containsBlank="1" containsNumber="1" containsInteger="1" minValue="0" maxValue="0"/>
    </cacheField>
    <cacheField name="STK Ideal Cst ENE26" numFmtId="41">
      <sharedItems containsString="0" containsBlank="1" containsNumber="1" minValue="0" maxValue="21030183.5"/>
    </cacheField>
    <cacheField name="Stock Inicial Cst ENE26" numFmtId="41">
      <sharedItems containsString="0" containsBlank="1" containsNumber="1" minValue="0" maxValue="24661980"/>
    </cacheField>
    <cacheField name=" Venta Cst ENE26" numFmtId="41">
      <sharedItems containsString="0" containsBlank="1" containsNumber="1" minValue="0" maxValue="7389590"/>
    </cacheField>
    <cacheField name="Llegadas Cst ENE26" numFmtId="41">
      <sharedItems containsString="0" containsBlank="1" containsNumber="1" containsInteger="1" minValue="0" maxValue="0"/>
    </cacheField>
    <cacheField name="Stock + Pedido Unid ENE26" numFmtId="41">
      <sharedItems containsString="0" containsBlank="1" containsNumber="1" containsInteger="1" minValue="-2" maxValue="6992"/>
    </cacheField>
    <cacheField name="Stock + Pedido Csto ENE26" numFmtId="41">
      <sharedItems containsString="0" containsBlank="1" containsNumber="1" minValue="-43538" maxValue="18194059.423827268"/>
    </cacheField>
    <cacheField name="Venta Neta Enero" numFmtId="41">
      <sharedItems containsString="0" containsBlank="1" containsNumber="1" minValue="0" maxValue="12851281.68914625"/>
    </cacheField>
    <cacheField name="Venta FCST FEB Inicial" numFmtId="41">
      <sharedItems containsString="0" containsBlank="1" containsNumber="1" minValue="0" maxValue="880"/>
    </cacheField>
    <cacheField name="Stock Inicial FEB26" numFmtId="41">
      <sharedItems containsString="0" containsBlank="1" containsNumber="1" containsInteger="1" minValue="0" maxValue="6556"/>
    </cacheField>
    <cacheField name=" Venta PPTO FEB26" numFmtId="41">
      <sharedItems containsString="0" containsBlank="1" containsNumber="1" minValue="0" maxValue="456"/>
    </cacheField>
    <cacheField name="PEDIDO SEP_x000a_LLEGADAS FEB26" numFmtId="41">
      <sharedItems containsString="0" containsBlank="1" containsNumber="1" minValue="0" maxValue="1880"/>
    </cacheField>
    <cacheField name="Transito Feb 26" numFmtId="41">
      <sharedItems containsString="0" containsBlank="1" containsNumber="1" minValue="0" maxValue="1880"/>
    </cacheField>
    <cacheField name="EMBARQUE FEBRERO" numFmtId="41">
      <sharedItems containsString="0" containsBlank="1" containsNumber="1" containsInteger="1" minValue="0" maxValue="0"/>
    </cacheField>
    <cacheField name="STK Ideal Cst FEB26" numFmtId="41">
      <sharedItems containsString="0" containsBlank="1" containsNumber="1" minValue="0" maxValue="25864287.5"/>
    </cacheField>
    <cacheField name="Stock Inicial Cst FEB26" numFmtId="41">
      <sharedItems containsString="0" containsBlank="1" containsNumber="1" minValue="0" maxValue="27464346"/>
    </cacheField>
    <cacheField name=" Venta Cst FEB26" numFmtId="41">
      <sharedItems containsString="0" containsBlank="1" containsNumber="1" minValue="0" maxValue="7498354.5"/>
    </cacheField>
    <cacheField name="Llegadas Cst FEB26" numFmtId="41">
      <sharedItems containsString="0" containsBlank="1" containsNumber="1" containsInteger="1" minValue="0" maxValue="0"/>
    </cacheField>
    <cacheField name="Stock + Pedido Unid FEB26" numFmtId="41">
      <sharedItems containsString="0" containsBlank="1" containsNumber="1" containsInteger="1" minValue="-2" maxValue="6992"/>
    </cacheField>
    <cacheField name="Stock + Pedido Csto FEB26" numFmtId="41">
      <sharedItems containsString="0" containsBlank="1" containsNumber="1" minValue="-43538" maxValue="18194059.423827268"/>
    </cacheField>
    <cacheField name="Venta Neta Feb" numFmtId="41">
      <sharedItems containsString="0" containsBlank="1" containsNumber="1" minValue="0" maxValue="15323356.40138408"/>
    </cacheField>
    <cacheField name="Venta FCST MAR Inicial" numFmtId="41">
      <sharedItems containsString="0" containsBlank="1" containsNumber="1" minValue="0" maxValue="1481"/>
    </cacheField>
    <cacheField name="Stock Inicial MAR26" numFmtId="41">
      <sharedItems containsString="0" containsBlank="1" containsNumber="1" containsInteger="1" minValue="-1" maxValue="6492"/>
    </cacheField>
    <cacheField name=" Venta PPTO MAR26" numFmtId="41">
      <sharedItems containsString="0" containsBlank="1" containsNumber="1" containsInteger="1" minValue="-6" maxValue="1978"/>
    </cacheField>
    <cacheField name="PEDIDO SEP_x000a_LLEGADAS MAR26" numFmtId="41">
      <sharedItems containsString="0" containsBlank="1" containsNumber="1" containsInteger="1" minValue="0" maxValue="0"/>
    </cacheField>
    <cacheField name="Transito MAR 26" numFmtId="41">
      <sharedItems containsString="0" containsBlank="1" containsNumber="1" containsInteger="1" minValue="0" maxValue="0"/>
    </cacheField>
    <cacheField name="STK Ideal Cst MAR26" numFmtId="41">
      <sharedItems containsString="0" containsBlank="1" containsNumber="1" minValue="0" maxValue="24147190"/>
    </cacheField>
    <cacheField name="Stock Inicial Cst MAR26" numFmtId="41">
      <sharedItems containsString="0" containsBlank="1" containsNumber="1" minValue="-29925" maxValue="25010920"/>
    </cacheField>
    <cacheField name=" Venta Cst MAR26" numFmtId="41">
      <sharedItems containsString="0" containsBlank="1" containsNumber="1" minValue="-163680" maxValue="10785179"/>
    </cacheField>
    <cacheField name="Llegadas Cst MAR26" numFmtId="41">
      <sharedItems containsString="0" containsBlank="1" containsNumber="1" containsInteger="1" minValue="0" maxValue="0"/>
    </cacheField>
    <cacheField name="Stock + Pedido Unid MAR26" numFmtId="41">
      <sharedItems containsString="0" containsBlank="1" containsNumber="1" containsInteger="1" minValue="-2" maxValue="6992"/>
    </cacheField>
    <cacheField name="Stock + Pedido Csto MAR26" numFmtId="41">
      <sharedItems containsString="0" containsBlank="1" containsNumber="1" minValue="-43538" maxValue="18194059.423827268"/>
    </cacheField>
    <cacheField name="Venta Neta Marzo" numFmtId="41">
      <sharedItems containsString="0" containsBlank="1" containsNumber="1" minValue="-403310.92436974798" maxValue="29568142.857142858"/>
    </cacheField>
    <cacheField name="Venta FCST ABR Inicial" numFmtId="41">
      <sharedItems containsString="0" containsBlank="1" containsNumber="1" minValue="0" maxValue="850"/>
    </cacheField>
    <cacheField name="Stock Inicial ABR26" numFmtId="41">
      <sharedItems containsString="0" containsBlank="1" containsNumber="1" containsInteger="1" minValue="0" maxValue="7189"/>
    </cacheField>
    <cacheField name=" Venta PPTO ABR26" numFmtId="41">
      <sharedItems containsString="0" containsBlank="1" containsNumber="1" containsInteger="1" minValue="0" maxValue="1000"/>
    </cacheField>
    <cacheField name="PEDIDO SEP_x000a_LLEGADAS ABR26" numFmtId="41">
      <sharedItems containsString="0" containsBlank="1" containsNumber="1" containsInteger="1" minValue="0" maxValue="2000"/>
    </cacheField>
    <cacheField name="Transito ABR 26" numFmtId="41">
      <sharedItems containsString="0" containsBlank="1" containsNumber="1" containsInteger="1" minValue="0" maxValue="0"/>
    </cacheField>
    <cacheField name="Stock Inicial Cst ABR26" numFmtId="41">
      <sharedItems containsString="0" containsBlank="1" containsNumber="1" minValue="0" maxValue="35378370"/>
    </cacheField>
    <cacheField name=" Venta Cst ABR26" numFmtId="41">
      <sharedItems containsString="0" containsBlank="1" containsNumber="1" minValue="0" maxValue="9281394"/>
    </cacheField>
    <cacheField name="Compra Cst ABR26" numFmtId="41">
      <sharedItems containsString="0" containsBlank="1" containsNumber="1" minValue="0" maxValue="49679999.999999993"/>
    </cacheField>
    <cacheField name="Llegadas Cst ABR26" numFmtId="41">
      <sharedItems containsString="0" containsBlank="1" containsNumber="1" containsInteger="1" minValue="0" maxValue="0"/>
    </cacheField>
    <cacheField name="Stock + Pedido Unid ABR26" numFmtId="41">
      <sharedItems containsString="0" containsBlank="1" containsNumber="1" containsInteger="1" minValue="-2" maxValue="6992"/>
    </cacheField>
    <cacheField name="Stock + Pedido Csto ABR26" numFmtId="41">
      <sharedItems containsString="0" containsBlank="1" containsNumber="1" minValue="-43538" maxValue="18194059.423827268"/>
    </cacheField>
    <cacheField name="Venta Neta ABR 26" numFmtId="41">
      <sharedItems containsString="0" containsBlank="1" containsNumber="1" minValue="0" maxValue="18678596.638655469"/>
    </cacheField>
    <cacheField name="Venta FCST MAY Inicial" numFmtId="41">
      <sharedItems containsString="0" containsBlank="1" containsNumber="1" minValue="0" maxValue="2070"/>
    </cacheField>
    <cacheField name="Stock Inicial MAY26" numFmtId="41">
      <sharedItems containsString="0" containsBlank="1" containsNumber="1" containsInteger="1" minValue="-2" maxValue="7009"/>
    </cacheField>
    <cacheField name=" Venta PPTO MAY26" numFmtId="41">
      <sharedItems containsString="0" containsBlank="1" containsNumber="1" minValue="0" maxValue="2070"/>
    </cacheField>
    <cacheField name="PEDIDO SEP_x000a_LLEGADAS MAY26" numFmtId="41">
      <sharedItems containsString="0" containsBlank="1" containsNumber="1" containsInteger="1" minValue="0" maxValue="600"/>
    </cacheField>
    <cacheField name="Transito MAY 26" numFmtId="41">
      <sharedItems containsString="0" containsBlank="1" containsNumber="1" containsInteger="1" minValue="0" maxValue="1000"/>
    </cacheField>
    <cacheField name="Embarcado Mayo" numFmtId="41">
      <sharedItems containsString="0" containsBlank="1" containsNumber="1" containsInteger="1" minValue="0" maxValue="0"/>
    </cacheField>
    <cacheField name="Stock Inicial Cst MAY26" numFmtId="41">
      <sharedItems containsString="0" containsBlank="1" containsNumber="1" minValue="-43538" maxValue="19665938.388451502"/>
    </cacheField>
    <cacheField name=" Venta Cst MAY26" numFmtId="41">
      <sharedItems containsString="0" containsBlank="1" containsNumber="1" minValue="0" maxValue="8383500"/>
    </cacheField>
    <cacheField name="Compra Cst MAY 26" numFmtId="41">
      <sharedItems containsString="0" containsBlank="1" containsNumber="1" minValue="0" maxValue="19665000"/>
    </cacheField>
    <cacheField name="Llegadas Cst MAY26" numFmtId="41">
      <sharedItems containsString="0" containsBlank="1" containsNumber="1" containsInteger="1" minValue="0" maxValue="0"/>
    </cacheField>
    <cacheField name="Stock + Pedido Unid MAY26" numFmtId="41">
      <sharedItems containsString="0" containsBlank="1" containsNumber="1" containsInteger="1" minValue="-2" maxValue="6992"/>
    </cacheField>
    <cacheField name="Stock + Pedido Csto MAY26" numFmtId="41">
      <sharedItems containsString="0" containsBlank="1" containsNumber="1" minValue="-43538" maxValue="18194059.423827268"/>
    </cacheField>
    <cacheField name="Venta Neta MAY 26" numFmtId="41">
      <sharedItems containsString="0" containsBlank="1" containsNumber="1" minValue="0" maxValue="21006302.52100841"/>
    </cacheField>
    <cacheField name="Venta FCST JUN Inicial" numFmtId="41">
      <sharedItems containsString="0" containsBlank="1" containsNumber="1" minValue="0" maxValue="605"/>
    </cacheField>
    <cacheField name="Stock Inicial JUN26" numFmtId="41">
      <sharedItems containsString="0" containsBlank="1" containsNumber="1" containsInteger="1" minValue="-7" maxValue="7094"/>
    </cacheField>
    <cacheField name=" Venta PPTO JUN26" numFmtId="41">
      <sharedItems containsSemiMixedTypes="0" containsString="0" containsNumber="1" containsInteger="1" minValue="-7" maxValue="1174"/>
    </cacheField>
    <cacheField name="PEDIDO SEP_x000a_LLEGADAS JUN26" numFmtId="165">
      <sharedItems containsNonDate="0" containsString="0" containsBlank="1"/>
    </cacheField>
    <cacheField name="Transito JUN 26" numFmtId="41">
      <sharedItems containsString="0" containsBlank="1" containsNumber="1" containsInteger="1" minValue="0" maxValue="1000"/>
    </cacheField>
    <cacheField name="Embarcado Junio" numFmtId="41">
      <sharedItems containsString="0" containsBlank="1" containsNumber="1" containsInteger="1" minValue="0" maxValue="0"/>
    </cacheField>
    <cacheField name="Stock Inicial Cst JUN26" numFmtId="41">
      <sharedItems containsString="0" containsBlank="1" containsNumber="1" minValue="-61635" maxValue="26779104"/>
    </cacheField>
    <cacheField name=" Venta Cst JUN26" numFmtId="41">
      <sharedItems containsString="0" containsBlank="1" containsNumber="1" minValue="-65205" maxValue="18895663.800000001"/>
    </cacheField>
    <cacheField name="Compra Cst JUN26" numFmtId="41">
      <sharedItems containsString="0" containsBlank="1" containsNumber="1" containsInteger="1" minValue="0" maxValue="0"/>
    </cacheField>
    <cacheField name="Llegadas Cst JUN26" numFmtId="41">
      <sharedItems containsString="0" containsBlank="1" containsNumber="1" containsInteger="1" minValue="0" maxValue="0"/>
    </cacheField>
    <cacheField name="Stock + Pedido Unid JUN26" numFmtId="41">
      <sharedItems containsString="0" containsBlank="1" containsNumber="1" containsInteger="1" minValue="-7" maxValue="7094"/>
    </cacheField>
    <cacheField name="Stock + Pedido Csto JUN26" numFmtId="41">
      <sharedItems containsString="0" containsBlank="1" containsNumber="1" minValue="-43538" maxValue="18194059.423827268"/>
    </cacheField>
    <cacheField name="Venta Neta JUN 26" numFmtId="41">
      <sharedItems containsString="0" containsBlank="1" containsNumber="1" minValue="-147000" maxValue="46204949.579831943"/>
    </cacheField>
    <cacheField name="Venta FCST JUL Inicial" numFmtId="0">
      <sharedItems containsString="0" containsBlank="1" containsNumber="1" minValue="0" maxValue="370"/>
    </cacheField>
    <cacheField name="Stock Inicial JUL26" numFmtId="1">
      <sharedItems containsSemiMixedTypes="0" containsString="0" containsNumber="1" containsInteger="1" minValue="-2" maxValue="6992"/>
    </cacheField>
    <cacheField name=" Venta PPTO JUL26" numFmtId="41">
      <sharedItems containsString="0" containsBlank="1" containsNumber="1" minValue="0" maxValue="370"/>
    </cacheField>
    <cacheField name="Compra JUL 26" numFmtId="3">
      <sharedItems containsString="0" containsBlank="1" containsNumber="1" containsInteger="1" minValue="0" maxValue="1000"/>
    </cacheField>
    <cacheField name="Transito JUL 26" numFmtId="3">
      <sharedItems containsString="0" containsBlank="1" containsNumber="1" containsInteger="1" minValue="0" maxValue="1000"/>
    </cacheField>
    <cacheField name="Embarcado Julio 26" numFmtId="3">
      <sharedItems containsString="0" containsBlank="1" containsNumber="1" containsInteger="1" minValue="0" maxValue="0"/>
    </cacheField>
    <cacheField name="Stock Inicial Cst JUL26" numFmtId="3">
      <sharedItems containsString="0" containsBlank="1" containsNumber="1" minValue="-43538" maxValue="18357601.531007741"/>
    </cacheField>
    <cacheField name=" Venta Cst JUL26" numFmtId="3">
      <sharedItems containsString="0" containsBlank="1" containsNumber="1" minValue="0" maxValue="6127200"/>
    </cacheField>
    <cacheField name="Compra CST JUL 26" numFmtId="3">
      <sharedItems containsString="0" containsBlank="1" containsNumber="1" minValue="0" maxValue="8154075"/>
    </cacheField>
    <cacheField name="Llegadas Cst JUL26" numFmtId="3">
      <sharedItems containsString="0" containsBlank="1" containsNumber="1" containsInteger="1" minValue="0" maxValue="0"/>
    </cacheField>
    <cacheField name="Stock + Pedido Unid JUL26" numFmtId="3">
      <sharedItems containsString="0" containsBlank="1" containsNumber="1" containsInteger="1" minValue="-2" maxValue="6992"/>
    </cacheField>
    <cacheField name="Stock + Pedido Csto JUL26" numFmtId="3">
      <sharedItems containsSemiMixedTypes="0" containsString="0" containsNumber="1" minValue="-43538" maxValue="18194059.423827268"/>
    </cacheField>
    <cacheField name="Venta Neta JUL 26" numFmtId="3">
      <sharedItems containsString="0" containsBlank="1" containsNumber="1" minValue="0" maxValue="15585294.117647059"/>
    </cacheField>
    <cacheField name="Venta FCST AGO Inicial" numFmtId="0">
      <sharedItems containsString="0" containsBlank="1" containsNumber="1" minValue="0" maxValue="350"/>
    </cacheField>
    <cacheField name="Stock Inicial AGO26" numFmtId="41">
      <sharedItems containsString="0" containsBlank="1" containsNumber="1" minValue="0" maxValue="6942"/>
    </cacheField>
    <cacheField name=" Venta PPTO AGO26" numFmtId="41">
      <sharedItems containsString="0" containsBlank="1" containsNumber="1" minValue="0" maxValue="350"/>
    </cacheField>
    <cacheField name="PEDIDO SEP_x000a_LLEGADAS AGO26" numFmtId="41">
      <sharedItems containsString="0" containsBlank="1" containsNumber="1" minValue="0" maxValue="1500"/>
    </cacheField>
    <cacheField name="Transito AGO 26" numFmtId="41">
      <sharedItems containsString="0" containsBlank="1" containsNumber="1" minValue="0" maxValue="1500"/>
    </cacheField>
    <cacheField name="Embarcado AGO 26" numFmtId="41">
      <sharedItems containsSemiMixedTypes="0" containsString="0" containsNumber="1" containsInteger="1" minValue="0" maxValue="1000"/>
    </cacheField>
    <cacheField name="Stock Inicial Cst AGO26" numFmtId="41">
      <sharedItems containsSemiMixedTypes="0" containsString="0" containsNumber="1" minValue="0" maxValue="17734566.169538248"/>
    </cacheField>
    <cacheField name=" Venta Cst AGO26" numFmtId="41">
      <sharedItems containsString="0" containsBlank="1" containsNumber="1" minValue="0" maxValue="9277740"/>
    </cacheField>
    <cacheField name="Compra Cst AGO26" numFmtId="41">
      <sharedItems containsString="0" containsBlank="1" containsNumber="1" minValue="0" maxValue="20120400"/>
    </cacheField>
    <cacheField name="Llegadas Cst AGO26" numFmtId="41">
      <sharedItems containsSemiMixedTypes="0" containsString="0" containsNumber="1" minValue="0" maxValue="9277740"/>
    </cacheField>
    <cacheField name="Stock + Pedido Unid AGO26" numFmtId="41">
      <sharedItems containsString="0" containsBlank="1" containsNumber="1" minValue="0" maxValue="6942"/>
    </cacheField>
    <cacheField name="Stock + Pedido Csto AGO26" numFmtId="41">
      <sharedItems containsSemiMixedTypes="0" containsString="0" containsNumber="1" minValue="0" maxValue="17734566.169538248"/>
    </cacheField>
    <cacheField name="Venta Neta AGO 26" numFmtId="41">
      <sharedItems containsString="0" containsBlank="1" containsNumber="1" minValue="0" maxValue="22686554.62184874"/>
    </cacheField>
    <cacheField name="Venta FCST SEP Inicial" numFmtId="0">
      <sharedItems containsString="0" containsBlank="1" containsNumber="1" minValue="0" maxValue="350"/>
    </cacheField>
    <cacheField name="Stock Inicial SEP26" numFmtId="41">
      <sharedItems containsSemiMixedTypes="0" containsString="0" containsNumber="1" minValue="0" maxValue="6892"/>
    </cacheField>
    <cacheField name=" Venta PPTO SEP26" numFmtId="41">
      <sharedItems containsString="0" containsBlank="1" containsNumber="1" minValue="0" maxValue="300"/>
    </cacheField>
    <cacheField name="PEDIDO SEP_x000a_LLEGADAS SEP26" numFmtId="41">
      <sharedItems containsString="0" containsBlank="1" containsNumber="1" containsInteger="1" minValue="0" maxValue="2000"/>
    </cacheField>
    <cacheField name="Transito SEP 26" numFmtId="41">
      <sharedItems containsString="0" containsBlank="1" containsNumber="1" containsInteger="1" minValue="0" maxValue="2000"/>
    </cacheField>
    <cacheField name="Embarcado SEP 26" numFmtId="41">
      <sharedItems containsString="0" containsBlank="1" containsNumber="1" minValue="0" maxValue="1500"/>
    </cacheField>
    <cacheField name="Stock Inicial Cst SEP26" numFmtId="41">
      <sharedItems containsString="0" containsBlank="1" containsNumber="1" minValue="0" maxValue="17762587.199999999"/>
    </cacheField>
    <cacheField name=" Venta Cst SEP26" numFmtId="41">
      <sharedItems containsString="0" containsBlank="1" containsNumber="1" minValue="0" maxValue="7731450"/>
    </cacheField>
    <cacheField name="Compra Cst SEP26" numFmtId="41">
      <sharedItems containsString="0" containsBlank="1" containsNumber="1" minValue="0" maxValue="49679999.999999993"/>
    </cacheField>
    <cacheField name="Llegadas Cst SEP26" numFmtId="41">
      <sharedItems containsSemiMixedTypes="0" containsString="0" containsNumber="1" minValue="0" maxValue="20058300"/>
    </cacheField>
    <cacheField name="Stock + Pedido Unid SEP26" numFmtId="41">
      <sharedItems containsSemiMixedTypes="0" containsString="0" containsNumber="1" minValue="0" maxValue="6892"/>
    </cacheField>
    <cacheField name="Stock + Pedido Csto SEP26" numFmtId="41">
      <sharedItems containsString="0" containsBlank="1" containsNumber="1" minValue="0" maxValue="20058300"/>
    </cacheField>
    <cacheField name="Venta Neta SEP 26" numFmtId="41">
      <sharedItems containsString="0" containsBlank="1" containsNumber="1" minValue="0" maxValue="18905462.18487395"/>
    </cacheField>
    <cacheField name="Venta FCST OCT Inicial" numFmtId="0">
      <sharedItems containsSemiMixedTypes="0" containsString="0" containsNumber="1" minValue="0" maxValue="650"/>
    </cacheField>
    <cacheField name="Stock Inicial OCT26" numFmtId="41">
      <sharedItems containsSemiMixedTypes="0" containsString="0" containsNumber="1" minValue="0" maxValue="6842"/>
    </cacheField>
    <cacheField name=" Venta PPTO OCT26" numFmtId="41">
      <sharedItems containsSemiMixedTypes="0" containsString="0" containsNumber="1" minValue="0" maxValue="600"/>
    </cacheField>
    <cacheField name="PEDIDO OCT_x000a_LLEGADAS OCT26" numFmtId="41">
      <sharedItems containsSemiMixedTypes="0" containsString="0" containsNumber="1" minValue="0" maxValue="1200"/>
    </cacheField>
    <cacheField name="Transito OCT 26" numFmtId="41">
      <sharedItems containsString="0" containsBlank="1" containsNumber="1" minValue="0" maxValue="1200"/>
    </cacheField>
    <cacheField name="Embarcado OCT 26" numFmtId="41">
      <sharedItems containsString="0" containsBlank="1" containsNumber="1" minValue="0" maxValue="1200"/>
    </cacheField>
    <cacheField name="Atrasos SEPT" numFmtId="41">
      <sharedItems containsString="0" containsBlank="1" containsNumber="1" containsInteger="1" minValue="0" maxValue="2004"/>
    </cacheField>
    <cacheField name="Stock Inicial Cst OCT26" numFmtId="41">
      <sharedItems containsSemiMixedTypes="0" containsString="0" containsNumber="1" minValue="0" maxValue="49779359.999999993"/>
    </cacheField>
    <cacheField name=" Venta Cst OCT26" numFmtId="41">
      <sharedItems containsSemiMixedTypes="0" containsString="0" containsNumber="1" minValue="0" maxValue="12420000"/>
    </cacheField>
    <cacheField name="Compra Cst OCT26" numFmtId="41">
      <sharedItems containsSemiMixedTypes="0" containsString="0" containsNumber="1" minValue="0" maxValue="38295000"/>
    </cacheField>
    <cacheField name="Llegadas Cst OCT26" numFmtId="41">
      <sharedItems containsSemiMixedTypes="0" containsString="0" containsNumber="1" minValue="0" maxValue="49779359.999999993"/>
    </cacheField>
    <cacheField name="Stock + Pedido Unid OCT26" numFmtId="41">
      <sharedItems containsSemiMixedTypes="0" containsString="0" containsNumber="1" minValue="0" maxValue="6842"/>
    </cacheField>
    <cacheField name="Stock + Pedido Csto OCT26" numFmtId="41">
      <sharedItems containsSemiMixedTypes="0" containsString="0" containsNumber="1" minValue="0" maxValue="99558719.999999985"/>
    </cacheField>
    <cacheField name="Venta Neta OCT 26" numFmtId="41">
      <sharedItems containsSemiMixedTypes="0" containsString="0" containsNumber="1" minValue="0" maxValue="25205882.352941182"/>
    </cacheField>
    <cacheField name="Venta FCST NOV Inicial" numFmtId="0">
      <sharedItems containsSemiMixedTypes="0" containsString="0" containsNumber="1" minValue="0" maxValue="350"/>
    </cacheField>
    <cacheField name="Stock Inicial NOV26" numFmtId="41">
      <sharedItems containsSemiMixedTypes="0" containsString="0" containsNumber="1" minValue="0" maxValue="6792"/>
    </cacheField>
    <cacheField name=" Venta PPTO NOV26" numFmtId="41">
      <sharedItems containsSemiMixedTypes="0" containsString="0" containsNumber="1" minValue="0" maxValue="350"/>
    </cacheField>
    <cacheField name="PEDIDO NOV_x000a_LLEGADAS NOV26" numFmtId="41">
      <sharedItems containsString="0" containsBlank="1" containsNumber="1" containsInteger="1" minValue="0" maxValue="1000"/>
    </cacheField>
    <cacheField name="Transito NOV 26" numFmtId="41">
      <sharedItems containsSemiMixedTypes="0" containsString="0" containsNumber="1" containsInteger="1" minValue="0" maxValue="600"/>
    </cacheField>
    <cacheField name="Stock Inicial Cst NOV26" numFmtId="41">
      <sharedItems containsSemiMixedTypes="0" containsString="0" containsNumber="1" minValue="0" maxValue="37359359.999999993"/>
    </cacheField>
    <cacheField name=" Venta Cst NOV26" numFmtId="41">
      <sharedItems containsSemiMixedTypes="0" containsString="0" containsNumber="1" minValue="0" maxValue="9277740"/>
    </cacheField>
    <cacheField name="Compra Cst NOV26" numFmtId="41">
      <sharedItems containsSemiMixedTypes="0" containsString="0" containsNumber="1" minValue="0" maxValue="21548700"/>
    </cacheField>
    <cacheField name="Llegadas Cst NOV26" numFmtId="41">
      <sharedItems containsSemiMixedTypes="0" containsString="0" containsNumber="1" minValue="0" maxValue="18555480"/>
    </cacheField>
    <cacheField name="Stock + Pedido Unid NOV26" numFmtId="41">
      <sharedItems containsSemiMixedTypes="0" containsString="0" containsNumber="1" minValue="0" maxValue="6792"/>
    </cacheField>
    <cacheField name="Stock + Pedido Csto NOV26" numFmtId="41">
      <sharedItems containsSemiMixedTypes="0" containsString="0" containsNumber="1" minValue="0" maxValue="37359359.999999993"/>
    </cacheField>
    <cacheField name="Venta Neta NOV 26" numFmtId="41">
      <sharedItems containsSemiMixedTypes="0" containsString="0" containsNumber="1" minValue="0" maxValue="21173823.52941177"/>
    </cacheField>
    <cacheField name="Venta FCST DIC Inicial" numFmtId="0">
      <sharedItems containsSemiMixedTypes="0" containsString="0" containsNumber="1" minValue="0" maxValue="500"/>
    </cacheField>
    <cacheField name="Stock Inicial DIC26" numFmtId="41">
      <sharedItems containsString="0" containsBlank="1" containsNumber="1" minValue="0" maxValue="6742"/>
    </cacheField>
    <cacheField name=" Venta PPTO DIC26" numFmtId="41">
      <sharedItems containsSemiMixedTypes="0" containsString="0" containsNumber="1" minValue="0" maxValue="500"/>
    </cacheField>
    <cacheField name="PEDIDO DIC_x000a_LLEGADAS DIC26" numFmtId="41">
      <sharedItems containsString="0" containsBlank="1" containsNumber="1" containsInteger="1" minValue="0" maxValue="1000"/>
    </cacheField>
    <cacheField name="Transito DIC 26" numFmtId="41">
      <sharedItems containsString="0" containsBlank="1" containsNumber="1" containsInteger="1" minValue="0" maxValue="1000"/>
    </cacheField>
    <cacheField name="Stock Inicial Cst DIC26" numFmtId="41">
      <sharedItems containsSemiMixedTypes="0" containsString="0" containsNumber="1" minValue="0" maxValue="31149360"/>
    </cacheField>
    <cacheField name=" Venta Cst DIC26" numFmtId="41">
      <sharedItems containsSemiMixedTypes="0" containsString="0" containsNumber="1" minValue="0" maxValue="12420000"/>
    </cacheField>
    <cacheField name="Llegadas Cst DIC26" numFmtId="41">
      <sharedItems containsSemiMixedTypes="0" containsString="0" containsNumber="1" minValue="0" maxValue="11255625"/>
    </cacheField>
    <cacheField name="Stock + Pedido Unid DIC26" numFmtId="41">
      <sharedItems containsSemiMixedTypes="0" containsString="0" containsNumber="1" minValue="0" maxValue="6742"/>
    </cacheField>
    <cacheField name="Stock + Pedido Csto DIC26" numFmtId="41">
      <sharedItems containsSemiMixedTypes="0" containsString="0" containsNumber="1" minValue="0" maxValue="37110960"/>
    </cacheField>
    <cacheField name="Venta Neta DIC 26" numFmtId="41">
      <sharedItems containsSemiMixedTypes="0" containsString="0" containsNumber="1" minValue="0" maxValue="31508403.361344539"/>
    </cacheField>
    <cacheField name="Venta FCST ENE27 Inicial" numFmtId="41">
      <sharedItems containsSemiMixedTypes="0" containsString="0" containsNumber="1" minValue="0" maxValue="350"/>
    </cacheField>
    <cacheField name="Stock Inicial ENE27" numFmtId="41">
      <sharedItems containsString="0" containsBlank="1" containsNumber="1" minValue="0" maxValue="6692"/>
    </cacheField>
    <cacheField name=" Venta PPTO ENE27" numFmtId="41">
      <sharedItems containsString="0" containsBlank="1" containsNumber="1" minValue="0" maxValue="350"/>
    </cacheField>
    <cacheField name="COMPRA ENE27" numFmtId="41">
      <sharedItems containsSemiMixedTypes="0" containsString="0" containsNumber="1" containsInteger="1" minValue="0" maxValue="600"/>
    </cacheField>
    <cacheField name="Transito ENE27" numFmtId="41">
      <sharedItems containsString="0" containsBlank="1" containsNumber="1" containsInteger="1" minValue="0" maxValue="1000"/>
    </cacheField>
    <cacheField name="Stock Inicial Cst ENE27" numFmtId="41">
      <sharedItems containsSemiMixedTypes="0" containsString="0" containsNumber="1" minValue="0" maxValue="27833220"/>
    </cacheField>
    <cacheField name=" Venta Cst ENE27" numFmtId="41">
      <sharedItems containsSemiMixedTypes="0" containsString="0" containsNumber="1" minValue="0" maxValue="6408850"/>
    </cacheField>
    <cacheField name="Llegadas Cst ENE27" numFmtId="41">
      <sharedItems containsSemiMixedTypes="0" containsString="0" containsNumber="1" minValue="0" maxValue="19613250"/>
    </cacheField>
    <cacheField name="Stock + Pedido Unid ENE27" numFmtId="41">
      <sharedItems containsSemiMixedTypes="0" containsString="0" containsNumber="1" minValue="0" maxValue="6692"/>
    </cacheField>
    <cacheField name="Stock + Pedido Csto ENE27" numFmtId="41">
      <sharedItems containsSemiMixedTypes="0" containsString="0" containsNumber="1" minValue="0" maxValue="37110960"/>
    </cacheField>
    <cacheField name="Venta Neta ENE 26" numFmtId="41">
      <sharedItems containsSemiMixedTypes="0" containsString="0" containsNumber="1" minValue="0" maxValue="15585294.117647059"/>
    </cacheField>
    <cacheField name="Cobertura DIC" numFmtId="0" formula="IFERROR(#NAME?/((#NAME?+#NAME?+#NAME?)/3),0)" databaseField="0"/>
    <cacheField name="Cumpl. DIC Acum." numFmtId="0" formula="IFERROR(#NAME?/#NAME?,0)" databaseField="0"/>
    <cacheField name="Stock + Pedido Unid ENE" numFmtId="0" formula="#NAME?+#NAME?" databaseField="0"/>
    <cacheField name="Cobert. ENE Unid" numFmtId="0" formula="IFERROR(#NAME?/((#NAME?+#NAME?+#NAME?)/3),0)" databaseField="0"/>
    <cacheField name="Cobert. Unid FEB" numFmtId="0" formula="IFERROR(#NAME?/((#NAME?+#NAME?+#NAME?)/3),0)" databaseField="0"/>
    <cacheField name="Cobert. Unid MAR" numFmtId="0" formula="IFERROR(#NAME?/((#NAME?+#NAME?+#NAME?)/3),0)" databaseField="0"/>
    <cacheField name="Cobert. Unid ABR" numFmtId="0" formula="IFERROR(#NAME?/((#NAME?+#NAME?+#NAME?)/3),0)" databaseField="0"/>
    <cacheField name="Cobert. Unid MAY" numFmtId="0" formula=" IFERROR( ('Stock HOY'+#NAME?)/((#NAME?+#NAME?+#NAME?)/3),0)" databaseField="0"/>
    <cacheField name="Cobert. Unid JUN" numFmtId="0" formula=" IFERROR(#NAME?/((#NAME?+#NAME?+#NAME?)/3),0)" databaseField="0"/>
    <cacheField name="% Acum vs FCST" numFmtId="0" formula="IFERROR('VENTA REAL UNID ENE 25'/#NAME?,0)" databaseField="0"/>
    <cacheField name="Quiebres FEB" numFmtId="0" formula="#NAME?-#NAME?" databaseField="0"/>
    <cacheField name="Cobertura JUL UNID" numFmtId="0" formula="(#NAME?)/((#NAME?+#NAME?+#NAME?)/3)" databaseField="0"/>
    <cacheField name="Cobert. AGO 25" numFmtId="0" formula=" (#NAME?)/((#NAME?+#NAME?+#NAME?)/3)" databaseField="0"/>
    <cacheField name="Cobert. SEP 25" numFmtId="0" formula="(#NAME?)/((#NAME?+#NAME?+#NAME?)/3)" databaseField="0"/>
    <cacheField name="Cobert. OCT 25" numFmtId="0" formula="(#NAME?)/((#NAME?+#NAME?+#NAME?)/3)" databaseField="0"/>
    <cacheField name="Cobert. NOV 25" numFmtId="0" formula=" ('Stock Hoy CST')/((#NAME?+#NAME?+' Venta Cst ENE26')/3)" databaseField="0"/>
    <cacheField name="Cobert. DIC 25" numFmtId="0" formula="(#NAME?)/((' Venta PPTO ENE26'+' Venta PPTO FEB26'+#NAME?)/3)" databaseField="0"/>
    <cacheField name="Cobert. Proyct. NOV 25" numFmtId="0" formula="(#NAME?)/((' Venta PPTO ENE26'+#NAME?+#NAME?)/3)" databaseField="0"/>
    <cacheField name="Cobert. ACT NOV 25" numFmtId="0" formula="('Stock Hoy CST')/((' Venta PPTO ENE26'+#NAME?+#NAME?)/3)" databaseField="0"/>
    <cacheField name="Cobert. Proyect. NOV 25" numFmtId="0" formula="(#NAME?)/((#NAME?+#NAME?+' Venta Cst ENE26')/3)" databaseField="0"/>
    <cacheField name="Cobert. Dic Cst" numFmtId="0" formula="(#NAME?)/((#NAME?+' Venta Cst ENE26'+' Venta Cst FEB26')/3)" databaseField="0"/>
    <cacheField name="Cobert. Act Dic" numFmtId="0" formula="('Stock Hoy CST')/((#NAME?+' Venta Cst ENE26'+' Venta Cst FEB26')/3)" databaseField="0"/>
    <cacheField name="Cobert. Ene 26" numFmtId="0" formula="IFERROR((('Stock + Pedido Csto ENE26')/((' Venta Cst ENE26'+' Venta Cst FEB26'+' Venta Cst MAR26')/3)),0)" databaseField="0"/>
    <cacheField name="Cobert. Unid ENE 26" numFmtId="0" formula="(('Stock + Pedido Unid ENE26')/((' Venta PPTO ENE26'+' Venta PPTO FEB26'+' Venta PPTO MAR26')/3))" databaseField="0"/>
    <cacheField name="Diferencias Venta" numFmtId="0" formula="'Stock HOY'+#NAME?-#NAME?" databaseField="0"/>
    <cacheField name="Perdida Costo" numFmtId="0" formula="'CST Actual'*'Diferencias Venta'" databaseField="0"/>
    <cacheField name="Cobertura Feb 26" numFmtId="0" formula="IFERROR((('Stock + Pedido Csto FEB26')/((' Venta Cst FEB26'+' Venta Cst MAR26'+' Venta Cst ABR26')/3)),0)" databaseField="0"/>
    <cacheField name="Cobert. MAR 26" numFmtId="0" formula=" (('Stock + Pedido Csto MAR26')/((' Venta Cst MAR26'+' Venta Cst ABR26'+' Venta Cst MAY26')/3))" databaseField="0"/>
    <cacheField name="Cobert. Feb 26 unid" numFmtId="0" formula="('Stock + Pedido Unid FEB26')/((' Venta PPTO FEB26'+' Venta PPTO MAR26'+' Venta PPTO ABR26')/3)" databaseField="0"/>
    <cacheField name="Cobert. Marzo 26 Unid" numFmtId="0" formula="('Stock + Pedido Unid MAR26')/((' Venta PPTO MAR26'+' Venta PPTO ABR26'+' Venta PPTO MAY26')/3)" databaseField="0"/>
    <cacheField name="Cobert. Abr 26" numFmtId="0" formula=" ('Stock + Pedido Csto ABR26')/((' Venta Cst ABR26'+' Venta Cst MAY26'+' Venta Cst JUN26')/3)" databaseField="0"/>
    <cacheField name="Cobert. MAY 26" numFmtId="0" formula="('Stock + Pedido Csto MAY26')/((' Venta Cst MAY26'+' Venta Cst MAY26'+' Venta Cst JUN26')/3)" databaseField="0"/>
    <cacheField name="Cobert. JUN 26" numFmtId="0" formula=" ('Stock HOY')/((' Venta PPTO JUN26'+' Venta PPTO JUL26'+' Venta PPTO AGO26')/3)" databaseField="0"/>
    <cacheField name="Cobert. ACT Ene 26" numFmtId="0" formula="IFERROR((('Stock Hoy CST')/((' Venta Cst ABR26'+' Venta Cst MAY26'+' Venta Cst MAR26')/3)),0)" databaseField="0"/>
    <cacheField name="% Cumpl. Vs FCST $" numFmtId="0" formula=" (('VENTA REAL UNID ENE 26'*'CST Actual')/' Venta Cst ENE26')" databaseField="0"/>
    <cacheField name="Cumpl. Vta Vs FCST ENE 26" numFmtId="0" formula="IFERROR(('VENTA REAL UNID ENE 26'*'COST CLP')/('Venta FCST ENE Inicial'*'COST CLP'),0)" databaseField="0"/>
    <cacheField name="Campo1" numFmtId="0" formula="'Ticekt Promedio'*' Venta PPTO ENE26'" databaseField="0"/>
    <cacheField name="Venta Enero Bruta" numFmtId="0" formula="' Venta PPTO ENE26'*'Ticekt Promedio'" databaseField="0"/>
    <cacheField name="Cumpl. Vta Vs FCST FEB 26" numFmtId="0" formula="IFERROR(('VENTA REAL UNID FEB 26'*'COST CLP')/('Venta FCST FEB Inicial'*'COST CLP'),0)" databaseField="0"/>
    <cacheField name="Cobert. Julio" numFmtId="0" formula="('Stock + Pedido Csto JUL26')/((' Venta Cst JUL26'+' Venta Cst AGO26'+' Venta Cst SEP26')/3)" databaseField="0"/>
    <cacheField name="Cobert. AGO 26" numFmtId="0" formula=" ('Stock + Pedido Csto AGO26')/((' Venta Cst AGO26'+' Venta Cst SEP26'+' Venta Cst OCT26')/3)" databaseField="0"/>
    <cacheField name="Cobert. SEP 26" numFmtId="0" formula=" ('Stock + Pedido Csto SEP26')/((' Venta Cst SEP26'+' Venta Cst OCT26'+' Venta Cst NOV26')/3)" databaseField="0"/>
    <cacheField name="Cobert. JUL 26 Unid" numFmtId="0" formula=" IFERROR(('Stock + Pedido Unid JUL26')/((' Venta PPTO JUL26'+' Venta PPTO AGO26'+' Venta PPTO SEP26')/3),0)" databaseField="0"/>
    <cacheField name="Cobert. AGO 26 Unid" numFmtId="0" formula=" IFERROR(('Stock + Pedido Unid AGO26')/((' Venta PPTO OCT26'+' Venta PPTO AGO26'+' Venta PPTO SEP26')/3),0)" databaseField="0"/>
    <cacheField name="Cobert. SEP 26 Unid" numFmtId="0" formula=" IFERROR(('Stock + Pedido Unid SEP26')/((' Venta PPTO OCT26'+' Venta PPTO NOV26'+' Venta PPTO SEP26')/3),0)" databaseField="0"/>
    <cacheField name="Cobert. OCT 26" numFmtId="0" formula="'Stock + Pedido Csto OCT26'/((' Venta Cst OCT26'+' Venta Cst NOV26'+' Venta Cst DIC26')/3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693">
  <r>
    <s v="Levo-Accesorios"/>
    <x v="0"/>
    <x v="0"/>
    <x v="0"/>
    <n v="1652825203439"/>
    <x v="0"/>
    <x v="0"/>
    <x v="0"/>
    <x v="0"/>
    <n v="1"/>
    <x v="0"/>
    <n v="132"/>
    <m/>
    <n v="0"/>
    <n v="6398"/>
    <n v="844536"/>
    <n v="6.05"/>
    <n v="6609.624999999999"/>
    <n v="12596.63865546219"/>
    <n v="12596.63865546219"/>
    <s v="Shenzhen"/>
    <s v="30/70"/>
    <n v="30"/>
    <n v="50"/>
    <n v="32"/>
    <n v="0.4821385064298824"/>
    <n v="22"/>
    <n v="0.5165761917465724"/>
    <n v="105"/>
    <n v="0.6177213989745119"/>
    <n v="36"/>
    <n v="0.3269539625910188"/>
    <n v="3"/>
    <n v="0.4894639685356858"/>
    <n v="12"/>
    <n v="0.4383922419021394"/>
    <n v="23"/>
    <n v="0.4874655644662774"/>
    <n v="19"/>
    <n v="0.5101482510570055"/>
    <n v="7"/>
    <n v="0.5006593258930665"/>
    <n v="24"/>
    <n v="0.4525355021396007"/>
    <n v="13"/>
    <n v="0.4921019190711673"/>
    <n v="28"/>
    <n v="0.4921070044549253"/>
    <n v="21"/>
    <n v="0.204983449768322"/>
    <n v="20"/>
    <n v="0.1406020360688156"/>
    <n v="24"/>
    <n v="0.2588903416279381"/>
    <n v="21"/>
    <n v="0.255593217996"/>
    <n v="1.05"/>
    <n v="28"/>
    <n v="0.4909027447739914"/>
    <n v="1.4"/>
    <n v="17"/>
    <n v="0.369319050885383"/>
    <n v="0.85"/>
    <n v="0"/>
    <n v="0.2953547881384904"/>
    <n v="0"/>
    <n v="20"/>
    <n v="180"/>
    <n v="20"/>
    <n v="0"/>
    <m/>
    <n v="0"/>
    <n v="473452"/>
    <n v="1127115"/>
    <n v="127960"/>
    <n v="0"/>
    <n v="132"/>
    <n v="844536"/>
    <n v="211708.2126968435"/>
    <n v="20"/>
    <n v="158"/>
    <n v="30"/>
    <n v="0"/>
    <m/>
    <n v="0"/>
    <n v="479850"/>
    <n v="989356.4999999999"/>
    <n v="191940"/>
    <n v="0"/>
    <n v="132"/>
    <n v="844536"/>
    <n v="317562.3190452652"/>
    <n v="30"/>
    <n v="119"/>
    <n v="24"/>
    <n v="0"/>
    <n v="0"/>
    <n v="413145"/>
    <n v="761362"/>
    <n v="153552"/>
    <n v="0"/>
    <n v="132"/>
    <n v="844536"/>
    <n v="302319.3277310925"/>
    <n v="20"/>
    <n v="116"/>
    <n v="21"/>
    <n v="0"/>
    <n v="0"/>
    <n v="726362.9999999999"/>
    <n v="134358"/>
    <n v="0"/>
    <n v="0"/>
    <n v="132"/>
    <n v="844536"/>
    <n v="264529.4117647059"/>
    <n v="20"/>
    <n v="160"/>
    <n v="20"/>
    <m/>
    <n v="0"/>
    <n v="0"/>
    <n v="1023680"/>
    <n v="125235"/>
    <n v="0"/>
    <n v="0"/>
    <n v="132"/>
    <n v="844536"/>
    <n v="251932.7731092437"/>
    <n v="20"/>
    <n v="149"/>
    <n v="17"/>
    <m/>
    <n v="0"/>
    <n v="0"/>
    <n v="953302"/>
    <n v="106449.75"/>
    <n v="0"/>
    <n v="0"/>
    <n v="149"/>
    <n v="844536"/>
    <n v="214142.8571428572"/>
    <n v="20"/>
    <n v="132"/>
    <n v="20"/>
    <n v="100"/>
    <n v="100"/>
    <n v="0"/>
    <n v="844536"/>
    <n v="125235"/>
    <n v="605302.5"/>
    <n v="0"/>
    <n v="132"/>
    <n v="844536"/>
    <n v="251932.7731092437"/>
    <n v="20"/>
    <n v="112"/>
    <n v="20"/>
    <n v="0"/>
    <n v="0"/>
    <n v="0"/>
    <n v="716576"/>
    <n v="125235"/>
    <n v="0"/>
    <n v="0"/>
    <n v="112"/>
    <n v="716576"/>
    <n v="251932.7731092437"/>
    <n v="20"/>
    <n v="92"/>
    <n v="20"/>
    <n v="0"/>
    <n v="0"/>
    <m/>
    <n v="576080.9999999999"/>
    <n v="125235"/>
    <n v="0"/>
    <n v="0"/>
    <n v="92"/>
    <n v="576080.9999999999"/>
    <n v="251932.7731092437"/>
    <n v="15"/>
    <n v="72"/>
    <n v="15"/>
    <n v="0"/>
    <n v="0"/>
    <n v="0"/>
    <m/>
    <n v="450845.9999999999"/>
    <n v="93926.24999999999"/>
    <n v="0"/>
    <n v="0"/>
    <n v="72"/>
    <n v="450845.9999999999"/>
    <n v="188949.5798319328"/>
    <n v="20"/>
    <n v="57"/>
    <n v="20"/>
    <m/>
    <n v="0"/>
    <n v="356919.7499999999"/>
    <n v="125235"/>
    <n v="0"/>
    <n v="0"/>
    <n v="57"/>
    <n v="356919.7499999999"/>
    <n v="264529.4117647059"/>
    <n v="20"/>
    <n v="37"/>
    <n v="20"/>
    <n v="0"/>
    <n v="0"/>
    <n v="231684.75"/>
    <n v="125235"/>
    <n v="0"/>
    <n v="37"/>
    <n v="231684.75"/>
    <n v="251932.7731092437"/>
    <n v="12"/>
    <n v="17"/>
    <n v="12"/>
    <n v="0"/>
    <m/>
    <n v="106449.75"/>
    <n v="76776"/>
    <n v="0"/>
    <n v="17"/>
    <n v="106449.75"/>
    <n v="151159.6638655462"/>
  </r>
  <r>
    <s v="Levo-Accesorios"/>
    <x v="0"/>
    <x v="0"/>
    <x v="0"/>
    <n v="1650299083874"/>
    <x v="1"/>
    <x v="1"/>
    <x v="0"/>
    <x v="1"/>
    <n v="1"/>
    <x v="1"/>
    <n v="72"/>
    <m/>
    <n v="0"/>
    <n v="5881"/>
    <n v="423432"/>
    <n v="5.5"/>
    <n v="6008.749999999999"/>
    <n v="12596.63865546219"/>
    <n v="10915.96638655462"/>
    <s v="Shenzhen"/>
    <s v="30/70"/>
    <n v="30"/>
    <n v="200"/>
    <n v="6"/>
    <n v="0.5069000318720646"/>
    <n v="12"/>
    <n v="0.5201163196118722"/>
    <n v="11"/>
    <n v="0.5559466769175853"/>
    <n v="13"/>
    <n v="0.4564305709607563"/>
    <n v="11"/>
    <n v="0.5880321403302299"/>
    <n v="42"/>
    <n v="0.6074160116156815"/>
    <n v="8"/>
    <n v="0.5434560257741462"/>
    <n v="7"/>
    <n v="0.4867452153855745"/>
    <n v="14"/>
    <n v="0.4620573230449336"/>
    <n v="10"/>
    <n v="0.4896140527498849"/>
    <n v="4"/>
    <n v="0.4921216831832804"/>
    <n v="6"/>
    <n v="0.5157111681466944"/>
    <n v="4"/>
    <n v="0.428092420886218"/>
    <n v="15"/>
    <n v="0.259869988802494"/>
    <n v="4"/>
    <n v="0.3022607859414975"/>
    <n v="8"/>
    <n v="0.4696368969187178"/>
    <n v="0.8"/>
    <n v="16"/>
    <n v="0.4895717600506922"/>
    <n v="1.6"/>
    <n v="11"/>
    <n v="0.4341434958019845"/>
    <n v="1.1"/>
    <n v="0"/>
    <n v="0.4031136090197031"/>
    <n v="0"/>
    <n v="5"/>
    <n v="95"/>
    <n v="10"/>
    <n v="0"/>
    <m/>
    <n v="0"/>
    <n v="214656.5"/>
    <n v="540787.5"/>
    <n v="58810"/>
    <n v="0"/>
    <n v="72"/>
    <n v="423432"/>
    <n v="105854.1063484217"/>
    <n v="10"/>
    <n v="84"/>
    <n v="22.5"/>
    <n v="0"/>
    <m/>
    <n v="0"/>
    <n v="202894.5"/>
    <n v="478170"/>
    <n v="132322.5"/>
    <n v="0"/>
    <n v="72"/>
    <n v="423432"/>
    <n v="238171.7392839489"/>
    <n v="20"/>
    <n v="59"/>
    <n v="4"/>
    <n v="0"/>
    <n v="0"/>
    <n v="127497"/>
    <n v="346979"/>
    <n v="23524"/>
    <n v="0"/>
    <n v="72"/>
    <n v="423432"/>
    <n v="50386.55462184874"/>
    <n v="10"/>
    <n v="66"/>
    <n v="8"/>
    <n v="0"/>
    <n v="0"/>
    <n v="375705"/>
    <n v="47048"/>
    <n v="0"/>
    <n v="0"/>
    <n v="72"/>
    <n v="423432"/>
    <n v="100773.1092436975"/>
    <n v="10"/>
    <n v="88"/>
    <n v="10"/>
    <m/>
    <n v="0"/>
    <n v="0"/>
    <n v="517528"/>
    <n v="56925"/>
    <n v="0"/>
    <n v="0"/>
    <n v="72"/>
    <n v="423432"/>
    <n v="125966.3865546219"/>
    <n v="10"/>
    <n v="83"/>
    <n v="11"/>
    <m/>
    <n v="0"/>
    <n v="0"/>
    <n v="488123"/>
    <n v="62617.5"/>
    <n v="0"/>
    <n v="0"/>
    <n v="83"/>
    <n v="423432"/>
    <n v="138563.025210084"/>
    <n v="10"/>
    <n v="72"/>
    <n v="10"/>
    <n v="50"/>
    <n v="50"/>
    <n v="0"/>
    <n v="423432"/>
    <n v="56925"/>
    <n v="275137.5"/>
    <n v="0"/>
    <n v="72"/>
    <n v="423432"/>
    <n v="125966.3865546219"/>
    <n v="10"/>
    <n v="62"/>
    <n v="10"/>
    <n v="0"/>
    <n v="0"/>
    <n v="0"/>
    <n v="364622"/>
    <n v="56925"/>
    <n v="0"/>
    <n v="0"/>
    <n v="62"/>
    <n v="364622"/>
    <n v="125966.3865546219"/>
    <n v="10"/>
    <n v="52"/>
    <n v="10"/>
    <n v="0"/>
    <n v="0"/>
    <m/>
    <n v="296010"/>
    <n v="56925"/>
    <n v="0"/>
    <n v="0"/>
    <n v="52"/>
    <n v="296010"/>
    <n v="125966.3865546219"/>
    <n v="5"/>
    <n v="42"/>
    <n v="5"/>
    <n v="0"/>
    <n v="0"/>
    <n v="0"/>
    <m/>
    <n v="239085"/>
    <n v="28462.5"/>
    <n v="0"/>
    <n v="0"/>
    <n v="42"/>
    <n v="239085"/>
    <n v="54579.83193277312"/>
    <n v="10"/>
    <n v="37"/>
    <n v="10"/>
    <m/>
    <n v="0"/>
    <n v="210622.5"/>
    <n v="56925"/>
    <n v="0"/>
    <n v="0"/>
    <n v="37"/>
    <n v="210622.5"/>
    <n v="114617.6470588236"/>
    <n v="10"/>
    <n v="27"/>
    <n v="10"/>
    <n v="0"/>
    <n v="0"/>
    <n v="153697.5"/>
    <n v="56925"/>
    <n v="0"/>
    <n v="27"/>
    <n v="153697.5"/>
    <n v="125966.3865546219"/>
    <n v="6"/>
    <n v="17"/>
    <n v="6"/>
    <n v="0"/>
    <m/>
    <n v="96772.5"/>
    <n v="35286"/>
    <n v="0"/>
    <n v="17"/>
    <n v="96772.5"/>
    <n v="75579.83193277312"/>
  </r>
  <r>
    <s v="Levo-Accesorios"/>
    <x v="0"/>
    <x v="0"/>
    <x v="1"/>
    <s v="LVCAR25W"/>
    <x v="2"/>
    <x v="2"/>
    <x v="0"/>
    <x v="1"/>
    <n v="1"/>
    <x v="2"/>
    <n v="140"/>
    <m/>
    <n v="0"/>
    <n v="2126"/>
    <n v="297640"/>
    <n v="1.5"/>
    <n v="1638.75"/>
    <n v="5873.949579831933"/>
    <n v="5873.949579831933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2"/>
    <s v=""/>
    <n v="44"/>
    <n v="0.7262249694160067"/>
    <n v="12"/>
    <n v="0.6742636074616003"/>
    <n v="31"/>
    <n v="0.6078937661379564"/>
    <n v="4"/>
    <s v=""/>
    <n v="12"/>
    <s v=""/>
    <n v="14"/>
    <s v=""/>
    <n v="10"/>
    <s v=""/>
    <n v="0.6666666666666666"/>
    <n v="13"/>
    <s v=""/>
    <n v="0.8666666666666667"/>
    <n v="68"/>
    <s v=""/>
    <n v="2.72"/>
    <n v="4"/>
    <s v=""/>
    <n v="0.2"/>
    <n v="15"/>
    <n v="168"/>
    <n v="3"/>
    <n v="0"/>
    <m/>
    <n v="0"/>
    <n v="74410"/>
    <n v="260820"/>
    <n v="6378"/>
    <n v="0"/>
    <n v="140"/>
    <n v="297640"/>
    <n v="14808.27625167714"/>
    <n v="15"/>
    <n v="165"/>
    <n v="18"/>
    <n v="0"/>
    <m/>
    <n v="0"/>
    <n v="89292"/>
    <n v="256162.5"/>
    <n v="38268"/>
    <n v="0"/>
    <n v="140"/>
    <n v="297640"/>
    <n v="88849.65751006285"/>
    <n v="20"/>
    <n v="153"/>
    <n v="14"/>
    <n v="0"/>
    <n v="0"/>
    <n v="74311.5"/>
    <n v="325278"/>
    <n v="29764"/>
    <n v="0"/>
    <n v="140"/>
    <n v="297640"/>
    <n v="82235.29411764706"/>
    <n v="15"/>
    <n v="139"/>
    <n v="10"/>
    <n v="0"/>
    <n v="0"/>
    <n v="215797.5"/>
    <n v="21260"/>
    <n v="0"/>
    <n v="0"/>
    <n v="140"/>
    <n v="297640"/>
    <n v="58739.49579831933"/>
    <n v="15"/>
    <n v="153"/>
    <n v="15"/>
    <m/>
    <n v="0"/>
    <n v="0"/>
    <n v="325278"/>
    <n v="23287.5"/>
    <n v="0"/>
    <n v="0"/>
    <n v="140"/>
    <n v="297640"/>
    <n v="88109.24369747899"/>
    <n v="25"/>
    <n v="208"/>
    <n v="68"/>
    <m/>
    <n v="0"/>
    <n v="0"/>
    <n v="442208"/>
    <n v="105570"/>
    <n v="0"/>
    <n v="0"/>
    <n v="208"/>
    <n v="297640"/>
    <n v="399428.5714285715"/>
    <n v="20"/>
    <n v="144"/>
    <n v="20"/>
    <n v="100"/>
    <n v="100"/>
    <n v="0"/>
    <n v="306144"/>
    <n v="31050"/>
    <n v="150075"/>
    <n v="0"/>
    <n v="144"/>
    <n v="297640"/>
    <n v="117478.9915966387"/>
    <n v="20"/>
    <n v="124"/>
    <n v="20"/>
    <n v="0"/>
    <n v="0"/>
    <n v="0"/>
    <n v="263624"/>
    <n v="31050"/>
    <n v="0"/>
    <n v="0"/>
    <n v="124"/>
    <n v="263624"/>
    <n v="117478.9915966387"/>
    <n v="20"/>
    <n v="104"/>
    <n v="20"/>
    <n v="0"/>
    <n v="0"/>
    <m/>
    <n v="161460"/>
    <n v="31050"/>
    <n v="0"/>
    <n v="0"/>
    <n v="104"/>
    <n v="161460"/>
    <n v="117478.9915966387"/>
    <n v="30"/>
    <n v="84"/>
    <n v="30"/>
    <n v="0"/>
    <n v="0"/>
    <n v="0"/>
    <m/>
    <n v="130410"/>
    <n v="46574.99999999999"/>
    <n v="0"/>
    <n v="0"/>
    <n v="84"/>
    <n v="130410"/>
    <n v="176218.487394958"/>
    <n v="50"/>
    <n v="54"/>
    <n v="50"/>
    <m/>
    <n v="0"/>
    <n v="83834.99999999999"/>
    <n v="77624.99999999999"/>
    <n v="0"/>
    <n v="0"/>
    <n v="54"/>
    <n v="83834.99999999999"/>
    <n v="308382.3529411765"/>
    <n v="50"/>
    <n v="4"/>
    <n v="50"/>
    <n v="0"/>
    <n v="0"/>
    <n v="6209.999999999999"/>
    <n v="77624.99999999999"/>
    <n v="0"/>
    <n v="4"/>
    <n v="6209.999999999999"/>
    <n v="293697.4789915967"/>
    <n v="30"/>
    <n v="0"/>
    <n v="30"/>
    <n v="0"/>
    <m/>
    <n v="0"/>
    <n v="63780"/>
    <n v="0"/>
    <n v="0"/>
    <n v="0"/>
    <n v="176218.487394958"/>
  </r>
  <r>
    <s v="Levo-Accesorios"/>
    <x v="0"/>
    <x v="0"/>
    <x v="1"/>
    <s v="LVCAR25W"/>
    <x v="3"/>
    <x v="3"/>
    <x v="0"/>
    <x v="1"/>
    <n v="0.8"/>
    <x v="3"/>
    <n v="159"/>
    <m/>
    <n v="0"/>
    <n v="2126"/>
    <n v="338034"/>
    <n v="1.5"/>
    <n v="1638.75"/>
    <n v="5873.949579831933"/>
    <n v="5873.949579831933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6578417960891607"/>
    <n v="3"/>
    <n v="0.7165207342548557"/>
    <n v="8"/>
    <n v="0.7786454266229371"/>
    <n v="1"/>
    <s v=""/>
    <n v="5"/>
    <s v=""/>
    <n v="7"/>
    <s v=""/>
    <n v="8"/>
    <s v=""/>
    <n v="0.5333333333333333"/>
    <n v="17"/>
    <s v=""/>
    <n v="1.133333333333333"/>
    <n v="17"/>
    <s v=""/>
    <n v="0.85"/>
    <n v="5"/>
    <s v=""/>
    <n v="0.3333333333333333"/>
    <n v="15"/>
    <n v="220"/>
    <n v="3"/>
    <n v="0"/>
    <m/>
    <n v="0"/>
    <n v="37205"/>
    <n v="341549.9999999999"/>
    <n v="6378"/>
    <n v="0"/>
    <n v="159"/>
    <n v="338034"/>
    <n v="14808.27625167714"/>
    <n v="15"/>
    <n v="218"/>
    <n v="7.5"/>
    <n v="0"/>
    <m/>
    <n v="0"/>
    <n v="47835"/>
    <n v="338444.9999999999"/>
    <n v="15945"/>
    <n v="0"/>
    <n v="159"/>
    <n v="338034"/>
    <n v="37020.69062919286"/>
    <n v="15"/>
    <n v="217"/>
    <n v="7"/>
    <n v="0"/>
    <n v="0"/>
    <n v="50520"/>
    <n v="461342"/>
    <n v="14882"/>
    <n v="0"/>
    <n v="159"/>
    <n v="338034"/>
    <n v="41117.64705882353"/>
    <n v="15"/>
    <n v="211"/>
    <n v="8"/>
    <n v="0"/>
    <n v="0"/>
    <n v="327577.4999999999"/>
    <n v="17008"/>
    <n v="0"/>
    <n v="0"/>
    <n v="159"/>
    <n v="338034"/>
    <n v="46991.59663865546"/>
    <n v="15"/>
    <n v="176"/>
    <n v="12"/>
    <m/>
    <n v="0"/>
    <n v="0"/>
    <n v="374176"/>
    <n v="18630"/>
    <n v="0"/>
    <n v="0"/>
    <n v="159"/>
    <n v="338034"/>
    <n v="70487.3949579832"/>
    <n v="20"/>
    <n v="176"/>
    <n v="17"/>
    <m/>
    <n v="0"/>
    <n v="0"/>
    <n v="374176"/>
    <n v="26392.5"/>
    <n v="0"/>
    <n v="0"/>
    <n v="176"/>
    <n v="338034"/>
    <n v="99857.14285714287"/>
    <n v="15"/>
    <n v="164"/>
    <n v="12"/>
    <n v="0"/>
    <n v="0"/>
    <n v="0"/>
    <n v="348664"/>
    <n v="18630"/>
    <n v="0"/>
    <n v="0"/>
    <n v="164"/>
    <n v="338034"/>
    <n v="70487.3949579832"/>
    <n v="15"/>
    <n v="152"/>
    <n v="12"/>
    <n v="0"/>
    <n v="0"/>
    <n v="0"/>
    <n v="323152"/>
    <n v="18630"/>
    <n v="0"/>
    <n v="0"/>
    <n v="152"/>
    <n v="323152"/>
    <n v="70487.3949579832"/>
    <n v="15"/>
    <n v="140"/>
    <n v="12"/>
    <n v="0"/>
    <n v="0"/>
    <m/>
    <n v="217350"/>
    <n v="18630"/>
    <n v="0"/>
    <n v="0"/>
    <n v="140"/>
    <n v="217350"/>
    <n v="70487.3949579832"/>
    <n v="20"/>
    <n v="128"/>
    <n v="16"/>
    <n v="0"/>
    <n v="0"/>
    <n v="0"/>
    <m/>
    <n v="198720"/>
    <n v="24840"/>
    <n v="0"/>
    <n v="0"/>
    <n v="128"/>
    <n v="198720"/>
    <n v="93983.19327731093"/>
    <n v="20"/>
    <n v="112"/>
    <n v="16"/>
    <m/>
    <n v="0"/>
    <n v="173880"/>
    <n v="24840"/>
    <n v="0"/>
    <n v="0"/>
    <n v="112"/>
    <n v="173880"/>
    <n v="98682.35294117648"/>
    <n v="20"/>
    <n v="96"/>
    <n v="16"/>
    <n v="0"/>
    <n v="0"/>
    <n v="149040"/>
    <n v="24840"/>
    <n v="0"/>
    <n v="96"/>
    <n v="149040"/>
    <n v="93983.19327731093"/>
    <n v="12"/>
    <n v="80"/>
    <n v="9.600000000000001"/>
    <n v="0"/>
    <m/>
    <n v="124200"/>
    <n v="20409.6"/>
    <n v="0"/>
    <n v="80"/>
    <n v="124200"/>
    <n v="56389.91596638656"/>
  </r>
  <r>
    <s v="Levo-Accesorios"/>
    <x v="0"/>
    <x v="0"/>
    <x v="1"/>
    <s v="LVCAR45W"/>
    <x v="4"/>
    <x v="4"/>
    <x v="0"/>
    <x v="1"/>
    <n v="1"/>
    <x v="4"/>
    <n v="71"/>
    <m/>
    <n v="0"/>
    <n v="3112"/>
    <n v="220952"/>
    <n v="2.5"/>
    <n v="2731.25"/>
    <n v="7554.621848739496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293022289734009"/>
    <n v="6"/>
    <n v="0.6237110180931222"/>
    <n v="20"/>
    <n v="0.7083170083842182"/>
    <n v="7"/>
    <s v=""/>
    <n v="19"/>
    <s v=""/>
    <n v="22"/>
    <s v=""/>
    <n v="13"/>
    <s v=""/>
    <n v="0.65"/>
    <n v="23"/>
    <s v=""/>
    <n v="1.15"/>
    <n v="28"/>
    <s v=""/>
    <n v="1.4"/>
    <n v="6"/>
    <s v=""/>
    <n v="0.3"/>
    <n v="15"/>
    <n v="218"/>
    <n v="2"/>
    <n v="0"/>
    <m/>
    <n v="0"/>
    <n v="163380"/>
    <n v="564075"/>
    <n v="6224"/>
    <n v="0"/>
    <n v="71"/>
    <n v="220952"/>
    <n v="12696.84344325966"/>
    <n v="15"/>
    <n v="210"/>
    <n v="28.5"/>
    <n v="0"/>
    <m/>
    <n v="0"/>
    <n v="197612"/>
    <n v="543375"/>
    <n v="88692"/>
    <n v="0"/>
    <n v="71"/>
    <n v="220952"/>
    <n v="180930.0190664501"/>
    <n v="25"/>
    <n v="198"/>
    <n v="22"/>
    <n v="0"/>
    <n v="0"/>
    <n v="160670"/>
    <n v="616176"/>
    <n v="68464"/>
    <n v="0"/>
    <n v="71"/>
    <n v="220952"/>
    <n v="166201.6806722689"/>
    <n v="20"/>
    <n v="169"/>
    <n v="13"/>
    <n v="0"/>
    <n v="0"/>
    <n v="437287.5"/>
    <n v="40456"/>
    <n v="0"/>
    <n v="0"/>
    <n v="71"/>
    <n v="220952"/>
    <n v="98210.08403361346"/>
    <n v="20"/>
    <n v="94"/>
    <n v="20"/>
    <m/>
    <n v="0"/>
    <n v="0"/>
    <n v="292528"/>
    <n v="51750"/>
    <n v="0"/>
    <n v="0"/>
    <n v="71"/>
    <n v="220952"/>
    <n v="151092.4369747899"/>
    <n v="20"/>
    <n v="99"/>
    <n v="28"/>
    <m/>
    <n v="0"/>
    <n v="0"/>
    <n v="308088"/>
    <n v="72450"/>
    <n v="0"/>
    <n v="0"/>
    <n v="99"/>
    <n v="220952"/>
    <n v="211529.4117647059"/>
    <n v="20"/>
    <n v="77"/>
    <n v="20"/>
    <n v="0"/>
    <n v="0"/>
    <n v="0"/>
    <n v="239624"/>
    <n v="51750"/>
    <n v="0"/>
    <n v="0"/>
    <n v="77"/>
    <n v="220952"/>
    <n v="151092.4369747899"/>
    <n v="20"/>
    <n v="57"/>
    <n v="20"/>
    <n v="0"/>
    <n v="0"/>
    <n v="0"/>
    <n v="177384"/>
    <n v="51750"/>
    <n v="0"/>
    <n v="0"/>
    <n v="57"/>
    <n v="177384"/>
    <n v="151092.4369747899"/>
    <n v="20"/>
    <n v="37"/>
    <n v="20"/>
    <n v="0"/>
    <n v="0"/>
    <m/>
    <n v="95737.5"/>
    <n v="51750"/>
    <n v="0"/>
    <n v="0"/>
    <n v="37"/>
    <n v="95737.5"/>
    <n v="151092.4369747899"/>
    <n v="40"/>
    <n v="17"/>
    <n v="17"/>
    <n v="0"/>
    <n v="0"/>
    <n v="0"/>
    <m/>
    <n v="43987.5"/>
    <n v="43987.5"/>
    <n v="0"/>
    <n v="0"/>
    <n v="17"/>
    <n v="43987.5"/>
    <n v="128428.5714285714"/>
    <n v="53"/>
    <n v="0"/>
    <n v="53"/>
    <m/>
    <n v="0"/>
    <n v="0"/>
    <n v="137137.5"/>
    <n v="0"/>
    <n v="0"/>
    <n v="0"/>
    <n v="0"/>
    <n v="420414.705882353"/>
    <n v="53"/>
    <n v="0"/>
    <n v="53"/>
    <n v="0"/>
    <n v="0"/>
    <n v="0"/>
    <n v="137137.5"/>
    <n v="0"/>
    <n v="0"/>
    <n v="0"/>
    <n v="400394.9579831933"/>
    <n v="31.8"/>
    <n v="0"/>
    <n v="31.8"/>
    <n v="0"/>
    <m/>
    <n v="0"/>
    <n v="98961.59999999999"/>
    <n v="0"/>
    <n v="0"/>
    <n v="0"/>
    <n v="240236.974789916"/>
  </r>
  <r>
    <s v="Levo-Accesorios"/>
    <x v="0"/>
    <x v="0"/>
    <x v="1"/>
    <s v="LVCAR45W"/>
    <x v="5"/>
    <x v="5"/>
    <x v="0"/>
    <x v="1"/>
    <n v="1"/>
    <x v="5"/>
    <n v="165"/>
    <m/>
    <n v="0"/>
    <n v="3112"/>
    <n v="513480"/>
    <n v="2.5"/>
    <n v="2731.25"/>
    <n v="7554.621848739496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2"/>
    <n v="0.7149138878710151"/>
    <n v="8"/>
    <n v="0.5563148764053559"/>
    <n v="28"/>
    <n v="0.6407508201396798"/>
    <n v="28"/>
    <n v="0.6300360871783603"/>
    <n v="10"/>
    <n v="0.7124787073311998"/>
    <n v="10"/>
    <s v=""/>
    <n v="17"/>
    <s v=""/>
    <n v="14"/>
    <s v=""/>
    <n v="19"/>
    <s v=""/>
    <n v="1.266666666666667"/>
    <n v="14"/>
    <s v=""/>
    <n v="0.9333333333333333"/>
    <n v="32"/>
    <s v=""/>
    <n v="1.28"/>
    <n v="3"/>
    <s v=""/>
    <n v="0.2"/>
    <n v="15"/>
    <n v="161"/>
    <n v="12"/>
    <n v="0"/>
    <m/>
    <n v="0"/>
    <n v="160268"/>
    <n v="416587.5"/>
    <n v="37344"/>
    <n v="0"/>
    <n v="165"/>
    <n v="513480"/>
    <n v="76181.06065955796"/>
    <n v="15"/>
    <n v="151"/>
    <n v="25.5"/>
    <n v="0"/>
    <m/>
    <n v="0"/>
    <n v="182052"/>
    <n v="390712.5"/>
    <n v="79356"/>
    <n v="0"/>
    <n v="165"/>
    <n v="513480"/>
    <n v="161884.7539015606"/>
    <n v="25"/>
    <n v="137"/>
    <n v="14"/>
    <n v="0"/>
    <n v="0"/>
    <n v="141508.5"/>
    <n v="426344"/>
    <n v="43568"/>
    <n v="0"/>
    <n v="165"/>
    <n v="513480"/>
    <n v="105764.705882353"/>
    <n v="15"/>
    <n v="117"/>
    <n v="19"/>
    <n v="0"/>
    <n v="0"/>
    <n v="302737.5"/>
    <n v="59128"/>
    <n v="0"/>
    <n v="0"/>
    <n v="165"/>
    <n v="513480"/>
    <n v="143537.8151260504"/>
    <n v="15"/>
    <n v="179"/>
    <n v="15"/>
    <m/>
    <n v="0"/>
    <n v="0"/>
    <n v="557048"/>
    <n v="38812.5"/>
    <n v="0"/>
    <n v="0"/>
    <n v="165"/>
    <n v="513480"/>
    <n v="113319.3277310924"/>
    <n v="25"/>
    <n v="197"/>
    <n v="32"/>
    <m/>
    <n v="0"/>
    <n v="0"/>
    <n v="613064"/>
    <n v="82800"/>
    <n v="0"/>
    <n v="0"/>
    <n v="197"/>
    <n v="513480"/>
    <n v="241747.8991596639"/>
    <n v="15"/>
    <n v="168"/>
    <n v="15"/>
    <n v="100"/>
    <n v="100"/>
    <n v="0"/>
    <n v="522816"/>
    <n v="38812.5"/>
    <n v="250125"/>
    <n v="0"/>
    <n v="168"/>
    <n v="513480"/>
    <n v="113319.3277310924"/>
    <n v="15"/>
    <n v="153"/>
    <n v="15"/>
    <n v="0"/>
    <n v="0"/>
    <n v="0"/>
    <n v="476136"/>
    <n v="38812.5"/>
    <n v="0"/>
    <n v="0"/>
    <n v="153"/>
    <n v="476136"/>
    <n v="113319.3277310924"/>
    <n v="10"/>
    <n v="138"/>
    <n v="10"/>
    <n v="0"/>
    <n v="0"/>
    <m/>
    <n v="357075"/>
    <n v="25875"/>
    <n v="0"/>
    <n v="0"/>
    <n v="138"/>
    <n v="357075"/>
    <n v="75546.21848739496"/>
    <n v="15"/>
    <n v="128"/>
    <n v="15"/>
    <n v="0"/>
    <n v="0"/>
    <n v="0"/>
    <m/>
    <n v="331200"/>
    <n v="38812.5"/>
    <n v="0"/>
    <n v="0"/>
    <n v="128"/>
    <n v="331200"/>
    <n v="113319.3277310924"/>
    <n v="18"/>
    <n v="113"/>
    <n v="18"/>
    <m/>
    <n v="0"/>
    <n v="292387.5"/>
    <n v="46575"/>
    <n v="0"/>
    <n v="0"/>
    <n v="113"/>
    <n v="292387.5"/>
    <n v="142782.3529411765"/>
    <n v="20"/>
    <n v="95"/>
    <n v="20"/>
    <n v="0"/>
    <n v="0"/>
    <n v="245812.5"/>
    <n v="51750"/>
    <n v="0"/>
    <n v="95"/>
    <n v="245812.5"/>
    <n v="151092.4369747899"/>
    <n v="10.8"/>
    <n v="75"/>
    <n v="10.8"/>
    <n v="0"/>
    <m/>
    <n v="194062.5"/>
    <n v="33609.6"/>
    <n v="0"/>
    <n v="75"/>
    <n v="194062.5"/>
    <n v="81589.91596638656"/>
  </r>
  <r>
    <s v="Levo-Accesorios"/>
    <x v="0"/>
    <x v="0"/>
    <x v="2"/>
    <s v="LVCABTC"/>
    <x v="6"/>
    <x v="6"/>
    <x v="0"/>
    <x v="1"/>
    <n v="1"/>
    <x v="6"/>
    <n v="97"/>
    <m/>
    <n v="0"/>
    <n v="1815"/>
    <n v="176055"/>
    <n v="0.8"/>
    <n v="873.9999999999999"/>
    <n v="5873.949579831933"/>
    <n v="4193.27731092437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23"/>
    <n v="0.6394159133803516"/>
    <n v="10"/>
    <n v="0.615468925706241"/>
    <n v="14"/>
    <n v="0.6335965187743933"/>
    <n v="8"/>
    <s v=""/>
    <n v="10"/>
    <s v=""/>
    <n v="19"/>
    <s v=""/>
    <n v="14"/>
    <s v=""/>
    <n v="0.9333333333333333"/>
    <n v="15"/>
    <s v=""/>
    <n v="1"/>
    <n v="24"/>
    <s v=""/>
    <n v="0.48"/>
    <n v="4"/>
    <s v=""/>
    <n v="0.2666666666666667"/>
    <n v="15"/>
    <n v="200"/>
    <n v="3"/>
    <n v="0"/>
    <m/>
    <n v="0"/>
    <n v="67155"/>
    <n v="165600"/>
    <n v="5445"/>
    <n v="0"/>
    <n v="97"/>
    <n v="176055"/>
    <n v="14808.27625167714"/>
    <n v="15"/>
    <n v="192"/>
    <n v="15"/>
    <n v="0"/>
    <m/>
    <n v="0"/>
    <n v="87120"/>
    <n v="158976"/>
    <n v="27225"/>
    <n v="0"/>
    <n v="97"/>
    <n v="176055"/>
    <n v="74041.38125838572"/>
    <n v="20"/>
    <n v="186"/>
    <n v="19"/>
    <n v="0"/>
    <n v="0"/>
    <n v="72315"/>
    <n v="337590"/>
    <n v="34485"/>
    <n v="0"/>
    <n v="97"/>
    <n v="176055"/>
    <n v="111605.0420168067"/>
    <n v="15"/>
    <n v="158"/>
    <n v="14"/>
    <n v="0"/>
    <n v="0"/>
    <n v="130824"/>
    <n v="25410"/>
    <n v="0"/>
    <n v="0"/>
    <n v="97"/>
    <n v="176055"/>
    <n v="82235.29411764706"/>
    <n v="15"/>
    <n v="112"/>
    <n v="15"/>
    <m/>
    <n v="0"/>
    <n v="0"/>
    <n v="203280"/>
    <n v="12420"/>
    <n v="0"/>
    <n v="0"/>
    <n v="97"/>
    <n v="176055"/>
    <n v="88109.24369747899"/>
    <n v="50"/>
    <n v="121"/>
    <n v="24"/>
    <m/>
    <n v="0"/>
    <n v="0"/>
    <n v="219615"/>
    <n v="19872"/>
    <n v="0"/>
    <n v="0"/>
    <n v="121"/>
    <n v="176055"/>
    <n v="140974.7899159664"/>
    <n v="15"/>
    <n v="101"/>
    <n v="15"/>
    <n v="0"/>
    <n v="0"/>
    <n v="0"/>
    <n v="183315"/>
    <n v="12420"/>
    <n v="0"/>
    <n v="0"/>
    <n v="101"/>
    <n v="176055"/>
    <n v="88109.24369747899"/>
    <n v="15"/>
    <n v="86"/>
    <n v="15"/>
    <n v="0"/>
    <n v="0"/>
    <n v="0"/>
    <n v="156090"/>
    <n v="12420"/>
    <n v="0"/>
    <n v="0"/>
    <n v="86"/>
    <n v="156090"/>
    <n v="88109.24369747899"/>
    <n v="15"/>
    <n v="71"/>
    <n v="15"/>
    <n v="0"/>
    <n v="0"/>
    <m/>
    <n v="58787.99999999999"/>
    <n v="12420"/>
    <n v="0"/>
    <n v="0"/>
    <n v="71"/>
    <n v="58787.99999999999"/>
    <n v="88109.24369747899"/>
    <n v="35"/>
    <n v="56"/>
    <n v="35"/>
    <n v="0"/>
    <n v="0"/>
    <n v="0"/>
    <m/>
    <n v="46367.99999999999"/>
    <n v="28980"/>
    <n v="0"/>
    <n v="0"/>
    <n v="56"/>
    <n v="46367.99999999999"/>
    <n v="146764.705882353"/>
    <n v="50"/>
    <n v="21"/>
    <n v="50"/>
    <m/>
    <n v="0"/>
    <n v="17388"/>
    <n v="41399.99999999999"/>
    <n v="0"/>
    <n v="0"/>
    <n v="21"/>
    <n v="17388"/>
    <n v="220147.0588235294"/>
    <n v="50"/>
    <n v="0"/>
    <n v="50"/>
    <n v="0"/>
    <n v="0"/>
    <n v="0"/>
    <n v="41399.99999999999"/>
    <n v="0"/>
    <n v="0"/>
    <n v="0"/>
    <n v="293697.4789915967"/>
    <n v="30"/>
    <n v="0"/>
    <n v="30"/>
    <n v="0"/>
    <m/>
    <n v="0"/>
    <n v="54450"/>
    <n v="0"/>
    <n v="0"/>
    <n v="0"/>
    <n v="176218.487394958"/>
  </r>
  <r>
    <s v="Levo-Accesorios"/>
    <x v="0"/>
    <x v="0"/>
    <x v="2"/>
    <s v="LVCABTC"/>
    <x v="7"/>
    <x v="7"/>
    <x v="0"/>
    <x v="1"/>
    <n v="1"/>
    <x v="7"/>
    <n v="118"/>
    <m/>
    <n v="0"/>
    <n v="1815"/>
    <n v="214170"/>
    <n v="0.8"/>
    <n v="873.9999999999999"/>
    <n v="5873.949579831933"/>
    <n v="4193.27731092437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7"/>
    <n v="0.6910112359550562"/>
    <n v="10"/>
    <n v="0.6910085836909872"/>
    <n v="16"/>
    <n v="0.6437548023986015"/>
    <n v="28"/>
    <n v="0.6662804284886059"/>
    <n v="18"/>
    <s v=""/>
    <n v="17"/>
    <s v=""/>
    <n v="27"/>
    <s v=""/>
    <n v="21"/>
    <s v=""/>
    <n v="0.84"/>
    <n v="39"/>
    <s v=""/>
    <n v="1.56"/>
    <n v="32"/>
    <s v=""/>
    <n v="1.066666666666667"/>
    <n v="6"/>
    <s v=""/>
    <n v="0.24"/>
    <n v="15"/>
    <n v="186"/>
    <n v="10"/>
    <n v="0"/>
    <m/>
    <n v="0"/>
    <n v="113437.5"/>
    <n v="154008"/>
    <n v="18150"/>
    <n v="0"/>
    <n v="118"/>
    <n v="214170"/>
    <n v="49360.92083892381"/>
    <n v="15"/>
    <n v="166"/>
    <n v="25.5"/>
    <n v="0"/>
    <m/>
    <n v="0"/>
    <n v="133402.5"/>
    <n v="137448"/>
    <n v="46282.5"/>
    <n v="0"/>
    <n v="118"/>
    <n v="214170"/>
    <n v="125870.3481392557"/>
    <n v="25"/>
    <n v="156"/>
    <n v="27"/>
    <n v="0"/>
    <n v="0"/>
    <n v="107820"/>
    <n v="283140"/>
    <n v="49005"/>
    <n v="0"/>
    <n v="118"/>
    <n v="214170"/>
    <n v="158596.6386554622"/>
    <n v="25"/>
    <n v="123"/>
    <n v="21"/>
    <n v="0"/>
    <n v="0"/>
    <n v="101844"/>
    <n v="38115"/>
    <n v="0"/>
    <n v="0"/>
    <n v="118"/>
    <n v="214170"/>
    <n v="123352.9411764706"/>
    <n v="25"/>
    <n v="157"/>
    <n v="25"/>
    <m/>
    <n v="0"/>
    <n v="0"/>
    <n v="284955"/>
    <n v="20700"/>
    <n v="0"/>
    <n v="0"/>
    <n v="118"/>
    <n v="214170"/>
    <n v="146848.7394957983"/>
    <n v="30"/>
    <n v="150"/>
    <n v="32"/>
    <m/>
    <n v="0"/>
    <n v="0"/>
    <n v="272250"/>
    <n v="26496"/>
    <n v="0"/>
    <n v="0"/>
    <n v="150"/>
    <n v="214170"/>
    <n v="187966.3865546219"/>
    <n v="25"/>
    <n v="124"/>
    <n v="25"/>
    <n v="100"/>
    <n v="100"/>
    <n v="0"/>
    <n v="225060"/>
    <n v="20700"/>
    <n v="80040"/>
    <n v="0"/>
    <n v="124"/>
    <n v="214170"/>
    <n v="146848.7394957983"/>
    <n v="25"/>
    <n v="99"/>
    <n v="25"/>
    <n v="0"/>
    <n v="0"/>
    <n v="0"/>
    <n v="179685"/>
    <n v="20700"/>
    <n v="0"/>
    <n v="0"/>
    <n v="99"/>
    <n v="179685"/>
    <n v="146848.7394957983"/>
    <n v="15"/>
    <n v="74"/>
    <n v="15"/>
    <n v="0"/>
    <n v="0"/>
    <m/>
    <n v="61271.99999999999"/>
    <n v="12420"/>
    <n v="0"/>
    <n v="0"/>
    <n v="74"/>
    <n v="61271.99999999999"/>
    <n v="88109.24369747899"/>
    <n v="25"/>
    <n v="59"/>
    <n v="25"/>
    <n v="0"/>
    <n v="0"/>
    <n v="0"/>
    <m/>
    <n v="48851.99999999999"/>
    <n v="20700"/>
    <n v="0"/>
    <n v="0"/>
    <n v="59"/>
    <n v="48851.99999999999"/>
    <n v="104831.9327731092"/>
    <n v="25"/>
    <n v="34"/>
    <n v="25"/>
    <m/>
    <n v="0"/>
    <n v="28152"/>
    <n v="20700"/>
    <n v="0"/>
    <n v="0"/>
    <n v="34"/>
    <n v="28152"/>
    <n v="110073.5294117647"/>
    <n v="25"/>
    <n v="9"/>
    <n v="25"/>
    <n v="0"/>
    <n v="0"/>
    <n v="7451.999999999999"/>
    <n v="20700"/>
    <n v="0"/>
    <n v="9"/>
    <n v="7451.999999999999"/>
    <n v="146848.7394957983"/>
    <n v="15"/>
    <n v="0"/>
    <n v="15"/>
    <n v="0"/>
    <m/>
    <n v="0"/>
    <n v="27225"/>
    <n v="0"/>
    <n v="0"/>
    <n v="0"/>
    <n v="88109.24369747899"/>
  </r>
  <r>
    <s v="Levo-Accesorios"/>
    <x v="0"/>
    <x v="0"/>
    <x v="2"/>
    <s v="LVCABTCLIGH-WH"/>
    <x v="8"/>
    <x v="8"/>
    <x v="0"/>
    <x v="1"/>
    <n v="1"/>
    <x v="8"/>
    <n v="1"/>
    <m/>
    <n v="0"/>
    <n v="840"/>
    <n v="840"/>
    <n v="0.8"/>
    <n v="873.9999999999999"/>
    <n v="5033.613445378151"/>
    <n v="4193.27731092437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3"/>
    <n v="0.8888153540701522"/>
    <n v="38"/>
    <n v="0.8130662851692895"/>
    <n v="26"/>
    <n v="0.8364697356129849"/>
    <n v="47"/>
    <n v="0.8415720505211387"/>
    <n v="18"/>
    <s v=""/>
    <n v="16"/>
    <s v=""/>
    <n v="19"/>
    <s v=""/>
    <n v="16"/>
    <s v=""/>
    <n v="0.64"/>
    <n v="31"/>
    <s v=""/>
    <n v="1.24"/>
    <n v="120"/>
    <s v=""/>
    <n v="4"/>
    <n v="1"/>
    <s v=""/>
    <n v="0.04"/>
    <n v="15"/>
    <n v="239"/>
    <n v="10"/>
    <n v="0"/>
    <m/>
    <n v="0"/>
    <n v="44520"/>
    <n v="197892"/>
    <n v="8400"/>
    <n v="0"/>
    <n v="1"/>
    <n v="840"/>
    <n v="42299.27265023657"/>
    <n v="15"/>
    <n v="220"/>
    <n v="24"/>
    <n v="0"/>
    <m/>
    <n v="0"/>
    <n v="49560"/>
    <n v="182160"/>
    <n v="20160"/>
    <n v="0"/>
    <n v="1"/>
    <n v="840"/>
    <n v="101518.2543605678"/>
    <n v="25"/>
    <n v="202"/>
    <n v="19"/>
    <n v="0"/>
    <n v="0"/>
    <n v="50100"/>
    <n v="169680"/>
    <n v="15960"/>
    <n v="0"/>
    <n v="1"/>
    <n v="840"/>
    <n v="95638.65546218488"/>
    <n v="25"/>
    <n v="180"/>
    <n v="16"/>
    <n v="0"/>
    <n v="0"/>
    <n v="149040"/>
    <n v="13440"/>
    <n v="0"/>
    <n v="0"/>
    <n v="1"/>
    <n v="840"/>
    <n v="80537.81512605042"/>
    <n v="25"/>
    <n v="32"/>
    <n v="25"/>
    <m/>
    <n v="0"/>
    <n v="0"/>
    <n v="26880"/>
    <n v="20700"/>
    <n v="0"/>
    <n v="0"/>
    <n v="1"/>
    <n v="840"/>
    <n v="125840.3361344538"/>
    <n v="30"/>
    <n v="121"/>
    <n v="120"/>
    <m/>
    <n v="0"/>
    <n v="0"/>
    <n v="101640"/>
    <n v="99359.99999999999"/>
    <n v="0"/>
    <n v="0"/>
    <n v="121"/>
    <n v="840"/>
    <n v="604033.6134453781"/>
    <n v="25"/>
    <n v="2"/>
    <n v="25"/>
    <n v="0"/>
    <n v="0"/>
    <n v="0"/>
    <n v="1680"/>
    <n v="20700"/>
    <n v="0"/>
    <n v="0"/>
    <n v="2"/>
    <n v="840"/>
    <n v="125840.3361344538"/>
    <n v="25"/>
    <n v="0"/>
    <n v="25"/>
    <n v="0"/>
    <n v="0"/>
    <n v="0"/>
    <n v="0"/>
    <n v="20700"/>
    <n v="0"/>
    <n v="0"/>
    <n v="0"/>
    <n v="0"/>
    <n v="125840.3361344538"/>
    <n v="15"/>
    <n v="0"/>
    <n v="15"/>
    <n v="0"/>
    <n v="0"/>
    <m/>
    <n v="0"/>
    <n v="12420"/>
    <n v="0"/>
    <n v="0"/>
    <n v="0"/>
    <n v="0"/>
    <n v="75504.20168067227"/>
    <n v="25"/>
    <n v="0"/>
    <n v="0"/>
    <n v="100"/>
    <n v="100"/>
    <n v="100"/>
    <n v="0"/>
    <n v="0"/>
    <n v="0"/>
    <n v="82799.99999999999"/>
    <n v="82799.99999999999"/>
    <n v="100"/>
    <n v="82799.99999999999"/>
    <n v="0"/>
    <n v="25"/>
    <n v="100"/>
    <n v="25"/>
    <m/>
    <n v="0"/>
    <n v="82799.99999999999"/>
    <n v="20700"/>
    <n v="0"/>
    <n v="0"/>
    <n v="100"/>
    <n v="82799.99999999999"/>
    <n v="110073.5294117647"/>
    <n v="25"/>
    <n v="75"/>
    <n v="25"/>
    <n v="0"/>
    <n v="0"/>
    <n v="62099.99999999999"/>
    <n v="20700"/>
    <n v="0"/>
    <n v="75"/>
    <n v="62099.99999999999"/>
    <n v="125840.3361344538"/>
    <n v="15"/>
    <n v="50"/>
    <n v="15"/>
    <n v="0"/>
    <m/>
    <n v="41399.99999999999"/>
    <n v="12600"/>
    <n v="0"/>
    <n v="50"/>
    <n v="41399.99999999999"/>
    <n v="75504.20168067227"/>
  </r>
  <r>
    <s v="Levo-Accesorios"/>
    <x v="0"/>
    <x v="0"/>
    <x v="3"/>
    <s v="LVHUBMP-5"/>
    <x v="9"/>
    <x v="9"/>
    <x v="0"/>
    <x v="1"/>
    <n v="1"/>
    <x v="9"/>
    <n v="78"/>
    <m/>
    <n v="0"/>
    <n v="3786"/>
    <n v="295308"/>
    <n v="3"/>
    <n v="3277.5"/>
    <n v="10915.96638655462"/>
    <n v="10915.96638655462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40"/>
    <n v="0.6779599426340192"/>
    <n v="2"/>
    <n v="0.590044427459036"/>
    <n v="15"/>
    <n v="0.6101613109497727"/>
    <n v="24"/>
    <n v="0.5060877671347592"/>
    <n v="72"/>
    <n v="0.4764098689840244"/>
    <n v="5"/>
    <s v=""/>
    <n v="4"/>
    <s v=""/>
    <n v="3"/>
    <s v=""/>
    <n v="1"/>
    <s v=""/>
    <n v="0.1"/>
    <n v="5"/>
    <s v=""/>
    <n v="0.5"/>
    <n v="3"/>
    <s v=""/>
    <n v="0.1"/>
    <n v="0"/>
    <s v=""/>
    <n v="0"/>
    <n v="15"/>
    <n v="46"/>
    <n v="5"/>
    <n v="0"/>
    <m/>
    <n v="0"/>
    <n v="53004"/>
    <n v="142830"/>
    <n v="18930"/>
    <n v="0"/>
    <n v="78"/>
    <n v="295308"/>
    <n v="45865.40498552363"/>
    <n v="20"/>
    <n v="38"/>
    <n v="6"/>
    <n v="0"/>
    <m/>
    <n v="0"/>
    <n v="37860"/>
    <n v="117990"/>
    <n v="22716"/>
    <n v="0"/>
    <n v="78"/>
    <n v="295308"/>
    <n v="55038.48598262835"/>
    <n v="10"/>
    <n v="34"/>
    <n v="3"/>
    <n v="0"/>
    <n v="0"/>
    <n v="46194"/>
    <n v="128724"/>
    <n v="11358"/>
    <n v="0"/>
    <n v="78"/>
    <n v="295308"/>
    <n v="32747.89915966387"/>
    <n v="10"/>
    <n v="34"/>
    <n v="1"/>
    <n v="0"/>
    <n v="0"/>
    <n v="105570"/>
    <n v="3786"/>
    <n v="0"/>
    <n v="0"/>
    <n v="78"/>
    <n v="295308"/>
    <n v="10915.96638655462"/>
    <n v="10"/>
    <n v="83"/>
    <n v="10"/>
    <m/>
    <n v="0"/>
    <n v="0"/>
    <n v="314238"/>
    <n v="31050"/>
    <n v="0"/>
    <n v="0"/>
    <n v="78"/>
    <n v="295308"/>
    <n v="109159.6638655462"/>
    <n v="30"/>
    <n v="81"/>
    <n v="3"/>
    <m/>
    <n v="0"/>
    <n v="0"/>
    <n v="306666"/>
    <n v="9314.999999999998"/>
    <n v="0"/>
    <n v="0"/>
    <n v="81"/>
    <n v="295308"/>
    <n v="32747.89915966387"/>
    <n v="20"/>
    <n v="78"/>
    <n v="20"/>
    <n v="50"/>
    <n v="50"/>
    <n v="0"/>
    <n v="295308"/>
    <n v="62099.99999999999"/>
    <n v="150075"/>
    <n v="0"/>
    <n v="78"/>
    <n v="295308"/>
    <n v="218319.3277310925"/>
    <n v="10"/>
    <n v="58"/>
    <n v="10"/>
    <n v="40"/>
    <n v="40"/>
    <n v="40"/>
    <n v="219588"/>
    <n v="31050"/>
    <n v="124200"/>
    <n v="124200"/>
    <n v="98"/>
    <n v="343788"/>
    <n v="109159.6638655462"/>
    <n v="10"/>
    <n v="88"/>
    <n v="10"/>
    <n v="0"/>
    <n v="0"/>
    <m/>
    <n v="273239.9999999999"/>
    <n v="31050"/>
    <n v="0"/>
    <n v="0"/>
    <n v="88"/>
    <n v="273239.9999999999"/>
    <n v="109159.6638655462"/>
    <n v="30"/>
    <n v="78"/>
    <n v="30"/>
    <n v="0"/>
    <n v="0"/>
    <n v="0"/>
    <m/>
    <n v="242190"/>
    <n v="93149.99999999999"/>
    <n v="0"/>
    <n v="0"/>
    <n v="78"/>
    <n v="242190"/>
    <n v="327478.9915966387"/>
    <n v="20"/>
    <n v="48"/>
    <n v="20"/>
    <m/>
    <n v="0"/>
    <n v="149040"/>
    <n v="62099.99999999999"/>
    <n v="0"/>
    <n v="0"/>
    <n v="48"/>
    <n v="149040"/>
    <n v="229235.2941176471"/>
    <n v="10"/>
    <n v="28"/>
    <n v="10"/>
    <n v="0"/>
    <n v="0"/>
    <n v="86939.99999999999"/>
    <n v="31050"/>
    <n v="0"/>
    <n v="28"/>
    <n v="86939.99999999999"/>
    <n v="109159.6638655462"/>
    <n v="12"/>
    <n v="18"/>
    <n v="12"/>
    <n v="0"/>
    <m/>
    <n v="55889.99999999999"/>
    <n v="45432"/>
    <n v="0"/>
    <n v="18"/>
    <n v="55889.99999999999"/>
    <n v="130991.5966386555"/>
  </r>
  <r>
    <s v="Levo-Accesorios"/>
    <x v="0"/>
    <x v="0"/>
    <x v="3"/>
    <s v="LVHUBMP-6"/>
    <x v="10"/>
    <x v="10"/>
    <x v="0"/>
    <x v="0"/>
    <n v="1"/>
    <x v="10"/>
    <n v="51"/>
    <m/>
    <n v="0"/>
    <n v="3470"/>
    <n v="176970"/>
    <n v="3"/>
    <n v="3277.5"/>
    <n v="10075.63025210084"/>
    <n v="10915.96638655462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8"/>
    <n v="0.6203676132210822"/>
    <n v="2"/>
    <n v="0.6203573362208987"/>
    <n v="19"/>
    <n v="0.6091424695639551"/>
    <n v="51"/>
    <n v="0.5410378092070197"/>
    <n v="52"/>
    <n v="0.5986154637091686"/>
    <n v="16"/>
    <s v=""/>
    <n v="116"/>
    <s v=""/>
    <n v="18"/>
    <s v=""/>
    <n v="7"/>
    <s v=""/>
    <n v="0.35"/>
    <n v="3"/>
    <s v=""/>
    <n v="0.15"/>
    <n v="4"/>
    <s v=""/>
    <n v="0.1333333333333333"/>
    <n v="12"/>
    <s v=""/>
    <n v="0.6"/>
    <n v="20"/>
    <n v="154"/>
    <n v="5"/>
    <n v="0"/>
    <m/>
    <n v="0"/>
    <n v="683590"/>
    <n v="478169.9999999999"/>
    <n v="17350"/>
    <n v="0"/>
    <n v="51"/>
    <n v="176970"/>
    <n v="42334.58089118"/>
    <n v="20"/>
    <n v="165"/>
    <n v="174"/>
    <n v="30"/>
    <n v="30"/>
    <n v="0"/>
    <n v="690530"/>
    <n v="512324.9999999999"/>
    <n v="603780"/>
    <n v="0"/>
    <n v="51"/>
    <n v="176970"/>
    <n v="1473243.415013064"/>
    <n v="20"/>
    <n v="49"/>
    <n v="18"/>
    <n v="0"/>
    <n v="0"/>
    <n v="148850"/>
    <n v="170030"/>
    <n v="62460"/>
    <n v="0"/>
    <n v="51"/>
    <n v="176970"/>
    <n v="181361.3445378151"/>
    <n v="20"/>
    <n v="28"/>
    <n v="7"/>
    <n v="0"/>
    <n v="0"/>
    <n v="86939.99999999999"/>
    <n v="24290"/>
    <n v="0"/>
    <n v="0"/>
    <n v="51"/>
    <n v="176970"/>
    <n v="70529.41176470587"/>
    <n v="20"/>
    <n v="54"/>
    <n v="20"/>
    <m/>
    <n v="0"/>
    <n v="0"/>
    <n v="187380"/>
    <n v="62099.99999999999"/>
    <n v="0"/>
    <n v="0"/>
    <n v="51"/>
    <n v="176970"/>
    <n v="201512.6050420168"/>
    <n v="30"/>
    <n v="55"/>
    <n v="4"/>
    <m/>
    <n v="0"/>
    <n v="0"/>
    <n v="190850"/>
    <n v="12420"/>
    <n v="0"/>
    <n v="0"/>
    <n v="55"/>
    <n v="176970"/>
    <n v="40302.52100840336"/>
    <n v="20"/>
    <n v="63"/>
    <n v="20"/>
    <n v="50"/>
    <n v="50"/>
    <n v="0"/>
    <n v="218610"/>
    <n v="62099.99999999999"/>
    <n v="150075"/>
    <n v="0"/>
    <n v="63"/>
    <n v="176970"/>
    <n v="201512.6050420168"/>
    <n v="20"/>
    <n v="43"/>
    <n v="20"/>
    <n v="50"/>
    <n v="50"/>
    <n v="50"/>
    <n v="149210"/>
    <n v="62099.99999999999"/>
    <n v="155250"/>
    <n v="155250"/>
    <n v="93"/>
    <n v="304460"/>
    <n v="201512.6050420168"/>
    <n v="15"/>
    <n v="73"/>
    <n v="15"/>
    <n v="0"/>
    <n v="0"/>
    <m/>
    <n v="226665"/>
    <n v="46574.99999999999"/>
    <n v="0"/>
    <n v="0"/>
    <n v="73"/>
    <n v="226665"/>
    <n v="151134.4537815126"/>
    <n v="40"/>
    <n v="58"/>
    <n v="40"/>
    <n v="0"/>
    <n v="0"/>
    <n v="0"/>
    <m/>
    <n v="180090"/>
    <n v="124200"/>
    <n v="0"/>
    <n v="0"/>
    <n v="58"/>
    <n v="180090"/>
    <n v="436638.6554621849"/>
    <n v="30"/>
    <n v="18"/>
    <n v="30"/>
    <m/>
    <n v="0"/>
    <n v="55889.99999999999"/>
    <n v="93149.99999999999"/>
    <n v="0"/>
    <n v="0"/>
    <n v="18"/>
    <n v="55889.99999999999"/>
    <n v="343852.9411764707"/>
    <n v="20"/>
    <n v="0"/>
    <n v="20"/>
    <n v="0"/>
    <n v="0"/>
    <n v="0"/>
    <n v="62099.99999999999"/>
    <n v="0"/>
    <n v="0"/>
    <n v="0"/>
    <n v="201512.6050420168"/>
    <n v="18"/>
    <n v="0"/>
    <n v="18"/>
    <n v="0"/>
    <m/>
    <n v="0"/>
    <n v="62460"/>
    <n v="0"/>
    <n v="0"/>
    <n v="0"/>
    <n v="181361.3445378151"/>
  </r>
  <r>
    <s v="Levo-Perifericos de Computacion"/>
    <x v="0"/>
    <x v="1"/>
    <x v="4"/>
    <n v="1659990788079"/>
    <x v="11"/>
    <x v="11"/>
    <x v="0"/>
    <x v="0"/>
    <n v="1"/>
    <x v="11"/>
    <n v="6"/>
    <m/>
    <n v="0"/>
    <n v="5989.214190981432"/>
    <n v="35935.28514588859"/>
    <n v="7"/>
    <n v="7647.499999999999"/>
    <n v="16798.31932773109"/>
    <n v="14277.31092436975"/>
    <s v="Shenzhen"/>
    <s v="30/70"/>
    <n v="30"/>
    <n v="200"/>
    <n v="87"/>
    <n v="0.4405718227909105"/>
    <n v="47"/>
    <n v="0.440819143560115"/>
    <n v="4"/>
    <n v="0.4861485256643611"/>
    <n v="0"/>
    <n v="0.4347383516424049"/>
    <n v="0"/>
    <s v=""/>
    <n v="32"/>
    <n v="0.6317323203362343"/>
    <n v="23"/>
    <n v="0.629238060096282"/>
    <n v="55"/>
    <n v="0.5882501569724475"/>
    <n v="34"/>
    <n v="0.5885431189539196"/>
    <n v="55"/>
    <n v="0.4966561891325935"/>
    <n v="109"/>
    <n v="0.4737728120947"/>
    <n v="201"/>
    <n v="0.5346946993791415"/>
    <n v="3"/>
    <n v="0.4600351702550932"/>
    <n v="7"/>
    <n v="0.4534633923830538"/>
    <n v="38"/>
    <n v="0.4343804630981954"/>
    <n v="29"/>
    <n v="0.4165364222702979"/>
    <n v="0.725"/>
    <n v="51"/>
    <n v="0.6330258312815844"/>
    <n v="1.275"/>
    <n v="85"/>
    <n v="0.4542906456005735"/>
    <n v="1.214285714285714"/>
    <n v="0"/>
    <n v="0.4900324980443241"/>
    <n v="0"/>
    <n v="50"/>
    <n v="1"/>
    <n v="1"/>
    <n v="0"/>
    <m/>
    <n v="0"/>
    <n v="296466.1024535809"/>
    <n v="7244.999999999999"/>
    <n v="5989.214190981432"/>
    <n v="0"/>
    <n v="6"/>
    <n v="35935.28514588859"/>
    <n v="14116.23472918579"/>
    <n v="40"/>
    <n v="52"/>
    <n v="10.5"/>
    <n v="50"/>
    <n v="50"/>
    <n v="0"/>
    <n v="464164.099801061"/>
    <n v="376739.9999999999"/>
    <n v="62886.74900530504"/>
    <n v="0"/>
    <n v="6"/>
    <n v="35935.28514588859"/>
    <n v="148220.4646564508"/>
    <n v="20"/>
    <n v="41"/>
    <n v="38"/>
    <n v="0"/>
    <n v="0"/>
    <n v="691077.3507957559"/>
    <n v="245557.7818302387"/>
    <n v="227590.1392572944"/>
    <n v="0"/>
    <n v="6"/>
    <n v="35935.28514588859"/>
    <n v="638336.1344537815"/>
    <n v="40"/>
    <n v="153"/>
    <n v="29"/>
    <n v="150"/>
    <n v="0"/>
    <n v="1108485"/>
    <n v="173687.2115384615"/>
    <n v="1086750"/>
    <n v="0"/>
    <n v="6"/>
    <n v="35935.28514588859"/>
    <n v="487151.2605042017"/>
    <n v="40"/>
    <n v="57"/>
    <n v="40"/>
    <m/>
    <n v="0"/>
    <n v="0"/>
    <n v="341385.2088859416"/>
    <n v="289799.9999999999"/>
    <n v="0"/>
    <n v="0"/>
    <n v="6"/>
    <n v="35935.28514588859"/>
    <n v="671932.7731092437"/>
    <n v="70"/>
    <n v="91"/>
    <n v="85"/>
    <m/>
    <n v="0"/>
    <n v="0"/>
    <n v="545018.4913793103"/>
    <n v="615824.9999999999"/>
    <n v="0"/>
    <n v="0"/>
    <n v="91"/>
    <n v="35935.28514588859"/>
    <n v="1427857.142857143"/>
    <n v="40"/>
    <n v="6"/>
    <n v="40"/>
    <n v="52"/>
    <n v="52"/>
    <n v="0"/>
    <n v="35935.28514588859"/>
    <n v="289799.9999999999"/>
    <n v="364181.9999999999"/>
    <n v="0"/>
    <n v="6"/>
    <n v="35935.28514588859"/>
    <n v="671932.7731092437"/>
    <n v="70"/>
    <n v="0"/>
    <n v="70"/>
    <n v="85"/>
    <n v="85"/>
    <n v="0"/>
    <n v="0"/>
    <n v="507149.9999999999"/>
    <n v="615824.9999999999"/>
    <n v="0"/>
    <n v="85"/>
    <n v="0"/>
    <n v="1175882.352941176"/>
    <n v="35"/>
    <n v="0"/>
    <n v="35"/>
    <n v="0"/>
    <n v="0"/>
    <n v="86"/>
    <n v="0"/>
    <n v="253575"/>
    <n v="0"/>
    <n v="623069.9999999999"/>
    <n v="86"/>
    <n v="623069.9999999999"/>
    <n v="587941.1764705882"/>
    <n v="70"/>
    <n v="51"/>
    <n v="51"/>
    <n v="150"/>
    <n v="150"/>
    <n v="150"/>
    <n v="0"/>
    <n v="369494.9999999999"/>
    <n v="369494.9999999999"/>
    <n v="1086750"/>
    <n v="1086750"/>
    <n v="201"/>
    <n v="1456245"/>
    <n v="728142.8571428572"/>
    <n v="80"/>
    <n v="150"/>
    <n v="80"/>
    <n v="150"/>
    <n v="150"/>
    <n v="1086750"/>
    <n v="579599.9999999999"/>
    <n v="1086750"/>
    <n v="1086750"/>
    <n v="300"/>
    <n v="2173500"/>
    <n v="1199294.117647059"/>
    <n v="150"/>
    <n v="220"/>
    <n v="150"/>
    <n v="0"/>
    <n v="0"/>
    <n v="1593900"/>
    <n v="1086750"/>
    <n v="0"/>
    <n v="220"/>
    <n v="1593900"/>
    <n v="2519747.899159664"/>
    <n v="48"/>
    <n v="70"/>
    <n v="48"/>
    <n v="0"/>
    <m/>
    <n v="507149.9999999999"/>
    <n v="287482.2811671087"/>
    <n v="0"/>
    <n v="70"/>
    <n v="507149.9999999999"/>
    <n v="806319.3277310925"/>
  </r>
  <r>
    <m/>
    <x v="0"/>
    <x v="1"/>
    <x v="4"/>
    <s v="LVCONJOY-RB"/>
    <x v="12"/>
    <x v="12"/>
    <x v="0"/>
    <x v="2"/>
    <n v="1"/>
    <x v="12"/>
    <n v="174"/>
    <m/>
    <n v="0"/>
    <n v="9504.75"/>
    <n v="1653826.5"/>
    <n v="9.5"/>
    <n v="10160.25"/>
    <n v="25614.0756302521"/>
    <n v="21771.96428571429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25"/>
    <s v=""/>
    <n v="2.5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74"/>
    <n v="1653826.5"/>
    <n v="0"/>
    <n v="0"/>
    <n v="0"/>
    <n v="0"/>
    <n v="0"/>
    <n v="0"/>
    <n v="0"/>
    <n v="0"/>
    <n v="0"/>
    <n v="0"/>
    <n v="174"/>
    <n v="1653826.5"/>
    <n v="0"/>
    <n v="0"/>
    <n v="0"/>
    <n v="0"/>
    <n v="0"/>
    <n v="0"/>
    <n v="0"/>
    <n v="0"/>
    <n v="0"/>
    <n v="0"/>
    <n v="174"/>
    <n v="1653826.5"/>
    <n v="0"/>
    <n v="0"/>
    <n v="174"/>
    <n v="0"/>
    <m/>
    <n v="0"/>
    <n v="0"/>
    <n v="1653826.5"/>
    <n v="0"/>
    <n v="0"/>
    <n v="0"/>
    <n v="174"/>
    <n v="1653826.5"/>
    <n v="0"/>
    <n v="0"/>
    <n v="174"/>
    <n v="0"/>
    <m/>
    <n v="0"/>
    <n v="0"/>
    <n v="1653826.5"/>
    <n v="0"/>
    <n v="0"/>
    <n v="0"/>
    <n v="174"/>
    <n v="1653826.5"/>
    <n v="0"/>
    <n v="10"/>
    <n v="199"/>
    <n v="10"/>
    <n v="200"/>
    <n v="200"/>
    <n v="0"/>
    <n v="1891445.25"/>
    <n v="98325"/>
    <n v="1900950"/>
    <n v="0"/>
    <n v="199"/>
    <n v="1653826.5"/>
    <n v="256140.756302521"/>
    <n v="50"/>
    <n v="189"/>
    <n v="50"/>
    <n v="0"/>
    <n v="0"/>
    <n v="0"/>
    <n v="1796397.75"/>
    <n v="491625"/>
    <n v="0"/>
    <n v="0"/>
    <n v="189"/>
    <n v="1796397.75"/>
    <n v="1280703.781512605"/>
    <n v="15"/>
    <n v="139"/>
    <n v="15"/>
    <n v="0"/>
    <n v="0"/>
    <m/>
    <n v="1366717.5"/>
    <n v="147487.5"/>
    <n v="0"/>
    <n v="0"/>
    <n v="139"/>
    <n v="1366717.5"/>
    <n v="384211.1344537815"/>
    <n v="40"/>
    <n v="124"/>
    <n v="40"/>
    <n v="0"/>
    <n v="0"/>
    <n v="0"/>
    <m/>
    <n v="1219230"/>
    <n v="393300"/>
    <n v="0"/>
    <n v="0"/>
    <n v="124"/>
    <n v="1219230"/>
    <n v="870878.5714285715"/>
    <n v="60"/>
    <n v="84"/>
    <n v="60"/>
    <n v="200"/>
    <n v="200"/>
    <n v="825930"/>
    <n v="589950"/>
    <n v="1966500"/>
    <n v="1966500"/>
    <n v="284"/>
    <n v="2792430"/>
    <n v="1371633.75"/>
    <n v="100"/>
    <n v="224"/>
    <n v="100"/>
    <n v="0"/>
    <n v="0"/>
    <n v="2202480"/>
    <n v="983250"/>
    <n v="0"/>
    <n v="224"/>
    <n v="2202480"/>
    <n v="2561407.56302521"/>
    <n v="36"/>
    <n v="124"/>
    <n v="36"/>
    <n v="0"/>
    <m/>
    <n v="1219230"/>
    <n v="342171"/>
    <n v="0"/>
    <n v="124"/>
    <n v="1219230"/>
    <n v="922106.7226890756"/>
  </r>
  <r>
    <s v="Levo-Perifericos de Computacion"/>
    <x v="0"/>
    <x v="1"/>
    <x v="4"/>
    <n v="1659990828178"/>
    <x v="13"/>
    <x v="13"/>
    <x v="0"/>
    <x v="0"/>
    <n v="1"/>
    <x v="13"/>
    <n v="0"/>
    <m/>
    <n v="0"/>
    <n v="4812.75"/>
    <n v="0"/>
    <n v="4.5"/>
    <n v="4812.75"/>
    <n v="16798.31932773109"/>
    <n v="14277.31092436975"/>
    <s v="Shenzhen"/>
    <s v="30/70"/>
    <n v="30"/>
    <n v="50"/>
    <n v="34"/>
    <n v="0.5144113695628398"/>
    <n v="61"/>
    <n v="0.4976827495574455"/>
    <n v="72"/>
    <n v="0.5031547599861013"/>
    <n v="50"/>
    <n v="0.5194002293473358"/>
    <n v="36"/>
    <n v="0.5567762602688"/>
    <n v="100"/>
    <n v="0.5283132931406807"/>
    <n v="60"/>
    <n v="0.5211399335051679"/>
    <n v="58"/>
    <n v="0.5236013819471556"/>
    <n v="2"/>
    <n v="0.4215657146967844"/>
    <n v="91"/>
    <n v="0.4016860027865646"/>
    <n v="169"/>
    <n v="0.3889407918876907"/>
    <n v="76"/>
    <n v="0.4279658224799365"/>
    <n v="1"/>
    <n v="0.3569621479453781"/>
    <n v="7"/>
    <n v="0.4252793234198888"/>
    <n v="54"/>
    <n v="0.4031147198926913"/>
    <n v="83"/>
    <n v="0.3940172504374007"/>
    <n v="1.66"/>
    <n v="33"/>
    <n v="0.5796748127767887"/>
    <n v="0.825"/>
    <n v="38"/>
    <n v="0.4283209479208651"/>
    <n v="0.6333333333333333"/>
    <n v="0"/>
    <n v="0.433509671778918"/>
    <n v="0"/>
    <n v="0"/>
    <n v="0"/>
    <n v="0"/>
    <n v="0"/>
    <m/>
    <n v="0"/>
    <n v="310422.375"/>
    <n v="0"/>
    <n v="0"/>
    <n v="0"/>
    <n v="0"/>
    <n v="0"/>
    <n v="0"/>
    <n v="40"/>
    <n v="99"/>
    <n v="10.5"/>
    <n v="100"/>
    <n v="100"/>
    <n v="0"/>
    <n v="709880.625"/>
    <n v="461092.5"/>
    <n v="50533.875"/>
    <n v="0"/>
    <n v="0"/>
    <n v="0"/>
    <n v="148220.4646564508"/>
    <n v="40"/>
    <n v="93"/>
    <n v="54"/>
    <n v="0"/>
    <n v="0"/>
    <n v="845646.75"/>
    <n v="447585.75"/>
    <n v="259888.5"/>
    <n v="0"/>
    <n v="0"/>
    <n v="0"/>
    <n v="907109.243697479"/>
    <n v="50"/>
    <n v="127"/>
    <n v="83"/>
    <n v="95"/>
    <n v="0"/>
    <n v="591502.5"/>
    <n v="399458.25"/>
    <n v="442462.5"/>
    <n v="0"/>
    <n v="0"/>
    <n v="0"/>
    <n v="1394260.504201681"/>
    <n v="40"/>
    <n v="33"/>
    <n v="40"/>
    <m/>
    <n v="0"/>
    <n v="0"/>
    <n v="158820.75"/>
    <n v="186300"/>
    <n v="0"/>
    <n v="0"/>
    <n v="0"/>
    <n v="0"/>
    <n v="671932.7731092437"/>
    <n v="60"/>
    <n v="38"/>
    <n v="38"/>
    <m/>
    <n v="0"/>
    <n v="0"/>
    <n v="182884.5"/>
    <n v="176985"/>
    <n v="0"/>
    <n v="0"/>
    <n v="38"/>
    <n v="0"/>
    <n v="638336.1344537815"/>
    <n v="50"/>
    <n v="0"/>
    <n v="50"/>
    <n v="75"/>
    <n v="75"/>
    <n v="0"/>
    <n v="0"/>
    <n v="232875"/>
    <n v="337668.75"/>
    <n v="0"/>
    <n v="0"/>
    <n v="0"/>
    <n v="839915.9663865546"/>
    <n v="60"/>
    <n v="0"/>
    <n v="60"/>
    <n v="50"/>
    <n v="50"/>
    <n v="0"/>
    <n v="0"/>
    <n v="279450"/>
    <n v="232875"/>
    <n v="0"/>
    <n v="50"/>
    <n v="0"/>
    <n v="1007899.159663866"/>
    <n v="30"/>
    <n v="0"/>
    <n v="30"/>
    <n v="50"/>
    <n v="50"/>
    <n v="100"/>
    <n v="0"/>
    <n v="139725"/>
    <n v="232875"/>
    <n v="465750"/>
    <n v="100"/>
    <n v="465750"/>
    <n v="503949.5798319328"/>
    <n v="150"/>
    <n v="70"/>
    <n v="70"/>
    <n v="250"/>
    <n v="250"/>
    <n v="250"/>
    <n v="0"/>
    <n v="326025"/>
    <n v="326025"/>
    <n v="1164375"/>
    <n v="1164375"/>
    <n v="320"/>
    <n v="1490400"/>
    <n v="999411.7647058824"/>
    <n v="150"/>
    <n v="250"/>
    <n v="150"/>
    <m/>
    <n v="0"/>
    <n v="1164375"/>
    <n v="698625"/>
    <n v="0"/>
    <n v="0"/>
    <n v="250"/>
    <n v="1164375"/>
    <n v="2248676.470588236"/>
    <n v="250"/>
    <n v="100"/>
    <n v="250"/>
    <n v="0"/>
    <n v="0"/>
    <n v="465750"/>
    <n v="1164375"/>
    <n v="0"/>
    <n v="100"/>
    <n v="465750"/>
    <n v="4199579.831932773"/>
    <n v="90"/>
    <n v="0"/>
    <n v="90"/>
    <n v="0"/>
    <m/>
    <n v="0"/>
    <n v="433147.5"/>
    <n v="0"/>
    <n v="0"/>
    <n v="0"/>
    <n v="1511848.739495798"/>
  </r>
  <r>
    <s v="Levo-Perifericos de Computacion"/>
    <x v="0"/>
    <x v="1"/>
    <x v="4"/>
    <n v="66436804863605"/>
    <x v="14"/>
    <x v="14"/>
    <x v="0"/>
    <x v="1"/>
    <n v="1"/>
    <x v="14"/>
    <n v="0"/>
    <m/>
    <n v="0"/>
    <n v="4812.75"/>
    <n v="0"/>
    <n v="4.5"/>
    <n v="4812.75"/>
    <n v="16798.31932773109"/>
    <n v="14277.31092436975"/>
    <s v="Shenzhen"/>
    <s v="30/70"/>
    <n v="30"/>
    <n v="50"/>
    <n v="13"/>
    <n v="0.5173578344605304"/>
    <n v="29"/>
    <n v="0.4914599972805918"/>
    <n v="39"/>
    <n v="0.4866759704352972"/>
    <n v="34"/>
    <n v="0.4791251453044748"/>
    <n v="9"/>
    <n v="0.4729828296983632"/>
    <n v="36"/>
    <n v="0.5074868520161679"/>
    <n v="25"/>
    <n v="0.5354757155181089"/>
    <n v="29"/>
    <n v="0.523202485517109"/>
    <n v="41"/>
    <n v="0.5189823374777317"/>
    <n v="58"/>
    <n v="0.4138427356674869"/>
    <n v="28"/>
    <n v="0.4214367077159352"/>
    <n v="16"/>
    <n v="0.4143362066522681"/>
    <n v="0"/>
    <s v=""/>
    <n v="9"/>
    <n v="0.4382252450428155"/>
    <n v="25"/>
    <n v="0.3924563524367251"/>
    <n v="31"/>
    <n v="0.4004119301786926"/>
    <n v="1.033333333333333"/>
    <n v="66"/>
    <n v="0.5551062982591768"/>
    <n v="2.64"/>
    <n v="39"/>
    <n v="0.3246510499963639"/>
    <n v="1.114285714285714"/>
    <n v="0"/>
    <n v="0.4481281669870265"/>
    <n v="0"/>
    <n v="30"/>
    <n v="9"/>
    <n v="30"/>
    <n v="60"/>
    <n v="60"/>
    <n v="0"/>
    <n v="329673.375"/>
    <n v="41917.5"/>
    <n v="144382.5"/>
    <n v="0"/>
    <n v="0"/>
    <n v="0"/>
    <n v="423487.0418755738"/>
    <n v="25"/>
    <n v="146"/>
    <n v="13.5"/>
    <n v="75"/>
    <n v="75"/>
    <n v="0"/>
    <n v="334486.125"/>
    <n v="679995"/>
    <n v="64972.125"/>
    <n v="0"/>
    <n v="0"/>
    <n v="0"/>
    <n v="190569.1688440082"/>
    <n v="20"/>
    <n v="129"/>
    <n v="25"/>
    <n v="0"/>
    <n v="0"/>
    <n v="385951.5"/>
    <n v="620844.75"/>
    <n v="120318.75"/>
    <n v="0"/>
    <n v="0"/>
    <n v="0"/>
    <n v="419957.9831932773"/>
    <n v="30"/>
    <n v="142"/>
    <n v="31"/>
    <n v="30"/>
    <n v="0"/>
    <n v="661365"/>
    <n v="149195.25"/>
    <n v="139725"/>
    <n v="0"/>
    <n v="0"/>
    <n v="0"/>
    <n v="520747.8991596639"/>
    <n v="25"/>
    <n v="66"/>
    <n v="25"/>
    <m/>
    <n v="0"/>
    <n v="0"/>
    <n v="317641.5"/>
    <n v="116437.5"/>
    <n v="0"/>
    <n v="0"/>
    <n v="0"/>
    <n v="0"/>
    <n v="419957.9831932773"/>
    <n v="35"/>
    <n v="39"/>
    <n v="39"/>
    <m/>
    <n v="0"/>
    <n v="0"/>
    <n v="187697.25"/>
    <n v="181642.5"/>
    <n v="0"/>
    <n v="0"/>
    <n v="39"/>
    <n v="0"/>
    <n v="655134.4537815126"/>
    <n v="25"/>
    <n v="0"/>
    <n v="25"/>
    <n v="0"/>
    <n v="0"/>
    <n v="0"/>
    <n v="0"/>
    <n v="116437.5"/>
    <n v="0"/>
    <n v="0"/>
    <n v="0"/>
    <n v="0"/>
    <n v="419957.9831932773"/>
    <n v="40"/>
    <n v="0"/>
    <n v="40"/>
    <n v="50"/>
    <n v="50"/>
    <n v="0"/>
    <n v="0"/>
    <n v="186300"/>
    <n v="232875"/>
    <n v="0"/>
    <n v="50"/>
    <n v="0"/>
    <n v="671932.7731092437"/>
    <n v="15"/>
    <n v="0"/>
    <n v="15"/>
    <n v="50"/>
    <n v="50"/>
    <n v="100"/>
    <n v="0"/>
    <n v="69862.5"/>
    <n v="232875"/>
    <n v="465750"/>
    <n v="100"/>
    <n v="465750"/>
    <n v="251974.7899159664"/>
    <n v="75"/>
    <n v="85"/>
    <n v="75"/>
    <n v="105"/>
    <n v="105"/>
    <n v="105"/>
    <n v="0"/>
    <n v="395887.5"/>
    <n v="349312.5"/>
    <n v="489037.5"/>
    <n v="489037.5"/>
    <n v="190"/>
    <n v="884925"/>
    <n v="1070798.319327731"/>
    <n v="75"/>
    <n v="115"/>
    <n v="75"/>
    <m/>
    <n v="0"/>
    <n v="535612.5"/>
    <n v="349312.5"/>
    <n v="0"/>
    <n v="0"/>
    <n v="115"/>
    <n v="535612.5"/>
    <n v="1124338.235294118"/>
    <n v="100"/>
    <n v="40"/>
    <n v="100"/>
    <n v="0"/>
    <n v="0"/>
    <n v="186300"/>
    <n v="465750"/>
    <n v="0"/>
    <n v="40"/>
    <n v="186300"/>
    <n v="1679831.932773109"/>
    <n v="45"/>
    <n v="0"/>
    <n v="45"/>
    <n v="0"/>
    <m/>
    <n v="0"/>
    <n v="216573.75"/>
    <n v="0"/>
    <n v="0"/>
    <n v="0"/>
    <n v="755924.3697478992"/>
  </r>
  <r>
    <s v="Levo-Perifericos de Computacion"/>
    <x v="0"/>
    <x v="1"/>
    <x v="4"/>
    <s v="LVAUDGM-BK"/>
    <x v="15"/>
    <x v="15"/>
    <x v="0"/>
    <x v="3"/>
    <n v="1"/>
    <x v="15"/>
    <n v="47"/>
    <m/>
    <n v="0"/>
    <n v="17160"/>
    <n v="806520"/>
    <n v="17"/>
    <n v="18572.5"/>
    <n v="37806.72268907564"/>
    <n v="31924.36974789916"/>
    <s v="Shenzhen"/>
    <s v="30/70"/>
    <n v="45"/>
    <n v="1000"/>
    <n v="0"/>
    <s v=""/>
    <n v="0"/>
    <s v=""/>
    <n v="16"/>
    <n v="0.3054299203448591"/>
    <n v="23"/>
    <n v="0.3176203432876443"/>
    <n v="34"/>
    <n v="0.5633782119198817"/>
    <n v="85"/>
    <n v="0.5317657607606142"/>
    <n v="87"/>
    <n v="0.5479819790534847"/>
    <n v="128"/>
    <n v="0.5253133092496862"/>
    <n v="42"/>
    <n v="0.5613707928201176"/>
    <n v="96"/>
    <n v="0.4707646171061727"/>
    <n v="134"/>
    <n v="0.4837456992608719"/>
    <n v="309"/>
    <n v="0.4952119736585291"/>
    <n v="53"/>
    <s v=""/>
    <n v="107"/>
    <s v=""/>
    <n v="143"/>
    <s v=""/>
    <n v="110"/>
    <s v=""/>
    <n v="1.1"/>
    <n v="91"/>
    <s v=""/>
    <n v="0.91"/>
    <n v="337"/>
    <s v=""/>
    <n v="1.685"/>
    <n v="161"/>
    <s v=""/>
    <n v="1.073333333333333"/>
    <n v="100"/>
    <n v="993"/>
    <n v="50"/>
    <n v="0"/>
    <n v="633"/>
    <n v="0"/>
    <n v="6066060"/>
    <n v="17471835"/>
    <n v="858000"/>
    <n v="0"/>
    <n v="47"/>
    <n v="806520"/>
    <n v="1588517.760045195"/>
    <n v="100"/>
    <n v="1005"/>
    <n v="160.5"/>
    <n v="0"/>
    <m/>
    <n v="0"/>
    <n v="7095660"/>
    <n v="17682975"/>
    <n v="2754180"/>
    <n v="0"/>
    <n v="47"/>
    <n v="806520"/>
    <n v="5099142.009745075"/>
    <n v="150"/>
    <n v="822"/>
    <n v="143"/>
    <n v="0"/>
    <n v="0"/>
    <n v="6100980"/>
    <n v="14105520"/>
    <n v="2453880"/>
    <n v="0"/>
    <n v="47"/>
    <n v="806520"/>
    <n v="5406361.344537816"/>
    <n v="100"/>
    <n v="714"/>
    <n v="110"/>
    <n v="0"/>
    <n v="0"/>
    <n v="12562830"/>
    <n v="1887600"/>
    <n v="0"/>
    <n v="0"/>
    <n v="47"/>
    <n v="806520"/>
    <n v="4158739.49579832"/>
    <n v="100"/>
    <n v="138"/>
    <n v="100"/>
    <m/>
    <n v="0"/>
    <n v="0"/>
    <n v="2368080"/>
    <n v="1759500"/>
    <n v="0"/>
    <n v="0"/>
    <n v="47"/>
    <n v="806520"/>
    <n v="3780672.268907564"/>
    <n v="200"/>
    <n v="384"/>
    <n v="337"/>
    <m/>
    <n v="0"/>
    <n v="0"/>
    <n v="6589440"/>
    <n v="5929515"/>
    <n v="0"/>
    <n v="0"/>
    <n v="384"/>
    <n v="806520"/>
    <n v="12740865.54621849"/>
    <n v="150"/>
    <n v="208"/>
    <n v="150"/>
    <n v="0"/>
    <n v="0"/>
    <n v="0"/>
    <n v="3569280"/>
    <n v="2639250"/>
    <n v="0"/>
    <n v="0"/>
    <n v="208"/>
    <n v="806520"/>
    <n v="5671008.403361346"/>
    <n v="110"/>
    <n v="58"/>
    <n v="110"/>
    <n v="1000"/>
    <n v="1000"/>
    <n v="0"/>
    <n v="995280"/>
    <n v="1935450"/>
    <n v="17595000"/>
    <n v="0"/>
    <n v="1058"/>
    <n v="995280"/>
    <n v="4158739.49579832"/>
    <n v="70"/>
    <n v="0"/>
    <n v="70"/>
    <n v="0"/>
    <n v="0"/>
    <n v="1000"/>
    <n v="0"/>
    <n v="1231650"/>
    <n v="0"/>
    <n v="17595000"/>
    <n v="1000"/>
    <n v="17595000"/>
    <n v="2646470.588235294"/>
    <n v="300"/>
    <n v="930"/>
    <n v="300"/>
    <n v="0"/>
    <n v="0"/>
    <n v="0"/>
    <m/>
    <n v="16363350"/>
    <n v="5278500"/>
    <n v="0"/>
    <n v="0"/>
    <n v="930"/>
    <n v="16363350"/>
    <n v="9577310.924369749"/>
    <n v="200"/>
    <n v="630"/>
    <n v="200"/>
    <m/>
    <n v="0"/>
    <n v="11084850"/>
    <n v="3519000"/>
    <n v="0"/>
    <n v="0"/>
    <n v="630"/>
    <n v="11084850"/>
    <n v="6704117.647058824"/>
    <n v="400"/>
    <n v="430"/>
    <n v="400"/>
    <n v="0"/>
    <n v="0"/>
    <n v="7565850"/>
    <n v="7038000"/>
    <n v="0"/>
    <n v="430"/>
    <n v="7565850"/>
    <n v="15122689.07563026"/>
    <n v="120"/>
    <n v="30"/>
    <n v="120"/>
    <n v="0"/>
    <m/>
    <n v="527850"/>
    <n v="2059200"/>
    <n v="0"/>
    <n v="30"/>
    <n v="527850"/>
    <n v="4536806.722689076"/>
  </r>
  <r>
    <m/>
    <x v="0"/>
    <x v="1"/>
    <x v="4"/>
    <s v="LVAUDGM-WH"/>
    <x v="16"/>
    <x v="16"/>
    <x v="0"/>
    <x v="3"/>
    <n v="1"/>
    <x v="16"/>
    <n v="154"/>
    <m/>
    <n v="0"/>
    <n v="17185"/>
    <n v="2646490"/>
    <n v="17.2"/>
    <n v="18791"/>
    <n v="42008.40336134454"/>
    <n v="37806.72268907564"/>
    <s v="Shenzhen"/>
    <s v="30/70"/>
    <n v="45"/>
    <n v="1000"/>
    <m/>
    <m/>
    <m/>
    <m/>
    <m/>
    <m/>
    <m/>
    <m/>
    <m/>
    <m/>
    <m/>
    <m/>
    <m/>
    <m/>
    <m/>
    <m/>
    <m/>
    <m/>
    <m/>
    <m/>
    <n v="0"/>
    <s v=""/>
    <n v="0"/>
    <s v=""/>
    <n v="2"/>
    <s v=""/>
    <n v="34"/>
    <s v=""/>
    <n v="68"/>
    <s v=""/>
    <n v="59"/>
    <s v=""/>
    <n v="0.9833333333333333"/>
    <n v="43"/>
    <s v=""/>
    <n v="0.6615384615384615"/>
    <n v="66"/>
    <s v=""/>
    <n v="0.7764705882352941"/>
    <n v="74"/>
    <s v=""/>
    <n v="1.233333333333333"/>
    <n v="30"/>
    <n v="500"/>
    <n v="10"/>
    <n v="0"/>
    <m/>
    <n v="0"/>
    <n v="2216865"/>
    <n v="8901000"/>
    <n v="171850"/>
    <n v="0"/>
    <n v="154"/>
    <n v="2646490"/>
    <n v="353011.7929524751"/>
    <n v="50"/>
    <n v="498"/>
    <n v="51"/>
    <n v="0"/>
    <m/>
    <n v="0"/>
    <n v="3058930"/>
    <n v="8865396"/>
    <n v="876435"/>
    <n v="0"/>
    <n v="154"/>
    <n v="2646490"/>
    <n v="1800360.144057623"/>
    <n v="75"/>
    <n v="439"/>
    <n v="68"/>
    <n v="0"/>
    <n v="0"/>
    <n v="3339625"/>
    <n v="7544215"/>
    <n v="1168580"/>
    <n v="0"/>
    <n v="154"/>
    <n v="2646490"/>
    <n v="2856571.428571429"/>
    <n v="60"/>
    <n v="393"/>
    <n v="59"/>
    <n v="0"/>
    <n v="0"/>
    <n v="6996186"/>
    <n v="1013915"/>
    <n v="0"/>
    <n v="0"/>
    <n v="154"/>
    <n v="2646490"/>
    <n v="2478495.798319328"/>
    <n v="65"/>
    <n v="197"/>
    <n v="65"/>
    <m/>
    <n v="0"/>
    <n v="0"/>
    <n v="3385445"/>
    <n v="1157130"/>
    <n v="0"/>
    <n v="0"/>
    <n v="154"/>
    <n v="2646490"/>
    <n v="2730546.218487395"/>
    <n v="85"/>
    <n v="220"/>
    <n v="66"/>
    <m/>
    <n v="0"/>
    <n v="0"/>
    <n v="3780700"/>
    <n v="1174932"/>
    <n v="0"/>
    <n v="0"/>
    <n v="220"/>
    <n v="2646490"/>
    <n v="2772554.62184874"/>
    <n v="60"/>
    <n v="228"/>
    <n v="60"/>
    <n v="0"/>
    <n v="0"/>
    <n v="0"/>
    <n v="3918180"/>
    <n v="1068120"/>
    <n v="0"/>
    <n v="0"/>
    <n v="228"/>
    <n v="2646490"/>
    <n v="2520504.201680672"/>
    <n v="70"/>
    <n v="168"/>
    <n v="70"/>
    <n v="0"/>
    <n v="0"/>
    <n v="0"/>
    <n v="2887080"/>
    <n v="1246140"/>
    <n v="0"/>
    <n v="0"/>
    <n v="168"/>
    <n v="2887080"/>
    <n v="2940588.235294118"/>
    <n v="35"/>
    <n v="98"/>
    <n v="35"/>
    <n v="0"/>
    <n v="0"/>
    <m/>
    <n v="1744596"/>
    <n v="623070"/>
    <n v="0"/>
    <n v="0"/>
    <n v="98"/>
    <n v="1744596"/>
    <n v="1470294.117647059"/>
    <n v="100"/>
    <n v="63"/>
    <n v="63"/>
    <n v="1000"/>
    <n v="1000"/>
    <n v="1000"/>
    <n v="0"/>
    <n v="1121526"/>
    <n v="1121526"/>
    <n v="17802000"/>
    <n v="17802000"/>
    <n v="1063"/>
    <n v="18923526"/>
    <n v="2381823.529411765"/>
    <n v="75"/>
    <n v="1000"/>
    <n v="75"/>
    <m/>
    <n v="0"/>
    <n v="17802000"/>
    <n v="1335150"/>
    <n v="0"/>
    <n v="0"/>
    <n v="1000"/>
    <n v="17802000"/>
    <n v="2977279.411764706"/>
    <n v="150"/>
    <n v="925"/>
    <n v="150"/>
    <n v="0"/>
    <n v="0"/>
    <n v="16466850"/>
    <n v="2670300"/>
    <n v="0"/>
    <n v="925"/>
    <n v="16466850"/>
    <n v="6301260.504201681"/>
    <n v="45"/>
    <n v="775"/>
    <n v="45"/>
    <n v="0"/>
    <m/>
    <n v="13796550"/>
    <n v="773325"/>
    <n v="0"/>
    <n v="775"/>
    <n v="13796550"/>
    <n v="1890378.151260504"/>
  </r>
  <r>
    <s v="Levo-Perifericos de Computacion"/>
    <x v="0"/>
    <x v="1"/>
    <x v="4"/>
    <s v="LVMPADXXL-BK"/>
    <x v="17"/>
    <x v="17"/>
    <x v="0"/>
    <x v="4"/>
    <n v="1"/>
    <x v="17"/>
    <n v="450"/>
    <m/>
    <n v="0"/>
    <n v="3247"/>
    <n v="1461150"/>
    <n v="3.4"/>
    <n v="3714.5"/>
    <n v="10915.96638655462"/>
    <n v="9235.294117647059"/>
    <s v="Shenzhen"/>
    <s v="30/70"/>
    <n v="30"/>
    <n v="500"/>
    <n v="0"/>
    <s v=""/>
    <n v="0"/>
    <s v=""/>
    <n v="0"/>
    <s v=""/>
    <n v="5"/>
    <n v="0.5951677773191014"/>
    <n v="2"/>
    <n v="0.6500287962429463"/>
    <n v="41"/>
    <n v="0.5980046284596803"/>
    <n v="93"/>
    <n v="0.615588377957427"/>
    <n v="151"/>
    <n v="0.56021255948334"/>
    <n v="212"/>
    <n v="0.5683061064275258"/>
    <n v="276"/>
    <n v="0.5773820600018116"/>
    <n v="197"/>
    <n v="0.5891485567171597"/>
    <n v="9"/>
    <n v="0.6803911668087187"/>
    <n v="2"/>
    <s v=""/>
    <n v="15"/>
    <s v=""/>
    <n v="143"/>
    <s v=""/>
    <n v="136"/>
    <s v=""/>
    <n v="0.9066666666666666"/>
    <n v="105"/>
    <s v=""/>
    <n v="0.7"/>
    <n v="424"/>
    <s v=""/>
    <n v="1.696"/>
    <n v="383"/>
    <s v=""/>
    <n v="1.035135135135135"/>
    <n v="250"/>
    <n v="7"/>
    <n v="30"/>
    <n v="500"/>
    <n v="500"/>
    <n v="0"/>
    <n v="634788.5"/>
    <n v="24633"/>
    <n v="97410"/>
    <n v="0"/>
    <n v="450"/>
    <n v="1461150"/>
    <n v="275192.4299131418"/>
    <n v="250"/>
    <n v="513"/>
    <n v="22.5"/>
    <n v="500"/>
    <n v="500"/>
    <n v="0"/>
    <n v="978970.5"/>
    <n v="1805247"/>
    <n v="73057.5"/>
    <n v="0"/>
    <n v="450"/>
    <n v="1461150"/>
    <n v="206394.3224348563"/>
    <n v="250"/>
    <n v="976"/>
    <n v="143"/>
    <n v="0"/>
    <n v="0"/>
    <n v="1433763"/>
    <n v="3169072"/>
    <n v="464321"/>
    <n v="0"/>
    <n v="450"/>
    <n v="1461150"/>
    <n v="1560983.193277311"/>
    <n v="150"/>
    <n v="1488"/>
    <n v="136"/>
    <n v="650"/>
    <n v="0"/>
    <n v="5236271.999999999"/>
    <n v="441592"/>
    <n v="2287350"/>
    <n v="0"/>
    <n v="450"/>
    <n v="1461150"/>
    <n v="1484571.428571429"/>
    <n v="150"/>
    <n v="555"/>
    <n v="150"/>
    <m/>
    <n v="0"/>
    <n v="0"/>
    <n v="1802085"/>
    <n v="527849.9999999999"/>
    <n v="0"/>
    <n v="0"/>
    <n v="450"/>
    <n v="1461150"/>
    <n v="1637394.957983193"/>
    <n v="250"/>
    <n v="874"/>
    <n v="424"/>
    <m/>
    <n v="0"/>
    <n v="0"/>
    <n v="2837878"/>
    <n v="1492056"/>
    <n v="0"/>
    <n v="0"/>
    <n v="874"/>
    <n v="1461150"/>
    <n v="4628369.74789916"/>
    <n v="370"/>
    <n v="833"/>
    <n v="370"/>
    <n v="0"/>
    <n v="0"/>
    <n v="0"/>
    <n v="2704751"/>
    <n v="1302030"/>
    <n v="0"/>
    <n v="0"/>
    <n v="833"/>
    <n v="1461150"/>
    <n v="4038907.563025211"/>
    <n v="300"/>
    <n v="463"/>
    <n v="300"/>
    <n v="500"/>
    <n v="500"/>
    <n v="0"/>
    <n v="1503361"/>
    <n v="1055700"/>
    <n v="1759500"/>
    <n v="0"/>
    <n v="963"/>
    <n v="1503361"/>
    <n v="3274789.915966387"/>
    <n v="200"/>
    <n v="163"/>
    <n v="200"/>
    <n v="0"/>
    <n v="0"/>
    <n v="0"/>
    <n v="573596.9999999999"/>
    <n v="703799.9999999999"/>
    <n v="0"/>
    <n v="0"/>
    <n v="163"/>
    <n v="573596.9999999999"/>
    <n v="2183193.277310925"/>
    <n v="400"/>
    <n v="500"/>
    <n v="400"/>
    <n v="0"/>
    <n v="0"/>
    <n v="0"/>
    <n v="500"/>
    <n v="1759500"/>
    <n v="1407600"/>
    <n v="0"/>
    <n v="1759500"/>
    <n v="500"/>
    <n v="3519000"/>
    <n v="3694117.647058824"/>
    <n v="250"/>
    <n v="100"/>
    <n v="250"/>
    <m/>
    <n v="0"/>
    <n v="351899.9999999999"/>
    <n v="879749.9999999999"/>
    <n v="0"/>
    <n v="0"/>
    <n v="100"/>
    <n v="351899.9999999999"/>
    <n v="2424264.705882353"/>
    <n v="300"/>
    <n v="0"/>
    <n v="300"/>
    <n v="0"/>
    <n v="0"/>
    <n v="0"/>
    <n v="1055700"/>
    <n v="0"/>
    <n v="0"/>
    <n v="0"/>
    <n v="3274789.915966387"/>
    <n v="150"/>
    <n v="0"/>
    <n v="150"/>
    <n v="0"/>
    <m/>
    <n v="0"/>
    <n v="487050"/>
    <n v="0"/>
    <n v="0"/>
    <n v="0"/>
    <n v="1637394.957983193"/>
  </r>
  <r>
    <m/>
    <x v="0"/>
    <x v="1"/>
    <x v="4"/>
    <s v="LVMPADOFS-BK"/>
    <x v="18"/>
    <x v="18"/>
    <x v="0"/>
    <x v="4"/>
    <n v="1"/>
    <x v="12"/>
    <n v="960"/>
    <m/>
    <n v="0"/>
    <n v="1311"/>
    <n v="1258560"/>
    <n v="1.2"/>
    <n v="1311"/>
    <n v="6714.285714285715"/>
    <n v="5873.949579831933"/>
    <s v="Shenzhen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2"/>
    <s v=""/>
    <n v="0.4"/>
    <n v="6"/>
    <s v=""/>
    <n v="0.15"/>
    <n v="17"/>
    <s v=""/>
    <n v="0.1133333333333333"/>
    <n v="13"/>
    <s v=""/>
    <n v="0.65"/>
    <n v="0"/>
    <n v="0"/>
    <n v="0"/>
    <n v="0"/>
    <n v="0"/>
    <n v="0"/>
    <n v="0"/>
    <n v="0"/>
    <n v="0"/>
    <n v="0"/>
    <n v="960"/>
    <n v="1258560"/>
    <n v="0"/>
    <n v="0"/>
    <n v="0"/>
    <n v="0"/>
    <n v="0"/>
    <n v="0"/>
    <n v="0"/>
    <n v="2622"/>
    <n v="0"/>
    <n v="0"/>
    <n v="0"/>
    <n v="960"/>
    <n v="1258560"/>
    <n v="0"/>
    <n v="0"/>
    <n v="0"/>
    <n v="0"/>
    <n v="0"/>
    <n v="0"/>
    <n v="52302"/>
    <n v="0"/>
    <n v="0"/>
    <n v="0"/>
    <n v="960"/>
    <n v="1258560"/>
    <n v="0"/>
    <n v="5"/>
    <n v="500"/>
    <n v="2"/>
    <n v="500"/>
    <n v="0"/>
    <n v="621000"/>
    <n v="2622"/>
    <n v="621000"/>
    <n v="0"/>
    <n v="960"/>
    <n v="1258560"/>
    <n v="13428.57142857143"/>
    <n v="40"/>
    <n v="966"/>
    <n v="40"/>
    <m/>
    <n v="500"/>
    <n v="0"/>
    <n v="1266426"/>
    <n v="49680"/>
    <n v="0"/>
    <n v="0"/>
    <n v="960"/>
    <n v="1258560"/>
    <n v="268571.4285714286"/>
    <n v="150"/>
    <n v="977"/>
    <n v="17"/>
    <m/>
    <n v="0"/>
    <n v="0"/>
    <n v="1280847"/>
    <n v="21114"/>
    <n v="0"/>
    <n v="0"/>
    <n v="977"/>
    <n v="1258560"/>
    <n v="114142.8571428571"/>
    <n v="20"/>
    <n v="973"/>
    <n v="20"/>
    <n v="500"/>
    <n v="250"/>
    <n v="0"/>
    <n v="1275603"/>
    <n v="24840"/>
    <n v="600300"/>
    <n v="0"/>
    <n v="973"/>
    <n v="1258560"/>
    <n v="134285.7142857143"/>
    <n v="40"/>
    <n v="953"/>
    <n v="40"/>
    <n v="0"/>
    <n v="0"/>
    <n v="0"/>
    <n v="1249383"/>
    <n v="49680"/>
    <n v="0"/>
    <n v="0"/>
    <n v="953"/>
    <n v="1249383"/>
    <n v="268571.4285714286"/>
    <n v="50"/>
    <n v="913"/>
    <n v="50"/>
    <n v="0"/>
    <n v="0"/>
    <m/>
    <n v="1133946"/>
    <n v="62100"/>
    <n v="0"/>
    <n v="0"/>
    <n v="913"/>
    <n v="1133946"/>
    <n v="335714.2857142857"/>
    <n v="80"/>
    <n v="863"/>
    <n v="80"/>
    <n v="0"/>
    <n v="0"/>
    <n v="0"/>
    <m/>
    <n v="1071846"/>
    <n v="99360"/>
    <n v="0"/>
    <n v="0"/>
    <n v="863"/>
    <n v="1071846"/>
    <n v="469915.9663865546"/>
    <n v="85"/>
    <n v="783"/>
    <n v="85"/>
    <m/>
    <n v="0"/>
    <n v="972486"/>
    <n v="105570"/>
    <n v="0"/>
    <n v="0"/>
    <n v="783"/>
    <n v="972486"/>
    <n v="524250.0000000001"/>
    <n v="100"/>
    <n v="698"/>
    <n v="100"/>
    <n v="0"/>
    <n v="0"/>
    <n v="866916"/>
    <n v="124200"/>
    <n v="0"/>
    <n v="698"/>
    <n v="866916"/>
    <n v="671428.5714285715"/>
    <n v="51"/>
    <n v="598"/>
    <n v="51"/>
    <n v="0"/>
    <m/>
    <n v="742716"/>
    <n v="66861"/>
    <n v="0"/>
    <n v="598"/>
    <n v="742716"/>
    <n v="342428.5714285714"/>
  </r>
  <r>
    <m/>
    <x v="0"/>
    <x v="1"/>
    <x v="4"/>
    <s v="LVMPADBML-BK"/>
    <x v="19"/>
    <x v="19"/>
    <x v="0"/>
    <x v="4"/>
    <n v="1"/>
    <x v="12"/>
    <n v="881"/>
    <m/>
    <n v="0"/>
    <n v="2403.5"/>
    <n v="2117483.5"/>
    <n v="2.2"/>
    <n v="2403.5"/>
    <n v="8394.957983193277"/>
    <n v="8394.957983193277"/>
    <s v="Shenzhen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6"/>
    <s v=""/>
    <n v="0.52"/>
    <n v="44"/>
    <s v=""/>
    <n v="0.44"/>
    <n v="48"/>
    <s v=""/>
    <n v="1.2"/>
    <n v="0"/>
    <n v="0"/>
    <n v="0"/>
    <n v="0"/>
    <n v="0"/>
    <n v="0"/>
    <n v="0"/>
    <n v="0"/>
    <n v="0"/>
    <n v="0"/>
    <n v="881"/>
    <n v="2117483.5"/>
    <n v="0"/>
    <n v="0"/>
    <n v="0"/>
    <n v="0"/>
    <n v="0"/>
    <n v="0"/>
    <n v="0"/>
    <n v="0"/>
    <n v="0"/>
    <n v="0"/>
    <n v="0"/>
    <n v="881"/>
    <n v="2117483.5"/>
    <n v="0"/>
    <n v="0"/>
    <n v="0"/>
    <n v="0"/>
    <n v="0"/>
    <n v="0"/>
    <n v="113850"/>
    <n v="0"/>
    <n v="0"/>
    <n v="0"/>
    <n v="881"/>
    <n v="2117483.5"/>
    <n v="0"/>
    <n v="5"/>
    <n v="500"/>
    <n v="0"/>
    <n v="500"/>
    <n v="0"/>
    <n v="1138500"/>
    <n v="0"/>
    <n v="1138500"/>
    <n v="0"/>
    <n v="881"/>
    <n v="2117483.5"/>
    <n v="0"/>
    <n v="50"/>
    <n v="907"/>
    <n v="50"/>
    <m/>
    <n v="500"/>
    <n v="0"/>
    <n v="2179974.5"/>
    <n v="113850"/>
    <n v="0"/>
    <n v="0"/>
    <n v="881"/>
    <n v="2117483.5"/>
    <n v="419747.8991596638"/>
    <n v="100"/>
    <n v="925"/>
    <n v="44"/>
    <m/>
    <n v="0"/>
    <n v="0"/>
    <n v="2223237.5"/>
    <n v="100188"/>
    <n v="0"/>
    <n v="0"/>
    <n v="925"/>
    <n v="2117483.5"/>
    <n v="369378.1512605042"/>
    <n v="40"/>
    <n v="929"/>
    <n v="40"/>
    <n v="500"/>
    <n v="250"/>
    <n v="0"/>
    <n v="2232851.5"/>
    <n v="91080"/>
    <n v="1100550"/>
    <n v="0"/>
    <n v="929"/>
    <n v="2117483.5"/>
    <n v="335798.3193277311"/>
    <n v="80"/>
    <n v="889"/>
    <n v="80"/>
    <n v="0"/>
    <n v="0"/>
    <n v="0"/>
    <n v="2136711.5"/>
    <n v="182160"/>
    <n v="0"/>
    <n v="0"/>
    <n v="889"/>
    <n v="2136711.5"/>
    <n v="671596.6386554622"/>
    <n v="60"/>
    <n v="809"/>
    <n v="60"/>
    <n v="0"/>
    <n v="0"/>
    <m/>
    <n v="1842093"/>
    <n v="136620"/>
    <n v="0"/>
    <n v="0"/>
    <n v="809"/>
    <n v="1842093"/>
    <n v="503697.4789915966"/>
    <n v="100"/>
    <n v="749"/>
    <n v="100"/>
    <n v="0"/>
    <n v="0"/>
    <n v="0"/>
    <m/>
    <n v="1705473"/>
    <n v="227700"/>
    <n v="0"/>
    <n v="0"/>
    <n v="749"/>
    <n v="1705473"/>
    <n v="839495.7983193276"/>
    <n v="125"/>
    <n v="649"/>
    <n v="125"/>
    <m/>
    <n v="0"/>
    <n v="1477773"/>
    <n v="284625"/>
    <n v="0"/>
    <n v="0"/>
    <n v="649"/>
    <n v="1477773"/>
    <n v="1101838.235294118"/>
    <n v="150"/>
    <n v="524"/>
    <n v="150"/>
    <n v="0"/>
    <n v="0"/>
    <n v="1193148"/>
    <n v="341550"/>
    <n v="0"/>
    <n v="524"/>
    <n v="1193148"/>
    <n v="1259243.697478991"/>
    <n v="75"/>
    <n v="374"/>
    <n v="75"/>
    <n v="0"/>
    <m/>
    <n v="851598"/>
    <n v="180262.5"/>
    <n v="0"/>
    <n v="374"/>
    <n v="851598"/>
    <n v="629621.8487394957"/>
  </r>
  <r>
    <s v="Levo-Perifericos de Computacion"/>
    <x v="0"/>
    <x v="1"/>
    <x v="4"/>
    <s v="LVTECMCC-BK"/>
    <x v="20"/>
    <x v="20"/>
    <x v="0"/>
    <x v="3"/>
    <n v="1"/>
    <x v="18"/>
    <n v="698"/>
    <m/>
    <n v="0"/>
    <n v="9424"/>
    <n v="6577952"/>
    <n v="9.5"/>
    <n v="10378.75"/>
    <n v="22680.67226890757"/>
    <n v="21000"/>
    <s v="Shenzhen"/>
    <s v="30/70"/>
    <n v="45"/>
    <n v="1000"/>
    <n v="0"/>
    <s v=""/>
    <n v="0"/>
    <s v=""/>
    <n v="2"/>
    <n v="0.4728450179070794"/>
    <n v="34"/>
    <n v="0.5736427243544859"/>
    <n v="6"/>
    <n v="0.5762843431935937"/>
    <n v="6"/>
    <n v="0.5596994330564786"/>
    <n v="30"/>
    <n v="0.5428038884213851"/>
    <n v="39"/>
    <n v="0.5441640502366887"/>
    <n v="41"/>
    <n v="0.5140384703357882"/>
    <n v="128"/>
    <n v="0.4749682412280379"/>
    <n v="97"/>
    <n v="0.4969262938072903"/>
    <n v="237"/>
    <n v="0.5051307636966786"/>
    <n v="57"/>
    <s v=""/>
    <n v="90"/>
    <s v=""/>
    <n v="184"/>
    <s v=""/>
    <n v="24"/>
    <s v=""/>
    <n v="0.5333333333333333"/>
    <n v="16"/>
    <s v=""/>
    <n v="0.6666666666666666"/>
    <n v="156"/>
    <s v=""/>
    <n v="1.04"/>
    <n v="167"/>
    <s v=""/>
    <n v="0.835"/>
    <n v="70"/>
    <n v="325"/>
    <n v="40"/>
    <n v="0"/>
    <n v="364"/>
    <n v="0"/>
    <n v="3383216"/>
    <n v="3195562.5"/>
    <n v="376960"/>
    <n v="0"/>
    <n v="698"/>
    <n v="6577952"/>
    <n v="762375.5384506745"/>
    <n v="70"/>
    <n v="338"/>
    <n v="135"/>
    <n v="0"/>
    <m/>
    <n v="0"/>
    <n v="3232432"/>
    <n v="3323385"/>
    <n v="1272240"/>
    <n v="0"/>
    <n v="698"/>
    <n v="6577952"/>
    <n v="2573017.442271026"/>
    <n v="120"/>
    <n v="216"/>
    <n v="184"/>
    <n v="0"/>
    <n v="0"/>
    <n v="2196172"/>
    <n v="2035584"/>
    <n v="1734016"/>
    <n v="0"/>
    <n v="698"/>
    <n v="6577952"/>
    <n v="4173243.697478992"/>
    <n v="45"/>
    <n v="48"/>
    <n v="24"/>
    <n v="1000"/>
    <n v="0"/>
    <n v="471960"/>
    <n v="226176"/>
    <n v="9832500"/>
    <n v="0"/>
    <n v="698"/>
    <n v="6577952"/>
    <n v="544336.1344537815"/>
    <n v="24"/>
    <n v="714"/>
    <n v="24"/>
    <m/>
    <n v="0"/>
    <n v="0"/>
    <n v="6728736"/>
    <n v="235980"/>
    <n v="0"/>
    <n v="0"/>
    <n v="698"/>
    <n v="6577952"/>
    <n v="544336.1344537815"/>
    <n v="150"/>
    <n v="854"/>
    <n v="156"/>
    <m/>
    <n v="1000"/>
    <n v="0"/>
    <n v="8048096"/>
    <n v="1533870"/>
    <n v="0"/>
    <n v="0"/>
    <n v="854"/>
    <n v="6577952"/>
    <n v="3538184.87394958"/>
    <n v="200"/>
    <n v="865"/>
    <n v="200"/>
    <n v="0"/>
    <n v="0"/>
    <n v="0"/>
    <n v="8151760"/>
    <n v="1966500"/>
    <n v="0"/>
    <n v="0"/>
    <n v="865"/>
    <n v="6577952"/>
    <n v="4536134.453781513"/>
    <n v="150"/>
    <n v="665"/>
    <n v="150"/>
    <n v="0"/>
    <n v="0"/>
    <n v="0"/>
    <n v="6266960"/>
    <n v="1474875"/>
    <n v="0"/>
    <n v="0"/>
    <n v="665"/>
    <n v="6266960"/>
    <n v="3402100.840336135"/>
    <n v="100"/>
    <n v="515"/>
    <n v="100"/>
    <n v="0"/>
    <n v="0"/>
    <m/>
    <n v="5063737.5"/>
    <n v="983250"/>
    <n v="0"/>
    <n v="0"/>
    <n v="515"/>
    <n v="5063737.5"/>
    <n v="2268067.226890756"/>
    <n v="200"/>
    <n v="415"/>
    <n v="200"/>
    <n v="0"/>
    <n v="0"/>
    <n v="0"/>
    <m/>
    <n v="4080487.5"/>
    <n v="1966500"/>
    <n v="0"/>
    <n v="0"/>
    <n v="415"/>
    <n v="4080487.5"/>
    <n v="4200000"/>
    <n v="200"/>
    <n v="215"/>
    <n v="200"/>
    <n v="0"/>
    <n v="0"/>
    <n v="2113987.5"/>
    <n v="1966500"/>
    <n v="0"/>
    <n v="0"/>
    <n v="215"/>
    <n v="2113987.5"/>
    <n v="4410000"/>
    <n v="400"/>
    <n v="15"/>
    <n v="400"/>
    <n v="1000"/>
    <n v="1000"/>
    <n v="147487.5"/>
    <n v="3933000"/>
    <n v="9832500"/>
    <n v="1015"/>
    <n v="9979987.5"/>
    <n v="9072268.907563025"/>
    <n v="120"/>
    <n v="615"/>
    <n v="120"/>
    <n v="0"/>
    <m/>
    <n v="6046987.5"/>
    <n v="1130880"/>
    <n v="0"/>
    <n v="615"/>
    <n v="6046987.5"/>
    <n v="2721680.672268908"/>
  </r>
  <r>
    <m/>
    <x v="0"/>
    <x v="1"/>
    <x v="4"/>
    <s v="LVTECMCL-BK"/>
    <x v="21"/>
    <x v="21"/>
    <x v="0"/>
    <x v="2"/>
    <n v="1"/>
    <x v="12"/>
    <n v="0"/>
    <m/>
    <m/>
    <n v="10378.75"/>
    <n v="0"/>
    <n v="9.5"/>
    <n v="10378.75"/>
    <n v="26164.91596638656"/>
    <n v="22240.17857142857"/>
    <s v="Shenzhen"/>
    <s v="30/70"/>
    <n v="45"/>
    <n v="10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30"/>
    <n v="0"/>
    <n v="30"/>
    <n v="1000"/>
    <n v="1000"/>
    <n v="0"/>
    <n v="0"/>
    <n v="294975"/>
    <n v="9832500"/>
    <n v="0"/>
    <n v="1000"/>
    <n v="0"/>
    <n v="784947.4789915967"/>
    <n v="45"/>
    <n v="0"/>
    <n v="45"/>
    <n v="0"/>
    <n v="0"/>
    <n v="1000"/>
    <n v="0"/>
    <n v="442462.5"/>
    <n v="0"/>
    <n v="9832500"/>
    <n v="1000"/>
    <n v="9832500"/>
    <n v="1177421.218487395"/>
    <n v="125"/>
    <n v="955"/>
    <n v="125"/>
    <n v="0"/>
    <n v="0"/>
    <n v="0"/>
    <m/>
    <n v="9390037.5"/>
    <n v="1229062.5"/>
    <n v="0"/>
    <n v="0"/>
    <n v="955"/>
    <n v="9390037.5"/>
    <n v="2780022.321428571"/>
    <n v="120"/>
    <n v="830"/>
    <n v="120"/>
    <m/>
    <n v="0"/>
    <n v="8160975"/>
    <n v="1179900"/>
    <n v="0"/>
    <n v="0"/>
    <n v="830"/>
    <n v="8160975"/>
    <n v="2802262.5"/>
    <n v="250"/>
    <n v="710"/>
    <n v="250"/>
    <n v="0"/>
    <n v="0"/>
    <n v="6981075"/>
    <n v="2458125"/>
    <n v="0"/>
    <n v="710"/>
    <n v="6981075"/>
    <n v="6541228.991596639"/>
    <n v="72"/>
    <n v="460"/>
    <n v="72"/>
    <n v="0"/>
    <m/>
    <n v="4522950"/>
    <n v="747270"/>
    <n v="0"/>
    <n v="460"/>
    <n v="4522950"/>
    <n v="1883873.949579832"/>
  </r>
  <r>
    <m/>
    <x v="0"/>
    <x v="1"/>
    <x v="4"/>
    <s v="LVMSGMNS-BK"/>
    <x v="22"/>
    <x v="22"/>
    <x v="0"/>
    <x v="0"/>
    <n v="1"/>
    <x v="19"/>
    <n v="174"/>
    <m/>
    <n v="0"/>
    <n v="14265"/>
    <n v="2482110"/>
    <n v="14.2"/>
    <n v="15513.5"/>
    <n v="25201.68067226891"/>
    <n v="19319.32773109244"/>
    <s v="Shenzhen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1"/>
    <s v=""/>
    <n v="9"/>
    <n v="0.3060511278770484"/>
    <n v="14"/>
    <n v="0.2061424095456388"/>
    <n v="97"/>
    <n v="0.2800819669365389"/>
    <n v="22"/>
    <s v=""/>
    <n v="17"/>
    <s v=""/>
    <n v="24"/>
    <s v=""/>
    <n v="18"/>
    <s v=""/>
    <n v="0.72"/>
    <n v="22"/>
    <s v=""/>
    <n v="1.1"/>
    <n v="51"/>
    <s v=""/>
    <n v="1.02"/>
    <n v="37"/>
    <s v=""/>
    <n v="1.233333333333333"/>
    <n v="20"/>
    <n v="213"/>
    <n v="25"/>
    <n v="0"/>
    <m/>
    <n v="0"/>
    <n v="1062742.5"/>
    <n v="3130461"/>
    <n v="356625"/>
    <n v="0"/>
    <n v="174"/>
    <n v="2482110"/>
    <n v="529447.0729468259"/>
    <n v="25"/>
    <n v="342"/>
    <n v="25.5"/>
    <n v="0"/>
    <m/>
    <n v="0"/>
    <n v="962887.5"/>
    <n v="5026373.999999999"/>
    <n v="363757.5"/>
    <n v="0"/>
    <n v="174"/>
    <n v="2482110"/>
    <n v="540036.0144057623"/>
    <n v="40"/>
    <n v="323"/>
    <n v="24"/>
    <n v="0"/>
    <n v="0"/>
    <n v="893070"/>
    <n v="4607595"/>
    <n v="342360"/>
    <n v="0"/>
    <n v="174"/>
    <n v="2482110"/>
    <n v="604840.3361344538"/>
    <n v="25"/>
    <n v="303"/>
    <n v="18"/>
    <n v="0"/>
    <n v="0"/>
    <n v="4453190.999999999"/>
    <n v="256770"/>
    <n v="0"/>
    <n v="0"/>
    <n v="174"/>
    <n v="2482110"/>
    <n v="453630.2521008403"/>
    <n v="20"/>
    <n v="196"/>
    <n v="20"/>
    <m/>
    <n v="0"/>
    <n v="0"/>
    <n v="2795940"/>
    <n v="293939.9999999999"/>
    <n v="0"/>
    <n v="0"/>
    <n v="174"/>
    <n v="2482110"/>
    <n v="504033.6134453781"/>
    <n v="50"/>
    <n v="225"/>
    <n v="51"/>
    <m/>
    <n v="0"/>
    <n v="0"/>
    <n v="3209625"/>
    <n v="749546.9999999999"/>
    <n v="0"/>
    <n v="0"/>
    <n v="225"/>
    <n v="2482110"/>
    <n v="1285285.714285714"/>
    <n v="30"/>
    <n v="211"/>
    <n v="30"/>
    <n v="0"/>
    <n v="0"/>
    <n v="0"/>
    <n v="3009915"/>
    <n v="440909.9999999999"/>
    <n v="0"/>
    <n v="0"/>
    <n v="211"/>
    <n v="2482110"/>
    <n v="756050.4201680672"/>
    <n v="40"/>
    <n v="181"/>
    <n v="40"/>
    <n v="0"/>
    <n v="0"/>
    <n v="0"/>
    <n v="2581965"/>
    <n v="587879.9999999999"/>
    <n v="0"/>
    <n v="0"/>
    <n v="181"/>
    <n v="2581965"/>
    <n v="1008067.226890756"/>
    <n v="20"/>
    <n v="141"/>
    <n v="20"/>
    <n v="0"/>
    <n v="0"/>
    <m/>
    <n v="2072277"/>
    <n v="293939.9999999999"/>
    <n v="0"/>
    <n v="0"/>
    <n v="141"/>
    <n v="2072277"/>
    <n v="504033.6134453781"/>
    <n v="40"/>
    <n v="121"/>
    <n v="40"/>
    <n v="0"/>
    <n v="0"/>
    <n v="0"/>
    <m/>
    <n v="1778337"/>
    <n v="587879.9999999999"/>
    <n v="0"/>
    <n v="0"/>
    <n v="121"/>
    <n v="1778337"/>
    <n v="772773.1092436975"/>
    <n v="30"/>
    <n v="81"/>
    <n v="30"/>
    <m/>
    <n v="0"/>
    <n v="1190457"/>
    <n v="440909.9999999999"/>
    <n v="0"/>
    <n v="0"/>
    <n v="81"/>
    <n v="1190457"/>
    <n v="608558.8235294118"/>
    <n v="43"/>
    <n v="51"/>
    <n v="43"/>
    <n v="0"/>
    <n v="0"/>
    <n v="749546.9999999999"/>
    <n v="631970.9999999999"/>
    <n v="0"/>
    <n v="51"/>
    <n v="749546.9999999999"/>
    <n v="1083672.268907563"/>
    <n v="18"/>
    <n v="8"/>
    <n v="18"/>
    <n v="0"/>
    <m/>
    <n v="117576"/>
    <n v="256770"/>
    <n v="0"/>
    <n v="8"/>
    <n v="117576"/>
    <n v="453630.2521008403"/>
  </r>
  <r>
    <m/>
    <x v="0"/>
    <x v="2"/>
    <x v="5"/>
    <m/>
    <x v="23"/>
    <x v="23"/>
    <x v="1"/>
    <x v="5"/>
    <n v="1"/>
    <x v="20"/>
    <n v="0"/>
    <m/>
    <m/>
    <n v="4812.75"/>
    <m/>
    <n v="4.5"/>
    <n v="4812.75"/>
    <n v="12132.98319327731"/>
    <n v="10313.03571428572"/>
    <s v="Shenzhen"/>
    <s v="30/70"/>
    <n v="30"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982443487453209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n v="0"/>
    <m/>
    <m/>
    <m/>
    <m/>
    <m/>
    <n v="0"/>
    <m/>
    <m/>
    <m/>
    <m/>
    <m/>
    <m/>
    <m/>
    <m/>
    <m/>
    <n v="0"/>
    <m/>
    <m/>
    <m/>
    <m/>
    <m/>
    <m/>
    <n v="0"/>
    <n v="0"/>
    <m/>
    <m/>
    <n v="0"/>
    <m/>
    <n v="0"/>
    <m/>
    <m/>
    <n v="0"/>
    <m/>
    <m/>
    <m/>
    <m/>
    <m/>
    <m/>
    <m/>
    <n v="0"/>
    <n v="0"/>
    <m/>
    <m/>
    <n v="40"/>
    <n v="0"/>
    <n v="0"/>
    <n v="1000"/>
    <n v="1000"/>
    <n v="1000"/>
    <n v="0"/>
    <n v="0"/>
    <n v="0"/>
    <n v="4657500"/>
    <n v="4657500"/>
    <n v="1000"/>
    <n v="4657500"/>
    <n v="0"/>
    <n v="75"/>
    <n v="1000"/>
    <n v="75"/>
    <m/>
    <n v="0"/>
    <n v="4657500"/>
    <n v="349312.5"/>
    <n v="0"/>
    <n v="0"/>
    <n v="1000"/>
    <n v="4657500"/>
    <n v="812151.5625000001"/>
    <n v="150"/>
    <n v="925"/>
    <n v="150"/>
    <n v="0"/>
    <n v="0"/>
    <n v="4308187.5"/>
    <n v="698625"/>
    <n v="0"/>
    <n v="925"/>
    <n v="4308187.5"/>
    <n v="1819947.478991597"/>
    <n v="45"/>
    <n v="775"/>
    <n v="45"/>
    <n v="0"/>
    <m/>
    <n v="3609562.5"/>
    <n v="216573.75"/>
    <n v="0"/>
    <n v="775"/>
    <n v="3609562.5"/>
    <n v="545984.243697479"/>
  </r>
  <r>
    <s v="Levo-Perifericos de Computacion"/>
    <x v="0"/>
    <x v="1"/>
    <x v="4"/>
    <n v="1479750635184"/>
    <x v="24"/>
    <x v="24"/>
    <x v="0"/>
    <x v="0"/>
    <n v="1"/>
    <x v="21"/>
    <n v="102"/>
    <m/>
    <n v="0"/>
    <n v="2650.840336134454"/>
    <n v="270385.7142857143"/>
    <n v="2.6"/>
    <n v="2840.5"/>
    <n v="7554.621848739496"/>
    <n v="6714.285714285715"/>
    <s v="Shenzhen"/>
    <s v="20/80"/>
    <n v="30"/>
    <n v="200"/>
    <n v="139"/>
    <n v="0.5980328219153641"/>
    <n v="55"/>
    <n v="0.6184483600242093"/>
    <n v="62"/>
    <n v="0.6045599182893461"/>
    <n v="66"/>
    <n v="0.5937518198581843"/>
    <n v="281"/>
    <n v="0.5522208533755211"/>
    <n v="88"/>
    <n v="0.59428018950521"/>
    <n v="108"/>
    <n v="0.6115277270360991"/>
    <n v="103"/>
    <n v="0.6006396747198111"/>
    <n v="78"/>
    <n v="0.6216772335059544"/>
    <n v="96"/>
    <n v="0.6027551859998445"/>
    <n v="296"/>
    <n v="0.5977738929201796"/>
    <n v="41"/>
    <n v="0.7254953417654663"/>
    <n v="17"/>
    <n v="0.5439261831982122"/>
    <n v="21"/>
    <n v="0.4357998380178036"/>
    <n v="95"/>
    <n v="0.4503019744435435"/>
    <n v="79"/>
    <n v="0.4111696077771775"/>
    <n v="1.215384615384615"/>
    <n v="193"/>
    <n v="0.5335368405579352"/>
    <n v="3.216666666666667"/>
    <n v="201"/>
    <n v="0.3993275628394269"/>
    <n v="1.005"/>
    <n v="0"/>
    <n v="0.4566323147304385"/>
    <n v="0"/>
    <n v="3"/>
    <n v="18"/>
    <n v="18"/>
    <n v="0"/>
    <m/>
    <n v="0"/>
    <n v="383046.4285714286"/>
    <n v="48438"/>
    <n v="47715.12605042017"/>
    <n v="0"/>
    <n v="102"/>
    <n v="270385.7142857143"/>
    <n v="114271.5909893369"/>
    <n v="10"/>
    <n v="200"/>
    <n v="31.5"/>
    <n v="200"/>
    <n v="200"/>
    <n v="0"/>
    <n v="544747.6890756303"/>
    <n v="538200"/>
    <n v="83501.4705882353"/>
    <n v="0"/>
    <n v="102"/>
    <n v="270385.7142857143"/>
    <n v="199975.2842313396"/>
    <n v="80"/>
    <n v="169"/>
    <n v="95"/>
    <n v="0"/>
    <n v="0"/>
    <n v="622706.218487395"/>
    <n v="447992.0168067227"/>
    <n v="251829.8319327731"/>
    <n v="0"/>
    <n v="102"/>
    <n v="270385.7142857143"/>
    <n v="717689.0756302521"/>
    <n v="65"/>
    <n v="332"/>
    <n v="79"/>
    <n v="250"/>
    <n v="0"/>
    <n v="893412"/>
    <n v="209416.3865546219"/>
    <n v="672750"/>
    <n v="0"/>
    <n v="102"/>
    <n v="270385.7142857143"/>
    <n v="596815.1260504202"/>
    <n v="60"/>
    <n v="295"/>
    <n v="60"/>
    <n v="200"/>
    <n v="200"/>
    <n v="0"/>
    <n v="781997.8991596639"/>
    <n v="161460"/>
    <n v="538200"/>
    <n v="0"/>
    <n v="102"/>
    <n v="270385.7142857143"/>
    <n v="453277.3109243698"/>
    <n v="200"/>
    <n v="303"/>
    <n v="201"/>
    <m/>
    <n v="200"/>
    <n v="0"/>
    <n v="803204.6218487396"/>
    <n v="540891"/>
    <n v="0"/>
    <n v="0"/>
    <n v="303"/>
    <n v="270385.7142857143"/>
    <n v="1518478.991596639"/>
    <n v="80"/>
    <n v="102"/>
    <n v="80"/>
    <n v="150"/>
    <n v="150"/>
    <n v="0"/>
    <n v="270385.7142857143"/>
    <n v="215280"/>
    <n v="390194.9999999999"/>
    <n v="0"/>
    <n v="102"/>
    <n v="270385.7142857143"/>
    <n v="604369.7478991597"/>
    <n v="150"/>
    <n v="22"/>
    <n v="150"/>
    <n v="200"/>
    <n v="200"/>
    <n v="200"/>
    <n v="58318.48739495799"/>
    <n v="403650"/>
    <n v="538200"/>
    <n v="538200"/>
    <n v="222"/>
    <n v="596518.487394958"/>
    <n v="1133193.277310924"/>
    <n v="50"/>
    <n v="72"/>
    <n v="50"/>
    <n v="0"/>
    <n v="0"/>
    <m/>
    <n v="193752"/>
    <n v="134550"/>
    <n v="0"/>
    <n v="0"/>
    <n v="72"/>
    <n v="193752"/>
    <n v="377731.0924369748"/>
    <n v="150"/>
    <n v="22"/>
    <n v="22"/>
    <n v="0"/>
    <n v="0"/>
    <n v="0"/>
    <m/>
    <n v="59202"/>
    <n v="59202"/>
    <n v="0"/>
    <n v="0"/>
    <n v="22"/>
    <n v="59202"/>
    <n v="147714.2857142857"/>
    <n v="150"/>
    <n v="0"/>
    <n v="150"/>
    <n v="150"/>
    <n v="150"/>
    <n v="0"/>
    <n v="403650"/>
    <n v="403650"/>
    <n v="403650"/>
    <n v="150"/>
    <n v="403650"/>
    <n v="1057500"/>
    <n v="300"/>
    <n v="0"/>
    <n v="300"/>
    <n v="200"/>
    <n v="200"/>
    <n v="0"/>
    <n v="807300"/>
    <n v="538200"/>
    <n v="200"/>
    <n v="538200"/>
    <n v="2266386.554621849"/>
    <n v="90"/>
    <n v="0"/>
    <n v="90"/>
    <n v="0"/>
    <m/>
    <n v="0"/>
    <n v="238575.6302521008"/>
    <n v="0"/>
    <n v="0"/>
    <n v="0"/>
    <n v="679915.9663865546"/>
  </r>
  <r>
    <s v="Levo-Perifericos de Computacion"/>
    <x v="0"/>
    <x v="1"/>
    <x v="4"/>
    <n v="1658329968514"/>
    <x v="25"/>
    <x v="25"/>
    <x v="0"/>
    <x v="1"/>
    <n v="1"/>
    <x v="22"/>
    <n v="277"/>
    <m/>
    <n v="0"/>
    <n v="6324.282442748092"/>
    <n v="1751826.236641221"/>
    <n v="6.35"/>
    <n v="6937.374999999999"/>
    <n v="16798.31932773109"/>
    <n v="15117.64705882353"/>
    <s v="Shenzhen"/>
    <s v="30/70"/>
    <n v="30"/>
    <n v="200"/>
    <n v="46"/>
    <n v="0.6301044373336188"/>
    <n v="45"/>
    <n v="0.5852230230915288"/>
    <n v="31"/>
    <n v="0.5978331492812183"/>
    <n v="26"/>
    <n v="0.5834393546373281"/>
    <n v="133"/>
    <n v="0.4745375640833926"/>
    <n v="26"/>
    <n v="0.5815235953766241"/>
    <n v="22"/>
    <n v="0.5934264278136969"/>
    <n v="47"/>
    <n v="0.5988655803104633"/>
    <n v="24"/>
    <n v="0.6074884723597075"/>
    <n v="101"/>
    <n v="0.5126679962610955"/>
    <n v="151"/>
    <n v="0.5771364767252402"/>
    <n v="163"/>
    <n v="0.5979231408204939"/>
    <n v="15"/>
    <n v="0.4330940326329428"/>
    <n v="2"/>
    <n v="0.2964029772206256"/>
    <n v="0"/>
    <s v=""/>
    <n v="15"/>
    <n v="0.4270125089454441"/>
    <n v="1"/>
    <n v="35"/>
    <n v="0.614002498506253"/>
    <n v="1.75"/>
    <n v="182"/>
    <n v="0.4227678259105341"/>
    <n v="1.82"/>
    <n v="0"/>
    <n v="0.4563601632636431"/>
    <n v="0"/>
    <n v="5"/>
    <n v="2"/>
    <n v="2"/>
    <n v="0"/>
    <m/>
    <n v="0"/>
    <n v="31621.41221374046"/>
    <n v="13144.5"/>
    <n v="12648.56488549618"/>
    <n v="0"/>
    <n v="277"/>
    <n v="1751826.236641221"/>
    <n v="28232.46945837159"/>
    <n v="0"/>
    <n v="3"/>
    <n v="3"/>
    <n v="0"/>
    <m/>
    <n v="0"/>
    <n v="113837.0839694656"/>
    <n v="19716.75"/>
    <n v="18972.84732824428"/>
    <n v="0"/>
    <n v="277"/>
    <n v="1751826.236641221"/>
    <n v="42348.70418755738"/>
    <n v="0"/>
    <n v="0"/>
    <n v="0"/>
    <n v="0"/>
    <n v="0"/>
    <n v="226309.2366412213"/>
    <n v="0"/>
    <n v="0"/>
    <n v="0"/>
    <n v="277"/>
    <n v="1751826.236641221"/>
    <n v="0"/>
    <n v="15"/>
    <n v="383"/>
    <n v="15"/>
    <n v="200"/>
    <n v="0"/>
    <n v="2517171.75"/>
    <n v="94864.23664122137"/>
    <n v="1314450"/>
    <n v="0"/>
    <n v="277"/>
    <n v="1751826.236641221"/>
    <n v="251974.7899159664"/>
    <n v="20"/>
    <n v="312"/>
    <n v="20"/>
    <n v="200"/>
    <n v="200"/>
    <n v="0"/>
    <n v="1973176.122137405"/>
    <n v="131445"/>
    <n v="1314450"/>
    <n v="0"/>
    <n v="277"/>
    <n v="1751826.236641221"/>
    <n v="335966.3865546219"/>
    <n v="100"/>
    <n v="459"/>
    <n v="182"/>
    <m/>
    <n v="0"/>
    <n v="0"/>
    <n v="2902845.641221374"/>
    <n v="1196149.5"/>
    <n v="0"/>
    <n v="0"/>
    <n v="459"/>
    <n v="1751826.236641221"/>
    <n v="3057294.117647059"/>
    <n v="30"/>
    <n v="277"/>
    <n v="30"/>
    <n v="130"/>
    <n v="130"/>
    <n v="0"/>
    <n v="1751826.236641221"/>
    <n v="197167.5"/>
    <n v="825912.7499999999"/>
    <n v="0"/>
    <n v="277"/>
    <n v="1751826.236641221"/>
    <n v="503949.5798319328"/>
    <n v="80"/>
    <n v="247"/>
    <n v="80"/>
    <n v="170"/>
    <n v="170"/>
    <n v="170"/>
    <n v="1562097.763358779"/>
    <n v="525779.9999999999"/>
    <n v="1117282.5"/>
    <n v="1117282.5"/>
    <n v="417"/>
    <n v="2679380.263358778"/>
    <n v="1343865.546218487"/>
    <n v="30"/>
    <n v="337"/>
    <n v="30"/>
    <n v="0"/>
    <n v="0"/>
    <m/>
    <n v="2214848.25"/>
    <n v="197167.5"/>
    <n v="0"/>
    <n v="0"/>
    <n v="337"/>
    <n v="2214848.25"/>
    <n v="503949.5798319328"/>
    <n v="120"/>
    <n v="307"/>
    <n v="120"/>
    <n v="0"/>
    <n v="0"/>
    <n v="0"/>
    <m/>
    <n v="2017680.75"/>
    <n v="788669.9999999999"/>
    <n v="0"/>
    <n v="0"/>
    <n v="307"/>
    <n v="2017680.75"/>
    <n v="1814117.647058824"/>
    <n v="150"/>
    <n v="187"/>
    <n v="150"/>
    <m/>
    <n v="0"/>
    <n v="1229010.75"/>
    <n v="985837.4999999999"/>
    <n v="0"/>
    <n v="0"/>
    <n v="187"/>
    <n v="1229010.75"/>
    <n v="2381029.411764706"/>
    <n v="250"/>
    <n v="37"/>
    <n v="250"/>
    <n v="0"/>
    <n v="0"/>
    <n v="243173.25"/>
    <n v="1643062.5"/>
    <n v="0"/>
    <n v="37"/>
    <n v="243173.25"/>
    <n v="4199579.831932773"/>
    <n v="90"/>
    <n v="0"/>
    <n v="90"/>
    <n v="0"/>
    <m/>
    <n v="0"/>
    <n v="569185.4198473282"/>
    <n v="0"/>
    <n v="0"/>
    <n v="0"/>
    <n v="1511848.739495798"/>
  </r>
  <r>
    <s v="Levo-Perifericos de Computacion"/>
    <x v="0"/>
    <x v="1"/>
    <x v="6"/>
    <s v="LVMICPORT"/>
    <x v="26"/>
    <x v="26"/>
    <x v="0"/>
    <x v="6"/>
    <n v="1"/>
    <x v="12"/>
    <n v="0"/>
    <m/>
    <n v="0"/>
    <n v="13499"/>
    <n v="0"/>
    <n v="12.4"/>
    <n v="13547"/>
    <n v="25201.68067226891"/>
    <n v="21000"/>
    <s v="Shenzhen"/>
    <s v="20/80"/>
    <n v="30"/>
    <n v="300"/>
    <n v="3"/>
    <n v="0.446221502046007"/>
    <n v="6"/>
    <n v="0.4683167328933779"/>
    <n v="7"/>
    <n v="0.4613522734074177"/>
    <n v="6"/>
    <n v="0.4434274228876234"/>
    <n v="7"/>
    <n v="0.4728945959212815"/>
    <n v="15"/>
    <n v="0.4833602512119913"/>
    <n v="11"/>
    <n v="0.5311538600426096"/>
    <n v="16"/>
    <n v="0.349038215792646"/>
    <n v="11"/>
    <n v="0.3109971324900937"/>
    <n v="17"/>
    <n v="0.3266844662473006"/>
    <n v="7"/>
    <n v="0.3893172888015717"/>
    <n v="11"/>
    <n v="0.3629773834854829"/>
    <n v="4"/>
    <s v=""/>
    <n v="2"/>
    <s v=""/>
    <n v="4"/>
    <s v=""/>
    <n v="3"/>
    <s v=""/>
    <n v="0.75"/>
    <n v="6"/>
    <s v=""/>
    <n v="3"/>
    <n v="0"/>
    <s v=""/>
    <n v="0"/>
    <n v="0"/>
    <s v=""/>
    <n v="0"/>
    <n v="5.333333333333333"/>
    <n v="18"/>
    <n v="5.333333333333333"/>
    <n v="0"/>
    <m/>
    <n v="0"/>
    <n v="166487.6666666667"/>
    <n v="231012"/>
    <n v="71994.66666666666"/>
    <n v="0"/>
    <n v="0"/>
    <n v="0"/>
    <n v="112948.7088953228"/>
    <n v="4"/>
    <n v="15"/>
    <n v="3"/>
    <n v="0"/>
    <m/>
    <n v="0"/>
    <n v="134990"/>
    <n v="192510"/>
    <n v="40497"/>
    <n v="0"/>
    <n v="0"/>
    <n v="0"/>
    <n v="63533.6487536191"/>
    <n v="4"/>
    <n v="13"/>
    <n v="4"/>
    <n v="0"/>
    <n v="0"/>
    <n v="120161"/>
    <n v="175487"/>
    <n v="53996"/>
    <n v="0"/>
    <n v="0"/>
    <n v="0"/>
    <n v="100806.7226890756"/>
    <n v="4"/>
    <n v="6"/>
    <n v="3"/>
    <n v="0"/>
    <n v="0"/>
    <n v="77003.99999999999"/>
    <n v="40497"/>
    <n v="0"/>
    <n v="0"/>
    <n v="0"/>
    <n v="0"/>
    <n v="75605.04201680672"/>
    <n v="2"/>
    <n v="6"/>
    <n v="2"/>
    <m/>
    <n v="0"/>
    <n v="0"/>
    <n v="80994"/>
    <n v="25668"/>
    <n v="0"/>
    <n v="0"/>
    <n v="0"/>
    <n v="0"/>
    <n v="50403.3613445378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Perifericos de Computacion"/>
    <x v="0"/>
    <x v="1"/>
    <x v="6"/>
    <s v="LVTECOFSL-GR"/>
    <x v="27"/>
    <x v="27"/>
    <x v="0"/>
    <x v="3"/>
    <n v="1"/>
    <x v="23"/>
    <n v="45"/>
    <m/>
    <n v="0"/>
    <n v="14045"/>
    <n v="632025"/>
    <n v="13.2"/>
    <n v="14421"/>
    <n v="27722.68907563025"/>
    <n v="24361.34453781513"/>
    <s v="Shenzhen"/>
    <s v="30/70"/>
    <n v="30"/>
    <n v="1000"/>
    <n v="0"/>
    <s v=""/>
    <n v="0"/>
    <s v=""/>
    <n v="1"/>
    <n v="0.5514357982443089"/>
    <n v="36"/>
    <n v="0.5457370511329707"/>
    <n v="47"/>
    <n v="0.5646281358441624"/>
    <n v="98"/>
    <n v="0.492365833956485"/>
    <n v="77"/>
    <n v="0.531722145071567"/>
    <n v="93"/>
    <n v="0.5506143251330836"/>
    <n v="43"/>
    <n v="0.5564796386393324"/>
    <n v="161"/>
    <n v="0.4795090713811183"/>
    <n v="116"/>
    <n v="0.527180741463229"/>
    <n v="84"/>
    <n v="0.5314228142171615"/>
    <n v="77"/>
    <s v=""/>
    <n v="87"/>
    <s v=""/>
    <n v="126"/>
    <s v=""/>
    <n v="188"/>
    <s v=""/>
    <n v="1.566666666666667"/>
    <n v="200"/>
    <s v=""/>
    <n v="2.222222222222222"/>
    <n v="330"/>
    <s v=""/>
    <n v="2.357142857142857"/>
    <n v="166"/>
    <s v=""/>
    <n v="0.664"/>
    <n v="75"/>
    <n v="250"/>
    <n v="75"/>
    <n v="1000"/>
    <n v="1000"/>
    <n v="0"/>
    <n v="4655917.5"/>
    <n v="3415500"/>
    <n v="1053375"/>
    <n v="0"/>
    <n v="45"/>
    <n v="632025"/>
    <n v="1747228.30308594"/>
    <n v="80"/>
    <n v="141"/>
    <n v="130.5"/>
    <n v="0"/>
    <m/>
    <n v="0"/>
    <n v="6243002.5"/>
    <n v="1926342"/>
    <n v="1832872.5"/>
    <n v="0"/>
    <n v="45"/>
    <n v="632025"/>
    <n v="3040177.247369536"/>
    <n v="120"/>
    <n v="1027"/>
    <n v="126"/>
    <n v="0"/>
    <n v="0"/>
    <n v="5639710"/>
    <n v="14424215"/>
    <n v="1769670"/>
    <n v="0"/>
    <n v="45"/>
    <n v="632025"/>
    <n v="3493058.823529412"/>
    <n v="120"/>
    <n v="914"/>
    <n v="188"/>
    <n v="0"/>
    <n v="0"/>
    <n v="12487068"/>
    <n v="2640460"/>
    <n v="0"/>
    <n v="0"/>
    <n v="45"/>
    <n v="632025"/>
    <n v="5211865.546218487"/>
    <n v="90"/>
    <n v="245"/>
    <n v="90"/>
    <m/>
    <n v="0"/>
    <n v="0"/>
    <n v="3441025"/>
    <n v="1229580"/>
    <n v="0"/>
    <n v="0"/>
    <n v="45"/>
    <n v="632025"/>
    <n v="2495042.016806723"/>
    <n v="140"/>
    <n v="375"/>
    <n v="330"/>
    <m/>
    <n v="0"/>
    <n v="0"/>
    <n v="5266875"/>
    <n v="4508459.999999999"/>
    <n v="0"/>
    <n v="0"/>
    <n v="375"/>
    <n v="632025"/>
    <n v="9148487.394957984"/>
    <n v="250"/>
    <n v="211"/>
    <n v="250"/>
    <n v="0"/>
    <n v="0"/>
    <n v="0"/>
    <n v="2963495"/>
    <n v="3415500"/>
    <n v="0"/>
    <n v="0"/>
    <n v="211"/>
    <n v="632025"/>
    <n v="6930672.268907563"/>
    <n v="139"/>
    <n v="0"/>
    <n v="139"/>
    <n v="0"/>
    <n v="0"/>
    <n v="0"/>
    <n v="0"/>
    <n v="1899018"/>
    <n v="0"/>
    <n v="0"/>
    <n v="0"/>
    <n v="0"/>
    <n v="3853453.781512605"/>
    <n v="0"/>
    <n v="0"/>
    <n v="0"/>
    <n v="0"/>
    <n v="0"/>
    <m/>
    <n v="0"/>
    <n v="0"/>
    <n v="0"/>
    <n v="0"/>
    <n v="0"/>
    <n v="0"/>
    <n v="0"/>
    <n v="100"/>
    <n v="0"/>
    <n v="100"/>
    <n v="1000"/>
    <n v="1000"/>
    <n v="1000"/>
    <n v="0"/>
    <n v="0"/>
    <n v="1366200"/>
    <n v="13662000"/>
    <n v="13662000"/>
    <n v="1000"/>
    <n v="13662000"/>
    <n v="2436134.453781513"/>
    <n v="250"/>
    <n v="900"/>
    <n v="250"/>
    <m/>
    <n v="0"/>
    <n v="12295800"/>
    <n v="3415500"/>
    <n v="0"/>
    <n v="0"/>
    <n v="900"/>
    <n v="12295800"/>
    <n v="6394852.941176471"/>
    <n v="250"/>
    <n v="650"/>
    <n v="250"/>
    <n v="0"/>
    <n v="0"/>
    <n v="8880299.999999998"/>
    <n v="3415500"/>
    <n v="0"/>
    <n v="650"/>
    <n v="8880299.999999998"/>
    <n v="6930672.268907563"/>
    <n v="150"/>
    <n v="400"/>
    <n v="150"/>
    <n v="0"/>
    <m/>
    <n v="5464799.999999999"/>
    <n v="2106750"/>
    <n v="0"/>
    <n v="400"/>
    <n v="5464799.999999999"/>
    <n v="4158403.361344538"/>
  </r>
  <r>
    <m/>
    <x v="0"/>
    <x v="1"/>
    <x v="6"/>
    <s v="LVMSVEL-GR"/>
    <x v="28"/>
    <x v="28"/>
    <x v="0"/>
    <x v="0"/>
    <n v="1"/>
    <x v="24"/>
    <n v="995"/>
    <m/>
    <n v="0"/>
    <n v="3137"/>
    <n v="3121315"/>
    <n v="3.2"/>
    <n v="3496"/>
    <n v="8394.957983193277"/>
    <n v="7554.621848739496"/>
    <s v="Shenzhen"/>
    <s v="30/70"/>
    <n v="30"/>
    <n v="1000"/>
    <n v="0"/>
    <s v=""/>
    <n v="0"/>
    <s v=""/>
    <n v="0"/>
    <s v=""/>
    <n v="0"/>
    <s v=""/>
    <n v="0"/>
    <s v=""/>
    <n v="0"/>
    <s v=""/>
    <n v="0"/>
    <s v=""/>
    <n v="0"/>
    <n v="0"/>
    <n v="19"/>
    <n v="0.5847499767525713"/>
    <n v="126"/>
    <n v="0.4424987889389397"/>
    <n v="89"/>
    <n v="0.5369147724662747"/>
    <n v="102"/>
    <n v="0.5172165277160078"/>
    <n v="63"/>
    <s v=""/>
    <n v="60"/>
    <s v=""/>
    <n v="85"/>
    <s v=""/>
    <n v="98"/>
    <s v=""/>
    <n v="1.306666666666667"/>
    <n v="87"/>
    <s v=""/>
    <n v="1.16"/>
    <n v="146"/>
    <s v=""/>
    <n v="1.216666666666667"/>
    <n v="82"/>
    <s v=""/>
    <n v="0.9647058823529412"/>
    <n v="80"/>
    <n v="447"/>
    <n v="60"/>
    <n v="0"/>
    <m/>
    <n v="0"/>
    <n v="737195"/>
    <n v="1480464"/>
    <n v="188220"/>
    <n v="0"/>
    <n v="995"/>
    <n v="3121315"/>
    <n v="423275.1924299131"/>
    <n v="100"/>
    <n v="568"/>
    <n v="90"/>
    <n v="0"/>
    <m/>
    <n v="0"/>
    <n v="856401"/>
    <n v="1881216"/>
    <n v="282330"/>
    <n v="0"/>
    <n v="995"/>
    <n v="3121315"/>
    <n v="634912.7886448697"/>
    <n v="150"/>
    <n v="520"/>
    <n v="85"/>
    <n v="0"/>
    <n v="0"/>
    <n v="822471"/>
    <n v="1631240"/>
    <n v="266645"/>
    <n v="0"/>
    <n v="995"/>
    <n v="3121315"/>
    <n v="713571.4285714285"/>
    <n v="75"/>
    <n v="1414"/>
    <n v="98"/>
    <n v="1000"/>
    <n v="0"/>
    <n v="4683167.999999999"/>
    <n v="307426"/>
    <n v="3312000"/>
    <n v="0"/>
    <n v="995"/>
    <n v="3121315"/>
    <n v="822705.8823529411"/>
    <n v="75"/>
    <n v="1082"/>
    <n v="75"/>
    <m/>
    <n v="300"/>
    <n v="0"/>
    <n v="3394234"/>
    <n v="248400"/>
    <n v="0"/>
    <n v="0"/>
    <n v="995"/>
    <n v="3121315"/>
    <n v="629621.8487394957"/>
    <n v="120"/>
    <n v="1141"/>
    <n v="146"/>
    <m/>
    <n v="0"/>
    <n v="0"/>
    <n v="3579317"/>
    <n v="483551.9999999999"/>
    <n v="0"/>
    <n v="0"/>
    <n v="1141"/>
    <n v="3121315"/>
    <n v="1225663.865546218"/>
    <n v="85"/>
    <n v="1077"/>
    <n v="85"/>
    <n v="0"/>
    <n v="0"/>
    <n v="0"/>
    <n v="3378549"/>
    <n v="281519.9999999999"/>
    <n v="0"/>
    <n v="0"/>
    <n v="1077"/>
    <n v="3121315"/>
    <n v="713571.4285714285"/>
    <n v="90"/>
    <n v="992"/>
    <n v="90"/>
    <n v="0"/>
    <n v="0"/>
    <n v="0"/>
    <n v="3111904"/>
    <n v="298079.9999999999"/>
    <n v="0"/>
    <n v="0"/>
    <n v="992"/>
    <n v="3111904"/>
    <n v="755546.218487395"/>
    <n v="75"/>
    <n v="902"/>
    <n v="75"/>
    <n v="0"/>
    <n v="0"/>
    <m/>
    <n v="2987424"/>
    <n v="248400"/>
    <n v="0"/>
    <n v="0"/>
    <n v="902"/>
    <n v="2987424"/>
    <n v="629621.8487394957"/>
    <n v="100"/>
    <n v="827"/>
    <n v="100"/>
    <n v="0"/>
    <n v="0"/>
    <n v="0"/>
    <m/>
    <n v="2739024"/>
    <n v="331199.9999999999"/>
    <n v="0"/>
    <n v="0"/>
    <n v="827"/>
    <n v="2739024"/>
    <n v="755462.1848739496"/>
    <n v="80"/>
    <n v="727"/>
    <n v="80"/>
    <m/>
    <n v="0"/>
    <n v="2407824"/>
    <n v="264959.9999999999"/>
    <n v="0"/>
    <n v="0"/>
    <n v="727"/>
    <n v="2407824"/>
    <n v="634588.2352941177"/>
    <n v="125"/>
    <n v="647"/>
    <n v="125"/>
    <n v="0"/>
    <n v="0"/>
    <n v="2142864"/>
    <n v="413999.9999999999"/>
    <n v="0"/>
    <n v="647"/>
    <n v="2142864"/>
    <n v="1049369.74789916"/>
    <n v="48"/>
    <n v="522"/>
    <n v="48"/>
    <n v="0"/>
    <m/>
    <n v="1728864"/>
    <n v="150576"/>
    <n v="0"/>
    <n v="522"/>
    <n v="1728864"/>
    <n v="402957.9831932773"/>
  </r>
  <r>
    <s v="Levo-Perifericos de Computacion"/>
    <x v="0"/>
    <x v="1"/>
    <x v="6"/>
    <n v="67898087132855"/>
    <x v="29"/>
    <x v="29"/>
    <x v="0"/>
    <x v="3"/>
    <n v="1"/>
    <x v="25"/>
    <n v="445"/>
    <m/>
    <n v="0"/>
    <n v="40885.52679511746"/>
    <n v="18194059.42382727"/>
    <n v="35"/>
    <n v="38237.5"/>
    <n v="84025.21008403362"/>
    <n v="67218.48739495799"/>
    <s v="Ningbo"/>
    <s v="20/80"/>
    <n v="30"/>
    <n v="100"/>
    <n v="4"/>
    <n v="0.3668825649953905"/>
    <n v="1"/>
    <n v="0.4513075307530753"/>
    <n v="65"/>
    <n v="0.4829981834484707"/>
    <n v="42"/>
    <n v="0.4719263881969988"/>
    <n v="44"/>
    <n v="0.4852808747810992"/>
    <n v="115"/>
    <n v="0.4403519538435318"/>
    <n v="64"/>
    <n v="0.4550321188965196"/>
    <n v="182"/>
    <n v="0.3834162612938448"/>
    <n v="134"/>
    <n v="0.3271057252768337"/>
    <n v="77"/>
    <n v="0.4555237919056042"/>
    <n v="38"/>
    <n v="0.4179848265047137"/>
    <n v="39"/>
    <n v="0.4207620786602405"/>
    <n v="11"/>
    <n v="0.342270100493429"/>
    <n v="35"/>
    <n v="0.2546708626090987"/>
    <n v="42"/>
    <n v="0.2797568437996313"/>
    <n v="39"/>
    <n v="0.3470122833270555"/>
    <n v="0.78"/>
    <n v="36"/>
    <n v="0.4706483114128774"/>
    <n v="0.72"/>
    <n v="41"/>
    <n v="0.2150470079431466"/>
    <n v="0.4823529411764706"/>
    <n v="4"/>
    <n v="0.3162611456097753"/>
    <n v="0.08"/>
    <n v="100"/>
    <n v="174"/>
    <n v="45"/>
    <n v="150"/>
    <n v="150"/>
    <n v="0"/>
    <n v="5703530.987918885"/>
    <n v="6303150"/>
    <n v="1839848.705780286"/>
    <n v="0"/>
    <n v="445"/>
    <n v="18194059.42382727"/>
    <n v="3177423.910740767"/>
    <n v="100"/>
    <n v="152"/>
    <n v="52.5"/>
    <n v="250"/>
    <n v="250"/>
    <n v="0"/>
    <n v="5458217.82714818"/>
    <n v="5506200"/>
    <n v="2146490.156743667"/>
    <n v="0"/>
    <n v="445"/>
    <n v="18194059.42382727"/>
    <n v="3706994.562530895"/>
    <n v="120"/>
    <n v="346"/>
    <n v="42"/>
    <n v="0"/>
    <n v="0"/>
    <n v="5122977.670404514"/>
    <n v="14146392.27111064"/>
    <n v="1717192.125394933"/>
    <n v="0"/>
    <n v="445"/>
    <n v="18194059.42382727"/>
    <n v="3529058.823529412"/>
    <n v="50"/>
    <n v="565"/>
    <n v="39"/>
    <n v="200"/>
    <n v="0"/>
    <n v="20467125"/>
    <n v="1594535.545009581"/>
    <n v="7245000"/>
    <n v="0"/>
    <n v="445"/>
    <n v="18194059.42382727"/>
    <n v="3276983.193277311"/>
    <n v="50"/>
    <n v="481"/>
    <n v="50"/>
    <n v="100"/>
    <n v="100"/>
    <n v="0"/>
    <n v="19665938.3884515"/>
    <n v="1811250"/>
    <n v="3622500"/>
    <n v="0"/>
    <n v="445"/>
    <n v="18194059.42382727"/>
    <n v="4201260.504201681"/>
    <n v="85"/>
    <n v="486"/>
    <n v="41"/>
    <m/>
    <n v="0"/>
    <n v="0"/>
    <n v="19870366.02242709"/>
    <n v="1485225"/>
    <n v="0"/>
    <n v="0"/>
    <n v="486"/>
    <n v="18194059.42382727"/>
    <n v="3445033.613445378"/>
    <n v="50"/>
    <n v="449"/>
    <n v="50"/>
    <n v="0"/>
    <n v="41"/>
    <n v="0"/>
    <n v="18357601.53100774"/>
    <n v="1811250"/>
    <n v="0"/>
    <n v="0"/>
    <n v="449"/>
    <n v="18194059.42382727"/>
    <n v="4201260.504201681"/>
    <n v="70"/>
    <n v="399"/>
    <n v="70"/>
    <n v="70"/>
    <n v="70"/>
    <n v="0"/>
    <n v="16313325.19125187"/>
    <n v="2535750"/>
    <n v="2535750"/>
    <n v="0"/>
    <n v="469"/>
    <n v="16313325.19125187"/>
    <n v="5881764.705882354"/>
    <n v="45"/>
    <n v="329"/>
    <n v="45"/>
    <n v="0"/>
    <n v="0"/>
    <n v="70"/>
    <n v="11918025"/>
    <n v="1630125"/>
    <n v="0"/>
    <n v="2535750"/>
    <n v="399"/>
    <n v="14453775"/>
    <n v="3781134.453781513"/>
    <n v="60"/>
    <n v="354"/>
    <n v="60"/>
    <n v="0"/>
    <n v="0"/>
    <n v="0"/>
    <m/>
    <n v="12823650"/>
    <n v="2173500"/>
    <n v="0"/>
    <n v="0"/>
    <n v="354"/>
    <n v="12823650"/>
    <n v="4033109.243697479"/>
    <n v="40"/>
    <n v="294"/>
    <n v="40"/>
    <m/>
    <n v="0"/>
    <n v="10650150"/>
    <n v="1449000"/>
    <n v="0"/>
    <n v="0"/>
    <n v="294"/>
    <n v="10650150"/>
    <n v="2823176.470588236"/>
    <n v="60"/>
    <n v="254"/>
    <n v="60"/>
    <n v="0"/>
    <n v="0"/>
    <n v="9201150"/>
    <n v="2173500"/>
    <n v="0"/>
    <n v="254"/>
    <n v="9201150"/>
    <n v="5041512.605042017"/>
    <n v="24"/>
    <n v="194"/>
    <n v="24"/>
    <n v="0"/>
    <m/>
    <n v="7027650"/>
    <n v="981252.6430828191"/>
    <n v="0"/>
    <n v="194"/>
    <n v="7027650"/>
    <n v="2016605.042016807"/>
  </r>
  <r>
    <s v="Levo-Perifericos de Computacion"/>
    <x v="0"/>
    <x v="1"/>
    <x v="6"/>
    <s v="LVSILLERGO-BL"/>
    <x v="30"/>
    <x v="30"/>
    <x v="0"/>
    <x v="3"/>
    <n v="1"/>
    <x v="26"/>
    <n v="346"/>
    <m/>
    <n v="0"/>
    <n v="36291"/>
    <n v="12556686"/>
    <n v="30.5"/>
    <n v="33321.25"/>
    <n v="75621.84873949581"/>
    <n v="71420.1680672269"/>
    <s v="Shenzhen"/>
    <s v="30/70"/>
    <n v="30"/>
    <n v="100"/>
    <n v="0"/>
    <s v=""/>
    <n v="0"/>
    <s v=""/>
    <n v="2"/>
    <n v="0.4289722963895172"/>
    <n v="20"/>
    <n v="0.570720102928012"/>
    <n v="57"/>
    <n v="0.5444152641161951"/>
    <n v="119"/>
    <n v="0.4953482373396436"/>
    <n v="91"/>
    <n v="0.5786538382892384"/>
    <n v="60"/>
    <n v="0.4592954917742554"/>
    <n v="18"/>
    <n v="0.4615592203868781"/>
    <n v="117"/>
    <n v="0.4679676849765289"/>
    <n v="94"/>
    <n v="0.4944207782262003"/>
    <n v="159"/>
    <n v="0.4731314885563512"/>
    <n v="36"/>
    <s v=""/>
    <n v="79"/>
    <s v=""/>
    <n v="111"/>
    <s v=""/>
    <n v="71"/>
    <s v=""/>
    <n v="0.8875"/>
    <n v="78"/>
    <s v=""/>
    <n v="0.9176470588235294"/>
    <n v="77"/>
    <s v=""/>
    <n v="0.5923076923076923"/>
    <n v="77"/>
    <s v=""/>
    <n v="0.9625"/>
    <n v="125"/>
    <n v="33"/>
    <n v="25"/>
    <n v="150"/>
    <n v="150"/>
    <n v="0"/>
    <n v="9236059.5"/>
    <n v="1041727.5"/>
    <n v="907275"/>
    <n v="0"/>
    <n v="346"/>
    <n v="12556686"/>
    <n v="1588694.301249912"/>
    <n v="125"/>
    <n v="388"/>
    <n v="118.5"/>
    <n v="325"/>
    <n v="325"/>
    <n v="0"/>
    <n v="10905445.5"/>
    <n v="12248190"/>
    <n v="4300483.5"/>
    <n v="0"/>
    <n v="346"/>
    <n v="12556686"/>
    <n v="7530410.987924582"/>
    <n v="150"/>
    <n v="457"/>
    <n v="111"/>
    <n v="0"/>
    <n v="0"/>
    <n v="9288199.5"/>
    <n v="16584987"/>
    <n v="4028301"/>
    <n v="0"/>
    <n v="346"/>
    <n v="12556686"/>
    <n v="8394025.210084034"/>
    <n v="80"/>
    <n v="469"/>
    <n v="71"/>
    <n v="200"/>
    <n v="0"/>
    <n v="14805157.5"/>
    <n v="2576661"/>
    <n v="6313499.999999999"/>
    <n v="0"/>
    <n v="346"/>
    <n v="12556686"/>
    <n v="5369151.260504202"/>
    <n v="85"/>
    <n v="424"/>
    <n v="85"/>
    <n v="100"/>
    <n v="100"/>
    <n v="0"/>
    <n v="15387384"/>
    <n v="2683237.5"/>
    <n v="3156750"/>
    <n v="0"/>
    <n v="346"/>
    <n v="12556686"/>
    <n v="6427857.142857144"/>
    <n v="130"/>
    <n v="423"/>
    <n v="77"/>
    <m/>
    <n v="100"/>
    <n v="0"/>
    <n v="15351093"/>
    <n v="2430697.5"/>
    <n v="0"/>
    <n v="0"/>
    <n v="423"/>
    <n v="12556686"/>
    <n v="5822882.352941177"/>
    <n v="80"/>
    <n v="423"/>
    <n v="80"/>
    <n v="100"/>
    <n v="100"/>
    <n v="0"/>
    <n v="15351093"/>
    <n v="2525400"/>
    <n v="3051525"/>
    <n v="0"/>
    <n v="423"/>
    <n v="12556686"/>
    <n v="6049747.899159664"/>
    <n v="80"/>
    <n v="343"/>
    <n v="80"/>
    <n v="104.7241379310345"/>
    <n v="104.7241379310345"/>
    <n v="0"/>
    <n v="12447813"/>
    <n v="2525400"/>
    <n v="3305879.224137931"/>
    <n v="0"/>
    <n v="447.7241379310345"/>
    <n v="12447813"/>
    <n v="6049747.899159664"/>
    <n v="60"/>
    <n v="263"/>
    <n v="60"/>
    <n v="0"/>
    <n v="0"/>
    <n v="104.7241379310345"/>
    <n v="8302252.499999999"/>
    <n v="1894050"/>
    <n v="0"/>
    <n v="3305879.224137931"/>
    <n v="367.7241379310345"/>
    <n v="11608131.72413793"/>
    <n v="4537310.924369749"/>
    <n v="80"/>
    <n v="307.7241379310345"/>
    <n v="80"/>
    <n v="0"/>
    <n v="0"/>
    <n v="0"/>
    <m/>
    <n v="9714081.72413793"/>
    <n v="2525400"/>
    <n v="0"/>
    <n v="0"/>
    <n v="307.7241379310345"/>
    <n v="9714081.72413793"/>
    <n v="5713613.445378152"/>
    <n v="70"/>
    <n v="227.7241379310345"/>
    <n v="70"/>
    <m/>
    <n v="0"/>
    <n v="7188681.72413793"/>
    <n v="2209725"/>
    <n v="0"/>
    <n v="0"/>
    <n v="227.7241379310345"/>
    <n v="7188681.72413793"/>
    <n v="5249382.352941178"/>
    <n v="80"/>
    <n v="157.7241379310345"/>
    <n v="80"/>
    <n v="0"/>
    <n v="0"/>
    <n v="4978956.72413793"/>
    <n v="2525400"/>
    <n v="0"/>
    <n v="157.7241379310345"/>
    <n v="4978956.72413793"/>
    <n v="6049747.899159664"/>
    <n v="42"/>
    <n v="77.72413793103448"/>
    <n v="42"/>
    <n v="0"/>
    <m/>
    <n v="2453556.724137931"/>
    <n v="1524222"/>
    <n v="0"/>
    <n v="77.72413793103448"/>
    <n v="2453556.724137931"/>
    <n v="3176117.647058824"/>
  </r>
  <r>
    <m/>
    <x v="0"/>
    <x v="1"/>
    <x v="6"/>
    <s v="LVSILLLIT-BL"/>
    <x v="31"/>
    <x v="31"/>
    <x v="0"/>
    <x v="3"/>
    <n v="1"/>
    <x v="12"/>
    <n v="369"/>
    <m/>
    <n v="0"/>
    <n v="9204.599999999999"/>
    <n v="3396497.399999999"/>
    <n v="9.199999999999999"/>
    <n v="10051"/>
    <n v="33605.04201680672"/>
    <n v="33605.04201680672"/>
    <s v="Shenzhen"/>
    <s v="30/7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4"/>
    <s v=""/>
    <n v="0.04"/>
    <n v="33"/>
    <s v=""/>
    <n v="0.33"/>
    <n v="89"/>
    <s v=""/>
    <n v="0.89"/>
    <n v="-6"/>
    <s v=""/>
    <n v="-0.1"/>
    <n v="0"/>
    <n v="0"/>
    <n v="0"/>
    <n v="0"/>
    <n v="0"/>
    <n v="0"/>
    <n v="0"/>
    <n v="0"/>
    <n v="0"/>
    <n v="0"/>
    <n v="369"/>
    <n v="3396497.399999999"/>
    <n v="0"/>
    <n v="0"/>
    <n v="0"/>
    <n v="0"/>
    <n v="200"/>
    <n v="200"/>
    <n v="0"/>
    <n v="36818.39999999999"/>
    <n v="0"/>
    <n v="0"/>
    <n v="0"/>
    <n v="369"/>
    <n v="3396497.399999999"/>
    <n v="0"/>
    <n v="25"/>
    <n v="0"/>
    <n v="0"/>
    <n v="0"/>
    <n v="0"/>
    <n v="989018.4"/>
    <n v="0"/>
    <n v="0"/>
    <n v="0"/>
    <n v="369"/>
    <n v="3396497.399999999"/>
    <n v="0"/>
    <n v="100"/>
    <n v="406"/>
    <n v="4"/>
    <n v="200"/>
    <n v="0"/>
    <n v="3865932"/>
    <n v="36818.39999999999"/>
    <n v="1904400"/>
    <n v="0"/>
    <n v="369"/>
    <n v="3396497.399999999"/>
    <n v="134420.1680672269"/>
    <n v="100"/>
    <n v="402"/>
    <n v="100"/>
    <n v="100"/>
    <n v="100"/>
    <n v="0"/>
    <n v="3700249.199999999"/>
    <n v="952200"/>
    <n v="952200"/>
    <n v="0"/>
    <n v="369"/>
    <n v="3396497.399999999"/>
    <n v="3360504.201680672"/>
    <n v="100"/>
    <n v="458"/>
    <n v="89"/>
    <m/>
    <n v="0"/>
    <n v="0"/>
    <n v="4215706.799999999"/>
    <n v="847458"/>
    <n v="0"/>
    <n v="0"/>
    <n v="458"/>
    <n v="3396497.399999999"/>
    <n v="2990848.739495798"/>
    <n v="60"/>
    <n v="363"/>
    <n v="60"/>
    <n v="0"/>
    <n v="0"/>
    <n v="0"/>
    <n v="3341269.799999999"/>
    <n v="571320"/>
    <n v="0"/>
    <n v="0"/>
    <n v="363"/>
    <n v="3396497.399999999"/>
    <n v="2016302.521008403"/>
    <n v="80"/>
    <n v="303"/>
    <n v="80"/>
    <n v="100"/>
    <n v="100"/>
    <n v="0"/>
    <n v="2788993.799999999"/>
    <n v="761760"/>
    <n v="952200"/>
    <n v="0"/>
    <n v="403"/>
    <n v="2788993.799999999"/>
    <n v="2688403.361344538"/>
    <n v="50"/>
    <n v="223"/>
    <n v="50"/>
    <n v="0"/>
    <n v="0"/>
    <n v="0"/>
    <n v="2123406"/>
    <n v="476100"/>
    <n v="0"/>
    <n v="0"/>
    <n v="223"/>
    <n v="2123406"/>
    <n v="1680252.100840336"/>
    <n v="60"/>
    <n v="273"/>
    <n v="60"/>
    <n v="0"/>
    <n v="0"/>
    <n v="0"/>
    <n v="100"/>
    <n v="2599506"/>
    <n v="571320"/>
    <n v="0"/>
    <n v="952200"/>
    <n v="273"/>
    <n v="3551706"/>
    <n v="2016302.521008403"/>
    <n v="60"/>
    <n v="213"/>
    <n v="60"/>
    <m/>
    <n v="0"/>
    <n v="2028186"/>
    <n v="571320"/>
    <n v="0"/>
    <n v="0"/>
    <n v="213"/>
    <n v="2028186"/>
    <n v="2117117.647058824"/>
    <n v="60"/>
    <n v="153"/>
    <n v="60"/>
    <n v="0"/>
    <n v="0"/>
    <n v="1456866"/>
    <n v="571320"/>
    <n v="0"/>
    <n v="153"/>
    <n v="1456866"/>
    <n v="2016302.521008403"/>
    <n v="36"/>
    <n v="93"/>
    <n v="36"/>
    <n v="0"/>
    <m/>
    <n v="885546"/>
    <n v="331365.6"/>
    <n v="0"/>
    <n v="93"/>
    <n v="885546"/>
    <n v="1209781.512605042"/>
  </r>
  <r>
    <s v="Levo-Smart Home"/>
    <x v="0"/>
    <x v="3"/>
    <x v="7"/>
    <n v="1652825027456"/>
    <x v="32"/>
    <x v="32"/>
    <x v="0"/>
    <x v="4"/>
    <n v="0.9"/>
    <x v="27"/>
    <n v="121"/>
    <m/>
    <n v="0"/>
    <n v="6466.620253164557"/>
    <n v="782461.0506329114"/>
    <n v="6.5"/>
    <n v="7101.249999999999"/>
    <n v="16798.31932773109"/>
    <n v="15117.64705882353"/>
    <s v="Shenzhen"/>
    <s v="20/80"/>
    <n v="30"/>
    <n v="300"/>
    <n v="91"/>
    <n v="0.6061961950489748"/>
    <n v="100"/>
    <n v="0.588074127736354"/>
    <n v="91"/>
    <n v="0.6316231260146341"/>
    <n v="105"/>
    <n v="0.6165755820968829"/>
    <n v="51"/>
    <n v="0.6671149096952609"/>
    <n v="79"/>
    <n v="0.6122987782072026"/>
    <n v="114"/>
    <n v="0.5775140713712331"/>
    <n v="66"/>
    <n v="0.6164749808099762"/>
    <n v="85"/>
    <n v="0.5622003956349827"/>
    <n v="82"/>
    <n v="0.5564538009784845"/>
    <n v="60"/>
    <n v="0.5663565197682298"/>
    <n v="92"/>
    <n v="0.5173942247165608"/>
    <n v="26"/>
    <n v="0.579675294737121"/>
    <n v="90"/>
    <n v="0.4361259409270177"/>
    <n v="58"/>
    <n v="0.5037743335832056"/>
    <n v="35"/>
    <n v="0.555389652562041"/>
    <n v="0.4375"/>
    <n v="53"/>
    <n v="0.5917637046936473"/>
    <n v="0.6625"/>
    <n v="201"/>
    <n v="0.5664043215394471"/>
    <n v="2.01"/>
    <n v="0"/>
    <n v="0.5408191808050802"/>
    <n v="0"/>
    <n v="80"/>
    <n v="47"/>
    <n v="50"/>
    <n v="300"/>
    <n v="150"/>
    <n v="0"/>
    <n v="1571388.721518987"/>
    <n v="316192.4999999999"/>
    <n v="323331.0126582278"/>
    <n v="0"/>
    <n v="121"/>
    <n v="782461.0506329114"/>
    <n v="705811.7364592897"/>
    <n v="80"/>
    <n v="315"/>
    <n v="135"/>
    <n v="0"/>
    <m/>
    <n v="0"/>
    <n v="1474389.417721519"/>
    <n v="2119162.5"/>
    <n v="872993.7341772151"/>
    <n v="0"/>
    <n v="121"/>
    <n v="782461.0506329114"/>
    <n v="1905691.688440082"/>
    <n v="80"/>
    <n v="209"/>
    <n v="58"/>
    <n v="0"/>
    <n v="0"/>
    <n v="1085775.683544304"/>
    <n v="1351523.632911392"/>
    <n v="375063.9746835443"/>
    <n v="0"/>
    <n v="121"/>
    <n v="782461.0506329114"/>
    <n v="974302.5210084034"/>
    <n v="80"/>
    <n v="445"/>
    <n v="35"/>
    <n v="300"/>
    <n v="0"/>
    <n v="2993737.5"/>
    <n v="226331.7088607595"/>
    <n v="2018250"/>
    <n v="0"/>
    <n v="121"/>
    <n v="782461.0506329114"/>
    <n v="587941.1764705882"/>
    <n v="80"/>
    <n v="174"/>
    <n v="72"/>
    <m/>
    <n v="0"/>
    <n v="0"/>
    <n v="1125191.924050633"/>
    <n v="484379.9999999999"/>
    <n v="0"/>
    <n v="0"/>
    <n v="121"/>
    <n v="782461.0506329114"/>
    <n v="1209478.991596639"/>
    <n v="100"/>
    <n v="322"/>
    <n v="201"/>
    <m/>
    <n v="0"/>
    <n v="0"/>
    <n v="2082251.721518987"/>
    <n v="1352227.5"/>
    <n v="0"/>
    <n v="0"/>
    <n v="322"/>
    <n v="782461.0506329114"/>
    <n v="3376462.18487395"/>
    <n v="70"/>
    <n v="121"/>
    <n v="63"/>
    <n v="0"/>
    <n v="0"/>
    <n v="0"/>
    <n v="782461.0506329114"/>
    <n v="423832.4999999999"/>
    <n v="0"/>
    <n v="0"/>
    <n v="121"/>
    <n v="782461.0506329114"/>
    <n v="1058294.117647059"/>
    <n v="70"/>
    <n v="58"/>
    <n v="63"/>
    <n v="0"/>
    <n v="0"/>
    <n v="0"/>
    <n v="375063.9746835443"/>
    <n v="423832.4999999999"/>
    <n v="0"/>
    <n v="0"/>
    <n v="58"/>
    <n v="375063.9746835443"/>
    <n v="1058294.117647059"/>
    <n v="70"/>
    <n v="0"/>
    <n v="63"/>
    <n v="0"/>
    <n v="0"/>
    <m/>
    <n v="0"/>
    <n v="423832.4999999999"/>
    <n v="0"/>
    <n v="0"/>
    <n v="0"/>
    <n v="0"/>
    <n v="1058294.117647059"/>
    <n v="90"/>
    <n v="0"/>
    <n v="0"/>
    <n v="0"/>
    <n v="0"/>
    <n v="0"/>
    <m/>
    <n v="0"/>
    <n v="0"/>
    <n v="0"/>
    <n v="0"/>
    <n v="0"/>
    <n v="0"/>
    <n v="0"/>
    <n v="80"/>
    <n v="0"/>
    <n v="72"/>
    <n v="300"/>
    <n v="300"/>
    <n v="0"/>
    <n v="484379.9999999999"/>
    <n v="2018250"/>
    <n v="2018250"/>
    <n v="300"/>
    <n v="2018250"/>
    <n v="1142894.117647059"/>
    <n v="80"/>
    <n v="228"/>
    <n v="72"/>
    <n v="0"/>
    <n v="0"/>
    <n v="1533870"/>
    <n v="484379.9999999999"/>
    <n v="0"/>
    <n v="228"/>
    <n v="1533870"/>
    <n v="1209478.991596639"/>
    <n v="48"/>
    <n v="156"/>
    <n v="43.2"/>
    <n v="0"/>
    <m/>
    <n v="1049490"/>
    <n v="279357.9949367089"/>
    <n v="0"/>
    <n v="156"/>
    <n v="1049490"/>
    <n v="725687.3949579833"/>
  </r>
  <r>
    <s v="Levo-Smart Home"/>
    <x v="0"/>
    <x v="3"/>
    <x v="8"/>
    <n v="67327559384453"/>
    <x v="33"/>
    <x v="33"/>
    <x v="0"/>
    <x v="3"/>
    <n v="1"/>
    <x v="28"/>
    <n v="27"/>
    <m/>
    <n v="0"/>
    <n v="11465.67573501863"/>
    <n v="309573.244845503"/>
    <n v="13.4"/>
    <n v="14639.5"/>
    <n v="25201.68067226891"/>
    <n v="25201.68067226891"/>
    <s v="Shenzhen"/>
    <s v="30/70"/>
    <n v="30"/>
    <n v="50"/>
    <n v="103"/>
    <n v="0.6457568688977868"/>
    <n v="58"/>
    <n v="0.661688175463256"/>
    <n v="33"/>
    <n v="0.6913149545907454"/>
    <n v="20"/>
    <n v="0.7233715346778159"/>
    <n v="5"/>
    <n v="0.6754855911636174"/>
    <n v="56"/>
    <n v="0.6628004527966471"/>
    <n v="30"/>
    <n v="0.6978013530445319"/>
    <n v="46"/>
    <n v="0.6562069338100424"/>
    <n v="16"/>
    <n v="0.6808662353165756"/>
    <n v="60"/>
    <n v="0.6122744467096963"/>
    <n v="50"/>
    <n v="0.5926877779785392"/>
    <n v="85"/>
    <n v="0.558975139939484"/>
    <n v="33"/>
    <n v="0.458053360134788"/>
    <n v="104"/>
    <n v="0.3828118338348571"/>
    <n v="126"/>
    <n v="0.3341563560659754"/>
    <n v="18"/>
    <n v="0.4489979455328193"/>
    <n v="0.4"/>
    <n v="2"/>
    <n v="0.5450430143381128"/>
    <n v="0.04444444444444445"/>
    <n v="11"/>
    <n v="0.1212405347037431"/>
    <n v="2.2"/>
    <n v="0"/>
    <n v="0.3671912416554896"/>
    <n v="0"/>
    <n v="50"/>
    <n v="149"/>
    <n v="30"/>
    <n v="50"/>
    <n v="50"/>
    <n v="0"/>
    <n v="3577290.829325813"/>
    <n v="2066481"/>
    <n v="343970.2720505589"/>
    <n v="0"/>
    <n v="27"/>
    <n v="309573.244845503"/>
    <n v="635336.487536191"/>
    <n v="50"/>
    <n v="245"/>
    <n v="156"/>
    <n v="80"/>
    <n v="80"/>
    <n v="0"/>
    <n v="3439702.720505589"/>
    <n v="3397905"/>
    <n v="1788645.414662906"/>
    <n v="0"/>
    <n v="27"/>
    <n v="309573.244845503"/>
    <n v="3303749.735188193"/>
    <n v="50"/>
    <n v="93"/>
    <n v="126"/>
    <n v="0"/>
    <n v="0"/>
    <n v="2275162.305842683"/>
    <n v="1066307.843356733"/>
    <n v="1444675.142612347"/>
    <n v="0"/>
    <n v="27"/>
    <n v="309573.244845503"/>
    <n v="3175411.764705882"/>
    <n v="45"/>
    <n v="19"/>
    <n v="18"/>
    <n v="0"/>
    <n v="0"/>
    <n v="263510.9999999999"/>
    <n v="206382.1632303353"/>
    <n v="0"/>
    <n v="0"/>
    <n v="27"/>
    <n v="309573.244845503"/>
    <n v="453630.2521008403"/>
    <n v="45"/>
    <n v="29"/>
    <n v="45"/>
    <m/>
    <n v="0"/>
    <n v="0"/>
    <n v="332504.5963155403"/>
    <n v="624104.9999999999"/>
    <n v="0"/>
    <n v="0"/>
    <n v="27"/>
    <n v="309573.244845503"/>
    <n v="1134075.630252101"/>
    <n v="5"/>
    <n v="38"/>
    <n v="11"/>
    <m/>
    <n v="0"/>
    <n v="0"/>
    <n v="435695.677930708"/>
    <n v="152559"/>
    <n v="0"/>
    <n v="0"/>
    <n v="38"/>
    <n v="309573.244845503"/>
    <n v="277218.487394958"/>
    <n v="50"/>
    <n v="27"/>
    <n v="50"/>
    <n v="100"/>
    <n v="100"/>
    <n v="0"/>
    <n v="309573.244845503"/>
    <n v="693449.9999999999"/>
    <n v="1340670"/>
    <n v="0"/>
    <n v="27"/>
    <n v="309573.244845503"/>
    <n v="1260084.033613445"/>
    <n v="50"/>
    <n v="0"/>
    <n v="50"/>
    <n v="110"/>
    <n v="110"/>
    <n v="0"/>
    <n v="0"/>
    <n v="693449.9999999999"/>
    <n v="1525590"/>
    <n v="0"/>
    <n v="110"/>
    <n v="0"/>
    <n v="1260084.033613445"/>
    <n v="50"/>
    <n v="0"/>
    <n v="50"/>
    <n v="100"/>
    <n v="100"/>
    <n v="100"/>
    <n v="0"/>
    <n v="693449.9999999999"/>
    <n v="1386900"/>
    <n v="1386900"/>
    <n v="100"/>
    <n v="1386900"/>
    <n v="1260084.033613445"/>
    <n v="75"/>
    <n v="50"/>
    <n v="50"/>
    <n v="0"/>
    <n v="0"/>
    <n v="0"/>
    <m/>
    <n v="693449.9999999999"/>
    <n v="693449.9999999999"/>
    <n v="0"/>
    <n v="0"/>
    <n v="50"/>
    <n v="693449.9999999999"/>
    <n v="1260084.033613445"/>
    <n v="80"/>
    <n v="0"/>
    <n v="80"/>
    <n v="0"/>
    <n v="0"/>
    <n v="0"/>
    <n v="1109520"/>
    <n v="0"/>
    <n v="0"/>
    <n v="0"/>
    <n v="0"/>
    <n v="2116941.176470588"/>
    <n v="90"/>
    <n v="0"/>
    <n v="90"/>
    <n v="100"/>
    <n v="100"/>
    <n v="0"/>
    <n v="1248210"/>
    <n v="1386900"/>
    <n v="100"/>
    <n v="1386900"/>
    <n v="2268151.260504202"/>
    <n v="48"/>
    <n v="10"/>
    <n v="48"/>
    <n v="0"/>
    <m/>
    <n v="138690"/>
    <n v="550352.4352808943"/>
    <n v="0"/>
    <n v="10"/>
    <n v="138690"/>
    <n v="1209680.672268908"/>
  </r>
  <r>
    <s v="Levo-Smart Home"/>
    <x v="0"/>
    <x v="3"/>
    <x v="9"/>
    <n v="1538141129434"/>
    <x v="34"/>
    <x v="34"/>
    <x v="0"/>
    <x v="0"/>
    <n v="1"/>
    <x v="29"/>
    <n v="82"/>
    <m/>
    <n v="0"/>
    <n v="3249.72456885329"/>
    <n v="266477.4146459698"/>
    <n v="3.53"/>
    <n v="3856.525"/>
    <n v="8394.957983193277"/>
    <n v="8394.957983193277"/>
    <s v="Shenzhen"/>
    <s v="30/70"/>
    <n v="30"/>
    <n v="100"/>
    <n v="55"/>
    <n v="0.71497455404704"/>
    <n v="59"/>
    <n v="0.6544705974982585"/>
    <n v="79"/>
    <n v="0.6775596821506892"/>
    <n v="68"/>
    <n v="0.6543814653282449"/>
    <n v="46"/>
    <n v="0.6547795163141472"/>
    <n v="155"/>
    <n v="0.6075361682667739"/>
    <n v="133"/>
    <n v="0.6420723203298146"/>
    <n v="83"/>
    <n v="0.6465067537078928"/>
    <n v="46"/>
    <n v="0.6871001127869333"/>
    <n v="94"/>
    <n v="0.5819379628543536"/>
    <n v="96"/>
    <n v="0.5936982528032965"/>
    <n v="39"/>
    <n v="0.5702343857771263"/>
    <n v="9"/>
    <n v="0.5798530649576449"/>
    <n v="41"/>
    <n v="-0.06556255254161635"/>
    <n v="106"/>
    <n v="0.2793539801742244"/>
    <n v="112"/>
    <n v="0.3960106138745958"/>
    <n v="1.6"/>
    <n v="110"/>
    <n v="0.6279420205374072"/>
    <n v="1.571428571428571"/>
    <n v="65"/>
    <n v="0.5229647027749997"/>
    <n v="0.7222222222222222"/>
    <n v="0"/>
    <n v="0.4078021846822478"/>
    <n v="0"/>
    <n v="70"/>
    <n v="6"/>
    <n v="10"/>
    <n v="150"/>
    <n v="150"/>
    <n v="0"/>
    <n v="576826.110971459"/>
    <n v="21921.3"/>
    <n v="32497.2456885329"/>
    <n v="0"/>
    <n v="82"/>
    <n v="266477.4146459698"/>
    <n v="70545.86540498552"/>
    <n v="70"/>
    <n v="351"/>
    <n v="61.5"/>
    <n v="200"/>
    <n v="200"/>
    <n v="0"/>
    <n v="908298.0169944945"/>
    <n v="1282396.05"/>
    <n v="199858.0609844773"/>
    <n v="0"/>
    <n v="82"/>
    <n v="266477.4146459698"/>
    <n v="433857.072240661"/>
    <n v="70"/>
    <n v="294"/>
    <n v="106"/>
    <n v="0"/>
    <n v="0"/>
    <n v="964188.4560100172"/>
    <n v="955419.0232428672"/>
    <n v="344470.8042984487"/>
    <n v="0"/>
    <n v="82"/>
    <n v="266477.4146459698"/>
    <n v="889865.5462184873"/>
    <n v="70"/>
    <n v="267"/>
    <n v="112"/>
    <n v="90"/>
    <n v="0"/>
    <n v="975497.85"/>
    <n v="363969.1517115685"/>
    <n v="328819.5"/>
    <n v="0"/>
    <n v="82"/>
    <n v="266477.4146459698"/>
    <n v="940235.294117647"/>
    <n v="70"/>
    <n v="192"/>
    <n v="70"/>
    <m/>
    <n v="0"/>
    <n v="0"/>
    <n v="623947.1172198317"/>
    <n v="255748.5"/>
    <n v="0"/>
    <n v="0"/>
    <n v="82"/>
    <n v="266477.4146459698"/>
    <n v="587647.0588235294"/>
    <n v="90"/>
    <n v="147"/>
    <n v="65"/>
    <m/>
    <n v="0"/>
    <n v="0"/>
    <n v="477709.5116214336"/>
    <n v="237480.75"/>
    <n v="0"/>
    <n v="0"/>
    <n v="147"/>
    <n v="266477.4146459698"/>
    <n v="545672.2689075629"/>
    <n v="70"/>
    <n v="82"/>
    <n v="70"/>
    <n v="100"/>
    <n v="100"/>
    <n v="0"/>
    <n v="266477.4146459698"/>
    <n v="255748.5"/>
    <n v="353176.5000000001"/>
    <n v="0"/>
    <n v="82"/>
    <n v="266477.4146459698"/>
    <n v="587647.0588235294"/>
    <n v="70"/>
    <n v="12"/>
    <n v="70"/>
    <n v="100"/>
    <n v="100"/>
    <n v="100"/>
    <n v="38996.69482623948"/>
    <n v="255748.5"/>
    <n v="365355"/>
    <n v="365355"/>
    <n v="112"/>
    <n v="404351.6948262395"/>
    <n v="587647.0588235294"/>
    <n v="70"/>
    <n v="42"/>
    <n v="70"/>
    <n v="0"/>
    <n v="0"/>
    <m/>
    <n v="153449.1"/>
    <n v="255748.5"/>
    <n v="0"/>
    <n v="0"/>
    <n v="42"/>
    <n v="153449.1"/>
    <n v="587647.0588235294"/>
    <n v="0"/>
    <n v="0"/>
    <n v="0"/>
    <n v="0"/>
    <n v="0"/>
    <n v="0"/>
    <m/>
    <n v="0"/>
    <n v="0"/>
    <n v="0"/>
    <n v="0"/>
    <n v="0"/>
    <n v="0"/>
    <n v="0"/>
    <n v="90"/>
    <n v="0"/>
    <n v="90"/>
    <m/>
    <n v="0"/>
    <n v="0"/>
    <n v="328819.5"/>
    <n v="0"/>
    <n v="0"/>
    <n v="0"/>
    <n v="0"/>
    <n v="793323.5294117647"/>
    <n v="90"/>
    <n v="0"/>
    <n v="90"/>
    <n v="0"/>
    <n v="0"/>
    <n v="0"/>
    <n v="328819.5"/>
    <n v="0"/>
    <n v="0"/>
    <n v="0"/>
    <n v="755546.218487395"/>
    <n v="54"/>
    <n v="0"/>
    <n v="54"/>
    <n v="0"/>
    <m/>
    <n v="0"/>
    <n v="175485.1267180777"/>
    <n v="0"/>
    <n v="0"/>
    <n v="0"/>
    <n v="453327.7310924369"/>
  </r>
  <r>
    <s v="Levo-Smart Home"/>
    <x v="0"/>
    <x v="3"/>
    <x v="9"/>
    <n v="1543406075297"/>
    <x v="35"/>
    <x v="35"/>
    <x v="0"/>
    <x v="4"/>
    <n v="1"/>
    <x v="30"/>
    <n v="187"/>
    <m/>
    <n v="0"/>
    <n v="3664"/>
    <n v="685168"/>
    <n v="3.53"/>
    <n v="3856.525"/>
    <n v="8394.957983193277"/>
    <n v="8394.957983193277"/>
    <s v="Shenzhen"/>
    <s v="30/70"/>
    <n v="30"/>
    <n v="100"/>
    <n v="178"/>
    <n v="0.664259322982213"/>
    <n v="34"/>
    <n v="0.6767939911721078"/>
    <n v="106"/>
    <n v="0.6876316159737232"/>
    <n v="1"/>
    <n v="0.6575484141647421"/>
    <n v="0"/>
    <s v=""/>
    <n v="29"/>
    <n v="0.6295412096319533"/>
    <n v="42"/>
    <n v="0.6787748855637197"/>
    <n v="36"/>
    <n v="0.671732183980658"/>
    <n v="39"/>
    <n v="0.6455769210308807"/>
    <n v="69"/>
    <n v="0.5895898233945265"/>
    <n v="55"/>
    <n v="0.6239814760895416"/>
    <n v="55"/>
    <n v="0.6333752189577745"/>
    <n v="53"/>
    <n v="0.4321509089220231"/>
    <n v="62"/>
    <n v="0.2393353872438571"/>
    <n v="54"/>
    <n v="0.3177374832984937"/>
    <n v="39"/>
    <n v="0.4167596651280848"/>
    <n v="0.78"/>
    <n v="12"/>
    <n v="0.5635922589255923"/>
    <n v="0.2666666666666667"/>
    <n v="16"/>
    <n v="0.3819049429176011"/>
    <n v="0.32"/>
    <n v="0"/>
    <n v="0.3596473410362694"/>
    <n v="0"/>
    <n v="35"/>
    <n v="307"/>
    <n v="35"/>
    <n v="0"/>
    <m/>
    <n v="0"/>
    <n v="666848"/>
    <n v="1121639.85"/>
    <n v="128240"/>
    <n v="0"/>
    <n v="187"/>
    <n v="685168"/>
    <n v="246910.5289174494"/>
    <n v="35"/>
    <n v="246"/>
    <n v="93"/>
    <n v="0"/>
    <m/>
    <n v="0"/>
    <n v="681504"/>
    <n v="898773.2999999999"/>
    <n v="340752"/>
    <n v="0"/>
    <n v="187"/>
    <n v="685168"/>
    <n v="656076.5482663654"/>
    <n v="50"/>
    <n v="171"/>
    <n v="54"/>
    <n v="0"/>
    <n v="0"/>
    <n v="505161.75"/>
    <n v="626544"/>
    <n v="197856"/>
    <n v="0"/>
    <n v="187"/>
    <n v="685168"/>
    <n v="453327.7310924369"/>
    <n v="50"/>
    <n v="119"/>
    <n v="39"/>
    <n v="0"/>
    <n v="0"/>
    <n v="434772.45"/>
    <n v="142896"/>
    <n v="0"/>
    <n v="0"/>
    <n v="187"/>
    <n v="685168"/>
    <n v="327403.3613445378"/>
    <n v="45"/>
    <n v="199"/>
    <n v="45"/>
    <m/>
    <n v="0"/>
    <n v="0"/>
    <n v="729136"/>
    <n v="164409.75"/>
    <n v="0"/>
    <n v="0"/>
    <n v="187"/>
    <n v="685168"/>
    <n v="377773.1092436975"/>
    <n v="50"/>
    <n v="203"/>
    <n v="16"/>
    <m/>
    <n v="0"/>
    <n v="0"/>
    <n v="743792"/>
    <n v="58456.8"/>
    <n v="0"/>
    <n v="0"/>
    <n v="203"/>
    <n v="685168"/>
    <n v="134319.3277310924"/>
    <n v="50"/>
    <n v="187"/>
    <n v="50"/>
    <n v="145"/>
    <n v="145"/>
    <n v="0"/>
    <n v="685168"/>
    <n v="182677.5"/>
    <n v="512105.925"/>
    <n v="0"/>
    <n v="187"/>
    <n v="685168"/>
    <n v="419747.8991596638"/>
    <n v="50"/>
    <n v="137"/>
    <n v="50"/>
    <n v="60"/>
    <n v="60"/>
    <n v="100"/>
    <n v="501968"/>
    <n v="182677.5"/>
    <n v="219213"/>
    <n v="365355"/>
    <n v="197"/>
    <n v="867323"/>
    <n v="419747.8991596638"/>
    <n v="45"/>
    <n v="187"/>
    <n v="45"/>
    <n v="0"/>
    <n v="0"/>
    <m/>
    <n v="683213.85"/>
    <n v="164409.75"/>
    <n v="0"/>
    <n v="0"/>
    <n v="187"/>
    <n v="683213.85"/>
    <n v="377773.1092436975"/>
    <n v="60"/>
    <n v="142"/>
    <n v="60"/>
    <n v="0"/>
    <n v="0"/>
    <n v="0"/>
    <m/>
    <n v="518804.1"/>
    <n v="219213"/>
    <n v="0"/>
    <n v="0"/>
    <n v="142"/>
    <n v="518804.1"/>
    <n v="503697.4789915966"/>
    <n v="60"/>
    <n v="82"/>
    <n v="60"/>
    <m/>
    <n v="0"/>
    <n v="299591.1"/>
    <n v="219213"/>
    <n v="0"/>
    <n v="0"/>
    <n v="82"/>
    <n v="299591.1"/>
    <n v="528882.3529411765"/>
    <n v="60"/>
    <n v="22"/>
    <n v="60"/>
    <n v="0"/>
    <n v="0"/>
    <n v="80378.09999999999"/>
    <n v="219213"/>
    <n v="0"/>
    <n v="22"/>
    <n v="80378.09999999999"/>
    <n v="503697.4789915966"/>
    <n v="36"/>
    <n v="0"/>
    <n v="36"/>
    <n v="0"/>
    <m/>
    <n v="0"/>
    <n v="131904"/>
    <n v="0"/>
    <n v="0"/>
    <n v="0"/>
    <n v="302218.487394958"/>
  </r>
  <r>
    <s v="Levo-Smart Home"/>
    <x v="0"/>
    <x v="3"/>
    <x v="10"/>
    <s v="LVCAMSEGEX-BK"/>
    <x v="36"/>
    <x v="36"/>
    <x v="0"/>
    <x v="4"/>
    <n v="1"/>
    <x v="31"/>
    <n v="40"/>
    <m/>
    <n v="0"/>
    <n v="7602"/>
    <n v="304080"/>
    <n v="7.4"/>
    <n v="7602"/>
    <n v="16798.31932773109"/>
    <n v="12596.63865546219"/>
    <s v="Shenzhen"/>
    <s v="30/70"/>
    <n v="30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26"/>
    <n v="0.5236245143501692"/>
    <n v="79"/>
    <n v="0.5054008830468116"/>
    <n v="47"/>
    <n v="0.5471095459484603"/>
    <n v="27"/>
    <s v=""/>
    <n v="108"/>
    <s v=""/>
    <n v="236"/>
    <s v=""/>
    <n v="128"/>
    <s v=""/>
    <n v="1.066666666666667"/>
    <n v="86"/>
    <s v=""/>
    <n v="0.7166666666666667"/>
    <n v="438"/>
    <s v=""/>
    <n v="1.752"/>
    <n v="176"/>
    <s v=""/>
    <n v="0.7333333333333333"/>
    <n v="110"/>
    <n v="351"/>
    <n v="60"/>
    <n v="0"/>
    <n v="176"/>
    <n v="0"/>
    <n v="3481716"/>
    <n v="2688309"/>
    <n v="456120"/>
    <n v="0"/>
    <n v="40"/>
    <n v="304080"/>
    <n v="846974.0837511476"/>
    <n v="160"/>
    <n v="318"/>
    <n v="162"/>
    <n v="700"/>
    <n v="700"/>
    <n v="0"/>
    <n v="3998652"/>
    <n v="2435562"/>
    <n v="1231524"/>
    <n v="0"/>
    <n v="40"/>
    <n v="304080"/>
    <n v="2286830.026128098"/>
    <n v="200"/>
    <n v="929"/>
    <n v="236"/>
    <n v="0"/>
    <n v="0"/>
    <n v="3686208"/>
    <n v="7062258"/>
    <n v="1794072"/>
    <n v="0"/>
    <n v="40"/>
    <n v="304080"/>
    <n v="3964403.361344538"/>
    <n v="120"/>
    <n v="852"/>
    <n v="128"/>
    <n v="200"/>
    <n v="0"/>
    <n v="6525467.999999999"/>
    <n v="973056"/>
    <n v="1531800"/>
    <n v="0"/>
    <n v="40"/>
    <n v="304080"/>
    <n v="2150184.87394958"/>
    <n v="120"/>
    <n v="126"/>
    <n v="120"/>
    <m/>
    <n v="0"/>
    <n v="0"/>
    <n v="957852"/>
    <n v="919079.9999999999"/>
    <n v="0"/>
    <n v="0"/>
    <n v="40"/>
    <n v="304080"/>
    <n v="2015798.319327731"/>
    <n v="250"/>
    <n v="478"/>
    <n v="438"/>
    <m/>
    <n v="0"/>
    <n v="0"/>
    <n v="3633756"/>
    <n v="3354642"/>
    <n v="0"/>
    <n v="0"/>
    <n v="478"/>
    <n v="304080"/>
    <n v="7357663.865546219"/>
    <n v="240"/>
    <n v="216"/>
    <n v="240"/>
    <n v="0"/>
    <n v="0"/>
    <n v="0"/>
    <n v="1642032"/>
    <n v="1838160"/>
    <n v="0"/>
    <n v="0"/>
    <n v="216"/>
    <n v="304080"/>
    <n v="4031596.638655462"/>
    <n v="0"/>
    <n v="0"/>
    <n v="0"/>
    <n v="300"/>
    <n v="300"/>
    <n v="300"/>
    <n v="0"/>
    <n v="0"/>
    <n v="2297700"/>
    <n v="2297700"/>
    <n v="300"/>
    <n v="2297700"/>
    <n v="0"/>
    <n v="0"/>
    <n v="300"/>
    <n v="0"/>
    <n v="0"/>
    <n v="0"/>
    <m/>
    <n v="2297700"/>
    <n v="0"/>
    <n v="0"/>
    <n v="0"/>
    <n v="300"/>
    <n v="2297700"/>
    <n v="0"/>
    <n v="0"/>
    <n v="300"/>
    <n v="0"/>
    <n v="0"/>
    <n v="0"/>
    <n v="0"/>
    <m/>
    <n v="2297700"/>
    <n v="0"/>
    <n v="0"/>
    <n v="0"/>
    <n v="300"/>
    <n v="2297700"/>
    <n v="0"/>
    <n v="175"/>
    <n v="300"/>
    <n v="175"/>
    <n v="200"/>
    <n v="200"/>
    <n v="2297700"/>
    <n v="1340325"/>
    <n v="1531800"/>
    <n v="1531800"/>
    <n v="500"/>
    <n v="3829499.999999999"/>
    <n v="2314632.352941177"/>
    <n v="200"/>
    <n v="325"/>
    <n v="200"/>
    <n v="200"/>
    <n v="200"/>
    <n v="2489175"/>
    <n v="1531800"/>
    <n v="1531800"/>
    <n v="525"/>
    <n v="4020974.999999999"/>
    <n v="3359663.865546219"/>
    <n v="105"/>
    <n v="325"/>
    <n v="105"/>
    <n v="0"/>
    <m/>
    <n v="2489175"/>
    <n v="798210"/>
    <n v="0"/>
    <n v="325"/>
    <n v="2489175"/>
    <n v="1763823.529411765"/>
  </r>
  <r>
    <s v="Levo-Smart Home"/>
    <x v="0"/>
    <x v="3"/>
    <x v="11"/>
    <s v="LVCITMONWF"/>
    <x v="37"/>
    <x v="37"/>
    <x v="0"/>
    <x v="6"/>
    <n v="1"/>
    <x v="12"/>
    <n v="8"/>
    <m/>
    <n v="0"/>
    <n v="65373"/>
    <n v="522984"/>
    <n v="62"/>
    <n v="67735"/>
    <n v="126042.0168067227"/>
    <n v="123521.0084033614"/>
    <s v="Shenzhen"/>
    <s v="30/70"/>
    <n v="30"/>
    <n v="50"/>
    <n v="0"/>
    <s v=""/>
    <n v="0"/>
    <n v="0"/>
    <n v="0"/>
    <s v=""/>
    <n v="2"/>
    <n v="0.4234259449123336"/>
    <n v="0"/>
    <n v="0.4597272727272727"/>
    <n v="4"/>
    <n v="0.513757238548526"/>
    <n v="5"/>
    <n v="0.4948110801725259"/>
    <n v="2"/>
    <n v="0.4813395880618433"/>
    <n v="4"/>
    <n v="0.439285543038613"/>
    <n v="5"/>
    <n v="0.4671290460473361"/>
    <n v="0"/>
    <n v="1"/>
    <n v="5"/>
    <n v="0.4237069435347277"/>
    <n v="4"/>
    <s v=""/>
    <n v="0"/>
    <s v=""/>
    <n v="4"/>
    <s v=""/>
    <n v="2"/>
    <s v=""/>
    <n v="0.6666666666666666"/>
    <n v="1"/>
    <s v=""/>
    <n v="0.3333333333333333"/>
    <n v="2"/>
    <s v=""/>
    <n v="0.25"/>
    <n v="1"/>
    <s v=""/>
    <n v="0"/>
    <n v="2"/>
    <n v="15"/>
    <n v="2"/>
    <n v="0"/>
    <m/>
    <n v="0"/>
    <n v="392238"/>
    <n v="962549.9999999999"/>
    <n v="130746"/>
    <n v="0"/>
    <n v="8"/>
    <n v="522984"/>
    <n v="211835.3223642398"/>
    <n v="2"/>
    <n v="18"/>
    <n v="0"/>
    <n v="0"/>
    <m/>
    <n v="0"/>
    <n v="392238"/>
    <n v="1155060"/>
    <n v="0"/>
    <n v="0"/>
    <n v="8"/>
    <n v="522984"/>
    <n v="0"/>
    <n v="3"/>
    <n v="18"/>
    <n v="4"/>
    <n v="0"/>
    <n v="0"/>
    <n v="584748"/>
    <n v="1176714"/>
    <n v="261492"/>
    <n v="0"/>
    <n v="8"/>
    <n v="522984"/>
    <n v="504168.0672268908"/>
    <n v="3"/>
    <n v="14"/>
    <n v="2"/>
    <n v="0"/>
    <n v="0"/>
    <n v="898379.9999999999"/>
    <n v="130746"/>
    <n v="0"/>
    <n v="0"/>
    <n v="8"/>
    <n v="522984"/>
    <n v="252084.0336134454"/>
    <n v="3"/>
    <n v="9"/>
    <n v="3"/>
    <m/>
    <n v="0"/>
    <n v="0"/>
    <n v="588357"/>
    <n v="192510"/>
    <n v="0"/>
    <n v="0"/>
    <n v="8"/>
    <n v="522984"/>
    <n v="378126.0504201681"/>
    <n v="8"/>
    <n v="10"/>
    <n v="2"/>
    <m/>
    <n v="0"/>
    <n v="0"/>
    <n v="653730"/>
    <n v="128340"/>
    <n v="0"/>
    <n v="0"/>
    <n v="10"/>
    <n v="522984"/>
    <n v="252084.0336134454"/>
    <n v="0"/>
    <n v="9"/>
    <n v="0"/>
    <n v="0"/>
    <n v="0"/>
    <n v="0"/>
    <n v="588357"/>
    <n v="0"/>
    <n v="0"/>
    <n v="0"/>
    <n v="9"/>
    <n v="522984"/>
    <n v="0"/>
    <n v="0"/>
    <n v="9"/>
    <n v="0"/>
    <n v="0"/>
    <n v="0"/>
    <n v="0"/>
    <n v="588357"/>
    <n v="0"/>
    <n v="0"/>
    <n v="0"/>
    <n v="9"/>
    <n v="588357"/>
    <n v="0"/>
    <n v="3"/>
    <n v="9"/>
    <n v="3"/>
    <n v="0"/>
    <n v="0"/>
    <m/>
    <n v="577529.9999999999"/>
    <n v="192510"/>
    <n v="0"/>
    <n v="0"/>
    <n v="9"/>
    <n v="577529.9999999999"/>
    <n v="378126.0504201681"/>
    <n v="0"/>
    <n v="6"/>
    <n v="0"/>
    <n v="0"/>
    <n v="0"/>
    <n v="0"/>
    <m/>
    <n v="385019.9999999999"/>
    <n v="0"/>
    <n v="0"/>
    <n v="0"/>
    <n v="6"/>
    <n v="385019.9999999999"/>
    <n v="0"/>
    <n v="0"/>
    <n v="6"/>
    <n v="0"/>
    <m/>
    <n v="0"/>
    <n v="385019.9999999999"/>
    <n v="0"/>
    <n v="0"/>
    <n v="0"/>
    <n v="6"/>
    <n v="385019.9999999999"/>
    <n v="0"/>
    <n v="0"/>
    <n v="6"/>
    <n v="0"/>
    <n v="0"/>
    <n v="0"/>
    <n v="385019.9999999999"/>
    <n v="0"/>
    <n v="0"/>
    <n v="6"/>
    <n v="385019.9999999999"/>
    <n v="0"/>
    <n v="0"/>
    <n v="6"/>
    <n v="0"/>
    <n v="0"/>
    <m/>
    <n v="385019.9999999999"/>
    <n v="0"/>
    <n v="0"/>
    <n v="6"/>
    <n v="385019.9999999999"/>
    <n v="0"/>
  </r>
  <r>
    <s v="Levo-Mochilas y Fundas"/>
    <x v="0"/>
    <x v="4"/>
    <x v="12"/>
    <n v="1659999392257"/>
    <x v="38"/>
    <x v="38"/>
    <x v="0"/>
    <x v="4"/>
    <n v="0.8"/>
    <x v="32"/>
    <n v="262"/>
    <m/>
    <n v="0"/>
    <n v="3637"/>
    <n v="952894"/>
    <n v="3.4"/>
    <n v="3714.5"/>
    <n v="10915.96638655462"/>
    <n v="8394.957983193277"/>
    <s v="Shenzhen"/>
    <s v="30/70"/>
    <n v="30"/>
    <n v="500"/>
    <n v="161"/>
    <n v="0.5384383220804425"/>
    <n v="7"/>
    <n v="0.6629303709925188"/>
    <n v="51"/>
    <n v="0.5322851712632511"/>
    <n v="27"/>
    <n v="0.5669524111523507"/>
    <n v="86"/>
    <n v="0.5488471201961231"/>
    <n v="131"/>
    <n v="0.6773213484942238"/>
    <n v="103"/>
    <n v="0.4202743921173202"/>
    <n v="11"/>
    <n v="0.6620630206975963"/>
    <n v="18"/>
    <n v="0.6334714556019572"/>
    <n v="221"/>
    <n v="0.583284447578076"/>
    <n v="30"/>
    <n v="0.5868195174151675"/>
    <n v="80"/>
    <n v="0.5934304671284107"/>
    <n v="14"/>
    <n v="0.491560467673595"/>
    <n v="158"/>
    <n v="0.4669183286156768"/>
    <n v="102"/>
    <n v="0.5409266914203407"/>
    <n v="6"/>
    <n v="0.5104538077630753"/>
    <n v="0.12"/>
    <n v="6"/>
    <n v="0.605097911227154"/>
    <n v="0.075"/>
    <n v="28"/>
    <n v="0.5668460101691397"/>
    <n v="0.28"/>
    <n v="0"/>
    <n v="0.5097610483635804"/>
    <n v="0"/>
    <n v="50"/>
    <n v="411"/>
    <n v="30"/>
    <n v="0"/>
    <m/>
    <n v="0"/>
    <n v="1342053"/>
    <n v="1446309"/>
    <n v="109110"/>
    <n v="0"/>
    <n v="262"/>
    <n v="952894"/>
    <n v="275192.4299131418"/>
    <n v="50"/>
    <n v="403"/>
    <n v="237"/>
    <n v="0"/>
    <m/>
    <n v="0"/>
    <n v="1254765"/>
    <n v="1418157"/>
    <n v="861969"/>
    <n v="0"/>
    <n v="262"/>
    <n v="952894"/>
    <n v="2174020.19631382"/>
    <n v="100"/>
    <n v="240"/>
    <n v="102"/>
    <n v="0"/>
    <n v="0"/>
    <n v="618012"/>
    <n v="872880"/>
    <n v="370974"/>
    <n v="0"/>
    <n v="262"/>
    <n v="952894"/>
    <n v="1113428.571428572"/>
    <n v="50"/>
    <n v="134"/>
    <n v="6"/>
    <n v="50"/>
    <n v="0"/>
    <n v="471545.9999999999"/>
    <n v="21822"/>
    <n v="175950"/>
    <n v="0"/>
    <n v="262"/>
    <n v="952894"/>
    <n v="65495.79831932773"/>
    <n v="80"/>
    <n v="268"/>
    <n v="64"/>
    <m/>
    <n v="0"/>
    <n v="0"/>
    <n v="974716"/>
    <n v="225216"/>
    <n v="0"/>
    <n v="0"/>
    <n v="262"/>
    <n v="952894"/>
    <n v="698621.8487394959"/>
    <n v="100"/>
    <n v="290"/>
    <n v="28"/>
    <m/>
    <n v="50"/>
    <n v="0"/>
    <n v="1054730"/>
    <n v="98531.99999999999"/>
    <n v="0"/>
    <n v="0"/>
    <n v="290"/>
    <n v="952894"/>
    <n v="305647.0588235295"/>
    <n v="80"/>
    <n v="262"/>
    <n v="64"/>
    <n v="0"/>
    <n v="150"/>
    <n v="0"/>
    <n v="952894"/>
    <n v="225216"/>
    <n v="0"/>
    <n v="0"/>
    <n v="262"/>
    <n v="952894"/>
    <n v="698621.8487394959"/>
    <n v="0"/>
    <n v="198"/>
    <n v="0"/>
    <n v="110"/>
    <n v="110"/>
    <n v="0"/>
    <n v="720126"/>
    <n v="0"/>
    <n v="387089.9999999999"/>
    <n v="0"/>
    <n v="308"/>
    <n v="720126"/>
    <n v="0"/>
    <n v="80"/>
    <n v="198"/>
    <n v="64"/>
    <n v="0"/>
    <n v="0"/>
    <n v="110"/>
    <n v="696761.9999999999"/>
    <n v="225216"/>
    <n v="0"/>
    <n v="387089.9999999999"/>
    <n v="308"/>
    <n v="1083852"/>
    <n v="698621.8487394959"/>
    <n v="100"/>
    <n v="244"/>
    <n v="80"/>
    <n v="0"/>
    <n v="0"/>
    <n v="0"/>
    <m/>
    <n v="858635.9999999999"/>
    <n v="281519.9999999999"/>
    <n v="0"/>
    <n v="0"/>
    <n v="244"/>
    <n v="858635.9999999999"/>
    <n v="671596.6386554622"/>
    <n v="100"/>
    <n v="164"/>
    <n v="80"/>
    <m/>
    <n v="0"/>
    <n v="577115.9999999999"/>
    <n v="281519.9999999999"/>
    <n v="0"/>
    <n v="0"/>
    <n v="164"/>
    <n v="577115.9999999999"/>
    <n v="705176.4705882353"/>
    <n v="100"/>
    <n v="84"/>
    <n v="80"/>
    <n v="0"/>
    <n v="0"/>
    <n v="295595.9999999999"/>
    <n v="281519.9999999999"/>
    <n v="0"/>
    <n v="84"/>
    <n v="295595.9999999999"/>
    <n v="873277.3109243698"/>
    <n v="60"/>
    <n v="4"/>
    <n v="48"/>
    <n v="0"/>
    <m/>
    <n v="14076"/>
    <n v="174576"/>
    <n v="0"/>
    <n v="4"/>
    <n v="14076"/>
    <n v="523966.3865546219"/>
  </r>
  <r>
    <s v="Levo-Mochilas y Fundas"/>
    <x v="0"/>
    <x v="4"/>
    <x v="12"/>
    <n v="1659999410637"/>
    <x v="39"/>
    <x v="39"/>
    <x v="0"/>
    <x v="4"/>
    <n v="0.8"/>
    <x v="33"/>
    <n v="60"/>
    <m/>
    <n v="0"/>
    <n v="3526.553339237759"/>
    <n v="211593.2003542655"/>
    <n v="3.4"/>
    <n v="3714.5"/>
    <n v="10915.96638655462"/>
    <n v="8394.957983193277"/>
    <s v="Shenzhen"/>
    <s v="30/70"/>
    <n v="30"/>
    <n v="500"/>
    <n v="220"/>
    <n v="0.5732265190709577"/>
    <n v="79"/>
    <n v="0.6621420821927873"/>
    <n v="174"/>
    <n v="0.5612544694641508"/>
    <n v="71"/>
    <n v="0.624698335925045"/>
    <n v="144"/>
    <n v="0.586794374711869"/>
    <n v="301"/>
    <n v="0.6054140558017876"/>
    <n v="125"/>
    <n v="0.5441024546500683"/>
    <n v="30"/>
    <n v="0.6391419083130349"/>
    <n v="176"/>
    <n v="0.5761324805378417"/>
    <n v="21"/>
    <n v="0.6417094137102992"/>
    <n v="59"/>
    <n v="0.5838135513282408"/>
    <n v="57"/>
    <n v="0.6194960558779004"/>
    <n v="40"/>
    <n v="0.5525655118831985"/>
    <n v="35"/>
    <n v="0.428449833537313"/>
    <n v="84"/>
    <n v="0.498612697429706"/>
    <n v="42"/>
    <n v="0.5995101325600615"/>
    <n v="0.525"/>
    <n v="180"/>
    <n v="0.5515976504175285"/>
    <n v="1.5"/>
    <n v="322"/>
    <n v="0.4641456486002508"/>
    <n v="2.476923076923077"/>
    <n v="0"/>
    <n v="0.5038925379379253"/>
    <n v="0"/>
    <n v="100"/>
    <n v="147"/>
    <n v="30"/>
    <n v="200"/>
    <n v="200"/>
    <n v="0"/>
    <n v="587171.1309830868"/>
    <n v="517292.9999999999"/>
    <n v="105796.6001771328"/>
    <n v="0"/>
    <n v="60"/>
    <n v="211593.2003542655"/>
    <n v="275192.4299131418"/>
    <n v="100"/>
    <n v="304"/>
    <n v="52.5"/>
    <n v="300"/>
    <n v="300"/>
    <n v="0"/>
    <n v="629489.7710539399"/>
    <n v="1069776"/>
    <n v="185144.0503099823"/>
    <n v="0"/>
    <n v="60"/>
    <n v="211593.2003542655"/>
    <n v="481586.7523479981"/>
    <n v="150"/>
    <n v="572"/>
    <n v="84"/>
    <n v="0"/>
    <n v="0"/>
    <n v="782169.7207439576"/>
    <n v="2017188.510043998"/>
    <n v="296230.4804959717"/>
    <n v="0"/>
    <n v="60"/>
    <n v="211593.2003542655"/>
    <n v="916941.1764705883"/>
    <n v="80"/>
    <n v="477"/>
    <n v="42"/>
    <n v="50"/>
    <n v="0"/>
    <n v="1678563"/>
    <n v="148115.2402479859"/>
    <n v="175950"/>
    <n v="0"/>
    <n v="60"/>
    <n v="211593.2003542655"/>
    <n v="458470.5882352942"/>
    <n v="120"/>
    <n v="240"/>
    <n v="96"/>
    <m/>
    <n v="0"/>
    <n v="0"/>
    <n v="846372.8014170621"/>
    <n v="337823.9999999999"/>
    <n v="0"/>
    <n v="0"/>
    <n v="60"/>
    <n v="211593.2003542655"/>
    <n v="1047932.773109244"/>
    <n v="130"/>
    <n v="382"/>
    <n v="322"/>
    <m/>
    <n v="50"/>
    <n v="0"/>
    <n v="1347143.375588824"/>
    <n v="1133118"/>
    <n v="0"/>
    <n v="0"/>
    <n v="382"/>
    <n v="211593.2003542655"/>
    <n v="3514941.176470588"/>
    <n v="120"/>
    <n v="60"/>
    <n v="96"/>
    <n v="500"/>
    <n v="350"/>
    <n v="0"/>
    <n v="211593.2003542655"/>
    <n v="337823.9999999999"/>
    <n v="1700850"/>
    <n v="0"/>
    <n v="60"/>
    <n v="211593.2003542655"/>
    <n v="1047932.773109244"/>
    <n v="0"/>
    <n v="0"/>
    <n v="0"/>
    <n v="0"/>
    <n v="0"/>
    <n v="500"/>
    <n v="0"/>
    <n v="0"/>
    <n v="0"/>
    <n v="1759500"/>
    <n v="0"/>
    <n v="1759500"/>
    <n v="0"/>
    <n v="120"/>
    <n v="500"/>
    <n v="96"/>
    <n v="0"/>
    <n v="0"/>
    <m/>
    <n v="1759500"/>
    <n v="337823.9999999999"/>
    <n v="0"/>
    <n v="0"/>
    <n v="500"/>
    <n v="1759500"/>
    <n v="1047932.773109244"/>
    <n v="100"/>
    <n v="404"/>
    <n v="80"/>
    <n v="0"/>
    <n v="0"/>
    <n v="0"/>
    <m/>
    <n v="1421676"/>
    <n v="281519.9999999999"/>
    <n v="0"/>
    <n v="0"/>
    <n v="404"/>
    <n v="1421676"/>
    <n v="671596.6386554622"/>
    <n v="100"/>
    <n v="324"/>
    <n v="80"/>
    <m/>
    <n v="0"/>
    <n v="1140156"/>
    <n v="281519.9999999999"/>
    <n v="0"/>
    <n v="0"/>
    <n v="324"/>
    <n v="1140156"/>
    <n v="705176.4705882353"/>
    <n v="100"/>
    <n v="244"/>
    <n v="80"/>
    <n v="0"/>
    <n v="0"/>
    <n v="858635.9999999999"/>
    <n v="281519.9999999999"/>
    <n v="0"/>
    <n v="244"/>
    <n v="858635.9999999999"/>
    <n v="873277.3109243698"/>
    <n v="60"/>
    <n v="164"/>
    <n v="48"/>
    <n v="0"/>
    <m/>
    <n v="577115.9999999999"/>
    <n v="169274.5602834124"/>
    <n v="0"/>
    <n v="164"/>
    <n v="577115.9999999999"/>
    <n v="523966.3865546219"/>
  </r>
  <r>
    <s v="Levo-Mochilas y Fundas"/>
    <x v="0"/>
    <x v="4"/>
    <x v="12"/>
    <s v="LVMOMA"/>
    <x v="40"/>
    <x v="40"/>
    <x v="0"/>
    <x v="6"/>
    <n v="1"/>
    <x v="12"/>
    <n v="0"/>
    <m/>
    <n v="0"/>
    <n v="8666"/>
    <n v="0"/>
    <n v="7"/>
    <n v="8666"/>
    <n v="21000"/>
    <n v="21000"/>
    <s v="Shenzhen"/>
    <s v="30/70"/>
    <n v="30"/>
    <n v="50"/>
    <n v="9"/>
    <n v="0.2593048882239549"/>
    <n v="4"/>
    <s v=""/>
    <n v="5"/>
    <n v="0.511403174275997"/>
    <n v="5"/>
    <n v="0.5294670239690339"/>
    <n v="33"/>
    <n v="0.3672456123848517"/>
    <n v="17"/>
    <n v="0.4131663444114405"/>
    <n v="2"/>
    <n v="0.4346956748646357"/>
    <n v="2"/>
    <n v="0.3592465246968353"/>
    <n v="2"/>
    <n v="0.5832267218160831"/>
    <n v="43"/>
    <n v="0.4052094618874517"/>
    <n v="6"/>
    <n v="0.5491897515931851"/>
    <n v="3"/>
    <n v="0.5701540433513964"/>
    <n v="22"/>
    <s v=""/>
    <n v="22"/>
    <s v=""/>
    <n v="2"/>
    <s v=""/>
    <n v="0"/>
    <s v=""/>
    <n v="0"/>
    <n v="13"/>
    <s v=""/>
    <n v="1.3"/>
    <n v="-1"/>
    <s v=""/>
    <n v="-0.05"/>
    <n v="0"/>
    <s v=""/>
    <n v="0"/>
    <n v="0"/>
    <n v="35"/>
    <n v="2"/>
    <n v="0"/>
    <m/>
    <n v="0"/>
    <n v="320642"/>
    <n v="253575"/>
    <n v="17332"/>
    <n v="0"/>
    <n v="0"/>
    <n v="0"/>
    <n v="35294.11764705883"/>
    <n v="10"/>
    <n v="36"/>
    <n v="33"/>
    <n v="0"/>
    <n v="0"/>
    <n v="0"/>
    <n v="303310"/>
    <n v="260820"/>
    <n v="285978"/>
    <n v="0"/>
    <n v="0"/>
    <n v="0"/>
    <n v="582352.9411764706"/>
    <n v="10"/>
    <n v="13"/>
    <n v="2"/>
    <n v="0"/>
    <n v="0"/>
    <n v="89781.99999999999"/>
    <n v="112658"/>
    <n v="17332"/>
    <n v="0"/>
    <n v="0"/>
    <n v="0"/>
    <n v="42000"/>
    <n v="10"/>
    <n v="9"/>
    <n v="0"/>
    <n v="0"/>
    <n v="0"/>
    <n v="65204.99999999999"/>
    <n v="0"/>
    <n v="0"/>
    <n v="0"/>
    <n v="0"/>
    <n v="0"/>
    <n v="0"/>
    <n v="10"/>
    <n v="13"/>
    <n v="10"/>
    <m/>
    <n v="0"/>
    <n v="0"/>
    <n v="112658"/>
    <n v="72449.99999999999"/>
    <n v="0"/>
    <n v="0"/>
    <n v="0"/>
    <n v="0"/>
    <n v="210000"/>
    <n v="20"/>
    <n v="-1"/>
    <n v="-1"/>
    <m/>
    <n v="0"/>
    <n v="0"/>
    <n v="-8666"/>
    <n v="-7244.999999999999"/>
    <n v="0"/>
    <n v="0"/>
    <n v="-1"/>
    <n v="0"/>
    <n v="-2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0"/>
    <n v="0"/>
    <m/>
    <n v="0"/>
    <n v="72449.99999999999"/>
    <n v="0"/>
    <n v="0"/>
    <n v="0"/>
    <n v="0"/>
    <n v="21000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Mochilas y Fundas"/>
    <x v="0"/>
    <x v="4"/>
    <x v="12"/>
    <s v="LVMOMA"/>
    <x v="41"/>
    <x v="41"/>
    <x v="0"/>
    <x v="6"/>
    <n v="1"/>
    <x v="12"/>
    <n v="1"/>
    <m/>
    <n v="0"/>
    <n v="8609"/>
    <n v="8609"/>
    <n v="7"/>
    <n v="8609"/>
    <n v="21000"/>
    <n v="21000"/>
    <s v="Shenzhen"/>
    <s v="30/70"/>
    <n v="30"/>
    <n v="50"/>
    <n v="2"/>
    <n v="0.3979574912891986"/>
    <n v="1"/>
    <n v="0.5548124291456251"/>
    <n v="0"/>
    <s v=""/>
    <n v="4"/>
    <n v="0.5967298114963928"/>
    <n v="0"/>
    <s v=""/>
    <n v="21"/>
    <n v="0.4240418864390189"/>
    <n v="3"/>
    <n v="0.5717790231123785"/>
    <n v="1"/>
    <n v="0.4143374149659864"/>
    <n v="2"/>
    <n v="0.4827265899600445"/>
    <n v="2"/>
    <n v="0.5992906679078427"/>
    <n v="4"/>
    <n v="0.5330645008203279"/>
    <n v="121"/>
    <n v="0.330993505926356"/>
    <n v="0"/>
    <s v=""/>
    <n v="3"/>
    <s v=""/>
    <n v="0"/>
    <s v=""/>
    <n v="0"/>
    <s v=""/>
    <n v="0"/>
    <n v="0"/>
    <s v=""/>
    <n v="0"/>
    <n v="1"/>
    <s v=""/>
    <n v="0.05"/>
    <n v="0"/>
    <s v=""/>
    <n v="0"/>
    <n v="15"/>
    <n v="5"/>
    <n v="5"/>
    <n v="0"/>
    <m/>
    <n v="0"/>
    <n v="81785.5"/>
    <n v="36224.99999999999"/>
    <n v="43045"/>
    <n v="0"/>
    <n v="1"/>
    <n v="8609"/>
    <n v="88235.29411764706"/>
    <n v="0"/>
    <n v="5"/>
    <n v="4.5"/>
    <n v="0"/>
    <m/>
    <n v="0"/>
    <n v="38740.5"/>
    <n v="36224.99999999999"/>
    <n v="38740.5"/>
    <n v="0"/>
    <n v="1"/>
    <n v="8609"/>
    <n v="79411.76470588235"/>
    <n v="0"/>
    <n v="2"/>
    <n v="0"/>
    <n v="0"/>
    <n v="0"/>
    <n v="0"/>
    <n v="17218"/>
    <n v="0"/>
    <n v="0"/>
    <n v="1"/>
    <n v="8609"/>
    <n v="0"/>
    <n v="1"/>
    <n v="2"/>
    <n v="0"/>
    <n v="0"/>
    <n v="0"/>
    <n v="14490"/>
    <n v="0"/>
    <n v="0"/>
    <n v="0"/>
    <n v="1"/>
    <n v="8609"/>
    <n v="0"/>
    <n v="0"/>
    <n v="1"/>
    <n v="0"/>
    <m/>
    <n v="0"/>
    <n v="0"/>
    <n v="8609"/>
    <n v="0"/>
    <n v="0"/>
    <n v="0"/>
    <n v="1"/>
    <n v="8609"/>
    <n v="0"/>
    <n v="20"/>
    <n v="2"/>
    <n v="1"/>
    <m/>
    <n v="0"/>
    <n v="0"/>
    <n v="17218"/>
    <n v="7244.999999999999"/>
    <n v="0"/>
    <n v="0"/>
    <n v="2"/>
    <n v="8609"/>
    <n v="21000"/>
    <n v="0"/>
    <n v="1"/>
    <n v="0"/>
    <n v="0"/>
    <n v="0"/>
    <n v="0"/>
    <n v="8609"/>
    <n v="0"/>
    <n v="0"/>
    <n v="0"/>
    <n v="1"/>
    <n v="8609"/>
    <n v="0"/>
    <n v="0"/>
    <n v="1"/>
    <n v="0"/>
    <n v="0"/>
    <n v="0"/>
    <n v="0"/>
    <n v="8609"/>
    <n v="0"/>
    <n v="0"/>
    <n v="0"/>
    <n v="1"/>
    <n v="8609"/>
    <n v="0"/>
    <n v="0"/>
    <n v="1"/>
    <n v="0"/>
    <n v="0"/>
    <n v="0"/>
    <m/>
    <n v="7244.999999999999"/>
    <n v="0"/>
    <n v="0"/>
    <n v="0"/>
    <n v="1"/>
    <n v="7244.999999999999"/>
    <n v="0"/>
    <n v="0"/>
    <n v="1"/>
    <n v="0"/>
    <n v="0"/>
    <n v="0"/>
    <n v="0"/>
    <m/>
    <n v="7244.999999999999"/>
    <n v="0"/>
    <n v="0"/>
    <n v="0"/>
    <n v="1"/>
    <n v="7244.999999999999"/>
    <n v="0"/>
    <n v="0"/>
    <n v="1"/>
    <n v="0"/>
    <m/>
    <n v="0"/>
    <n v="7244.999999999999"/>
    <n v="0"/>
    <n v="0"/>
    <n v="0"/>
    <n v="1"/>
    <n v="7244.999999999999"/>
    <n v="0"/>
    <n v="0"/>
    <n v="1"/>
    <n v="0"/>
    <n v="0"/>
    <n v="0"/>
    <n v="7244.999999999999"/>
    <n v="0"/>
    <n v="0"/>
    <n v="1"/>
    <n v="7244.999999999999"/>
    <n v="0"/>
    <n v="0"/>
    <n v="1"/>
    <n v="0"/>
    <n v="0"/>
    <m/>
    <n v="7244.999999999999"/>
    <n v="0"/>
    <n v="0"/>
    <n v="1"/>
    <n v="7244.999999999999"/>
    <n v="0"/>
  </r>
  <r>
    <s v="Levo-Mochilas y Fundas"/>
    <x v="0"/>
    <x v="4"/>
    <x v="12"/>
    <s v="LVMOWO-BK"/>
    <x v="42"/>
    <x v="42"/>
    <x v="0"/>
    <x v="6"/>
    <n v="1"/>
    <x v="12"/>
    <n v="0"/>
    <m/>
    <n v="0"/>
    <n v="8775"/>
    <n v="0"/>
    <n v="4.5"/>
    <n v="4916.25"/>
    <n v="21000"/>
    <n v="21000"/>
    <s v="Shenzhen"/>
    <s v="30/70"/>
    <n v="30"/>
    <n v="50"/>
    <n v="0"/>
    <s v=""/>
    <n v="0"/>
    <s v=""/>
    <n v="3"/>
    <n v="0.6442013963192809"/>
    <n v="14"/>
    <n v="0.5691588233660947"/>
    <n v="4"/>
    <n v="0.6296278506390444"/>
    <n v="10"/>
    <n v="0.5415941281336321"/>
    <n v="23"/>
    <n v="0.5814470794404638"/>
    <n v="12"/>
    <n v="0.4676653925016288"/>
    <n v="18"/>
    <n v="0.4706239336407329"/>
    <n v="24"/>
    <n v="0.543559044160285"/>
    <n v="11"/>
    <n v="0.4997695219747615"/>
    <n v="64"/>
    <n v="0.4163169744031298"/>
    <n v="5"/>
    <s v=""/>
    <n v="9"/>
    <s v=""/>
    <n v="78"/>
    <s v=""/>
    <n v="5"/>
    <s v=""/>
    <n v="0.625"/>
    <n v="18"/>
    <s v=""/>
    <n v="0.4736842105263158"/>
    <n v="-7"/>
    <s v=""/>
    <n v="-0.175"/>
    <n v="0"/>
    <s v=""/>
    <n v="0"/>
    <n v="0"/>
    <n v="124"/>
    <n v="15"/>
    <n v="0"/>
    <m/>
    <n v="0"/>
    <n v="934537.5"/>
    <n v="577530"/>
    <n v="131625"/>
    <n v="0"/>
    <n v="0"/>
    <n v="0"/>
    <n v="264705.8823529412"/>
    <n v="20"/>
    <n v="45"/>
    <n v="13.5"/>
    <n v="0"/>
    <n v="0"/>
    <n v="0"/>
    <n v="846787.5"/>
    <n v="209587.5"/>
    <n v="118462.5"/>
    <n v="0"/>
    <n v="0"/>
    <n v="0"/>
    <n v="238235.2941176471"/>
    <n v="40"/>
    <n v="32"/>
    <n v="78"/>
    <n v="0"/>
    <n v="0"/>
    <n v="905310"/>
    <n v="280800"/>
    <n v="684450"/>
    <n v="0"/>
    <n v="0"/>
    <n v="0"/>
    <n v="1638000"/>
    <n v="8"/>
    <n v="19"/>
    <n v="5"/>
    <n v="0"/>
    <n v="0"/>
    <n v="88492.5"/>
    <n v="43875"/>
    <n v="0"/>
    <n v="0"/>
    <n v="0"/>
    <n v="0"/>
    <n v="105000"/>
    <n v="38"/>
    <n v="18"/>
    <n v="38"/>
    <m/>
    <n v="0"/>
    <n v="0"/>
    <n v="157950"/>
    <n v="176985"/>
    <n v="0"/>
    <n v="0"/>
    <n v="0"/>
    <n v="0"/>
    <n v="798000"/>
    <n v="40"/>
    <n v="-7"/>
    <n v="-7"/>
    <m/>
    <n v="0"/>
    <n v="0"/>
    <n v="-61425"/>
    <n v="-32602.5"/>
    <n v="0"/>
    <n v="0"/>
    <n v="-7"/>
    <n v="0"/>
    <n v="-14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0"/>
    <n v="38"/>
    <n v="0"/>
    <n v="0"/>
    <m/>
    <n v="0"/>
    <n v="176985"/>
    <n v="0"/>
    <n v="0"/>
    <n v="0"/>
    <n v="0"/>
    <n v="79800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0"/>
    <x v="4"/>
    <x v="12"/>
    <s v="LVMOVITR-BK"/>
    <x v="43"/>
    <x v="43"/>
    <x v="0"/>
    <x v="1"/>
    <n v="1"/>
    <x v="34"/>
    <n v="61"/>
    <m/>
    <n v="0"/>
    <n v="18056"/>
    <n v="1101416"/>
    <n v="18.7"/>
    <n v="20429.75"/>
    <n v="42008.40336134454"/>
    <n v="31084.03361344538"/>
    <s v="Shenzhen"/>
    <s v="30/70"/>
    <n v="45"/>
    <n v="300"/>
    <n v="0"/>
    <s v=""/>
    <n v="0"/>
    <s v=""/>
    <n v="0"/>
    <s v=""/>
    <n v="0"/>
    <s v=""/>
    <n v="0"/>
    <s v=""/>
    <n v="0"/>
    <s v=""/>
    <n v="0"/>
    <n v="0.6126299293818932"/>
    <n v="1"/>
    <n v="0.5216562629035001"/>
    <n v="1"/>
    <n v="0.3989718314157537"/>
    <n v="21"/>
    <n v="0.3740259928239009"/>
    <n v="8"/>
    <n v="0.367422860882588"/>
    <n v="81"/>
    <n v="0.2733496105989533"/>
    <n v="4"/>
    <s v=""/>
    <n v="11"/>
    <s v=""/>
    <n v="25"/>
    <s v=""/>
    <n v="17"/>
    <s v=""/>
    <n v="1.133333333333333"/>
    <n v="38"/>
    <s v=""/>
    <n v="1.266666666666667"/>
    <n v="205"/>
    <s v=""/>
    <n v="5.125"/>
    <n v="14"/>
    <s v=""/>
    <n v="0.4666666666666667"/>
    <n v="25"/>
    <n v="89"/>
    <n v="10"/>
    <n v="0"/>
    <n v="300"/>
    <n v="0"/>
    <n v="929884"/>
    <n v="1722550.5"/>
    <n v="180560"/>
    <n v="0"/>
    <n v="61"/>
    <n v="1101416"/>
    <n v="353011.7929524751"/>
    <n v="35"/>
    <n v="379"/>
    <n v="16.5"/>
    <n v="0"/>
    <n v="0"/>
    <n v="0"/>
    <n v="1056276"/>
    <n v="7335355.5"/>
    <n v="297924"/>
    <n v="0"/>
    <n v="61"/>
    <n v="1101416"/>
    <n v="582469.458371584"/>
    <n v="40"/>
    <n v="359"/>
    <n v="25"/>
    <n v="0"/>
    <n v="0"/>
    <n v="1338987"/>
    <n v="6482104"/>
    <n v="451400"/>
    <n v="0"/>
    <n v="61"/>
    <n v="1101416"/>
    <n v="1050210.084033614"/>
    <n v="15"/>
    <n v="338"/>
    <n v="17"/>
    <n v="0"/>
    <n v="0"/>
    <n v="6541821"/>
    <n v="306952"/>
    <n v="0"/>
    <n v="0"/>
    <n v="61"/>
    <n v="1101416"/>
    <n v="714142.8571428573"/>
    <n v="30"/>
    <n v="99"/>
    <n v="30"/>
    <m/>
    <n v="0"/>
    <n v="0"/>
    <n v="1787544"/>
    <n v="580635"/>
    <n v="0"/>
    <n v="0"/>
    <n v="61"/>
    <n v="1101416"/>
    <n v="1260252.100840336"/>
    <n v="40"/>
    <n v="266"/>
    <n v="205"/>
    <m/>
    <n v="0"/>
    <n v="0"/>
    <n v="4802896"/>
    <n v="3967672.5"/>
    <n v="0"/>
    <n v="0"/>
    <n v="266"/>
    <n v="1101416"/>
    <n v="8611722.689075632"/>
    <n v="30"/>
    <n v="75"/>
    <n v="30"/>
    <n v="0"/>
    <n v="0"/>
    <n v="0"/>
    <n v="1354200"/>
    <n v="580635"/>
    <n v="0"/>
    <n v="0"/>
    <n v="75"/>
    <n v="1101416"/>
    <n v="1260252.100840336"/>
    <n v="30"/>
    <n v="45"/>
    <n v="30"/>
    <n v="0"/>
    <n v="0"/>
    <n v="0"/>
    <n v="812520"/>
    <n v="580635"/>
    <n v="0"/>
    <n v="0"/>
    <n v="45"/>
    <n v="812520"/>
    <n v="1260252.100840336"/>
    <n v="30"/>
    <n v="15"/>
    <n v="30"/>
    <n v="0"/>
    <n v="0"/>
    <m/>
    <n v="290317.5"/>
    <n v="580635"/>
    <n v="0"/>
    <n v="0"/>
    <n v="15"/>
    <n v="290317.5"/>
    <n v="1260252.100840336"/>
    <n v="40"/>
    <n v="0"/>
    <n v="0"/>
    <n v="0"/>
    <n v="0"/>
    <n v="0"/>
    <m/>
    <n v="0"/>
    <n v="0"/>
    <n v="0"/>
    <n v="0"/>
    <n v="0"/>
    <n v="0"/>
    <n v="0"/>
    <n v="40"/>
    <n v="0"/>
    <n v="40"/>
    <m/>
    <n v="0"/>
    <n v="0"/>
    <n v="774180"/>
    <n v="0"/>
    <n v="0"/>
    <n v="0"/>
    <n v="0"/>
    <n v="1305529.411764706"/>
    <n v="40"/>
    <n v="0"/>
    <n v="40"/>
    <n v="0"/>
    <n v="0"/>
    <n v="0"/>
    <n v="774180"/>
    <n v="0"/>
    <n v="0"/>
    <n v="0"/>
    <n v="1680336.134453782"/>
    <n v="24"/>
    <n v="0"/>
    <n v="24"/>
    <n v="0"/>
    <m/>
    <n v="0"/>
    <n v="433344"/>
    <n v="0"/>
    <n v="0"/>
    <n v="0"/>
    <n v="1008201.680672269"/>
  </r>
  <r>
    <m/>
    <x v="0"/>
    <x v="4"/>
    <x v="12"/>
    <s v="LVMOPRL-BK"/>
    <x v="44"/>
    <x v="44"/>
    <x v="0"/>
    <x v="2"/>
    <n v="1"/>
    <x v="12"/>
    <n v="0"/>
    <m/>
    <n v="0"/>
    <n v="7003.499999999999"/>
    <n v="0"/>
    <n v="7"/>
    <n v="7003.499999999999"/>
    <n v="17655.88235294117"/>
    <n v="15007.5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0"/>
    <n v="0"/>
    <n v="10"/>
    <n v="100"/>
    <n v="100"/>
    <n v="0"/>
    <n v="0"/>
    <n v="72449.99999999999"/>
    <n v="700349.9999999999"/>
    <n v="0"/>
    <n v="0"/>
    <n v="0"/>
    <n v="176558.8235294117"/>
    <n v="20"/>
    <n v="0"/>
    <n v="20"/>
    <n v="0"/>
    <n v="0"/>
    <n v="99"/>
    <n v="0"/>
    <n v="144900"/>
    <n v="0"/>
    <n v="717254.9999999999"/>
    <n v="0"/>
    <n v="717254.9999999999"/>
    <n v="353117.6470588235"/>
    <n v="25"/>
    <n v="79"/>
    <n v="25"/>
    <n v="0"/>
    <n v="0"/>
    <m/>
    <n v="572354.9999999999"/>
    <n v="181125"/>
    <n v="0"/>
    <n v="0"/>
    <n v="79"/>
    <n v="572354.9999999999"/>
    <n v="441397.0588235294"/>
    <n v="50"/>
    <n v="54"/>
    <n v="50"/>
    <n v="0"/>
    <n v="0"/>
    <n v="0"/>
    <n v="0"/>
    <n v="391229.9999999999"/>
    <n v="362249.9999999999"/>
    <n v="0"/>
    <n v="0"/>
    <n v="54"/>
    <n v="391229.9999999999"/>
    <n v="750374.9999999999"/>
    <n v="50"/>
    <n v="4"/>
    <n v="50"/>
    <n v="100"/>
    <n v="100"/>
    <n v="28980"/>
    <n v="362249.9999999999"/>
    <n v="724499.9999999999"/>
    <n v="724499.9999999999"/>
    <n v="104"/>
    <n v="753479.9999999999"/>
    <n v="787893.7499999999"/>
    <n v="50"/>
    <n v="54"/>
    <n v="50"/>
    <n v="0"/>
    <n v="0"/>
    <n v="391229.9999999999"/>
    <n v="362249.9999999999"/>
    <n v="0"/>
    <n v="54"/>
    <n v="391229.9999999999"/>
    <n v="882794.1176470588"/>
    <n v="30"/>
    <n v="4"/>
    <n v="30"/>
    <n v="0"/>
    <m/>
    <n v="28980"/>
    <n v="210105"/>
    <n v="0"/>
    <n v="4"/>
    <n v="28980"/>
    <n v="529676.4705882352"/>
  </r>
  <r>
    <m/>
    <x v="0"/>
    <x v="4"/>
    <x v="12"/>
    <s v="LVMOVEL-BK"/>
    <x v="45"/>
    <x v="45"/>
    <x v="0"/>
    <x v="2"/>
    <n v="1"/>
    <x v="12"/>
    <n v="0"/>
    <m/>
    <n v="0"/>
    <n v="6503.249999999999"/>
    <n v="0"/>
    <n v="6.5"/>
    <n v="6503.249999999999"/>
    <n v="16394.74789915966"/>
    <n v="13935.53571428571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0"/>
    <n v="0"/>
    <n v="10"/>
    <n v="100"/>
    <n v="100"/>
    <n v="0"/>
    <n v="0"/>
    <n v="67274.99999999999"/>
    <n v="650324.9999999999"/>
    <n v="0"/>
    <n v="0"/>
    <n v="0"/>
    <n v="163947.4789915966"/>
    <n v="20"/>
    <n v="0"/>
    <n v="20"/>
    <n v="0"/>
    <n v="0"/>
    <n v="99"/>
    <n v="0"/>
    <n v="134550"/>
    <n v="0"/>
    <n v="666022.4999999999"/>
    <n v="0"/>
    <n v="666022.4999999999"/>
    <n v="327894.9579831932"/>
    <n v="25"/>
    <n v="79"/>
    <n v="25"/>
    <n v="0"/>
    <n v="0"/>
    <m/>
    <n v="531472.4999999999"/>
    <n v="168187.5"/>
    <n v="0"/>
    <n v="0"/>
    <n v="79"/>
    <n v="531472.4999999999"/>
    <n v="409868.6974789915"/>
    <n v="50"/>
    <n v="54"/>
    <n v="50"/>
    <n v="0"/>
    <n v="0"/>
    <n v="0"/>
    <n v="0"/>
    <n v="363284.9999999999"/>
    <n v="336374.9999999999"/>
    <n v="0"/>
    <n v="0"/>
    <n v="54"/>
    <n v="363284.9999999999"/>
    <n v="696776.7857142856"/>
    <n v="50"/>
    <n v="4"/>
    <n v="50"/>
    <n v="100"/>
    <n v="100"/>
    <n v="26910"/>
    <n v="336374.9999999999"/>
    <n v="672749.9999999999"/>
    <n v="672749.9999999999"/>
    <n v="104"/>
    <n v="699659.9999999999"/>
    <n v="731615.6249999999"/>
    <n v="50"/>
    <n v="54"/>
    <n v="50"/>
    <n v="0"/>
    <n v="0"/>
    <n v="363284.9999999999"/>
    <n v="336374.9999999999"/>
    <n v="0"/>
    <n v="54"/>
    <n v="363284.9999999999"/>
    <n v="819737.3949579831"/>
    <n v="30"/>
    <n v="4"/>
    <n v="30"/>
    <n v="0"/>
    <m/>
    <n v="26910"/>
    <n v="195097.5"/>
    <n v="0"/>
    <n v="4"/>
    <n v="26910"/>
    <n v="491842.4369747898"/>
  </r>
  <r>
    <s v="Levo-Mochilas y Fundas"/>
    <x v="0"/>
    <x v="4"/>
    <x v="13"/>
    <s v="LVFUEX"/>
    <x v="46"/>
    <x v="46"/>
    <x v="0"/>
    <x v="6"/>
    <n v="1"/>
    <x v="12"/>
    <n v="2"/>
    <m/>
    <n v="0"/>
    <n v="11441"/>
    <n v="22882"/>
    <n v="4.8"/>
    <n v="5244"/>
    <n v="12596.63865546219"/>
    <n v="8394.957983193277"/>
    <s v="Shenzhen"/>
    <s v="30/70"/>
    <n v="30"/>
    <n v="50"/>
    <n v="9"/>
    <n v="-0.1008019242333132"/>
    <n v="6"/>
    <n v="0.1486375474365653"/>
    <n v="7"/>
    <n v="0.1693919330952174"/>
    <n v="7"/>
    <n v="0.1891585049537228"/>
    <n v="3"/>
    <n v="0.1696601774407171"/>
    <n v="11"/>
    <n v="0.06182167046591345"/>
    <n v="5"/>
    <n v="0.1693876766662226"/>
    <n v="3"/>
    <n v="0.1486375474365653"/>
    <n v="4"/>
    <n v="0.1986554106487612"/>
    <n v="3"/>
    <n v="0.1986650791427371"/>
    <n v="0"/>
    <s v=""/>
    <n v="3"/>
    <n v="0.06909362117596014"/>
    <n v="2"/>
    <s v=""/>
    <n v="2"/>
    <s v=""/>
    <n v="99"/>
    <s v=""/>
    <n v="4"/>
    <s v=""/>
    <n v="1"/>
    <n v="5"/>
    <s v=""/>
    <n v="0.5555555555555556"/>
    <n v="8"/>
    <s v=""/>
    <n v="0.8888888888888888"/>
    <n v="6"/>
    <s v=""/>
    <n v="0.4"/>
    <n v="7.333333333333333"/>
    <n v="123"/>
    <n v="5"/>
    <n v="0"/>
    <m/>
    <n v="0"/>
    <n v="1224187"/>
    <n v="611064"/>
    <n v="57205"/>
    <n v="0"/>
    <n v="2"/>
    <n v="22882"/>
    <n v="52927.05317421087"/>
    <n v="9"/>
    <n v="126"/>
    <n v="3"/>
    <n v="0"/>
    <m/>
    <n v="0"/>
    <n v="1212746"/>
    <n v="625968"/>
    <n v="34323"/>
    <n v="0"/>
    <n v="2"/>
    <n v="22882"/>
    <n v="31756.23190452652"/>
    <n v="9"/>
    <n v="124"/>
    <n v="99"/>
    <n v="0"/>
    <n v="0"/>
    <n v="1223135"/>
    <n v="1418684"/>
    <n v="1132659"/>
    <n v="0"/>
    <n v="2"/>
    <n v="22882"/>
    <n v="1247067.226890756"/>
    <n v="4"/>
    <n v="25"/>
    <n v="4"/>
    <n v="0"/>
    <n v="0"/>
    <n v="124200"/>
    <n v="45764"/>
    <n v="0"/>
    <n v="0"/>
    <n v="2"/>
    <n v="22882"/>
    <n v="50386.55462184874"/>
    <n v="9"/>
    <n v="7"/>
    <n v="9"/>
    <m/>
    <n v="0"/>
    <n v="0"/>
    <n v="80087"/>
    <n v="44712"/>
    <n v="0"/>
    <n v="0"/>
    <n v="2"/>
    <n v="22882"/>
    <n v="113369.7478991597"/>
    <n v="9"/>
    <n v="10"/>
    <n v="8"/>
    <m/>
    <n v="0"/>
    <n v="0"/>
    <n v="114410"/>
    <n v="39744"/>
    <n v="0"/>
    <n v="0"/>
    <n v="10"/>
    <n v="22882"/>
    <n v="100773.1092436975"/>
    <n v="15"/>
    <n v="8"/>
    <n v="15"/>
    <n v="0"/>
    <n v="0"/>
    <n v="0"/>
    <n v="91528"/>
    <n v="74520"/>
    <n v="0"/>
    <n v="0"/>
    <n v="8"/>
    <n v="22882"/>
    <n v="188949.5798319328"/>
    <n v="10"/>
    <n v="0"/>
    <n v="10"/>
    <n v="0"/>
    <n v="0"/>
    <n v="0"/>
    <n v="0"/>
    <n v="49680"/>
    <n v="0"/>
    <n v="0"/>
    <n v="0"/>
    <n v="0"/>
    <n v="125966.3865546219"/>
    <n v="9"/>
    <n v="0"/>
    <n v="9"/>
    <n v="0"/>
    <n v="0"/>
    <m/>
    <n v="0"/>
    <n v="44712"/>
    <n v="0"/>
    <n v="0"/>
    <n v="0"/>
    <n v="0"/>
    <n v="113369.7478991597"/>
    <n v="9"/>
    <n v="0"/>
    <n v="0"/>
    <n v="0"/>
    <n v="0"/>
    <n v="0"/>
    <m/>
    <n v="0"/>
    <n v="0"/>
    <n v="0"/>
    <n v="0"/>
    <n v="0"/>
    <n v="0"/>
    <n v="0"/>
    <n v="9"/>
    <n v="0"/>
    <n v="9"/>
    <m/>
    <n v="0"/>
    <n v="0"/>
    <n v="44712"/>
    <n v="0"/>
    <n v="0"/>
    <n v="0"/>
    <n v="0"/>
    <n v="79332.35294117648"/>
    <n v="9"/>
    <n v="0"/>
    <n v="9"/>
    <n v="0"/>
    <n v="0"/>
    <n v="0"/>
    <n v="44712"/>
    <n v="0"/>
    <n v="0"/>
    <n v="0"/>
    <n v="113369.7478991597"/>
    <n v="5.399999999999999"/>
    <n v="0"/>
    <n v="5.399999999999999"/>
    <n v="0"/>
    <m/>
    <n v="0"/>
    <n v="61781.39999999999"/>
    <n v="0"/>
    <n v="0"/>
    <n v="0"/>
    <n v="68021.84873949579"/>
  </r>
  <r>
    <s v="Levo-Mochilas y Fundas"/>
    <x v="0"/>
    <x v="4"/>
    <x v="13"/>
    <s v="LVFUEX"/>
    <x v="47"/>
    <x v="46"/>
    <x v="0"/>
    <x v="6"/>
    <n v="1"/>
    <x v="12"/>
    <n v="2"/>
    <m/>
    <n v="0"/>
    <n v="7961"/>
    <n v="15922"/>
    <n v="4.8"/>
    <n v="5244"/>
    <n v="12596.63865546219"/>
    <n v="8394.957983193277"/>
    <s v="Shenzhen"/>
    <s v="30/70"/>
    <n v="30"/>
    <n v="50"/>
    <n v="4"/>
    <n v="0.3590003093574266"/>
    <n v="2"/>
    <s v=""/>
    <n v="1"/>
    <s v=""/>
    <n v="1"/>
    <s v=""/>
    <n v="3"/>
    <n v="0.4057196177963572"/>
    <n v="1"/>
    <s v=""/>
    <n v="2"/>
    <n v="0.4734043571475819"/>
    <n v="0"/>
    <s v=""/>
    <n v="0"/>
    <s v=""/>
    <n v="2"/>
    <n v="0.3229883493494345"/>
    <n v="1"/>
    <n v="0.3681260417493452"/>
    <n v="1"/>
    <n v="0.4734091811086122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4"/>
    <n v="4"/>
    <n v="0"/>
    <m/>
    <n v="0"/>
    <n v="31844"/>
    <n v="19872"/>
    <n v="31844"/>
    <n v="0"/>
    <n v="2"/>
    <n v="15922"/>
    <n v="42341.64253936869"/>
    <n v="0"/>
    <n v="4"/>
    <n v="0"/>
    <n v="0"/>
    <m/>
    <n v="0"/>
    <n v="0"/>
    <n v="19872"/>
    <n v="0"/>
    <n v="0"/>
    <n v="2"/>
    <n v="15922"/>
    <n v="0"/>
    <n v="0"/>
    <n v="4"/>
    <n v="0"/>
    <n v="0"/>
    <n v="0"/>
    <n v="0"/>
    <n v="31844"/>
    <n v="0"/>
    <n v="0"/>
    <n v="2"/>
    <n v="15922"/>
    <n v="0"/>
    <n v="0"/>
    <n v="2"/>
    <n v="0"/>
    <n v="0"/>
    <n v="0"/>
    <n v="9936"/>
    <n v="0"/>
    <n v="0"/>
    <n v="0"/>
    <n v="2"/>
    <n v="15922"/>
    <n v="0"/>
    <n v="0"/>
    <n v="2"/>
    <n v="0"/>
    <m/>
    <n v="0"/>
    <n v="0"/>
    <n v="15922"/>
    <n v="0"/>
    <n v="0"/>
    <n v="0"/>
    <n v="2"/>
    <n v="15922"/>
    <n v="0"/>
    <n v="0"/>
    <n v="2"/>
    <n v="0"/>
    <m/>
    <n v="0"/>
    <n v="0"/>
    <n v="15922"/>
    <n v="0"/>
    <n v="0"/>
    <n v="0"/>
    <n v="2"/>
    <n v="15922"/>
    <n v="0"/>
    <n v="4"/>
    <n v="2"/>
    <n v="4"/>
    <n v="0"/>
    <n v="0"/>
    <n v="0"/>
    <n v="15922"/>
    <n v="19872"/>
    <n v="0"/>
    <n v="0"/>
    <n v="2"/>
    <n v="15922"/>
    <n v="50386.554621848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Mochilas y Fundas"/>
    <x v="0"/>
    <x v="4"/>
    <x v="13"/>
    <s v="LVFNOTHS13-BK"/>
    <x v="48"/>
    <x v="47"/>
    <x v="0"/>
    <x v="4"/>
    <n v="1"/>
    <x v="35"/>
    <n v="231"/>
    <m/>
    <n v="0"/>
    <n v="8004"/>
    <n v="1848924"/>
    <n v="8.75"/>
    <n v="9559.375"/>
    <n v="19319.32773109244"/>
    <n v="16798.31932773109"/>
    <s v="Shenzhen"/>
    <s v="30/70"/>
    <n v="30"/>
    <n v="200"/>
    <n v="0"/>
    <s v=""/>
    <n v="0"/>
    <s v=""/>
    <n v="7"/>
    <n v="0.598565019143063"/>
    <n v="32"/>
    <n v="0.6012017887627732"/>
    <n v="9"/>
    <n v="0.5758128702420261"/>
    <n v="13"/>
    <n v="0.4869320599858142"/>
    <n v="20"/>
    <n v="0.6096336194111215"/>
    <n v="157"/>
    <n v="0.4753753538158288"/>
    <n v="15"/>
    <n v="0.5736285181080133"/>
    <n v="55"/>
    <n v="0.560642519642949"/>
    <n v="22"/>
    <n v="0.5601349356274955"/>
    <n v="24"/>
    <n v="0.6167072659370835"/>
    <n v="23"/>
    <s v=""/>
    <n v="31"/>
    <s v=""/>
    <n v="68"/>
    <s v=""/>
    <n v="71"/>
    <s v=""/>
    <n v="1.183333333333333"/>
    <n v="65"/>
    <s v=""/>
    <n v="1.083333333333333"/>
    <n v="117"/>
    <s v=""/>
    <n v="1.4625"/>
    <n v="46"/>
    <s v=""/>
    <n v="0.7666666666666667"/>
    <n v="35"/>
    <n v="27"/>
    <n v="25"/>
    <n v="0"/>
    <n v="200"/>
    <n v="0"/>
    <n v="1116558"/>
    <n v="244518.75"/>
    <n v="200100"/>
    <n v="0"/>
    <n v="231"/>
    <n v="1848924"/>
    <n v="405868.2296447991"/>
    <n v="60"/>
    <n v="425"/>
    <n v="46.5"/>
    <n v="200"/>
    <n v="200"/>
    <n v="0"/>
    <n v="1484742"/>
    <n v="3848906.25"/>
    <n v="372186"/>
    <n v="0"/>
    <n v="231"/>
    <n v="1848924"/>
    <n v="754914.9071393264"/>
    <n v="85"/>
    <n v="365"/>
    <n v="68"/>
    <n v="0"/>
    <n v="0"/>
    <n v="1655931"/>
    <n v="2921460"/>
    <n v="544272"/>
    <n v="0"/>
    <n v="231"/>
    <n v="1848924"/>
    <n v="1313714.285714286"/>
    <n v="60"/>
    <n v="430"/>
    <n v="71"/>
    <n v="100"/>
    <n v="0"/>
    <n v="3894187.5"/>
    <n v="568284"/>
    <n v="905625"/>
    <n v="0"/>
    <n v="231"/>
    <n v="1848924"/>
    <n v="1371672.268907563"/>
    <n v="60"/>
    <n v="296"/>
    <n v="60"/>
    <m/>
    <n v="0"/>
    <n v="0"/>
    <n v="2369184"/>
    <n v="543375"/>
    <n v="0"/>
    <n v="0"/>
    <n v="231"/>
    <n v="1848924"/>
    <n v="1159159.663865546"/>
    <n v="80"/>
    <n v="348"/>
    <n v="117"/>
    <m/>
    <n v="0"/>
    <n v="0"/>
    <n v="2785392"/>
    <n v="1059581.25"/>
    <n v="0"/>
    <n v="0"/>
    <n v="348"/>
    <n v="1848924"/>
    <n v="2260361.344537816"/>
    <n v="60"/>
    <n v="277"/>
    <n v="60"/>
    <n v="100"/>
    <n v="100"/>
    <n v="0"/>
    <n v="2217108"/>
    <n v="543375"/>
    <n v="875437.5"/>
    <n v="0"/>
    <n v="277"/>
    <n v="1848924"/>
    <n v="1159159.663865546"/>
    <n v="60"/>
    <n v="217"/>
    <n v="60"/>
    <n v="50"/>
    <n v="50"/>
    <n v="0"/>
    <n v="1736868"/>
    <n v="543375"/>
    <n v="452812.5"/>
    <n v="0"/>
    <n v="267"/>
    <n v="1736868"/>
    <n v="1159159.663865546"/>
    <n v="35"/>
    <n v="157"/>
    <n v="35"/>
    <n v="0"/>
    <n v="0"/>
    <n v="100"/>
    <n v="1421831.25"/>
    <n v="316968.75"/>
    <n v="0"/>
    <n v="905625"/>
    <n v="257"/>
    <n v="2327456.25"/>
    <n v="676176.4705882353"/>
    <n v="80"/>
    <n v="222"/>
    <n v="80"/>
    <n v="0"/>
    <n v="0"/>
    <n v="0"/>
    <m/>
    <n v="2010487.5"/>
    <n v="724500"/>
    <n v="0"/>
    <n v="0"/>
    <n v="222"/>
    <n v="2010487.5"/>
    <n v="1343865.546218487"/>
    <n v="80"/>
    <n v="142"/>
    <n v="80"/>
    <m/>
    <n v="0"/>
    <n v="1285987.5"/>
    <n v="724500"/>
    <n v="0"/>
    <n v="0"/>
    <n v="142"/>
    <n v="1285987.5"/>
    <n v="1411058.823529412"/>
    <n v="60"/>
    <n v="62"/>
    <n v="60"/>
    <n v="0"/>
    <n v="0"/>
    <n v="561487.5"/>
    <n v="543375"/>
    <n v="0"/>
    <n v="62"/>
    <n v="561487.5"/>
    <n v="1159159.663865546"/>
    <n v="48"/>
    <n v="2"/>
    <n v="48"/>
    <n v="0"/>
    <m/>
    <n v="18112.5"/>
    <n v="384192"/>
    <n v="0"/>
    <n v="2"/>
    <n v="18112.5"/>
    <n v="927327.7310924371"/>
  </r>
  <r>
    <s v="Levo-Mochilas y Fundas"/>
    <x v="0"/>
    <x v="4"/>
    <x v="13"/>
    <s v="LVFNOTHS15-BK"/>
    <x v="49"/>
    <x v="48"/>
    <x v="0"/>
    <x v="4"/>
    <n v="1"/>
    <x v="36"/>
    <n v="74"/>
    <m/>
    <n v="0"/>
    <n v="9561"/>
    <n v="707514"/>
    <n v="10.13"/>
    <n v="11067.025"/>
    <n v="21000"/>
    <n v="19319.32773109244"/>
    <s v="Shenzhen"/>
    <s v="30/70"/>
    <n v="30"/>
    <n v="200"/>
    <n v="0"/>
    <s v=""/>
    <n v="0"/>
    <s v=""/>
    <n v="16"/>
    <n v="0.5928860309446931"/>
    <n v="68"/>
    <n v="0.5646020362371645"/>
    <n v="6"/>
    <n v="0.5152576831546355"/>
    <n v="27"/>
    <n v="0.5712652300348821"/>
    <n v="10"/>
    <n v="0.5813399295507902"/>
    <n v="37"/>
    <n v="0.5443750600566892"/>
    <n v="45"/>
    <n v="0.5499489972144892"/>
    <n v="95"/>
    <n v="0.5261181143420748"/>
    <n v="47"/>
    <n v="0.5401607995137645"/>
    <n v="56"/>
    <n v="0.5737613159658965"/>
    <n v="40"/>
    <s v=""/>
    <n v="47"/>
    <s v=""/>
    <n v="80"/>
    <s v=""/>
    <n v="125"/>
    <s v=""/>
    <n v="1.25"/>
    <n v="105"/>
    <s v=""/>
    <n v="1.05"/>
    <n v="39"/>
    <s v=""/>
    <n v="1.444444444444444"/>
    <n v="101"/>
    <s v=""/>
    <n v="1.01"/>
    <n v="30"/>
    <n v="169"/>
    <n v="35"/>
    <n v="0"/>
    <m/>
    <n v="0"/>
    <n v="1773565.5"/>
    <n v="1771888.95"/>
    <n v="334635"/>
    <n v="0"/>
    <n v="74"/>
    <n v="707514"/>
    <n v="617647.0588235294"/>
    <n v="60"/>
    <n v="284"/>
    <n v="70.5"/>
    <n v="150"/>
    <n v="150"/>
    <n v="0"/>
    <n v="2634055.5"/>
    <n v="2977612.2"/>
    <n v="674050.5"/>
    <n v="0"/>
    <n v="74"/>
    <n v="707514"/>
    <n v="1244117.647058824"/>
    <n v="100"/>
    <n v="189"/>
    <n v="80"/>
    <n v="0"/>
    <n v="0"/>
    <n v="3008460"/>
    <n v="1807029"/>
    <n v="764880"/>
    <n v="0"/>
    <n v="74"/>
    <n v="707514"/>
    <n v="1680000"/>
    <n v="100"/>
    <n v="267"/>
    <n v="125"/>
    <n v="100"/>
    <n v="0"/>
    <n v="2799374.85"/>
    <n v="1195125"/>
    <n v="1048455"/>
    <n v="0"/>
    <n v="74"/>
    <n v="707514"/>
    <n v="2625000"/>
    <n v="100"/>
    <n v="179"/>
    <n v="100"/>
    <m/>
    <n v="0"/>
    <n v="0"/>
    <n v="1711419"/>
    <n v="1048455"/>
    <n v="0"/>
    <n v="0"/>
    <n v="74"/>
    <n v="707514"/>
    <n v="2100000"/>
    <n v="27"/>
    <n v="113"/>
    <n v="39"/>
    <m/>
    <n v="0"/>
    <n v="0"/>
    <n v="1080393"/>
    <n v="408897.45"/>
    <n v="0"/>
    <n v="0"/>
    <n v="113"/>
    <n v="707514"/>
    <n v="819000"/>
    <n v="100"/>
    <n v="175"/>
    <n v="100"/>
    <n v="200"/>
    <n v="200"/>
    <n v="0"/>
    <n v="1673175"/>
    <n v="1048455"/>
    <n v="2027012.999999999"/>
    <n v="0"/>
    <n v="175"/>
    <n v="707514"/>
    <n v="2100000"/>
    <n v="100"/>
    <n v="75"/>
    <n v="100"/>
    <n v="140"/>
    <n v="140"/>
    <n v="0"/>
    <n v="717075"/>
    <n v="1048455"/>
    <n v="1467837"/>
    <n v="0"/>
    <n v="215"/>
    <n v="717075"/>
    <n v="2100000"/>
    <n v="75"/>
    <n v="0"/>
    <n v="75"/>
    <n v="0"/>
    <n v="0"/>
    <n v="140"/>
    <n v="0"/>
    <n v="786341.25"/>
    <n v="0"/>
    <n v="1467837"/>
    <n v="140"/>
    <n v="1467837"/>
    <n v="1575000"/>
    <n v="140"/>
    <n v="65"/>
    <n v="65"/>
    <n v="150"/>
    <n v="150"/>
    <n v="150"/>
    <n v="0"/>
    <n v="681495.75"/>
    <n v="681495.75"/>
    <n v="1572682.5"/>
    <n v="1572682.5"/>
    <n v="215"/>
    <n v="2254178.25"/>
    <n v="1255756.302521009"/>
    <n v="140"/>
    <n v="150"/>
    <n v="140"/>
    <n v="200"/>
    <n v="200"/>
    <n v="1572682.5"/>
    <n v="1467837"/>
    <n v="2096910"/>
    <n v="2096910"/>
    <n v="350"/>
    <n v="3669592.5"/>
    <n v="2839941.176470588"/>
    <n v="120"/>
    <n v="210"/>
    <n v="120"/>
    <n v="0"/>
    <n v="0"/>
    <n v="2201755.5"/>
    <n v="1258146"/>
    <n v="0"/>
    <n v="210"/>
    <n v="2201755.5"/>
    <n v="2520000"/>
    <n v="84"/>
    <n v="90"/>
    <n v="84"/>
    <n v="0"/>
    <m/>
    <n v="943609.4999999999"/>
    <n v="803124"/>
    <n v="0"/>
    <n v="90"/>
    <n v="943609.4999999999"/>
    <n v="1764000"/>
  </r>
  <r>
    <s v="Levo-Telones y Proyectores"/>
    <x v="0"/>
    <x v="5"/>
    <x v="14"/>
    <s v="LVPROLUM"/>
    <x v="50"/>
    <x v="49"/>
    <x v="0"/>
    <x v="3"/>
    <n v="1"/>
    <x v="37"/>
    <n v="70"/>
    <m/>
    <n v="0"/>
    <n v="88385"/>
    <n v="6186950"/>
    <n v="90"/>
    <n v="98324.99999999999"/>
    <n v="168058.8235294118"/>
    <n v="151252.1008403361"/>
    <s v="Shenzhen"/>
    <s v="20/80 Credit"/>
    <n v="30"/>
    <n v="250"/>
    <n v="10"/>
    <n v="0.4685606270093651"/>
    <n v="40"/>
    <n v="0.4288558672813522"/>
    <n v="89"/>
    <n v="0.4812730888934452"/>
    <n v="45"/>
    <n v="0.4395480927364253"/>
    <n v="79"/>
    <n v="0.5303250097078902"/>
    <n v="76"/>
    <n v="0.4184896679225537"/>
    <n v="44"/>
    <n v="0.3698372660952254"/>
    <n v="53"/>
    <n v="0.3680347464744406"/>
    <n v="60"/>
    <n v="0.4104689263546158"/>
    <n v="60"/>
    <n v="0.4117106716862663"/>
    <n v="50"/>
    <n v="0.3932138861191871"/>
    <n v="31"/>
    <n v="0.4574436649517737"/>
    <n v="23"/>
    <s v=""/>
    <n v="13"/>
    <s v=""/>
    <n v="65"/>
    <s v=""/>
    <n v="14"/>
    <s v=""/>
    <n v="0.7"/>
    <n v="6"/>
    <s v=""/>
    <n v="0.3"/>
    <n v="33"/>
    <s v=""/>
    <n v="0.7333333333333333"/>
    <n v="26"/>
    <s v=""/>
    <n v="0.65"/>
    <n v="30"/>
    <n v="134"/>
    <n v="15"/>
    <n v="0"/>
    <n v="100"/>
    <n v="0"/>
    <n v="8794307.5"/>
    <n v="12482100"/>
    <n v="1325775"/>
    <n v="0"/>
    <n v="70"/>
    <n v="6186950"/>
    <n v="2118388.531883342"/>
    <n v="45"/>
    <n v="243"/>
    <n v="19.5"/>
    <n v="0"/>
    <m/>
    <n v="0"/>
    <n v="8705922.5"/>
    <n v="22635450"/>
    <n v="1723507.5"/>
    <n v="0"/>
    <n v="70"/>
    <n v="6186950"/>
    <n v="2753905.091448344"/>
    <n v="40"/>
    <n v="236"/>
    <n v="65"/>
    <n v="0"/>
    <n v="0"/>
    <n v="8845415"/>
    <n v="20858860"/>
    <n v="5745025"/>
    <n v="0"/>
    <n v="70"/>
    <n v="6186950"/>
    <n v="10923823.52941176"/>
    <n v="20"/>
    <n v="159"/>
    <n v="14"/>
    <n v="0"/>
    <n v="0"/>
    <n v="14810850"/>
    <n v="1237390"/>
    <n v="0"/>
    <n v="0"/>
    <n v="70"/>
    <n v="6186950"/>
    <n v="2352823.529411765"/>
    <n v="20"/>
    <n v="76"/>
    <n v="20"/>
    <m/>
    <n v="0"/>
    <n v="0"/>
    <n v="6717260"/>
    <n v="1863000"/>
    <n v="0"/>
    <n v="0"/>
    <n v="70"/>
    <n v="6186950"/>
    <n v="3361176.470588236"/>
    <n v="45"/>
    <n v="103"/>
    <n v="33"/>
    <m/>
    <n v="0"/>
    <n v="0"/>
    <n v="9103655"/>
    <n v="3073950"/>
    <n v="0"/>
    <n v="0"/>
    <n v="103"/>
    <n v="6186950"/>
    <n v="5545941.176470589"/>
    <n v="40"/>
    <n v="96"/>
    <n v="40"/>
    <n v="0"/>
    <n v="0"/>
    <n v="0"/>
    <n v="8484960"/>
    <n v="3726000"/>
    <n v="0"/>
    <n v="0"/>
    <n v="96"/>
    <n v="6186950"/>
    <n v="6722352.941176471"/>
    <n v="30"/>
    <n v="56"/>
    <n v="30"/>
    <n v="0"/>
    <n v="0"/>
    <n v="0"/>
    <n v="4949560"/>
    <n v="2794500"/>
    <n v="0"/>
    <n v="0"/>
    <n v="56"/>
    <n v="4949560"/>
    <n v="5041764.705882354"/>
    <n v="20"/>
    <n v="26"/>
    <n v="20"/>
    <n v="0"/>
    <n v="0"/>
    <m/>
    <n v="2421900"/>
    <n v="1863000"/>
    <n v="0"/>
    <n v="0"/>
    <n v="26"/>
    <n v="2421900"/>
    <n v="3361176.470588236"/>
    <n v="25"/>
    <n v="6"/>
    <n v="6"/>
    <n v="0.25"/>
    <n v="0.25"/>
    <n v="0.25"/>
    <m/>
    <n v="558900"/>
    <n v="558900"/>
    <n v="23287.5"/>
    <n v="23287.5"/>
    <n v="6.25"/>
    <n v="582187.5"/>
    <n v="907512.6050420168"/>
    <n v="25"/>
    <n v="0.25"/>
    <n v="25"/>
    <m/>
    <n v="0"/>
    <n v="23287.5"/>
    <n v="2328750"/>
    <n v="0"/>
    <n v="0"/>
    <n v="0.25"/>
    <n v="23287.5"/>
    <n v="3970367.647058824"/>
    <n v="30"/>
    <n v="0"/>
    <n v="30"/>
    <n v="0"/>
    <n v="0"/>
    <n v="0"/>
    <n v="2794500"/>
    <n v="0"/>
    <n v="0"/>
    <n v="0"/>
    <n v="5041764.705882354"/>
    <n v="15"/>
    <n v="0"/>
    <n v="15"/>
    <n v="0"/>
    <m/>
    <n v="0"/>
    <n v="1325775"/>
    <n v="0"/>
    <n v="0"/>
    <n v="0"/>
    <n v="2520882.352941177"/>
  </r>
  <r>
    <s v="Levo-Telones y Proyectores"/>
    <x v="0"/>
    <x v="5"/>
    <x v="14"/>
    <s v="LVPROORI"/>
    <x v="51"/>
    <x v="50"/>
    <x v="0"/>
    <x v="3"/>
    <n v="1"/>
    <x v="38"/>
    <n v="181"/>
    <m/>
    <n v="0"/>
    <n v="76077"/>
    <n v="13769937"/>
    <n v="74"/>
    <n v="80845"/>
    <n v="142848.7394957983"/>
    <n v="126042.0168067227"/>
    <s v="Shenzhen"/>
    <s v="20/80 Credit"/>
    <n v="30"/>
    <n v="250"/>
    <n v="15"/>
    <n v="0.4878717803259671"/>
    <n v="36"/>
    <n v="0.4644488430964838"/>
    <n v="73"/>
    <n v="0.4973194577355483"/>
    <n v="88"/>
    <n v="0.4625318312250263"/>
    <n v="107"/>
    <n v="0.5245946985739718"/>
    <n v="142"/>
    <n v="0.4572213876296432"/>
    <n v="86"/>
    <n v="0.432895798058912"/>
    <n v="78"/>
    <n v="0.4250417873204107"/>
    <n v="12"/>
    <n v="0.4778964709818984"/>
    <n v="42"/>
    <n v="0.457402389272054"/>
    <n v="50"/>
    <n v="0.4346282078341704"/>
    <n v="111"/>
    <n v="0.4458700139123478"/>
    <n v="37"/>
    <s v=""/>
    <n v="58"/>
    <s v=""/>
    <n v="67"/>
    <s v=""/>
    <n v="122"/>
    <s v=""/>
    <n v="2.033333333333333"/>
    <n v="73"/>
    <s v=""/>
    <n v="1.825"/>
    <n v="171"/>
    <s v=""/>
    <n v="2.1375"/>
    <n v="57"/>
    <s v=""/>
    <n v="0.7125"/>
    <n v="70"/>
    <n v="322"/>
    <n v="40"/>
    <n v="0"/>
    <n v="53"/>
    <n v="0"/>
    <n v="14758938"/>
    <n v="24661980"/>
    <n v="3043080"/>
    <n v="0"/>
    <n v="181"/>
    <n v="13769937"/>
    <n v="4801638.302379776"/>
    <n v="70"/>
    <n v="295"/>
    <n v="87"/>
    <n v="500"/>
    <n v="250"/>
    <n v="0"/>
    <n v="20997252"/>
    <n v="22594050"/>
    <n v="6618699"/>
    <n v="0"/>
    <n v="181"/>
    <n v="13769937"/>
    <n v="10443563.30767601"/>
    <n v="100"/>
    <n v="257"/>
    <n v="67"/>
    <n v="0"/>
    <n v="0"/>
    <n v="17442153"/>
    <n v="19551789"/>
    <n v="5097159"/>
    <n v="0"/>
    <n v="181"/>
    <n v="13769937"/>
    <n v="9570865.546218488"/>
    <n v="60"/>
    <n v="419"/>
    <n v="122"/>
    <n v="0"/>
    <n v="0"/>
    <n v="32091210"/>
    <n v="9281394"/>
    <n v="0"/>
    <n v="0"/>
    <n v="181"/>
    <n v="13769937"/>
    <n v="17427546.2184874"/>
    <n v="40"/>
    <n v="254"/>
    <n v="40"/>
    <m/>
    <n v="100"/>
    <n v="0"/>
    <n v="19323558"/>
    <n v="3063600"/>
    <n v="0"/>
    <n v="0"/>
    <n v="181"/>
    <n v="13769937"/>
    <n v="5713949.579831934"/>
    <n v="80"/>
    <n v="352"/>
    <n v="171"/>
    <m/>
    <n v="150"/>
    <n v="0"/>
    <n v="26779104"/>
    <n v="13096890"/>
    <n v="0"/>
    <n v="0"/>
    <n v="352"/>
    <n v="13769937"/>
    <n v="24427134.45378152"/>
    <n v="80"/>
    <n v="238"/>
    <n v="80"/>
    <n v="0"/>
    <n v="100"/>
    <n v="0"/>
    <n v="18106326"/>
    <n v="6127200"/>
    <n v="0"/>
    <n v="0"/>
    <n v="238"/>
    <n v="13769937"/>
    <n v="11427899.15966387"/>
    <n v="80"/>
    <n v="158"/>
    <n v="80"/>
    <n v="0"/>
    <n v="0"/>
    <n v="0"/>
    <n v="12020166"/>
    <n v="6127200"/>
    <n v="0"/>
    <n v="0"/>
    <n v="158"/>
    <n v="12020166"/>
    <n v="11427899.15966387"/>
    <n v="50"/>
    <n v="78"/>
    <n v="50"/>
    <n v="0"/>
    <n v="0"/>
    <m/>
    <n v="5974020"/>
    <n v="3829500"/>
    <n v="0"/>
    <n v="0"/>
    <n v="78"/>
    <n v="5974020"/>
    <n v="7142436.974789917"/>
    <n v="140"/>
    <n v="28"/>
    <n v="140"/>
    <n v="500"/>
    <n v="250"/>
    <n v="250"/>
    <n v="0"/>
    <n v="2144520"/>
    <n v="10722600"/>
    <n v="38295000"/>
    <n v="19147500"/>
    <n v="278"/>
    <n v="21292020"/>
    <n v="17645882.35294118"/>
    <n v="80"/>
    <n v="138"/>
    <n v="80"/>
    <m/>
    <n v="0"/>
    <n v="10569420"/>
    <n v="6127200"/>
    <n v="0"/>
    <n v="0"/>
    <n v="138"/>
    <n v="10569420"/>
    <n v="10587529.41176471"/>
    <n v="120"/>
    <n v="58"/>
    <n v="120"/>
    <n v="0"/>
    <n v="0"/>
    <n v="4442220"/>
    <n v="9190800"/>
    <n v="0"/>
    <n v="58"/>
    <n v="4442220"/>
    <n v="17141848.7394958"/>
    <n v="48"/>
    <n v="0"/>
    <n v="48"/>
    <n v="0"/>
    <n v="250"/>
    <n v="0"/>
    <n v="3651696"/>
    <n v="19147500"/>
    <n v="250"/>
    <n v="19147500"/>
    <n v="6856739.49579832"/>
  </r>
  <r>
    <s v="Levo-Telones y Proyectores"/>
    <x v="0"/>
    <x v="5"/>
    <x v="14"/>
    <s v="LVPRONOV"/>
    <x v="52"/>
    <x v="51"/>
    <x v="0"/>
    <x v="3"/>
    <n v="1"/>
    <x v="39"/>
    <n v="227"/>
    <m/>
    <n v="0"/>
    <n v="56843"/>
    <n v="12903361"/>
    <n v="54"/>
    <n v="58994.99999999999"/>
    <n v="117638.6554621849"/>
    <n v="92428.57142857143"/>
    <s v="Shenzhen"/>
    <s v="20/80 Credit"/>
    <n v="30"/>
    <n v="250"/>
    <n v="32"/>
    <n v="0.4849181712483196"/>
    <n v="53"/>
    <n v="0.4831514715858343"/>
    <n v="84"/>
    <n v="0.4842911007812986"/>
    <n v="100"/>
    <n v="0.4810352609903651"/>
    <n v="236"/>
    <n v="0.4974398467991755"/>
    <n v="57"/>
    <n v="0.4301098070317684"/>
    <n v="22"/>
    <n v="0.4591339191178855"/>
    <n v="27"/>
    <n v="0.4378019380167417"/>
    <n v="122"/>
    <n v="0.4433722523369817"/>
    <n v="165"/>
    <n v="0.4587376563915155"/>
    <n v="130"/>
    <n v="0.4998076886194383"/>
    <n v="216"/>
    <n v="0.4714954051759866"/>
    <n v="87"/>
    <s v=""/>
    <n v="50"/>
    <s v=""/>
    <n v="132"/>
    <s v=""/>
    <n v="73"/>
    <s v=""/>
    <n v="0.9125"/>
    <n v="40"/>
    <s v=""/>
    <n v="0.5"/>
    <n v="200"/>
    <s v=""/>
    <n v="1.666666666666667"/>
    <n v="70"/>
    <s v=""/>
    <n v="0.7"/>
    <n v="100"/>
    <n v="353"/>
    <n v="130"/>
    <n v="0"/>
    <m/>
    <n v="0"/>
    <n v="19156091"/>
    <n v="19729170"/>
    <n v="7389590"/>
    <n v="0"/>
    <n v="227"/>
    <n v="12903361"/>
    <n v="12851281.68914625"/>
    <n v="100"/>
    <n v="482"/>
    <n v="75"/>
    <n v="500"/>
    <n v="200"/>
    <n v="0"/>
    <n v="15916040"/>
    <n v="26938980"/>
    <n v="4263225"/>
    <n v="0"/>
    <n v="227"/>
    <n v="12903361"/>
    <n v="7414200.97450745"/>
    <n v="150"/>
    <n v="440"/>
    <n v="132"/>
    <n v="0"/>
    <n v="0"/>
    <n v="16124015"/>
    <n v="25010920"/>
    <n v="7503276"/>
    <n v="0"/>
    <n v="227"/>
    <n v="12903361"/>
    <n v="15528302.5210084"/>
    <n v="80"/>
    <n v="305"/>
    <n v="73"/>
    <n v="0"/>
    <n v="0"/>
    <n v="17046450"/>
    <n v="4149539"/>
    <n v="0"/>
    <n v="0"/>
    <n v="227"/>
    <n v="12903361"/>
    <n v="8587621.848739496"/>
    <n v="80"/>
    <n v="267"/>
    <n v="80"/>
    <m/>
    <n v="300"/>
    <n v="0"/>
    <n v="15177081"/>
    <n v="4471199.999999999"/>
    <n v="0"/>
    <n v="0"/>
    <n v="227"/>
    <n v="12903361"/>
    <n v="9411092.43697479"/>
    <n v="120"/>
    <n v="427"/>
    <n v="200"/>
    <m/>
    <n v="300"/>
    <n v="0"/>
    <n v="24271961"/>
    <n v="11178000"/>
    <n v="0"/>
    <n v="0"/>
    <n v="427"/>
    <n v="12903361"/>
    <n v="23527731.09243698"/>
    <n v="100"/>
    <n v="297"/>
    <n v="100"/>
    <n v="0"/>
    <n v="0"/>
    <n v="0"/>
    <n v="16882371"/>
    <n v="5588999.999999999"/>
    <n v="0"/>
    <n v="0"/>
    <n v="297"/>
    <n v="12903361"/>
    <n v="11763865.54621849"/>
    <n v="100"/>
    <n v="197"/>
    <n v="100"/>
    <n v="0"/>
    <n v="0"/>
    <n v="0"/>
    <n v="11198071"/>
    <n v="5588999.999999999"/>
    <n v="0"/>
    <n v="0"/>
    <n v="197"/>
    <n v="11198071"/>
    <n v="11763865.54621849"/>
    <n v="70"/>
    <n v="97"/>
    <n v="70"/>
    <n v="0"/>
    <n v="0"/>
    <m/>
    <n v="5421329.999999999"/>
    <n v="3912300"/>
    <n v="0"/>
    <n v="0"/>
    <n v="97"/>
    <n v="5421329.999999999"/>
    <n v="8234705.882352942"/>
    <n v="150"/>
    <n v="27"/>
    <n v="27"/>
    <n v="500"/>
    <n v="300"/>
    <n v="300"/>
    <n v="0"/>
    <n v="1509030"/>
    <n v="1509030"/>
    <n v="27945000"/>
    <n v="16767000"/>
    <n v="327"/>
    <n v="18276030"/>
    <n v="2495571.428571429"/>
    <n v="100"/>
    <n v="300"/>
    <n v="100"/>
    <m/>
    <n v="0"/>
    <n v="16767000"/>
    <n v="5588999.999999999"/>
    <n v="0"/>
    <n v="0"/>
    <n v="300"/>
    <n v="16767000"/>
    <n v="9705000.000000002"/>
    <n v="150"/>
    <n v="200"/>
    <n v="150"/>
    <n v="0"/>
    <n v="0"/>
    <n v="11178000"/>
    <n v="8383499.999999999"/>
    <n v="0"/>
    <n v="200"/>
    <n v="11178000"/>
    <n v="17645798.31932773"/>
    <n v="60"/>
    <n v="50"/>
    <n v="60"/>
    <n v="0"/>
    <n v="200"/>
    <n v="2794500"/>
    <n v="3410580"/>
    <n v="11178000"/>
    <n v="250"/>
    <n v="13972500"/>
    <n v="7058319.327731092"/>
  </r>
  <r>
    <m/>
    <x v="0"/>
    <x v="5"/>
    <x v="14"/>
    <s v="LVPROHEX"/>
    <x v="53"/>
    <x v="52"/>
    <x v="0"/>
    <x v="3"/>
    <n v="1"/>
    <x v="40"/>
    <n v="41"/>
    <n v="500"/>
    <n v="18050000"/>
    <n v="36795"/>
    <n v="1508595"/>
    <n v="38"/>
    <n v="41515"/>
    <n v="84025.21008403362"/>
    <n v="58815.12605042017"/>
    <s v="Shenzhen"/>
    <s v="20/80 Credit"/>
    <n v="30"/>
    <n v="25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7"/>
    <s v=""/>
    <n v="31"/>
    <s v=""/>
    <n v="0.3875"/>
    <n v="68"/>
    <s v=""/>
    <n v="0.9714285714285714"/>
    <n v="208"/>
    <s v=""/>
    <n v="1.733333333333333"/>
    <n v="123"/>
    <s v=""/>
    <n v="0.82"/>
    <n v="5"/>
    <n v="0"/>
    <n v="0"/>
    <n v="500"/>
    <n v="200"/>
    <n v="0"/>
    <n v="257565"/>
    <n v="0"/>
    <n v="0"/>
    <n v="0"/>
    <n v="41"/>
    <n v="1508595"/>
    <n v="0"/>
    <n v="5"/>
    <n v="0"/>
    <n v="0"/>
    <n v="0"/>
    <m/>
    <n v="0"/>
    <n v="1398210"/>
    <n v="0"/>
    <n v="0"/>
    <n v="0"/>
    <n v="41"/>
    <n v="1508595"/>
    <n v="0"/>
    <n v="70"/>
    <n v="200"/>
    <n v="7"/>
    <n v="0"/>
    <n v="0"/>
    <n v="4151310"/>
    <n v="7359000"/>
    <n v="257565"/>
    <n v="0"/>
    <n v="41"/>
    <n v="1508595"/>
    <n v="588176.4705882353"/>
    <n v="80"/>
    <n v="477"/>
    <n v="31"/>
    <n v="0"/>
    <n v="0"/>
    <n v="18760410"/>
    <n v="1140645"/>
    <n v="0"/>
    <n v="0"/>
    <n v="41"/>
    <n v="1508595"/>
    <n v="2604781.512605042"/>
    <n v="70"/>
    <n v="109"/>
    <n v="70"/>
    <n v="500"/>
    <n v="250"/>
    <n v="0"/>
    <n v="4010655"/>
    <n v="2753100"/>
    <n v="19665000"/>
    <n v="0"/>
    <n v="41"/>
    <n v="1508595"/>
    <n v="5881764.705882354"/>
    <n v="120"/>
    <n v="249"/>
    <n v="208"/>
    <m/>
    <n v="0"/>
    <n v="0"/>
    <n v="9161955"/>
    <n v="8180640"/>
    <n v="0"/>
    <n v="0"/>
    <n v="249"/>
    <n v="1508595"/>
    <n v="17477243.69747899"/>
    <n v="150"/>
    <n v="164"/>
    <n v="150"/>
    <n v="0"/>
    <n v="0"/>
    <n v="0"/>
    <n v="6034380"/>
    <n v="5899500"/>
    <n v="0"/>
    <n v="0"/>
    <n v="164"/>
    <n v="1508595"/>
    <n v="12603781.51260504"/>
    <n v="51"/>
    <n v="14"/>
    <n v="51"/>
    <n v="0"/>
    <n v="0"/>
    <n v="0"/>
    <n v="515130"/>
    <n v="2005830"/>
    <n v="0"/>
    <n v="0"/>
    <n v="14"/>
    <n v="515130"/>
    <n v="4285285.714285715"/>
    <n v="70"/>
    <n v="0"/>
    <n v="70"/>
    <n v="0"/>
    <n v="250"/>
    <n v="510"/>
    <n v="0"/>
    <n v="2753100"/>
    <n v="0"/>
    <n v="20058300"/>
    <n v="510"/>
    <n v="20058300"/>
    <n v="5881764.705882354"/>
    <n v="200"/>
    <n v="440"/>
    <n v="200"/>
    <n v="0"/>
    <n v="0"/>
    <n v="0"/>
    <m/>
    <n v="17305200"/>
    <n v="7866000"/>
    <n v="0"/>
    <n v="0"/>
    <n v="440"/>
    <n v="17305200"/>
    <n v="11763025.21008403"/>
    <n v="120"/>
    <n v="240"/>
    <n v="120"/>
    <m/>
    <n v="0"/>
    <n v="9439200"/>
    <n v="4719600"/>
    <n v="0"/>
    <n v="0"/>
    <n v="240"/>
    <n v="9439200"/>
    <n v="7410705.882352942"/>
    <n v="150"/>
    <n v="120"/>
    <n v="150"/>
    <n v="500"/>
    <n v="250"/>
    <n v="4719600"/>
    <n v="5899500"/>
    <n v="9832500"/>
    <n v="370"/>
    <n v="14552100"/>
    <n v="12603781.51260504"/>
    <n v="72"/>
    <n v="220"/>
    <n v="72"/>
    <n v="0"/>
    <m/>
    <n v="8652600"/>
    <n v="2649240"/>
    <n v="0"/>
    <n v="220"/>
    <n v="8652600"/>
    <n v="6049815.126050421"/>
  </r>
  <r>
    <m/>
    <x v="0"/>
    <x v="5"/>
    <x v="14"/>
    <m/>
    <x v="23"/>
    <x v="53"/>
    <x v="1"/>
    <x v="5"/>
    <n v="1"/>
    <x v="20"/>
    <n v="0"/>
    <m/>
    <n v="0"/>
    <n v="18181.5"/>
    <n v="0"/>
    <n v="17"/>
    <n v="18181.5"/>
    <n v="45835.71428571428"/>
    <n v="38960.35714285713"/>
    <s v="Shenzhen"/>
    <s v="30/70"/>
    <n v="30"/>
    <n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.982443487453209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n v="0"/>
    <m/>
    <m/>
    <m/>
    <m/>
    <m/>
    <n v="0"/>
    <m/>
    <m/>
    <m/>
    <m/>
    <m/>
    <m/>
    <m/>
    <m/>
    <m/>
    <n v="0"/>
    <m/>
    <m/>
    <m/>
    <m/>
    <m/>
    <m/>
    <n v="0"/>
    <n v="0"/>
    <m/>
    <m/>
    <n v="0"/>
    <m/>
    <n v="0"/>
    <m/>
    <m/>
    <n v="0"/>
    <m/>
    <m/>
    <m/>
    <m/>
    <m/>
    <m/>
    <m/>
    <n v="0"/>
    <n v="0"/>
    <m/>
    <m/>
    <n v="40"/>
    <n v="0"/>
    <n v="0"/>
    <n v="300"/>
    <n v="300"/>
    <n v="300"/>
    <n v="0"/>
    <n v="0"/>
    <n v="0"/>
    <n v="5278500"/>
    <n v="5278500"/>
    <n v="300"/>
    <n v="5278500"/>
    <n v="0"/>
    <n v="75"/>
    <n v="300"/>
    <n v="75"/>
    <m/>
    <n v="0"/>
    <n v="5278500"/>
    <n v="1319625"/>
    <n v="0"/>
    <n v="0"/>
    <n v="300"/>
    <n v="5278500"/>
    <n v="3068128.125"/>
    <n v="180"/>
    <n v="225"/>
    <n v="180"/>
    <n v="0"/>
    <n v="0"/>
    <n v="3958875"/>
    <n v="3167100"/>
    <n v="0"/>
    <n v="225"/>
    <n v="3958875"/>
    <n v="8250428.57142857"/>
    <n v="45"/>
    <n v="45"/>
    <n v="45"/>
    <n v="0"/>
    <m/>
    <n v="791775"/>
    <n v="818167.4999999999"/>
    <n v="0"/>
    <n v="45"/>
    <n v="791775"/>
    <n v="2062607.142857142"/>
  </r>
  <r>
    <s v="Levo-Telones y Proyectores"/>
    <x v="0"/>
    <x v="5"/>
    <x v="15"/>
    <n v="1659991971809"/>
    <x v="54"/>
    <x v="54"/>
    <x v="0"/>
    <x v="3"/>
    <n v="1"/>
    <x v="41"/>
    <n v="561"/>
    <m/>
    <n v="0"/>
    <n v="20217.27812703657"/>
    <n v="11341893.02926752"/>
    <n v="19"/>
    <n v="20757.5"/>
    <n v="54613.44537815126"/>
    <n v="50411.76470588236"/>
    <s v="Shenzhen"/>
    <s v="20/80 Credit"/>
    <n v="30"/>
    <n v="100"/>
    <n v="142"/>
    <n v="0.6267050665371998"/>
    <n v="130"/>
    <n v="0.632357005365073"/>
    <n v="175"/>
    <n v="0.6225961270661112"/>
    <n v="189"/>
    <n v="0.6545333027726179"/>
    <n v="13"/>
    <n v="0.6389454422108758"/>
    <n v="127"/>
    <n v="0.6165010973057464"/>
    <n v="174"/>
    <n v="0.6364731066403339"/>
    <n v="183"/>
    <n v="0.6490642541251589"/>
    <n v="178"/>
    <n v="0.656168767531357"/>
    <n v="214"/>
    <n v="0.5997186161821436"/>
    <n v="28"/>
    <n v="0.6449634414123955"/>
    <n v="122"/>
    <n v="0.5573102963796212"/>
    <n v="135"/>
    <n v="0.535640891460708"/>
    <n v="122"/>
    <n v="0.5365278612406041"/>
    <n v="121"/>
    <n v="0.531176822418608"/>
    <n v="113"/>
    <n v="0.5681726315210049"/>
    <n v="1.13"/>
    <n v="77"/>
    <n v="0.6173135812550443"/>
    <n v="0.6416666666666667"/>
    <n v="159"/>
    <n v="0.4340120631380489"/>
    <n v="0.8833333333333333"/>
    <n v="12"/>
    <n v="0.5287128143214452"/>
    <n v="0.12"/>
    <n v="160"/>
    <n v="197"/>
    <n v="120"/>
    <n v="300"/>
    <n v="300"/>
    <n v="0"/>
    <n v="8572125.925863506"/>
    <n v="3874005"/>
    <n v="2426073.375244388"/>
    <n v="0"/>
    <n v="561"/>
    <n v="11341893.02926752"/>
    <n v="5507238.189393405"/>
    <n v="180"/>
    <n v="624"/>
    <n v="183"/>
    <n v="275"/>
    <n v="275"/>
    <n v="0"/>
    <n v="8430604.978974249"/>
    <n v="12270960"/>
    <n v="3699761.897247693"/>
    <n v="0"/>
    <n v="561"/>
    <n v="11341893.02926752"/>
    <n v="8398538.238824943"/>
    <n v="200"/>
    <n v="519"/>
    <n v="121"/>
    <n v="0"/>
    <n v="0"/>
    <n v="7090643.081726557"/>
    <n v="10492767.34793198"/>
    <n v="2446290.653371425"/>
    <n v="0"/>
    <n v="561"/>
    <n v="11341893.02926752"/>
    <n v="6608226.890756303"/>
    <n v="100"/>
    <n v="589"/>
    <n v="113"/>
    <n v="200"/>
    <n v="0"/>
    <n v="11582685"/>
    <n v="2284552.428355132"/>
    <n v="3933000"/>
    <n v="0"/>
    <n v="561"/>
    <n v="11341893.02926752"/>
    <n v="6171319.327731092"/>
    <n v="120"/>
    <n v="638"/>
    <n v="120"/>
    <n v="200"/>
    <n v="200"/>
    <n v="0"/>
    <n v="12898623.44504933"/>
    <n v="2359800"/>
    <n v="3933000"/>
    <n v="0"/>
    <n v="561"/>
    <n v="11341893.02926752"/>
    <n v="6553613.445378152"/>
    <n v="180"/>
    <n v="720"/>
    <n v="159"/>
    <m/>
    <n v="200"/>
    <n v="0"/>
    <n v="14556440.25146633"/>
    <n v="3126735"/>
    <n v="0"/>
    <n v="0"/>
    <n v="720"/>
    <n v="11341893.02926752"/>
    <n v="8683537.81512605"/>
    <n v="100"/>
    <n v="573"/>
    <n v="100"/>
    <n v="300"/>
    <n v="300"/>
    <n v="0"/>
    <n v="11584500.36679195"/>
    <n v="1966500"/>
    <n v="5702850"/>
    <n v="0"/>
    <n v="573"/>
    <n v="11341893.02926752"/>
    <n v="5461344.537815127"/>
    <n v="100"/>
    <n v="473"/>
    <n v="100"/>
    <n v="80"/>
    <n v="80"/>
    <n v="80"/>
    <n v="9562772.554088298"/>
    <n v="1966500"/>
    <n v="1573200"/>
    <n v="1573200"/>
    <n v="553"/>
    <n v="11135972.5540883"/>
    <n v="5461344.537815127"/>
    <n v="80"/>
    <n v="453"/>
    <n v="80"/>
    <n v="0"/>
    <n v="0"/>
    <m/>
    <n v="8908245"/>
    <n v="1573200"/>
    <n v="0"/>
    <n v="0"/>
    <n v="453"/>
    <n v="8908245"/>
    <n v="4369075.630252101"/>
    <n v="200"/>
    <n v="373"/>
    <n v="200"/>
    <n v="0"/>
    <n v="0"/>
    <n v="0"/>
    <m/>
    <n v="7335045"/>
    <n v="3933000"/>
    <n v="0"/>
    <n v="0"/>
    <n v="373"/>
    <n v="7335045"/>
    <n v="10082352.94117647"/>
    <n v="120"/>
    <n v="173"/>
    <n v="120"/>
    <m/>
    <n v="0"/>
    <n v="3402045"/>
    <n v="2359800"/>
    <n v="0"/>
    <n v="0"/>
    <n v="173"/>
    <n v="3402045"/>
    <n v="6351882.352941177"/>
    <n v="150"/>
    <n v="53"/>
    <n v="150"/>
    <n v="0"/>
    <n v="0"/>
    <n v="1042245"/>
    <n v="2949750"/>
    <n v="0"/>
    <n v="53"/>
    <n v="1042245"/>
    <n v="8192016.806722689"/>
    <n v="72"/>
    <n v="0"/>
    <n v="72"/>
    <n v="0"/>
    <m/>
    <n v="0"/>
    <n v="1455644.025146633"/>
    <n v="0"/>
    <n v="0"/>
    <n v="0"/>
    <n v="3932168.067226891"/>
  </r>
  <r>
    <s v="Levo-Telones y Proyectores"/>
    <x v="0"/>
    <x v="5"/>
    <x v="15"/>
    <s v="LVTEL-80"/>
    <x v="55"/>
    <x v="55"/>
    <x v="0"/>
    <x v="4"/>
    <n v="1"/>
    <x v="42"/>
    <n v="445"/>
    <m/>
    <n v="0"/>
    <n v="17844"/>
    <n v="7940580"/>
    <n v="17"/>
    <n v="18572.5"/>
    <n v="46210.08403361345"/>
    <n v="42008.40336134454"/>
    <s v="Shenzhen"/>
    <s v="20/80 Credit"/>
    <n v="30"/>
    <n v="100"/>
    <n v="28"/>
    <n v="0.6508188478188478"/>
    <n v="25"/>
    <n v="0.591075590751817"/>
    <n v="66"/>
    <n v="0.6232861690292708"/>
    <n v="91"/>
    <n v="0.5437913149471224"/>
    <n v="90"/>
    <n v="0.6258210081978013"/>
    <n v="91"/>
    <n v="0.6056306623273755"/>
    <n v="62"/>
    <n v="0.6234281552614741"/>
    <n v="40"/>
    <n v="0.6355058523825807"/>
    <n v="77"/>
    <n v="0.6457169487602603"/>
    <n v="282"/>
    <n v="0.5664346033379674"/>
    <n v="89"/>
    <n v="0.6396061505878238"/>
    <n v="8"/>
    <n v="0.6401933743581275"/>
    <n v="3"/>
    <s v=""/>
    <n v="24"/>
    <s v=""/>
    <n v="58"/>
    <s v=""/>
    <n v="41"/>
    <s v=""/>
    <n v="1.025"/>
    <n v="39"/>
    <s v=""/>
    <n v="0.65"/>
    <n v="47"/>
    <s v=""/>
    <n v="0.47"/>
    <n v="20"/>
    <s v=""/>
    <n v="0.4"/>
    <n v="80"/>
    <n v="3"/>
    <n v="3"/>
    <n v="150"/>
    <n v="150"/>
    <n v="0"/>
    <n v="1730868"/>
    <n v="52785"/>
    <n v="53532"/>
    <n v="0"/>
    <n v="445"/>
    <n v="7940580"/>
    <n v="116496.0101687734"/>
    <n v="100"/>
    <n v="376"/>
    <n v="36"/>
    <n v="225"/>
    <n v="225"/>
    <n v="0"/>
    <n v="2408940"/>
    <n v="6615720"/>
    <n v="642384"/>
    <n v="0"/>
    <n v="445"/>
    <n v="7940580"/>
    <n v="1397952.122025281"/>
    <n v="75"/>
    <n v="350"/>
    <n v="58"/>
    <n v="0"/>
    <n v="0"/>
    <n v="2822256"/>
    <n v="6245400"/>
    <n v="1034952"/>
    <n v="0"/>
    <n v="445"/>
    <n v="7940580"/>
    <n v="2680184.87394958"/>
    <n v="40"/>
    <n v="488"/>
    <n v="41"/>
    <n v="200"/>
    <n v="0"/>
    <n v="8586360"/>
    <n v="731604"/>
    <n v="3519000"/>
    <n v="0"/>
    <n v="445"/>
    <n v="7940580"/>
    <n v="1894613.445378151"/>
    <n v="60"/>
    <n v="484"/>
    <n v="60"/>
    <n v="100"/>
    <n v="100"/>
    <n v="0"/>
    <n v="8636496"/>
    <n v="1055700"/>
    <n v="1759500"/>
    <n v="0"/>
    <n v="445"/>
    <n v="7940580"/>
    <n v="2772605.042016807"/>
    <n v="100"/>
    <n v="492"/>
    <n v="47"/>
    <m/>
    <n v="100"/>
    <n v="0"/>
    <n v="8779248"/>
    <n v="826965"/>
    <n v="0"/>
    <n v="0"/>
    <n v="492"/>
    <n v="7940580"/>
    <n v="2171873.949579832"/>
    <n v="50"/>
    <n v="465"/>
    <n v="50"/>
    <n v="0"/>
    <n v="0"/>
    <n v="0"/>
    <n v="8297460"/>
    <n v="879750"/>
    <n v="0"/>
    <n v="0"/>
    <n v="465"/>
    <n v="7940580"/>
    <n v="2310504.201680672"/>
    <n v="50"/>
    <n v="415"/>
    <n v="50"/>
    <n v="0"/>
    <n v="0"/>
    <n v="0"/>
    <n v="7405260"/>
    <n v="879750"/>
    <n v="0"/>
    <n v="0"/>
    <n v="415"/>
    <n v="7405260"/>
    <n v="2310504.201680672"/>
    <n v="30"/>
    <n v="365"/>
    <n v="30"/>
    <n v="0"/>
    <n v="0"/>
    <m/>
    <n v="6422175"/>
    <n v="527850"/>
    <n v="0"/>
    <n v="0"/>
    <n v="365"/>
    <n v="6422175"/>
    <n v="1386302.521008404"/>
    <n v="100"/>
    <n v="335"/>
    <n v="100"/>
    <n v="0"/>
    <n v="0"/>
    <n v="0"/>
    <m/>
    <n v="5894325"/>
    <n v="1759500"/>
    <n v="0"/>
    <n v="0"/>
    <n v="335"/>
    <n v="5894325"/>
    <n v="4200840.336134454"/>
    <n v="70"/>
    <n v="235"/>
    <n v="70"/>
    <m/>
    <n v="0"/>
    <n v="4134825"/>
    <n v="1231650"/>
    <n v="0"/>
    <n v="0"/>
    <n v="235"/>
    <n v="4134825"/>
    <n v="3087617.647058824"/>
    <n v="80"/>
    <n v="165"/>
    <n v="80"/>
    <n v="0"/>
    <n v="0"/>
    <n v="2903175"/>
    <n v="1407600"/>
    <n v="0"/>
    <n v="165"/>
    <n v="2903175"/>
    <n v="3696806.722689076"/>
    <n v="42"/>
    <n v="85"/>
    <n v="42"/>
    <n v="0"/>
    <m/>
    <n v="1495575"/>
    <n v="749448"/>
    <n v="0"/>
    <n v="85"/>
    <n v="1495575"/>
    <n v="1940823.529411765"/>
  </r>
  <r>
    <s v="Levo-Telones y Proyectores"/>
    <x v="0"/>
    <x v="5"/>
    <x v="15"/>
    <n v="1659991999728"/>
    <x v="56"/>
    <x v="56"/>
    <x v="0"/>
    <x v="4"/>
    <n v="1"/>
    <x v="43"/>
    <n v="110"/>
    <m/>
    <n v="0"/>
    <n v="9617.217689741195"/>
    <n v="1057893.945871531"/>
    <n v="9.5"/>
    <n v="10378.75"/>
    <n v="33605.04201680672"/>
    <n v="25201.68067226891"/>
    <s v="Shenzhen"/>
    <s v="20/80 Credit"/>
    <n v="30"/>
    <n v="100"/>
    <n v="27"/>
    <n v="0.6806738183459976"/>
    <n v="16"/>
    <n v="0.5965112819651945"/>
    <n v="68"/>
    <n v="0.6932362722057857"/>
    <n v="66"/>
    <n v="0.5898215507635703"/>
    <n v="53"/>
    <n v="0.6779760091206884"/>
    <n v="65"/>
    <n v="0.6444661529533442"/>
    <n v="69"/>
    <n v="0.6439552377888278"/>
    <n v="71"/>
    <n v="0.6465773649794632"/>
    <n v="108"/>
    <n v="0.6981561732420174"/>
    <n v="155"/>
    <n v="0.6905498049574599"/>
    <n v="65"/>
    <n v="0.707828810921612"/>
    <n v="20"/>
    <n v="0.7408619514561319"/>
    <n v="0"/>
    <s v=""/>
    <n v="29"/>
    <n v="0.6683098819600759"/>
    <n v="73"/>
    <n v="0.6052800330419572"/>
    <n v="53"/>
    <n v="0.6592083479568859"/>
    <n v="1.06"/>
    <n v="46"/>
    <n v="0.7041931390221134"/>
    <n v="0.7666666666666667"/>
    <n v="88"/>
    <n v="0.4793318389831341"/>
    <n v="0.88"/>
    <n v="25"/>
    <n v="0.6093651744690696"/>
    <n v="0.3571428571428572"/>
    <n v="60"/>
    <n v="2"/>
    <n v="2"/>
    <n v="100"/>
    <n v="100"/>
    <n v="0"/>
    <n v="1139640.296234332"/>
    <n v="19665"/>
    <n v="19234.43537948239"/>
    <n v="0"/>
    <n v="110"/>
    <n v="1057893.945871531"/>
    <n v="56479.06221312055"/>
    <n v="60"/>
    <n v="301"/>
    <n v="43.5"/>
    <n v="200"/>
    <n v="200"/>
    <n v="0"/>
    <n v="1630118.398411133"/>
    <n v="2959582.5"/>
    <n v="418348.969503742"/>
    <n v="0"/>
    <n v="110"/>
    <n v="1057893.945871531"/>
    <n v="1228419.603135372"/>
    <n v="50"/>
    <n v="280"/>
    <n v="73"/>
    <n v="0"/>
    <n v="0"/>
    <n v="1801719.428907391"/>
    <n v="2692820.953127535"/>
    <n v="702056.8913511073"/>
    <n v="0"/>
    <n v="110"/>
    <n v="1057893.945871531"/>
    <n v="2453168.06722689"/>
    <n v="50"/>
    <n v="334"/>
    <n v="53"/>
    <n v="150"/>
    <n v="0"/>
    <n v="3284055"/>
    <n v="509712.5375562834"/>
    <n v="1474875"/>
    <n v="0"/>
    <n v="110"/>
    <n v="1057893.945871531"/>
    <n v="1781067.226890756"/>
    <n v="60"/>
    <n v="156"/>
    <n v="60"/>
    <n v="50"/>
    <n v="50"/>
    <n v="0"/>
    <n v="1500285.959599626"/>
    <n v="589950"/>
    <n v="491625"/>
    <n v="0"/>
    <n v="110"/>
    <n v="1057893.945871531"/>
    <n v="2016302.521008403"/>
    <n v="100"/>
    <n v="198"/>
    <n v="88"/>
    <m/>
    <n v="50"/>
    <n v="0"/>
    <n v="1904209.102568757"/>
    <n v="865260"/>
    <n v="0"/>
    <n v="0"/>
    <n v="198"/>
    <n v="1057893.945871531"/>
    <n v="2957243.697478991"/>
    <n v="70"/>
    <n v="135"/>
    <n v="70"/>
    <n v="0"/>
    <n v="0"/>
    <n v="0"/>
    <n v="1298324.388115061"/>
    <n v="688275"/>
    <n v="0"/>
    <n v="0"/>
    <n v="135"/>
    <n v="1057893.945871531"/>
    <n v="2352352.94117647"/>
    <n v="70"/>
    <n v="65"/>
    <n v="70"/>
    <n v="0"/>
    <n v="0"/>
    <n v="0"/>
    <n v="625119.1498331777"/>
    <n v="688275"/>
    <n v="0"/>
    <n v="0"/>
    <n v="65"/>
    <n v="625119.1498331777"/>
    <n v="2352352.94117647"/>
    <n v="40"/>
    <n v="0"/>
    <n v="40"/>
    <n v="0"/>
    <n v="0"/>
    <m/>
    <n v="0"/>
    <n v="393300"/>
    <n v="0"/>
    <n v="0"/>
    <n v="0"/>
    <n v="0"/>
    <n v="1344201.680672269"/>
    <n v="70"/>
    <n v="0"/>
    <n v="0"/>
    <n v="0"/>
    <n v="0"/>
    <n v="0"/>
    <m/>
    <n v="0"/>
    <n v="0"/>
    <n v="0"/>
    <n v="0"/>
    <n v="0"/>
    <n v="0"/>
    <n v="0"/>
    <n v="50"/>
    <n v="0"/>
    <n v="50"/>
    <m/>
    <n v="0"/>
    <n v="0"/>
    <n v="491625"/>
    <n v="0"/>
    <n v="0"/>
    <n v="0"/>
    <n v="0"/>
    <n v="1323088.235294118"/>
    <n v="70"/>
    <n v="0"/>
    <n v="70"/>
    <n v="0"/>
    <n v="0"/>
    <n v="0"/>
    <n v="688275"/>
    <n v="0"/>
    <n v="0"/>
    <n v="0"/>
    <n v="2352352.94117647"/>
    <n v="30"/>
    <n v="0"/>
    <n v="30"/>
    <n v="0"/>
    <m/>
    <n v="0"/>
    <n v="288516.5306922359"/>
    <n v="0"/>
    <n v="0"/>
    <n v="0"/>
    <n v="1008151.260504202"/>
  </r>
  <r>
    <m/>
    <x v="0"/>
    <x v="5"/>
    <x v="15"/>
    <s v="LVTELBK-100"/>
    <x v="57"/>
    <x v="57"/>
    <x v="0"/>
    <x v="3"/>
    <n v="1"/>
    <x v="44"/>
    <n v="147"/>
    <m/>
    <n v="0"/>
    <n v="20134.2"/>
    <n v="2959727.4"/>
    <n v="19"/>
    <n v="20757.5"/>
    <n v="58815.12605042017"/>
    <n v="50411.76470588236"/>
    <s v="Shenzhen"/>
    <s v="20/80 Credit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s v=""/>
    <n v="10"/>
    <s v=""/>
    <n v="1"/>
    <n v="14"/>
    <s v=""/>
    <n v="0.35"/>
    <n v="54"/>
    <s v=""/>
    <n v="1.08"/>
    <n v="35"/>
    <s v=""/>
    <n v="0.5833333333333334"/>
    <n v="0"/>
    <n v="0"/>
    <n v="0"/>
    <n v="0"/>
    <n v="0"/>
    <n v="0"/>
    <n v="20134.2"/>
    <n v="0"/>
    <n v="0"/>
    <n v="0"/>
    <n v="147"/>
    <n v="2959727.4"/>
    <n v="0"/>
    <n v="0"/>
    <n v="0"/>
    <n v="0"/>
    <n v="0"/>
    <n v="0"/>
    <n v="0"/>
    <n v="221476.2"/>
    <n v="0"/>
    <n v="0"/>
    <n v="0"/>
    <n v="147"/>
    <n v="2959727.4"/>
    <n v="0"/>
    <n v="0"/>
    <n v="0"/>
    <n v="1"/>
    <n v="0"/>
    <n v="0"/>
    <n v="1008076.2"/>
    <n v="0"/>
    <n v="20134.2"/>
    <n v="0"/>
    <n v="147"/>
    <n v="2959727.4"/>
    <n v="58815.12605042017"/>
    <n v="10"/>
    <n v="78"/>
    <n v="10"/>
    <n v="80"/>
    <n v="0"/>
    <n v="1533870"/>
    <n v="201342"/>
    <n v="1573200"/>
    <n v="0"/>
    <n v="147"/>
    <n v="2959727.4"/>
    <n v="588151.2605042018"/>
    <n v="40"/>
    <n v="161"/>
    <n v="40"/>
    <n v="80"/>
    <n v="80"/>
    <n v="0"/>
    <n v="3241606.2"/>
    <n v="786600"/>
    <n v="1573200"/>
    <n v="0"/>
    <n v="147"/>
    <n v="2959727.4"/>
    <n v="2352605.042016807"/>
    <n v="50"/>
    <n v="201"/>
    <n v="54"/>
    <m/>
    <n v="0"/>
    <n v="0"/>
    <n v="4046974.2"/>
    <n v="1061910"/>
    <n v="0"/>
    <n v="0"/>
    <n v="201"/>
    <n v="2959727.4"/>
    <n v="3176016.806722689"/>
    <n v="60"/>
    <n v="182"/>
    <n v="60"/>
    <n v="150"/>
    <n v="150"/>
    <n v="0"/>
    <n v="3664424.4"/>
    <n v="1179900"/>
    <n v="2851425"/>
    <n v="0"/>
    <n v="182"/>
    <n v="2959727.4"/>
    <n v="3528907.56302521"/>
    <n v="80"/>
    <n v="122"/>
    <n v="80"/>
    <n v="20"/>
    <n v="20"/>
    <n v="20"/>
    <n v="2456372.4"/>
    <n v="1573200"/>
    <n v="393300"/>
    <n v="393300"/>
    <n v="142"/>
    <n v="2849672.4"/>
    <n v="4705210.084033614"/>
    <n v="60"/>
    <n v="62"/>
    <n v="60"/>
    <n v="0"/>
    <n v="0"/>
    <m/>
    <n v="1219230"/>
    <n v="1179900"/>
    <n v="0"/>
    <n v="0"/>
    <n v="62"/>
    <n v="1219230"/>
    <n v="3528907.56302521"/>
    <n v="80"/>
    <n v="2"/>
    <n v="2"/>
    <n v="70"/>
    <n v="70"/>
    <n v="70"/>
    <n v="0"/>
    <n v="39330"/>
    <n v="39330"/>
    <n v="1376550"/>
    <n v="1376550"/>
    <n v="72"/>
    <n v="1415880"/>
    <n v="100823.5294117647"/>
    <n v="60"/>
    <n v="70"/>
    <n v="60"/>
    <m/>
    <n v="0"/>
    <n v="1376550"/>
    <n v="1179900"/>
    <n v="0"/>
    <n v="0"/>
    <n v="70"/>
    <n v="1376550"/>
    <n v="3175941.176470588"/>
    <n v="80"/>
    <n v="10"/>
    <n v="80"/>
    <n v="0"/>
    <n v="0"/>
    <n v="196650"/>
    <n v="1573200"/>
    <n v="0"/>
    <n v="10"/>
    <n v="196650"/>
    <n v="4705210.084033614"/>
    <n v="36"/>
    <n v="0"/>
    <n v="36"/>
    <n v="0"/>
    <m/>
    <n v="0"/>
    <n v="724831.2000000001"/>
    <n v="0"/>
    <n v="0"/>
    <n v="0"/>
    <n v="2117344.537815126"/>
  </r>
  <r>
    <m/>
    <x v="0"/>
    <x v="5"/>
    <x v="15"/>
    <s v="LVTELBK-80"/>
    <x v="58"/>
    <x v="58"/>
    <x v="0"/>
    <x v="4"/>
    <n v="1"/>
    <x v="45"/>
    <n v="163"/>
    <m/>
    <n v="0"/>
    <n v="17733.7"/>
    <n v="2890593.1"/>
    <n v="17"/>
    <n v="18572.5"/>
    <n v="50411.76470588236"/>
    <n v="42008.40336134454"/>
    <s v="Shenzhen"/>
    <s v="20/80 Credit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6"/>
    <s v=""/>
    <n v="0.6"/>
    <n v="6"/>
    <s v=""/>
    <n v="0.2"/>
    <n v="26"/>
    <s v=""/>
    <n v="0.7428571428571429"/>
    <n v="10"/>
    <s v=""/>
    <n v="1"/>
    <n v="0"/>
    <n v="0"/>
    <n v="0"/>
    <n v="0"/>
    <n v="0"/>
    <n v="0"/>
    <n v="0"/>
    <n v="0"/>
    <n v="0"/>
    <n v="0"/>
    <n v="163"/>
    <n v="2890593.1"/>
    <n v="0"/>
    <n v="0"/>
    <n v="0"/>
    <n v="0"/>
    <n v="0"/>
    <n v="0"/>
    <n v="0"/>
    <n v="106402.2"/>
    <n v="0"/>
    <n v="0"/>
    <n v="0"/>
    <n v="163"/>
    <n v="2890593.1"/>
    <n v="0"/>
    <n v="0"/>
    <n v="0"/>
    <n v="0"/>
    <n v="0"/>
    <n v="0"/>
    <n v="634252.2"/>
    <n v="0"/>
    <n v="0"/>
    <n v="0"/>
    <n v="163"/>
    <n v="2890593.1"/>
    <n v="0"/>
    <n v="10"/>
    <n v="60"/>
    <n v="6"/>
    <n v="60"/>
    <n v="0"/>
    <n v="1055700"/>
    <n v="106402.2"/>
    <n v="1055700"/>
    <n v="0"/>
    <n v="163"/>
    <n v="2890593.1"/>
    <n v="302470.5882352942"/>
    <n v="30"/>
    <n v="169"/>
    <n v="30"/>
    <n v="60"/>
    <n v="60"/>
    <n v="0"/>
    <n v="2996995.3"/>
    <n v="527850"/>
    <n v="1055700"/>
    <n v="0"/>
    <n v="163"/>
    <n v="2890593.1"/>
    <n v="1512352.941176471"/>
    <n v="35"/>
    <n v="189"/>
    <n v="26"/>
    <m/>
    <n v="0"/>
    <n v="0"/>
    <n v="3351669.3"/>
    <n v="457470"/>
    <n v="0"/>
    <n v="0"/>
    <n v="189"/>
    <n v="2890593.1"/>
    <n v="1310705.882352941"/>
    <n v="10"/>
    <n v="173"/>
    <n v="10"/>
    <n v="90"/>
    <n v="90"/>
    <n v="0"/>
    <n v="3067930.1"/>
    <n v="175950"/>
    <n v="1530765"/>
    <n v="0"/>
    <n v="173"/>
    <n v="2890593.1"/>
    <n v="504117.6470588236"/>
    <n v="15"/>
    <n v="163"/>
    <n v="15"/>
    <n v="0"/>
    <n v="0"/>
    <n v="0"/>
    <n v="2890593.1"/>
    <n v="263925"/>
    <n v="0"/>
    <n v="0"/>
    <n v="163"/>
    <n v="2890593.1"/>
    <n v="756176.4705882353"/>
    <n v="15"/>
    <n v="148"/>
    <n v="15"/>
    <n v="0"/>
    <n v="0"/>
    <m/>
    <n v="2604060"/>
    <n v="263925"/>
    <n v="0"/>
    <n v="0"/>
    <n v="148"/>
    <n v="2604060"/>
    <n v="756176.4705882353"/>
    <n v="60"/>
    <n v="133"/>
    <n v="60"/>
    <n v="0"/>
    <n v="0"/>
    <n v="0"/>
    <m/>
    <n v="2340135"/>
    <n v="1055700"/>
    <n v="0"/>
    <n v="0"/>
    <n v="133"/>
    <n v="2340135"/>
    <n v="2520504.201680672"/>
    <n v="35"/>
    <n v="73"/>
    <n v="35"/>
    <m/>
    <n v="0"/>
    <n v="1284435"/>
    <n v="615825"/>
    <n v="0"/>
    <n v="0"/>
    <n v="73"/>
    <n v="1284435"/>
    <n v="1543808.823529412"/>
    <n v="40"/>
    <n v="38"/>
    <n v="40"/>
    <n v="0"/>
    <n v="0"/>
    <n v="668610"/>
    <n v="703800"/>
    <n v="0"/>
    <n v="38"/>
    <n v="668610"/>
    <n v="2016470.588235294"/>
    <n v="21"/>
    <n v="0"/>
    <n v="21"/>
    <n v="0"/>
    <m/>
    <n v="0"/>
    <n v="372407.7"/>
    <n v="0"/>
    <n v="0"/>
    <n v="0"/>
    <n v="1058647.058823529"/>
  </r>
  <r>
    <m/>
    <x v="0"/>
    <x v="5"/>
    <x v="15"/>
    <s v="LVTELBK-60"/>
    <x v="59"/>
    <x v="59"/>
    <x v="0"/>
    <x v="4"/>
    <n v="1"/>
    <x v="46"/>
    <n v="2"/>
    <m/>
    <n v="0"/>
    <n v="9493.200000000001"/>
    <n v="18986.4"/>
    <n v="9.5"/>
    <n v="10378.75"/>
    <n v="33605.04201680672"/>
    <n v="25201.68067226891"/>
    <s v="Shenzhen"/>
    <s v="20/80 Credit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s v=""/>
    <n v="12"/>
    <s v=""/>
    <n v="1.2"/>
    <n v="14"/>
    <s v=""/>
    <n v="0.7"/>
    <n v="55"/>
    <s v=""/>
    <n v="2.2"/>
    <n v="41"/>
    <s v=""/>
    <n v="0.82"/>
    <n v="0"/>
    <n v="0"/>
    <n v="0"/>
    <n v="0"/>
    <n v="0"/>
    <n v="0"/>
    <n v="9493.200000000001"/>
    <n v="0"/>
    <n v="0"/>
    <n v="0"/>
    <n v="2"/>
    <n v="18986.4"/>
    <n v="0"/>
    <n v="0"/>
    <n v="0"/>
    <n v="0"/>
    <n v="0"/>
    <n v="0"/>
    <n v="0"/>
    <n v="123411.6"/>
    <n v="0"/>
    <n v="0"/>
    <n v="0"/>
    <n v="2"/>
    <n v="18986.4"/>
    <n v="0"/>
    <n v="0"/>
    <n v="0"/>
    <n v="1"/>
    <n v="0"/>
    <n v="0"/>
    <n v="320061.6"/>
    <n v="0"/>
    <n v="9493.200000000001"/>
    <n v="0"/>
    <n v="2"/>
    <n v="18986.4"/>
    <n v="33605.04201680672"/>
    <n v="10"/>
    <n v="37"/>
    <n v="12"/>
    <n v="40"/>
    <n v="0"/>
    <n v="363802.5"/>
    <n v="113918.4"/>
    <n v="393300"/>
    <n v="0"/>
    <n v="2"/>
    <n v="18986.4"/>
    <n v="403260.5042016807"/>
    <n v="20"/>
    <n v="16"/>
    <n v="20"/>
    <n v="40"/>
    <n v="40"/>
    <n v="0"/>
    <n v="151891.2"/>
    <n v="196650"/>
    <n v="393300"/>
    <n v="0"/>
    <n v="2"/>
    <n v="18986.4"/>
    <n v="672100.8403361344"/>
    <n v="25"/>
    <n v="57"/>
    <n v="55"/>
    <m/>
    <n v="0"/>
    <n v="0"/>
    <n v="541112.4"/>
    <n v="540787.5"/>
    <n v="0"/>
    <n v="0"/>
    <n v="57"/>
    <n v="18986.4"/>
    <n v="1848277.31092437"/>
    <n v="50"/>
    <n v="43"/>
    <n v="50"/>
    <n v="60"/>
    <n v="60"/>
    <n v="0"/>
    <n v="408207.6"/>
    <n v="491625"/>
    <n v="570285"/>
    <n v="0"/>
    <n v="43"/>
    <n v="18986.4"/>
    <n v="1680252.100840336"/>
    <n v="5"/>
    <n v="0"/>
    <n v="5"/>
    <n v="0"/>
    <n v="0"/>
    <n v="0"/>
    <n v="0"/>
    <n v="49162.5"/>
    <n v="0"/>
    <n v="0"/>
    <n v="0"/>
    <n v="0"/>
    <n v="168025.2100840336"/>
    <n v="0"/>
    <n v="0"/>
    <n v="0"/>
    <n v="0"/>
    <n v="0"/>
    <m/>
    <n v="0"/>
    <n v="0"/>
    <n v="0"/>
    <n v="0"/>
    <n v="0"/>
    <n v="0"/>
    <n v="0"/>
    <n v="30"/>
    <n v="0"/>
    <n v="0"/>
    <n v="45"/>
    <n v="45"/>
    <n v="45"/>
    <n v="0"/>
    <n v="0"/>
    <n v="0"/>
    <n v="442462.5"/>
    <n v="442462.5"/>
    <n v="45"/>
    <n v="442462.5"/>
    <n v="0"/>
    <n v="20"/>
    <n v="45"/>
    <n v="20"/>
    <m/>
    <n v="0"/>
    <n v="442462.5"/>
    <n v="196650"/>
    <n v="0"/>
    <n v="0"/>
    <n v="45"/>
    <n v="442462.5"/>
    <n v="529235.2941176471"/>
    <n v="30"/>
    <n v="25"/>
    <n v="30"/>
    <n v="0"/>
    <n v="0"/>
    <n v="245812.5"/>
    <n v="294975"/>
    <n v="0"/>
    <n v="25"/>
    <n v="245812.5"/>
    <n v="1008151.260504202"/>
    <n v="12"/>
    <n v="0"/>
    <n v="12"/>
    <n v="0"/>
    <m/>
    <n v="0"/>
    <n v="113918.4"/>
    <n v="0"/>
    <n v="0"/>
    <n v="0"/>
    <n v="403260.5042016807"/>
  </r>
  <r>
    <s v="Levo-Telones y Proyectores"/>
    <x v="0"/>
    <x v="5"/>
    <x v="15"/>
    <s v="LVTELELE-100"/>
    <x v="60"/>
    <x v="60"/>
    <x v="0"/>
    <x v="3"/>
    <n v="1"/>
    <x v="47"/>
    <n v="22"/>
    <m/>
    <n v="0"/>
    <n v="22754"/>
    <n v="500588"/>
    <n v="22.5"/>
    <n v="24581.25"/>
    <n v="63016.80672268908"/>
    <n v="58815.12605042017"/>
    <s v="Shenzhen"/>
    <s v="20/80 Credit"/>
    <n v="30"/>
    <n v="100"/>
    <n v="19"/>
    <n v="0.6182655435105997"/>
    <n v="89"/>
    <n v="0.5523793439327581"/>
    <n v="79"/>
    <n v="0.6844385072077276"/>
    <n v="80"/>
    <n v="0.6327955845968805"/>
    <n v="63"/>
    <n v="0.6531161940359417"/>
    <n v="143"/>
    <n v="0.6155088300318962"/>
    <n v="62"/>
    <n v="0.6484760192119465"/>
    <n v="51"/>
    <n v="0.6742453030340314"/>
    <n v="34"/>
    <n v="0.6826111224686365"/>
    <n v="129"/>
    <n v="0.6169855366888842"/>
    <n v="176"/>
    <n v="0.5992126065929331"/>
    <n v="144"/>
    <n v="0.6091739404698684"/>
    <n v="48"/>
    <s v=""/>
    <n v="63"/>
    <s v=""/>
    <n v="81"/>
    <s v=""/>
    <n v="94"/>
    <s v=""/>
    <n v="1.175"/>
    <n v="82"/>
    <s v=""/>
    <n v="1.025"/>
    <n v="190"/>
    <s v=""/>
    <n v="1.583333333333333"/>
    <n v="84"/>
    <s v=""/>
    <n v="1.05"/>
    <n v="85"/>
    <n v="67"/>
    <n v="50"/>
    <n v="50"/>
    <n v="50"/>
    <n v="0"/>
    <n v="5131027"/>
    <n v="1560262.5"/>
    <n v="1137700"/>
    <n v="0"/>
    <n v="22"/>
    <n v="500588"/>
    <n v="2647764.988348281"/>
    <n v="70"/>
    <n v="196"/>
    <n v="94.5"/>
    <n v="125"/>
    <n v="125"/>
    <n v="0"/>
    <n v="6132203"/>
    <n v="4564350"/>
    <n v="2150253"/>
    <n v="0"/>
    <n v="22"/>
    <n v="500588"/>
    <n v="5004275.827978251"/>
    <n v="100"/>
    <n v="152"/>
    <n v="81"/>
    <n v="0"/>
    <n v="0"/>
    <n v="5844950"/>
    <n v="3458608"/>
    <n v="1843074"/>
    <n v="0"/>
    <n v="22"/>
    <n v="500588"/>
    <n v="5104361.344537815"/>
    <n v="80"/>
    <n v="357"/>
    <n v="94"/>
    <n v="300"/>
    <n v="0"/>
    <n v="8313637.5"/>
    <n v="2138876"/>
    <n v="6986250"/>
    <n v="0"/>
    <n v="22"/>
    <n v="500588"/>
    <n v="5923579.831932773"/>
    <n v="80"/>
    <n v="104"/>
    <n v="80"/>
    <n v="100"/>
    <n v="100"/>
    <n v="0"/>
    <n v="2366416"/>
    <n v="1863000"/>
    <n v="2328750"/>
    <n v="0"/>
    <n v="22"/>
    <n v="500588"/>
    <n v="5041344.537815127"/>
    <n v="120"/>
    <n v="212"/>
    <n v="190"/>
    <m/>
    <n v="100"/>
    <n v="0"/>
    <n v="4823848"/>
    <n v="4424625"/>
    <n v="0"/>
    <n v="0"/>
    <n v="212"/>
    <n v="500588"/>
    <n v="11973193.27731092"/>
    <n v="80"/>
    <n v="106"/>
    <n v="80"/>
    <n v="60"/>
    <n v="60"/>
    <n v="0"/>
    <n v="2411924"/>
    <n v="1863000"/>
    <n v="1350675"/>
    <n v="0"/>
    <n v="106"/>
    <n v="500588"/>
    <n v="5041344.537815127"/>
    <n v="80"/>
    <n v="26"/>
    <n v="80"/>
    <n v="0"/>
    <n v="0"/>
    <n v="0"/>
    <n v="591604"/>
    <n v="1863000"/>
    <n v="0"/>
    <n v="0"/>
    <n v="26"/>
    <n v="591604"/>
    <n v="5041344.537815127"/>
    <n v="60"/>
    <n v="0"/>
    <n v="60"/>
    <n v="0"/>
    <n v="0"/>
    <m/>
    <n v="0"/>
    <n v="1397250"/>
    <n v="0"/>
    <n v="0"/>
    <n v="0"/>
    <n v="0"/>
    <n v="3781008.403361345"/>
    <n v="100"/>
    <n v="0"/>
    <n v="0"/>
    <n v="150"/>
    <n v="150"/>
    <n v="150"/>
    <n v="0"/>
    <n v="0"/>
    <n v="0"/>
    <n v="3493125"/>
    <n v="3493125"/>
    <n v="150"/>
    <n v="3493125"/>
    <n v="0"/>
    <n v="80"/>
    <n v="150"/>
    <n v="80"/>
    <n v="130"/>
    <n v="130"/>
    <n v="3493125"/>
    <n v="1863000"/>
    <n v="3027375"/>
    <n v="3027375"/>
    <n v="280"/>
    <n v="6520500"/>
    <n v="4940470.588235295"/>
    <n v="100"/>
    <n v="200"/>
    <n v="100"/>
    <n v="0"/>
    <n v="0"/>
    <n v="4657500"/>
    <n v="2328750"/>
    <n v="0"/>
    <n v="200"/>
    <n v="4657500"/>
    <n v="6301680.672268908"/>
    <n v="48"/>
    <n v="100"/>
    <n v="48"/>
    <n v="0"/>
    <m/>
    <n v="2328750"/>
    <n v="1092192"/>
    <n v="0"/>
    <n v="100"/>
    <n v="2328750"/>
    <n v="3024806.722689076"/>
  </r>
  <r>
    <s v="Levo-Telones y Proyectores"/>
    <x v="0"/>
    <x v="5"/>
    <x v="15"/>
    <s v="LVTELELE-80"/>
    <x v="61"/>
    <x v="61"/>
    <x v="0"/>
    <x v="3"/>
    <n v="1"/>
    <x v="48"/>
    <n v="5"/>
    <m/>
    <n v="0"/>
    <n v="22341"/>
    <n v="111705"/>
    <n v="21"/>
    <n v="22942.5"/>
    <n v="54613.44537815126"/>
    <n v="50411.76470588236"/>
    <s v="Shenzhen"/>
    <s v="20/80 Credit"/>
    <n v="30"/>
    <n v="100"/>
    <n v="0"/>
    <s v=""/>
    <n v="0"/>
    <s v=""/>
    <n v="3"/>
    <n v="0.6543025428836229"/>
    <n v="10"/>
    <n v="0.594815509545066"/>
    <n v="12"/>
    <n v="0.6328169914731981"/>
    <n v="49"/>
    <n v="0.5790098878001125"/>
    <n v="19"/>
    <n v="0.5974226133360359"/>
    <n v="32"/>
    <n v="0.5937990678585837"/>
    <n v="19"/>
    <n v="0.5902113960242239"/>
    <n v="35"/>
    <n v="0.5817025701432669"/>
    <n v="34"/>
    <n v="0.5780255319423855"/>
    <n v="46"/>
    <n v="0.5958194699164077"/>
    <n v="27"/>
    <s v=""/>
    <n v="23"/>
    <s v=""/>
    <n v="29"/>
    <s v=""/>
    <n v="24"/>
    <s v=""/>
    <n v="1.2"/>
    <n v="25"/>
    <s v=""/>
    <n v="1"/>
    <n v="77"/>
    <s v=""/>
    <n v="1.54"/>
    <n v="44"/>
    <s v=""/>
    <n v="1.1"/>
    <n v="30"/>
    <n v="34"/>
    <n v="30"/>
    <n v="75"/>
    <n v="75"/>
    <n v="0"/>
    <n v="2088883.5"/>
    <n v="738990"/>
    <n v="670230"/>
    <n v="0"/>
    <n v="5"/>
    <n v="111705"/>
    <n v="1376809.547348351"/>
    <n v="30"/>
    <n v="87"/>
    <n v="34.5"/>
    <n v="0"/>
    <m/>
    <n v="0"/>
    <n v="1954837.5"/>
    <n v="1890945"/>
    <n v="770764.5"/>
    <n v="0"/>
    <n v="5"/>
    <n v="111705"/>
    <n v="1583330.979450604"/>
    <n v="40"/>
    <n v="66"/>
    <n v="29"/>
    <n v="0"/>
    <n v="0"/>
    <n v="1727448"/>
    <n v="1474506"/>
    <n v="647889"/>
    <n v="0"/>
    <n v="5"/>
    <n v="111705"/>
    <n v="1583789.915966387"/>
    <n v="20"/>
    <n v="94"/>
    <n v="24"/>
    <n v="90"/>
    <n v="0"/>
    <n v="2043090"/>
    <n v="536184"/>
    <n v="1956150"/>
    <n v="0"/>
    <n v="5"/>
    <n v="111705"/>
    <n v="1310722.68907563"/>
    <n v="25"/>
    <n v="30"/>
    <n v="25"/>
    <n v="30"/>
    <n v="30"/>
    <n v="0"/>
    <n v="670230"/>
    <n v="543375"/>
    <n v="652050"/>
    <n v="0"/>
    <n v="5"/>
    <n v="111705"/>
    <n v="1365336.134453782"/>
    <n v="50"/>
    <n v="82"/>
    <n v="77"/>
    <m/>
    <n v="30"/>
    <n v="0"/>
    <n v="1831962"/>
    <n v="1673595"/>
    <n v="0"/>
    <n v="0"/>
    <n v="82"/>
    <n v="111705"/>
    <n v="4205235.294117647"/>
    <n v="40"/>
    <n v="49"/>
    <n v="40"/>
    <n v="60"/>
    <n v="60"/>
    <n v="0"/>
    <n v="1094709"/>
    <n v="869400"/>
    <n v="1260630"/>
    <n v="0"/>
    <n v="49"/>
    <n v="111705"/>
    <n v="2184537.815126051"/>
    <n v="22"/>
    <n v="9"/>
    <n v="22"/>
    <n v="0"/>
    <n v="0"/>
    <n v="0"/>
    <n v="201069"/>
    <n v="478170"/>
    <n v="0"/>
    <n v="0"/>
    <n v="9"/>
    <n v="201069"/>
    <n v="1201495.798319328"/>
    <n v="30"/>
    <n v="0"/>
    <n v="30"/>
    <n v="0"/>
    <n v="0"/>
    <m/>
    <n v="0"/>
    <n v="652050"/>
    <n v="0"/>
    <n v="0"/>
    <n v="0"/>
    <n v="0"/>
    <n v="1638403.361344538"/>
    <n v="50"/>
    <n v="0"/>
    <n v="0"/>
    <n v="75"/>
    <n v="75"/>
    <n v="75"/>
    <n v="0"/>
    <n v="0"/>
    <n v="0"/>
    <n v="1630125"/>
    <n v="1630125"/>
    <n v="75"/>
    <n v="1630125"/>
    <n v="0"/>
    <n v="50"/>
    <n v="75"/>
    <n v="50"/>
    <m/>
    <n v="0"/>
    <n v="1630125"/>
    <n v="1086750"/>
    <n v="0"/>
    <n v="0"/>
    <n v="75"/>
    <n v="1630125"/>
    <n v="2646617.647058824"/>
    <n v="60"/>
    <n v="25"/>
    <n v="60"/>
    <n v="0"/>
    <n v="0"/>
    <n v="543375"/>
    <n v="1304100"/>
    <n v="0"/>
    <n v="25"/>
    <n v="543375"/>
    <n v="3276806.722689076"/>
    <n v="30"/>
    <n v="0"/>
    <n v="30"/>
    <n v="0"/>
    <m/>
    <n v="0"/>
    <n v="670230"/>
    <n v="0"/>
    <n v="0"/>
    <n v="0"/>
    <n v="1638403.361344538"/>
  </r>
  <r>
    <s v="Levo-Telones y Proyectores"/>
    <x v="0"/>
    <x v="5"/>
    <x v="15"/>
    <s v="LVTELELE-60"/>
    <x v="62"/>
    <x v="62"/>
    <x v="0"/>
    <x v="0"/>
    <n v="1"/>
    <x v="49"/>
    <n v="23"/>
    <m/>
    <n v="0"/>
    <n v="20312"/>
    <n v="467176"/>
    <n v="18.5"/>
    <n v="20211.25"/>
    <n v="42008.40336134454"/>
    <n v="40327.73109243697"/>
    <s v="Shenzhen"/>
    <s v="20/80 Credit"/>
    <n v="30"/>
    <n v="100"/>
    <n v="0"/>
    <s v=""/>
    <n v="0"/>
    <s v=""/>
    <n v="3"/>
    <n v="0.6079723105032232"/>
    <n v="5"/>
    <n v="0.5783413486489292"/>
    <n v="9"/>
    <n v="0.5885041695050026"/>
    <n v="19"/>
    <n v="0.5670037163098394"/>
    <n v="8"/>
    <n v="0.5660782733953466"/>
    <n v="20"/>
    <n v="0.5058881368546418"/>
    <n v="27"/>
    <n v="0.5115880065945262"/>
    <n v="47"/>
    <n v="0.4786748711894205"/>
    <n v="33"/>
    <n v="0.4786025908864904"/>
    <n v="77"/>
    <n v="0.4934460636692596"/>
    <n v="17"/>
    <s v=""/>
    <n v="19"/>
    <s v=""/>
    <n v="12"/>
    <s v=""/>
    <n v="23"/>
    <s v=""/>
    <n v="1.15"/>
    <n v="18"/>
    <s v=""/>
    <n v="0.9"/>
    <n v="19"/>
    <s v=""/>
    <n v="0.5428571428571428"/>
    <n v="12"/>
    <s v=""/>
    <n v="0.6"/>
    <n v="30"/>
    <n v="47"/>
    <n v="25"/>
    <n v="0"/>
    <m/>
    <n v="0"/>
    <n v="1330436"/>
    <n v="899932.5"/>
    <n v="507800"/>
    <n v="0"/>
    <n v="23"/>
    <n v="467176"/>
    <n v="882529.4823811878"/>
    <n v="22"/>
    <n v="32"/>
    <n v="28.5"/>
    <n v="0"/>
    <m/>
    <n v="0"/>
    <n v="1289812"/>
    <n v="612720"/>
    <n v="578892"/>
    <n v="0"/>
    <n v="23"/>
    <n v="467176"/>
    <n v="1006083.609914554"/>
    <n v="30"/>
    <n v="20"/>
    <n v="12"/>
    <n v="0"/>
    <n v="0"/>
    <n v="1093870"/>
    <n v="406240"/>
    <n v="243744"/>
    <n v="0"/>
    <n v="23"/>
    <n v="467176"/>
    <n v="504100.8403361345"/>
    <n v="20"/>
    <n v="53"/>
    <n v="23"/>
    <n v="60"/>
    <n v="0"/>
    <n v="1014817.5"/>
    <n v="467176"/>
    <n v="1148850"/>
    <n v="0"/>
    <n v="23"/>
    <n v="467176"/>
    <n v="966193.2773109245"/>
    <n v="20"/>
    <n v="41"/>
    <n v="20"/>
    <m/>
    <n v="0"/>
    <n v="0"/>
    <n v="832792"/>
    <n v="382950"/>
    <n v="0"/>
    <n v="0"/>
    <n v="23"/>
    <n v="467176"/>
    <n v="840168.0672268908"/>
    <n v="35"/>
    <n v="42"/>
    <n v="19"/>
    <m/>
    <n v="0"/>
    <n v="0"/>
    <n v="853104"/>
    <n v="363802.5"/>
    <n v="0"/>
    <n v="0"/>
    <n v="42"/>
    <n v="467176"/>
    <n v="798159.6638655463"/>
    <n v="20"/>
    <n v="35"/>
    <n v="20"/>
    <n v="40"/>
    <n v="40"/>
    <n v="0"/>
    <n v="710920"/>
    <n v="382950"/>
    <n v="740370"/>
    <n v="0"/>
    <n v="35"/>
    <n v="467176"/>
    <n v="840168.0672268908"/>
    <n v="20"/>
    <n v="15"/>
    <n v="20"/>
    <n v="35"/>
    <n v="35"/>
    <n v="35"/>
    <n v="304680"/>
    <n v="382950"/>
    <n v="670162.5"/>
    <n v="670162.5"/>
    <n v="50"/>
    <n v="974842.5"/>
    <n v="840168.0672268908"/>
    <n v="10"/>
    <n v="30"/>
    <n v="10"/>
    <n v="0"/>
    <n v="0"/>
    <m/>
    <n v="574425"/>
    <n v="191475"/>
    <n v="0"/>
    <n v="0"/>
    <n v="30"/>
    <n v="574425"/>
    <n v="420084.0336134454"/>
    <n v="35"/>
    <n v="20"/>
    <n v="20"/>
    <n v="30"/>
    <n v="30"/>
    <n v="30"/>
    <n v="0"/>
    <n v="382950"/>
    <n v="382950"/>
    <n v="574425"/>
    <n v="574425"/>
    <n v="50"/>
    <n v="957375"/>
    <n v="806554.6218487395"/>
    <n v="30"/>
    <n v="30"/>
    <n v="30"/>
    <m/>
    <n v="0"/>
    <n v="574425"/>
    <n v="574425"/>
    <n v="0"/>
    <n v="0"/>
    <n v="30"/>
    <n v="574425"/>
    <n v="1270323.529411765"/>
    <n v="40"/>
    <n v="0"/>
    <n v="40"/>
    <n v="0"/>
    <n v="0"/>
    <n v="0"/>
    <n v="765900"/>
    <n v="0"/>
    <n v="0"/>
    <n v="0"/>
    <n v="1680336.134453782"/>
    <n v="18"/>
    <n v="0"/>
    <n v="18"/>
    <n v="0"/>
    <m/>
    <n v="0"/>
    <n v="365616"/>
    <n v="0"/>
    <n v="0"/>
    <n v="0"/>
    <n v="756151.2605042018"/>
  </r>
  <r>
    <m/>
    <x v="0"/>
    <x v="5"/>
    <x v="15"/>
    <s v="LVTELRETR-100"/>
    <x v="63"/>
    <x v="63"/>
    <x v="0"/>
    <x v="0"/>
    <n v="1"/>
    <x v="50"/>
    <n v="4"/>
    <m/>
    <n v="0"/>
    <n v="101484"/>
    <n v="405936"/>
    <n v="96"/>
    <n v="104880"/>
    <n v="210075.6302521008"/>
    <n v="193268.9075630252"/>
    <s v="Shenzhen"/>
    <s v="20/80 Credit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s v=""/>
    <n v="3"/>
    <n v="0.4075175979864215"/>
    <n v="3"/>
    <n v="0.4957639349575381"/>
    <n v="3"/>
    <n v="0.4357328044202026"/>
    <n v="3"/>
    <s v=""/>
    <n v="1"/>
    <s v=""/>
    <n v="3"/>
    <s v=""/>
    <n v="3"/>
    <s v=""/>
    <n v="1"/>
    <n v="4"/>
    <s v=""/>
    <n v="1.333333333333333"/>
    <n v="4"/>
    <s v=""/>
    <n v="0.8"/>
    <n v="6"/>
    <s v=""/>
    <n v="2"/>
    <n v="3"/>
    <n v="2"/>
    <n v="2"/>
    <n v="5"/>
    <n v="5"/>
    <n v="0"/>
    <n v="659646"/>
    <n v="198720"/>
    <n v="202968"/>
    <n v="0"/>
    <n v="4"/>
    <n v="405936"/>
    <n v="353068.2861379847"/>
    <n v="3"/>
    <n v="6"/>
    <n v="1.5"/>
    <n v="0"/>
    <m/>
    <n v="0"/>
    <n v="761130"/>
    <n v="596159.9999999999"/>
    <n v="152226"/>
    <n v="0"/>
    <n v="4"/>
    <n v="405936"/>
    <n v="264801.2146034885"/>
    <n v="3"/>
    <n v="5"/>
    <n v="3"/>
    <n v="0"/>
    <n v="0"/>
    <n v="906984"/>
    <n v="507420"/>
    <n v="304452"/>
    <n v="0"/>
    <n v="4"/>
    <n v="405936"/>
    <n v="630226.8907563025"/>
    <n v="3"/>
    <n v="15"/>
    <n v="3"/>
    <n v="15"/>
    <n v="0"/>
    <n v="1490400"/>
    <n v="304452"/>
    <n v="1490400"/>
    <n v="0"/>
    <n v="4"/>
    <n v="405936"/>
    <n v="630226.8907563025"/>
    <n v="3"/>
    <n v="8"/>
    <n v="3"/>
    <m/>
    <n v="0"/>
    <n v="0"/>
    <n v="811872"/>
    <n v="298079.9999999999"/>
    <n v="0"/>
    <n v="0"/>
    <n v="4"/>
    <n v="405936"/>
    <n v="630226.8907563025"/>
    <n v="5"/>
    <n v="8"/>
    <n v="4"/>
    <m/>
    <n v="0"/>
    <n v="0"/>
    <n v="811872"/>
    <n v="397439.9999999999"/>
    <n v="0"/>
    <n v="0"/>
    <n v="8"/>
    <n v="405936"/>
    <n v="840302.5210084034"/>
    <n v="3"/>
    <n v="10"/>
    <n v="3"/>
    <n v="5"/>
    <n v="5"/>
    <n v="0"/>
    <n v="1014840"/>
    <n v="298079.9999999999"/>
    <n v="480239.9999999999"/>
    <n v="0"/>
    <n v="10"/>
    <n v="405936"/>
    <n v="630226.8907563025"/>
    <n v="3"/>
    <n v="7"/>
    <n v="3"/>
    <n v="0"/>
    <n v="0"/>
    <n v="0"/>
    <n v="710388"/>
    <n v="298079.9999999999"/>
    <n v="0"/>
    <n v="0"/>
    <n v="7"/>
    <n v="710388"/>
    <n v="630226.8907563025"/>
    <n v="3"/>
    <n v="4"/>
    <n v="3"/>
    <n v="0"/>
    <n v="0"/>
    <m/>
    <n v="397439.9999999999"/>
    <n v="298079.9999999999"/>
    <n v="0"/>
    <n v="0"/>
    <n v="4"/>
    <n v="397439.9999999999"/>
    <n v="630226.8907563025"/>
    <n v="3"/>
    <n v="1"/>
    <n v="1"/>
    <n v="2"/>
    <n v="2"/>
    <n v="2"/>
    <n v="0"/>
    <n v="99359.99999999999"/>
    <n v="99359.99999999999"/>
    <n v="198720"/>
    <n v="198720"/>
    <n v="3"/>
    <n v="298079.9999999999"/>
    <n v="193268.9075630252"/>
    <n v="3"/>
    <n v="2"/>
    <n v="3"/>
    <m/>
    <n v="0"/>
    <n v="198720"/>
    <n v="298079.9999999999"/>
    <n v="0"/>
    <n v="0"/>
    <n v="2"/>
    <n v="198720"/>
    <n v="608797.0588235294"/>
    <n v="5"/>
    <n v="0"/>
    <n v="5"/>
    <n v="0"/>
    <n v="0"/>
    <n v="0"/>
    <n v="496799.9999999999"/>
    <n v="0"/>
    <n v="0"/>
    <n v="0"/>
    <n v="1050378.151260504"/>
    <n v="1.8"/>
    <n v="0"/>
    <n v="1.8"/>
    <n v="0"/>
    <m/>
    <n v="0"/>
    <n v="182671.2"/>
    <n v="0"/>
    <n v="0"/>
    <n v="0"/>
    <n v="378136.1344537815"/>
  </r>
  <r>
    <s v="Levo-Pantallas"/>
    <x v="0"/>
    <x v="6"/>
    <x v="16"/>
    <s v="LVMONPOR-15"/>
    <x v="64"/>
    <x v="64"/>
    <x v="0"/>
    <x v="6"/>
    <n v="1"/>
    <x v="12"/>
    <n v="0"/>
    <m/>
    <n v="0"/>
    <n v="48288"/>
    <n v="0"/>
    <n v="44.1"/>
    <n v="48179.24999999999"/>
    <n v="84025.21008403362"/>
    <n v="84025.21008403362"/>
    <s v="Shenzhen"/>
    <s v="30/70"/>
    <n v="30"/>
    <n v="300"/>
    <n v="25"/>
    <n v="0.3908643070827426"/>
    <n v="43"/>
    <n v="0.3386587103307567"/>
    <n v="95"/>
    <n v="0.4616788771707397"/>
    <n v="58"/>
    <n v="0.4335944251100549"/>
    <n v="50"/>
    <n v="0.5219078716489056"/>
    <n v="64"/>
    <n v="0.3945522907240213"/>
    <n v="4"/>
    <n v="0.4577506708131715"/>
    <n v="20"/>
    <n v="0.3471127216611323"/>
    <n v="26"/>
    <n v="0.5062993414490223"/>
    <n v="67"/>
    <n v="0.4838470902985678"/>
    <n v="66"/>
    <n v="0.3658495479170409"/>
    <n v="126"/>
    <n v="0.3833852911976865"/>
    <n v="13"/>
    <s v=""/>
    <n v="18"/>
    <s v=""/>
    <n v="63"/>
    <s v=""/>
    <n v="13"/>
    <s v=""/>
    <n v="0.8666666666666667"/>
    <n v="1"/>
    <s v=""/>
    <n v="1"/>
    <n v="0"/>
    <s v=""/>
    <n v="0"/>
    <n v="1"/>
    <s v=""/>
    <n v="0"/>
    <n v="40"/>
    <n v="106"/>
    <n v="15"/>
    <n v="0"/>
    <m/>
    <n v="0"/>
    <n v="5070240"/>
    <n v="4838211"/>
    <n v="724320"/>
    <n v="0"/>
    <n v="0"/>
    <n v="0"/>
    <n v="1059141.303580256"/>
    <n v="30"/>
    <n v="100"/>
    <n v="27"/>
    <n v="0"/>
    <m/>
    <n v="0"/>
    <n v="4973664"/>
    <n v="4564350"/>
    <n v="1303776"/>
    <n v="0"/>
    <n v="0"/>
    <n v="0"/>
    <n v="1906454.34644446"/>
    <n v="25"/>
    <n v="81"/>
    <n v="63"/>
    <n v="0"/>
    <n v="0"/>
    <n v="3715531.5"/>
    <n v="3911328"/>
    <n v="3042144"/>
    <n v="0"/>
    <n v="0"/>
    <n v="0"/>
    <n v="5293588.235294119"/>
    <n v="15"/>
    <n v="14"/>
    <n v="13"/>
    <n v="0"/>
    <n v="0"/>
    <n v="639009"/>
    <n v="627744"/>
    <n v="0"/>
    <n v="0"/>
    <n v="0"/>
    <n v="0"/>
    <n v="1092327.731092437"/>
    <n v="1"/>
    <n v="1"/>
    <n v="1"/>
    <m/>
    <n v="0"/>
    <n v="0"/>
    <n v="48288"/>
    <n v="45643.5"/>
    <n v="0"/>
    <n v="0"/>
    <n v="0"/>
    <n v="0"/>
    <n v="84025.21008403362"/>
    <n v="0"/>
    <n v="0"/>
    <n v="0"/>
    <m/>
    <n v="0"/>
    <n v="0"/>
    <n v="0"/>
    <n v="0"/>
    <n v="0"/>
    <n v="0"/>
    <n v="0"/>
    <n v="0"/>
    <n v="0"/>
    <n v="0"/>
    <n v="1"/>
    <n v="0"/>
    <n v="0"/>
    <n v="0"/>
    <n v="0"/>
    <n v="48288"/>
    <n v="0"/>
    <n v="0"/>
    <n v="0"/>
    <n v="1"/>
    <n v="0"/>
    <n v="0"/>
    <n v="0"/>
    <n v="1"/>
    <n v="0"/>
    <n v="0"/>
    <n v="0"/>
    <n v="0"/>
    <n v="48288"/>
    <n v="0"/>
    <n v="0"/>
    <n v="0"/>
    <n v="1"/>
    <n v="48288"/>
    <n v="0"/>
    <n v="0"/>
    <n v="1"/>
    <n v="0"/>
    <n v="0"/>
    <n v="0"/>
    <m/>
    <n v="45643.5"/>
    <n v="0"/>
    <n v="0"/>
    <n v="0"/>
    <n v="1"/>
    <n v="45643.5"/>
    <n v="0"/>
    <n v="0"/>
    <n v="1"/>
    <n v="0"/>
    <n v="0"/>
    <n v="0"/>
    <n v="0"/>
    <m/>
    <n v="45643.5"/>
    <n v="0"/>
    <n v="0"/>
    <n v="0"/>
    <n v="1"/>
    <n v="45643.5"/>
    <n v="0"/>
    <n v="0"/>
    <n v="1"/>
    <n v="0"/>
    <m/>
    <n v="0"/>
    <n v="45643.5"/>
    <n v="0"/>
    <n v="0"/>
    <n v="0"/>
    <n v="1"/>
    <n v="45643.5"/>
    <n v="0"/>
    <n v="0"/>
    <n v="1"/>
    <n v="0"/>
    <n v="0"/>
    <n v="0"/>
    <n v="45643.5"/>
    <n v="0"/>
    <n v="0"/>
    <n v="1"/>
    <n v="45643.5"/>
    <n v="0"/>
    <n v="0"/>
    <n v="1"/>
    <n v="0"/>
    <n v="0"/>
    <m/>
    <n v="45643.5"/>
    <n v="0"/>
    <n v="0"/>
    <n v="1"/>
    <n v="45643.5"/>
    <n v="0"/>
  </r>
  <r>
    <m/>
    <x v="0"/>
    <x v="6"/>
    <x v="16"/>
    <s v="LVMONEXV-15"/>
    <x v="65"/>
    <x v="65"/>
    <x v="0"/>
    <x v="3"/>
    <n v="1"/>
    <x v="51"/>
    <n v="16"/>
    <m/>
    <n v="0"/>
    <n v="37116"/>
    <n v="593856"/>
    <n v="35"/>
    <n v="38237.5"/>
    <n v="84025.21008403362"/>
    <n v="58815.12605042017"/>
    <s v="Shenzhen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s v=""/>
    <n v="46"/>
    <s v=""/>
    <n v="49"/>
    <s v=""/>
    <n v="1.225"/>
    <n v="34"/>
    <s v=""/>
    <n v="0.68"/>
    <n v="116"/>
    <s v=""/>
    <n v="1.364705882352941"/>
    <n v="0"/>
    <s v=""/>
    <n v="0"/>
    <n v="5"/>
    <n v="0"/>
    <n v="2"/>
    <n v="0"/>
    <n v="300"/>
    <n v="0"/>
    <n v="2115612"/>
    <n v="0"/>
    <n v="74232"/>
    <n v="0"/>
    <n v="16"/>
    <n v="593856"/>
    <n v="141218.8404773674"/>
    <n v="30"/>
    <n v="300"/>
    <n v="9"/>
    <n v="0"/>
    <n v="0"/>
    <n v="0"/>
    <n v="3860064"/>
    <n v="10867500"/>
    <n v="334044"/>
    <n v="0"/>
    <n v="16"/>
    <n v="593856"/>
    <n v="635484.7821481534"/>
    <n v="70"/>
    <n v="288"/>
    <n v="46"/>
    <n v="0"/>
    <n v="0"/>
    <n v="5337270"/>
    <n v="10689408"/>
    <n v="1707336"/>
    <n v="0"/>
    <n v="16"/>
    <n v="593856"/>
    <n v="3865159.663865547"/>
    <n v="40"/>
    <n v="239"/>
    <n v="49"/>
    <n v="0"/>
    <n v="0"/>
    <n v="8657775"/>
    <n v="1818684"/>
    <n v="0"/>
    <n v="0"/>
    <n v="16"/>
    <n v="593856"/>
    <n v="4117235.294117647"/>
    <n v="50"/>
    <n v="50"/>
    <n v="50"/>
    <m/>
    <n v="0"/>
    <n v="0"/>
    <n v="1855800"/>
    <n v="1811250"/>
    <n v="0"/>
    <n v="0"/>
    <n v="16"/>
    <n v="593856"/>
    <n v="4201260.504201681"/>
    <n v="85"/>
    <n v="132"/>
    <n v="116"/>
    <m/>
    <n v="0"/>
    <n v="0"/>
    <n v="4899312"/>
    <n v="4202100"/>
    <n v="0"/>
    <n v="0"/>
    <n v="132"/>
    <n v="593856"/>
    <n v="9746924.369747899"/>
    <n v="35"/>
    <n v="16"/>
    <n v="35"/>
    <n v="0"/>
    <n v="0"/>
    <n v="0"/>
    <n v="593856"/>
    <n v="1267875"/>
    <n v="0"/>
    <n v="0"/>
    <n v="16"/>
    <n v="593856"/>
    <n v="2940882.352941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75"/>
    <n v="0"/>
    <n v="0"/>
    <n v="300"/>
    <n v="300"/>
    <n v="300"/>
    <n v="0"/>
    <n v="0"/>
    <n v="0"/>
    <n v="10867500"/>
    <n v="10867500"/>
    <n v="300"/>
    <n v="10867500"/>
    <n v="0"/>
    <n v="50"/>
    <n v="300"/>
    <n v="50"/>
    <m/>
    <n v="0"/>
    <n v="10867500"/>
    <n v="1811250"/>
    <n v="0"/>
    <n v="0"/>
    <n v="300"/>
    <n v="10867500"/>
    <n v="3087794.117647059"/>
    <n v="100"/>
    <n v="250"/>
    <n v="100"/>
    <n v="300"/>
    <n v="300"/>
    <n v="9056250"/>
    <n v="3622500"/>
    <n v="10867500"/>
    <n v="550"/>
    <n v="19923750"/>
    <n v="8402521.008403363"/>
    <n v="30"/>
    <n v="450"/>
    <n v="30"/>
    <n v="0"/>
    <m/>
    <n v="16301250"/>
    <n v="1113480"/>
    <n v="0"/>
    <n v="450"/>
    <n v="16301250"/>
    <n v="2520756.302521009"/>
  </r>
  <r>
    <s v="Levo-Pantallas"/>
    <x v="0"/>
    <x v="6"/>
    <x v="17"/>
    <s v="LVPANTOTPUB-43"/>
    <x v="66"/>
    <x v="66"/>
    <x v="0"/>
    <x v="3"/>
    <n v="1"/>
    <x v="52"/>
    <n v="8"/>
    <m/>
    <n v="0"/>
    <n v="300750"/>
    <n v="2406000"/>
    <n v="380"/>
    <n v="355062.5"/>
    <n v="756294.1176470589"/>
    <n v="697470.5882352941"/>
    <s v="Shenzhen"/>
    <s v="30/70"/>
    <n v="30"/>
    <n v="1"/>
    <n v="0"/>
    <s v=""/>
    <n v="0"/>
    <s v=""/>
    <n v="0"/>
    <s v=""/>
    <n v="0"/>
    <s v=""/>
    <n v="1"/>
    <n v="0.6095679306175684"/>
    <n v="1"/>
    <n v="0.6095679306175684"/>
    <n v="0"/>
    <s v=""/>
    <n v="0"/>
    <s v=""/>
    <n v="0"/>
    <s v=""/>
    <n v="4"/>
    <n v="0.4521550383660931"/>
    <n v="1"/>
    <n v="0.3478048983200039"/>
    <n v="0"/>
    <s v=""/>
    <n v="0"/>
    <s v=""/>
    <n v="2"/>
    <s v=""/>
    <n v="7"/>
    <s v=""/>
    <n v="9"/>
    <s v=""/>
    <n v="1.285714285714286"/>
    <n v="4"/>
    <s v=""/>
    <n v="0.6666666666666666"/>
    <n v="1"/>
    <s v=""/>
    <n v="0.1"/>
    <n v="1"/>
    <s v=""/>
    <n v="0.1428571428571428"/>
    <n v="1"/>
    <n v="0"/>
    <n v="1"/>
    <n v="3"/>
    <n v="3"/>
    <n v="0"/>
    <n v="3308250"/>
    <n v="0"/>
    <n v="300750"/>
    <n v="0"/>
    <n v="8"/>
    <n v="2406000"/>
    <n v="635541.275333663"/>
    <n v="3"/>
    <n v="9"/>
    <n v="3"/>
    <n v="6"/>
    <n v="6"/>
    <n v="0"/>
    <n v="5714250"/>
    <n v="3539700"/>
    <n v="902250"/>
    <n v="0"/>
    <n v="8"/>
    <n v="2406000"/>
    <n v="1906623.826000989"/>
    <n v="5"/>
    <n v="7"/>
    <n v="7"/>
    <n v="0"/>
    <n v="0"/>
    <n v="7171800"/>
    <n v="2105250"/>
    <n v="2105250"/>
    <n v="0"/>
    <n v="8"/>
    <n v="2406000"/>
    <n v="5294058.823529412"/>
    <n v="7"/>
    <n v="13"/>
    <n v="9"/>
    <n v="7"/>
    <n v="0"/>
    <n v="5112899.999999999"/>
    <n v="2706750"/>
    <n v="2753100"/>
    <n v="0"/>
    <n v="8"/>
    <n v="2406000"/>
    <n v="6806647.058823531"/>
    <n v="6"/>
    <n v="12"/>
    <n v="6"/>
    <n v="7"/>
    <n v="7"/>
    <n v="0"/>
    <n v="3609000"/>
    <n v="2359800"/>
    <n v="2753100"/>
    <n v="0"/>
    <n v="8"/>
    <n v="2406000"/>
    <n v="4537764.705882354"/>
    <n v="10"/>
    <n v="9"/>
    <n v="1"/>
    <m/>
    <n v="0"/>
    <n v="0"/>
    <n v="2706750"/>
    <n v="393299.9999999999"/>
    <n v="0"/>
    <n v="0"/>
    <n v="9"/>
    <n v="2406000"/>
    <n v="756294.1176470589"/>
    <n v="7"/>
    <n v="9"/>
    <n v="7"/>
    <n v="11"/>
    <n v="11"/>
    <n v="0"/>
    <n v="2706750"/>
    <n v="2753100"/>
    <n v="4182090"/>
    <n v="0"/>
    <n v="9"/>
    <n v="2406000"/>
    <n v="5294058.823529412"/>
    <n v="7"/>
    <n v="2"/>
    <n v="7"/>
    <n v="10"/>
    <n v="10"/>
    <n v="10"/>
    <n v="601500"/>
    <n v="2753100"/>
    <n v="3933000"/>
    <n v="3933000"/>
    <n v="12"/>
    <n v="4534500"/>
    <n v="5294058.823529412"/>
    <n v="5"/>
    <n v="5"/>
    <n v="5"/>
    <n v="8"/>
    <n v="8"/>
    <n v="8"/>
    <n v="1966500"/>
    <n v="1966500"/>
    <n v="3146400"/>
    <n v="3146400"/>
    <n v="13"/>
    <n v="5112899.999999999"/>
    <n v="3781470.588235294"/>
    <n v="10"/>
    <n v="8"/>
    <n v="8"/>
    <n v="10"/>
    <n v="10"/>
    <n v="10"/>
    <n v="0"/>
    <n v="3146400"/>
    <n v="3146400"/>
    <n v="3933000"/>
    <n v="3933000"/>
    <n v="18"/>
    <n v="7079399.999999999"/>
    <n v="5579764.705882353"/>
    <n v="10"/>
    <n v="10"/>
    <n v="10"/>
    <m/>
    <n v="0"/>
    <n v="3933000"/>
    <n v="3933000"/>
    <n v="0"/>
    <n v="0"/>
    <n v="10"/>
    <n v="3933000"/>
    <n v="7323441.176470588"/>
    <n v="10"/>
    <n v="0"/>
    <n v="10"/>
    <n v="0"/>
    <n v="0"/>
    <n v="0"/>
    <n v="3933000"/>
    <n v="0"/>
    <n v="0"/>
    <n v="0"/>
    <n v="7562941.176470589"/>
    <n v="6"/>
    <n v="0"/>
    <n v="6"/>
    <n v="0"/>
    <m/>
    <n v="0"/>
    <n v="1804500"/>
    <n v="0"/>
    <n v="0"/>
    <n v="0"/>
    <n v="4537764.705882354"/>
  </r>
  <r>
    <s v="Levo-Pantallas"/>
    <x v="0"/>
    <x v="6"/>
    <x v="17"/>
    <s v="LVPANTOTPUB-50"/>
    <x v="67"/>
    <x v="67"/>
    <x v="0"/>
    <x v="3"/>
    <n v="1"/>
    <x v="53"/>
    <n v="1"/>
    <m/>
    <n v="0"/>
    <n v="338793"/>
    <n v="338793"/>
    <n v="435"/>
    <n v="415149.9999999999"/>
    <n v="840327.7310924371"/>
    <n v="714277.3109243697"/>
    <s v="Shenzhen"/>
    <s v="30/70"/>
    <n v="30"/>
    <n v="1"/>
    <n v="0"/>
    <s v=""/>
    <n v="0"/>
    <s v=""/>
    <n v="0"/>
    <s v=""/>
    <n v="0"/>
    <s v=""/>
    <n v="1"/>
    <n v="0.5770710793726693"/>
    <n v="0"/>
    <s v=""/>
    <n v="0"/>
    <s v=""/>
    <n v="0"/>
    <s v=""/>
    <n v="0"/>
    <s v=""/>
    <n v="3"/>
    <n v="0.4507268337445491"/>
    <n v="3"/>
    <n v="0.5530335064552191"/>
    <n v="0"/>
    <s v=""/>
    <n v="0"/>
    <s v=""/>
    <n v="0"/>
    <s v=""/>
    <n v="3"/>
    <s v=""/>
    <n v="8"/>
    <s v=""/>
    <n v="1.6"/>
    <n v="6"/>
    <s v=""/>
    <n v="1.2"/>
    <n v="0"/>
    <s v=""/>
    <n v="0"/>
    <n v="7"/>
    <s v=""/>
    <n v="1.4"/>
    <n v="0"/>
    <n v="0"/>
    <n v="0"/>
    <n v="0"/>
    <m/>
    <n v="0"/>
    <n v="1016379"/>
    <n v="0"/>
    <n v="0"/>
    <n v="0"/>
    <n v="1"/>
    <n v="338793"/>
    <n v="0"/>
    <n v="1"/>
    <n v="4"/>
    <n v="0"/>
    <n v="4"/>
    <n v="4"/>
    <n v="0"/>
    <n v="3726723"/>
    <n v="1800900"/>
    <n v="0"/>
    <n v="0"/>
    <n v="1"/>
    <n v="338793"/>
    <n v="0"/>
    <n v="3"/>
    <n v="4"/>
    <n v="3"/>
    <n v="0"/>
    <n v="0"/>
    <n v="5977848"/>
    <n v="1355172"/>
    <n v="1016379"/>
    <n v="0"/>
    <n v="1"/>
    <n v="338793"/>
    <n v="2520983.193277311"/>
    <n v="5"/>
    <n v="15"/>
    <n v="8"/>
    <n v="7"/>
    <n v="0"/>
    <n v="6753374.999999999"/>
    <n v="2710344"/>
    <n v="3151575"/>
    <n v="0"/>
    <n v="1"/>
    <n v="338793"/>
    <n v="6722621.848739496"/>
    <n v="5"/>
    <n v="7"/>
    <n v="5"/>
    <n v="7"/>
    <n v="7"/>
    <n v="0"/>
    <n v="2371551"/>
    <n v="2251125"/>
    <n v="3151575"/>
    <n v="0"/>
    <n v="1"/>
    <n v="338793"/>
    <n v="4201638.655462185"/>
    <n v="7"/>
    <n v="1"/>
    <n v="0"/>
    <m/>
    <n v="0"/>
    <n v="0"/>
    <n v="338793"/>
    <n v="0"/>
    <n v="0"/>
    <n v="0"/>
    <n v="1"/>
    <n v="338793"/>
    <n v="0"/>
    <n v="5"/>
    <n v="8"/>
    <n v="5"/>
    <n v="12"/>
    <n v="12"/>
    <n v="0"/>
    <n v="2710344"/>
    <n v="2251125"/>
    <n v="5222609.999999999"/>
    <n v="0"/>
    <n v="8"/>
    <n v="338793"/>
    <n v="4201638.655462185"/>
    <n v="5"/>
    <n v="3"/>
    <n v="5"/>
    <n v="10"/>
    <n v="10"/>
    <n v="10"/>
    <n v="1016379"/>
    <n v="2251125"/>
    <n v="4502249.999999999"/>
    <n v="4502249.999999999"/>
    <n v="13"/>
    <n v="5518628.999999999"/>
    <n v="4201638.655462185"/>
    <n v="5"/>
    <n v="8"/>
    <n v="5"/>
    <n v="0"/>
    <n v="0"/>
    <m/>
    <n v="3601800"/>
    <n v="2251125"/>
    <n v="0"/>
    <n v="0"/>
    <n v="8"/>
    <n v="3601800"/>
    <n v="4201638.655462185"/>
    <n v="10"/>
    <n v="3"/>
    <n v="3"/>
    <n v="10"/>
    <n v="10"/>
    <n v="10"/>
    <n v="0"/>
    <n v="1350675"/>
    <n v="1350675"/>
    <n v="4502249.999999999"/>
    <n v="4502249.999999999"/>
    <n v="13"/>
    <n v="5852924.999999999"/>
    <n v="2142831.932773109"/>
    <n v="5"/>
    <n v="10"/>
    <n v="5"/>
    <m/>
    <n v="0"/>
    <n v="4502249.999999999"/>
    <n v="2251125"/>
    <n v="0"/>
    <n v="0"/>
    <n v="10"/>
    <n v="4502249.999999999"/>
    <n v="3749955.882352941"/>
    <n v="10"/>
    <n v="5"/>
    <n v="10"/>
    <n v="0"/>
    <n v="0"/>
    <n v="2251125"/>
    <n v="4502249.999999999"/>
    <n v="0"/>
    <n v="5"/>
    <n v="2251125"/>
    <n v="8403277.31092437"/>
    <n v="3"/>
    <n v="0"/>
    <n v="3"/>
    <n v="0"/>
    <m/>
    <n v="0"/>
    <n v="1016379"/>
    <n v="0"/>
    <n v="0"/>
    <n v="0"/>
    <n v="2520983.193277311"/>
  </r>
  <r>
    <s v="Levo-Soportes"/>
    <x v="0"/>
    <x v="7"/>
    <x v="18"/>
    <s v="LVSPTVUN"/>
    <x v="68"/>
    <x v="68"/>
    <x v="0"/>
    <x v="0"/>
    <n v="1"/>
    <x v="54"/>
    <n v="14"/>
    <m/>
    <n v="0"/>
    <n v="2955"/>
    <n v="41370"/>
    <n v="2.9"/>
    <n v="3168.25"/>
    <n v="5873.949579831933"/>
    <n v="5873.949579831933"/>
    <s v="Shenzhen"/>
    <s v="30/70"/>
    <n v="30"/>
    <n v="2000"/>
    <n v="5"/>
    <n v="0.563223302730128"/>
    <n v="4"/>
    <n v="0.5909150479629218"/>
    <n v="368"/>
    <n v="0.2884715156598929"/>
    <n v="153"/>
    <n v="0.3152639247110708"/>
    <n v="8"/>
    <n v="0.6088594338087975"/>
    <n v="46"/>
    <n v="0.5856128909664984"/>
    <n v="164"/>
    <n v="0.4733908181902442"/>
    <n v="46"/>
    <n v="0.5167762966784961"/>
    <n v="30"/>
    <n v="0.5202894317824652"/>
    <n v="184"/>
    <n v="0.4997483789773312"/>
    <n v="132"/>
    <n v="0.4690448597708135"/>
    <n v="198"/>
    <n v="0.4814306056466915"/>
    <n v="191"/>
    <s v=""/>
    <n v="161"/>
    <s v=""/>
    <n v="255"/>
    <s v=""/>
    <n v="241"/>
    <s v=""/>
    <n v="1.205"/>
    <n v="398"/>
    <s v=""/>
    <n v="1.99"/>
    <n v="1174"/>
    <s v=""/>
    <n v="2.348"/>
    <n v="14"/>
    <s v=""/>
    <n v="0.0915032679738562"/>
    <n v="120"/>
    <n v="2664"/>
    <n v="200"/>
    <n v="0"/>
    <m/>
    <n v="0"/>
    <n v="2058157.5"/>
    <n v="7995995.999999999"/>
    <n v="591000"/>
    <n v="0"/>
    <n v="14"/>
    <n v="41370"/>
    <n v="987218.4167784762"/>
    <n v="200"/>
    <n v="2438"/>
    <n v="241.5"/>
    <n v="0"/>
    <m/>
    <n v="0"/>
    <n v="2179312.5"/>
    <n v="7317656.999999999"/>
    <n v="713632.5"/>
    <n v="0"/>
    <n v="14"/>
    <n v="41370"/>
    <n v="1192066.23826001"/>
    <n v="200"/>
    <n v="2194"/>
    <n v="255"/>
    <n v="0"/>
    <n v="0"/>
    <n v="2065980"/>
    <n v="6483270"/>
    <n v="753525"/>
    <n v="0"/>
    <n v="14"/>
    <n v="41370"/>
    <n v="1497857.142857143"/>
    <n v="200"/>
    <n v="1853"/>
    <n v="241"/>
    <n v="0"/>
    <n v="0"/>
    <n v="5561779.499999999"/>
    <n v="712155"/>
    <n v="0"/>
    <n v="0"/>
    <n v="14"/>
    <n v="41370"/>
    <n v="1415621.848739496"/>
    <n v="200"/>
    <n v="412"/>
    <n v="200"/>
    <m/>
    <n v="0"/>
    <n v="0"/>
    <n v="1217460"/>
    <n v="600299.9999999999"/>
    <n v="0"/>
    <n v="0"/>
    <n v="14"/>
    <n v="41370"/>
    <n v="1174789.915966387"/>
    <n v="500"/>
    <n v="1188"/>
    <n v="1174"/>
    <m/>
    <n v="0"/>
    <n v="0"/>
    <n v="3510540"/>
    <n v="3523761"/>
    <n v="0"/>
    <n v="0"/>
    <n v="1188"/>
    <n v="41370"/>
    <n v="6896016.806722689"/>
    <n v="153"/>
    <n v="28"/>
    <n v="153"/>
    <n v="0"/>
    <n v="0"/>
    <n v="0"/>
    <n v="82740"/>
    <n v="459229.4999999999"/>
    <n v="0"/>
    <n v="0"/>
    <n v="28"/>
    <n v="41370"/>
    <n v="898714.2857142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300"/>
    <n v="0"/>
    <n v="0"/>
    <n v="1000"/>
    <n v="1000"/>
    <n v="1000"/>
    <n v="0"/>
    <n v="0"/>
    <n v="0"/>
    <n v="3001500"/>
    <n v="3001500"/>
    <n v="1000"/>
    <n v="3001500"/>
    <n v="0"/>
    <n v="250"/>
    <n v="1000"/>
    <n v="250"/>
    <m/>
    <n v="0"/>
    <n v="3001500"/>
    <n v="750374.9999999999"/>
    <n v="0"/>
    <n v="0"/>
    <n v="1000"/>
    <n v="3001500"/>
    <n v="1541911.764705882"/>
    <n v="300"/>
    <n v="750"/>
    <n v="300"/>
    <n v="0"/>
    <n v="0"/>
    <n v="2251125"/>
    <n v="900449.9999999999"/>
    <n v="0"/>
    <n v="750"/>
    <n v="2251125"/>
    <n v="1762184.87394958"/>
    <n v="150"/>
    <n v="450"/>
    <n v="150"/>
    <n v="0"/>
    <m/>
    <n v="1350675"/>
    <n v="443250"/>
    <n v="0"/>
    <n v="450"/>
    <n v="1350675"/>
    <n v="881092.4369747899"/>
  </r>
  <r>
    <s v="Levo-Soportes"/>
    <x v="0"/>
    <x v="7"/>
    <x v="19"/>
    <s v="LVSPBRX2MN"/>
    <x v="69"/>
    <x v="69"/>
    <x v="0"/>
    <x v="2"/>
    <n v="1"/>
    <x v="55"/>
    <n v="12"/>
    <m/>
    <n v="0"/>
    <n v="9256"/>
    <n v="111072"/>
    <n v="8.5"/>
    <n v="9286.25"/>
    <n v="21000"/>
    <n v="21000"/>
    <s v="Shenzhen"/>
    <s v="30/70"/>
    <n v="30"/>
    <n v="3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22"/>
    <s v=""/>
    <n v="82"/>
    <s v=""/>
    <n v="1.64"/>
    <n v="62"/>
    <s v=""/>
    <n v="1.033333333333333"/>
    <n v="105"/>
    <s v=""/>
    <n v="1.3125"/>
    <n v="12"/>
    <s v=""/>
    <n v="0.2"/>
    <n v="0"/>
    <n v="0"/>
    <n v="0"/>
    <n v="0"/>
    <m/>
    <n v="0"/>
    <n v="203632"/>
    <n v="0"/>
    <n v="0"/>
    <n v="0"/>
    <n v="12"/>
    <n v="111072"/>
    <n v="0"/>
    <n v="10"/>
    <n v="0"/>
    <n v="0"/>
    <n v="300"/>
    <n v="300"/>
    <n v="0"/>
    <n v="962624"/>
    <n v="0"/>
    <n v="0"/>
    <n v="0"/>
    <n v="12"/>
    <n v="111072"/>
    <n v="0"/>
    <n v="30"/>
    <n v="300"/>
    <n v="22"/>
    <n v="0"/>
    <n v="0"/>
    <n v="1490474"/>
    <n v="2776800"/>
    <n v="203632"/>
    <n v="0"/>
    <n v="12"/>
    <n v="111072"/>
    <n v="462000"/>
    <n v="50"/>
    <n v="278"/>
    <n v="82"/>
    <n v="0"/>
    <n v="0"/>
    <n v="2445705"/>
    <n v="758992"/>
    <n v="0"/>
    <n v="0"/>
    <n v="12"/>
    <n v="111072"/>
    <n v="1722000"/>
    <n v="60"/>
    <n v="74"/>
    <n v="60"/>
    <m/>
    <n v="0"/>
    <n v="0"/>
    <n v="684944"/>
    <n v="527850"/>
    <n v="0"/>
    <n v="0"/>
    <n v="12"/>
    <n v="111072"/>
    <n v="1260000"/>
    <n v="80"/>
    <n v="117"/>
    <n v="105"/>
    <m/>
    <n v="0"/>
    <n v="0"/>
    <n v="1082952"/>
    <n v="923737.5"/>
    <n v="0"/>
    <n v="0"/>
    <n v="117"/>
    <n v="111072"/>
    <n v="2205000"/>
    <n v="60"/>
    <n v="24"/>
    <n v="60"/>
    <n v="0"/>
    <n v="0"/>
    <n v="0"/>
    <n v="222144"/>
    <n v="527850"/>
    <n v="0"/>
    <n v="0"/>
    <n v="24"/>
    <n v="111072"/>
    <n v="1260000"/>
    <n v="80"/>
    <n v="0"/>
    <n v="80"/>
    <n v="300"/>
    <n v="300"/>
    <n v="0"/>
    <n v="0"/>
    <n v="703800"/>
    <n v="2639250"/>
    <n v="0"/>
    <n v="300"/>
    <n v="0"/>
    <n v="1680000"/>
    <n v="60"/>
    <n v="0"/>
    <n v="60"/>
    <n v="0"/>
    <n v="0"/>
    <n v="300"/>
    <n v="0"/>
    <n v="527850"/>
    <n v="0"/>
    <n v="2639250"/>
    <n v="300"/>
    <n v="2639250"/>
    <n v="1260000"/>
    <n v="100"/>
    <n v="240"/>
    <n v="100"/>
    <n v="0"/>
    <n v="0"/>
    <n v="0"/>
    <m/>
    <n v="2111400"/>
    <n v="879750"/>
    <n v="0"/>
    <n v="0"/>
    <n v="240"/>
    <n v="2111400"/>
    <n v="2100000"/>
    <n v="80"/>
    <n v="140"/>
    <n v="80"/>
    <n v="300"/>
    <n v="300"/>
    <n v="1231650"/>
    <n v="703800"/>
    <n v="2639250"/>
    <n v="2639250"/>
    <n v="440"/>
    <n v="3870900"/>
    <n v="1764000"/>
    <n v="80"/>
    <n v="360"/>
    <n v="80"/>
    <n v="0"/>
    <n v="0"/>
    <n v="3167100"/>
    <n v="703800"/>
    <n v="0"/>
    <n v="360"/>
    <n v="3167100"/>
    <n v="1680000"/>
    <n v="48"/>
    <n v="280"/>
    <n v="48"/>
    <n v="0"/>
    <m/>
    <n v="2463300"/>
    <n v="444288"/>
    <n v="0"/>
    <n v="280"/>
    <n v="2463300"/>
    <n v="1008000"/>
  </r>
  <r>
    <m/>
    <x v="0"/>
    <x v="7"/>
    <x v="19"/>
    <s v="LVSPALZNPLE"/>
    <x v="70"/>
    <x v="70"/>
    <x v="0"/>
    <x v="2"/>
    <n v="1.2"/>
    <x v="56"/>
    <n v="127"/>
    <m/>
    <n v="0"/>
    <n v="4517"/>
    <n v="573659"/>
    <n v="5.28"/>
    <n v="5768.4"/>
    <n v="12596.63865546219"/>
    <n v="10915.96638655462"/>
    <s v="Shenzhen"/>
    <s v="30/70"/>
    <n v="30"/>
    <n v="3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20"/>
    <s v=""/>
    <n v="61"/>
    <s v=""/>
    <n v="1.22"/>
    <n v="33"/>
    <s v=""/>
    <n v="0.55"/>
    <n v="39"/>
    <s v=""/>
    <n v="0.4875"/>
    <n v="12"/>
    <s v=""/>
    <n v="0.3"/>
    <n v="0"/>
    <n v="0"/>
    <n v="0"/>
    <n v="0"/>
    <m/>
    <n v="0"/>
    <n v="90340"/>
    <n v="0"/>
    <n v="0"/>
    <n v="0"/>
    <n v="127"/>
    <n v="573659"/>
    <n v="0"/>
    <n v="10"/>
    <n v="0"/>
    <n v="0"/>
    <n v="300"/>
    <n v="300"/>
    <n v="0"/>
    <n v="365877"/>
    <n v="0"/>
    <n v="0"/>
    <n v="0"/>
    <n v="127"/>
    <n v="573659"/>
    <n v="0"/>
    <n v="30"/>
    <n v="300"/>
    <n v="20"/>
    <n v="0"/>
    <n v="0"/>
    <n v="759342.6"/>
    <n v="1355100"/>
    <n v="90340"/>
    <n v="0"/>
    <n v="127"/>
    <n v="573659"/>
    <n v="251932.7731092437"/>
    <n v="50"/>
    <n v="277"/>
    <n v="61"/>
    <n v="0"/>
    <n v="0"/>
    <n v="1513749.6"/>
    <n v="275537"/>
    <n v="0"/>
    <n v="0"/>
    <n v="127"/>
    <n v="573659"/>
    <n v="768394.9579831933"/>
    <n v="60"/>
    <n v="160"/>
    <n v="72"/>
    <m/>
    <n v="0"/>
    <n v="0"/>
    <n v="722720"/>
    <n v="393465.6"/>
    <n v="0"/>
    <n v="0"/>
    <n v="127"/>
    <n v="573659"/>
    <n v="906957.9831932774"/>
    <n v="80"/>
    <n v="166"/>
    <n v="39"/>
    <m/>
    <n v="0"/>
    <n v="0"/>
    <n v="749822"/>
    <n v="213127.2"/>
    <n v="0"/>
    <n v="0"/>
    <n v="166"/>
    <n v="573659"/>
    <n v="491268.9075630252"/>
    <n v="40"/>
    <n v="139"/>
    <n v="48"/>
    <n v="0"/>
    <n v="0"/>
    <n v="0"/>
    <n v="627863"/>
    <n v="262310.4"/>
    <n v="0"/>
    <n v="0"/>
    <n v="139"/>
    <n v="573659"/>
    <n v="604638.6554621849"/>
    <n v="40"/>
    <n v="91"/>
    <n v="48"/>
    <n v="300"/>
    <n v="300"/>
    <n v="0"/>
    <n v="411047"/>
    <n v="262310.4"/>
    <n v="1639440"/>
    <n v="0"/>
    <n v="391"/>
    <n v="411047"/>
    <n v="604638.6554621849"/>
    <n v="40"/>
    <n v="43"/>
    <n v="48"/>
    <n v="0"/>
    <n v="0"/>
    <n v="300"/>
    <n v="234986.4"/>
    <n v="262310.4"/>
    <n v="0"/>
    <n v="1639440"/>
    <n v="343"/>
    <n v="1874426.4"/>
    <n v="604638.6554621849"/>
    <n v="60"/>
    <n v="295"/>
    <n v="72"/>
    <n v="0"/>
    <n v="0"/>
    <n v="0"/>
    <m/>
    <n v="1612116"/>
    <n v="393465.6"/>
    <n v="0"/>
    <n v="0"/>
    <n v="295"/>
    <n v="1612116"/>
    <n v="785949.5798319328"/>
    <n v="60"/>
    <n v="223"/>
    <n v="72"/>
    <m/>
    <n v="0"/>
    <n v="1218650.4"/>
    <n v="393465.6"/>
    <n v="0"/>
    <n v="0"/>
    <n v="223"/>
    <n v="1218650.4"/>
    <n v="825247.0588235295"/>
    <n v="40"/>
    <n v="151"/>
    <n v="48"/>
    <n v="0"/>
    <n v="0"/>
    <n v="825184.7999999999"/>
    <n v="262310.4"/>
    <n v="0"/>
    <n v="151"/>
    <n v="825184.7999999999"/>
    <n v="604638.6554621849"/>
    <n v="36"/>
    <n v="103"/>
    <n v="43.2"/>
    <n v="0"/>
    <m/>
    <n v="562874.3999999999"/>
    <n v="195134.4"/>
    <n v="0"/>
    <n v="103"/>
    <n v="562874.3999999999"/>
    <n v="544174.7899159663"/>
  </r>
  <r>
    <s v="Lhotse-Camping y Outdoor"/>
    <x v="1"/>
    <x v="8"/>
    <x v="20"/>
    <n v="1615383366170"/>
    <x v="71"/>
    <x v="71"/>
    <x v="0"/>
    <x v="4"/>
    <n v="1"/>
    <x v="57"/>
    <n v="34"/>
    <m/>
    <n v="0"/>
    <n v="34385.03866666667"/>
    <n v="1169091.314666667"/>
    <n v="33.5"/>
    <n v="36598.75"/>
    <n v="58815.12605042017"/>
    <n v="57134.45378151261"/>
    <s v="Shenzhen"/>
    <s v="20/80"/>
    <n v="30"/>
    <n v="100"/>
    <n v="29"/>
    <n v="0.3208984136676198"/>
    <n v="15"/>
    <n v="0.3452554428421761"/>
    <n v="17"/>
    <n v="0.3503741387690457"/>
    <n v="7"/>
    <n v="0.4140506758240824"/>
    <n v="8"/>
    <n v="0.2962340112016625"/>
    <n v="93"/>
    <n v="0.2092622831722602"/>
    <n v="4"/>
    <n v="0.4815710448398335"/>
    <n v="2"/>
    <n v="0.3422560840071651"/>
    <n v="4"/>
    <n v="0.3759484312688441"/>
    <n v="14"/>
    <n v="0.3124678265022636"/>
    <n v="5"/>
    <n v="0.3895942983986933"/>
    <n v="9"/>
    <n v="0.4667616595107798"/>
    <n v="39"/>
    <n v="0.2315366212874688"/>
    <n v="27"/>
    <n v="0.2090796268530142"/>
    <n v="40"/>
    <n v="0.1395222216236859"/>
    <n v="23"/>
    <n v="0.2318635759121722"/>
    <n v="1.533333333333333"/>
    <n v="31"/>
    <n v="0.3520245291905438"/>
    <n v="1.55"/>
    <n v="19"/>
    <n v="0.2018559021231928"/>
    <n v="0.3166666666666667"/>
    <n v="0"/>
    <n v="0.2232654810833371"/>
    <n v="0"/>
    <n v="25"/>
    <n v="189"/>
    <n v="25"/>
    <n v="0"/>
    <n v="0"/>
    <n v="0"/>
    <n v="3627621.579333333"/>
    <n v="6553102.5"/>
    <n v="859625.9666666667"/>
    <n v="0"/>
    <n v="34"/>
    <n v="1169091.314666667"/>
    <n v="1235611.89181555"/>
    <n v="20"/>
    <n v="185"/>
    <n v="40.5"/>
    <n v="0"/>
    <n v="0"/>
    <n v="0"/>
    <n v="3558851.502"/>
    <n v="6414412.5"/>
    <n v="1392594.066"/>
    <n v="0"/>
    <n v="34"/>
    <n v="1169091.314666667"/>
    <n v="2001691.264741191"/>
    <n v="20"/>
    <n v="138"/>
    <n v="40"/>
    <n v="0"/>
    <n v="0"/>
    <n v="2859707.436"/>
    <n v="4745135.336"/>
    <n v="1375401.546666667"/>
    <n v="0"/>
    <n v="34"/>
    <n v="1169091.314666667"/>
    <n v="2352605.042016807"/>
    <n v="15"/>
    <n v="117"/>
    <n v="23"/>
    <n v="0"/>
    <n v="0"/>
    <n v="4056682.5"/>
    <n v="790855.8893333334"/>
    <n v="0"/>
    <n v="0"/>
    <n v="34"/>
    <n v="1169091.314666667"/>
    <n v="1352747.899159664"/>
    <n v="20"/>
    <n v="65"/>
    <n v="20"/>
    <m/>
    <n v="0"/>
    <n v="0"/>
    <n v="2235027.513333333"/>
    <n v="693450"/>
    <n v="0"/>
    <n v="0"/>
    <n v="34"/>
    <n v="1169091.314666667"/>
    <n v="1176302.521008404"/>
    <n v="60"/>
    <n v="53"/>
    <n v="19"/>
    <m/>
    <n v="0"/>
    <n v="0"/>
    <n v="1822407.049333333"/>
    <n v="658777.5"/>
    <n v="0"/>
    <n v="0"/>
    <n v="53"/>
    <n v="1169091.314666667"/>
    <n v="1117487.394957983"/>
    <n v="20"/>
    <n v="34"/>
    <n v="20"/>
    <n v="0"/>
    <n v="0"/>
    <n v="0"/>
    <n v="1169091.314666667"/>
    <n v="693450"/>
    <n v="0"/>
    <n v="0"/>
    <n v="34"/>
    <n v="1169091.314666667"/>
    <n v="1176302.521008404"/>
    <n v="24"/>
    <n v="14"/>
    <n v="24"/>
    <n v="100"/>
    <n v="100"/>
    <n v="0"/>
    <n v="481390.5413333334"/>
    <n v="832140"/>
    <n v="3467250"/>
    <n v="0"/>
    <n v="114"/>
    <n v="481390.5413333334"/>
    <n v="1411563.025210084"/>
    <n v="25"/>
    <n v="0"/>
    <n v="25"/>
    <n v="100"/>
    <n v="0"/>
    <n v="100"/>
    <n v="0"/>
    <n v="866812.5"/>
    <n v="3467250"/>
    <n v="3467250"/>
    <n v="100"/>
    <n v="3467250"/>
    <n v="1470378.151260504"/>
    <n v="40"/>
    <n v="175"/>
    <n v="40"/>
    <n v="0"/>
    <n v="0"/>
    <n v="0"/>
    <n v="100"/>
    <n v="6067687.5"/>
    <n v="1386900"/>
    <n v="0"/>
    <n v="3467250"/>
    <n v="175"/>
    <n v="9534937.5"/>
    <n v="2285378.151260504"/>
    <n v="35"/>
    <n v="135"/>
    <n v="35"/>
    <n v="0"/>
    <n v="0"/>
    <n v="4680787.5"/>
    <n v="1213537.5"/>
    <n v="0"/>
    <n v="0"/>
    <n v="135"/>
    <n v="4680787.5"/>
    <n v="2099691.176470588"/>
    <n v="60"/>
    <n v="100"/>
    <n v="60"/>
    <n v="0"/>
    <n v="0"/>
    <n v="3467250"/>
    <n v="2080350"/>
    <n v="0"/>
    <n v="100"/>
    <n v="3467250"/>
    <n v="3528907.56302521"/>
    <n v="21"/>
    <n v="40"/>
    <n v="21"/>
    <n v="0"/>
    <m/>
    <n v="1386900"/>
    <n v="722085.812"/>
    <n v="0"/>
    <n v="40"/>
    <n v="1386900"/>
    <n v="1235117.647058824"/>
  </r>
  <r>
    <s v="Lhotse-Camping y Outdoor"/>
    <x v="1"/>
    <x v="8"/>
    <x v="20"/>
    <n v="1571423280815"/>
    <x v="72"/>
    <x v="72"/>
    <x v="0"/>
    <x v="3"/>
    <n v="1"/>
    <x v="58"/>
    <n v="15"/>
    <m/>
    <n v="0"/>
    <n v="25609.97777777778"/>
    <n v="384149.6666666667"/>
    <n v="26.5"/>
    <n v="28951.25"/>
    <n v="54613.44537815126"/>
    <n v="46210.08403361345"/>
    <s v="Shenzhen"/>
    <s v="20/80"/>
    <n v="30"/>
    <n v="100"/>
    <n v="84"/>
    <n v="0.3688824534987359"/>
    <n v="43"/>
    <n v="0.3906628645205781"/>
    <n v="49"/>
    <n v="0.3826836429355521"/>
    <n v="25"/>
    <n v="0.4877172644697637"/>
    <n v="7"/>
    <n v="0.4553675424494863"/>
    <n v="48"/>
    <n v="0.3552170193815653"/>
    <n v="76"/>
    <n v="0.3482577435260585"/>
    <n v="50"/>
    <n v="0.3877855526806444"/>
    <n v="38"/>
    <n v="0.4351800755289659"/>
    <n v="59"/>
    <n v="0.3448968652944397"/>
    <n v="70"/>
    <n v="0.4066808736672256"/>
    <n v="97"/>
    <n v="0.3874757894108669"/>
    <n v="94"/>
    <n v="0.2592134258878578"/>
    <n v="13"/>
    <n v="0.3121293972050805"/>
    <n v="38"/>
    <n v="0.2803940728856628"/>
    <n v="56"/>
    <n v="0.2915160745936706"/>
    <n v="1.4"/>
    <n v="53"/>
    <n v="0.4485183054411215"/>
    <n v="1.766666666666667"/>
    <n v="75"/>
    <n v="0.1292947190743477"/>
    <n v="1.25"/>
    <n v="0"/>
    <n v="0.270492940968322"/>
    <n v="0"/>
    <n v="80"/>
    <n v="112"/>
    <n v="80"/>
    <n v="100"/>
    <n v="100"/>
    <n v="0"/>
    <n v="3521371.944444445"/>
    <n v="3071880"/>
    <n v="2048798.222222222"/>
    <n v="0"/>
    <n v="15"/>
    <n v="384149.6666666667"/>
    <n v="3671492.12626227"/>
    <n v="50"/>
    <n v="111"/>
    <n v="19.5"/>
    <n v="100"/>
    <n v="50"/>
    <n v="0"/>
    <n v="2906732.477777778"/>
    <n v="3044452.5"/>
    <n v="499394.5666666668"/>
    <n v="0"/>
    <n v="15"/>
    <n v="384149.6666666667"/>
    <n v="894926.2057764283"/>
    <n v="50"/>
    <n v="77"/>
    <n v="38"/>
    <n v="0"/>
    <n v="0"/>
    <n v="3230162.911111111"/>
    <n v="1971968.288888889"/>
    <n v="973179.1555555557"/>
    <n v="0"/>
    <n v="15"/>
    <n v="384149.6666666667"/>
    <n v="2075310.924369748"/>
    <n v="40"/>
    <n v="160"/>
    <n v="56"/>
    <n v="0"/>
    <n v="0"/>
    <n v="4388399.999999999"/>
    <n v="1434158.755555556"/>
    <n v="0"/>
    <n v="0"/>
    <n v="15"/>
    <n v="384149.6666666667"/>
    <n v="3058352.941176471"/>
    <n v="30"/>
    <n v="68"/>
    <n v="30"/>
    <m/>
    <n v="0"/>
    <n v="0"/>
    <n v="1741478.488888889"/>
    <n v="822824.9999999999"/>
    <n v="0"/>
    <n v="0"/>
    <n v="15"/>
    <n v="384149.6666666667"/>
    <n v="1638403.361344538"/>
    <n v="60"/>
    <n v="90"/>
    <n v="75"/>
    <m/>
    <n v="0"/>
    <n v="0"/>
    <n v="2304898"/>
    <n v="2057062.5"/>
    <n v="0"/>
    <n v="0"/>
    <n v="90"/>
    <n v="384149.6666666667"/>
    <n v="4096008.403361345"/>
    <n v="52"/>
    <n v="15"/>
    <n v="52"/>
    <n v="100"/>
    <n v="100"/>
    <n v="0"/>
    <n v="384149.6666666667"/>
    <n v="1426230"/>
    <n v="2651325"/>
    <n v="0"/>
    <n v="15"/>
    <n v="384149.6666666667"/>
    <n v="2839899.159663866"/>
    <n v="36"/>
    <n v="0"/>
    <n v="36"/>
    <n v="0"/>
    <n v="0"/>
    <n v="0"/>
    <n v="0"/>
    <n v="987389.9999999999"/>
    <n v="0"/>
    <n v="0"/>
    <n v="0"/>
    <n v="0"/>
    <n v="1966084.033613445"/>
    <n v="35"/>
    <n v="0"/>
    <n v="35"/>
    <n v="100"/>
    <n v="100"/>
    <n v="0"/>
    <n v="0"/>
    <n v="959962.4999999999"/>
    <n v="2742750"/>
    <n v="0"/>
    <n v="0"/>
    <n v="0"/>
    <n v="1911470.588235294"/>
    <n v="60"/>
    <n v="100"/>
    <n v="60"/>
    <n v="0"/>
    <n v="0"/>
    <n v="0"/>
    <n v="100"/>
    <n v="2742750"/>
    <n v="1645650"/>
    <n v="0"/>
    <n v="2742750"/>
    <n v="100"/>
    <n v="5485499.999999999"/>
    <n v="2772605.042016807"/>
    <n v="70"/>
    <n v="40"/>
    <n v="70"/>
    <n v="150"/>
    <n v="150"/>
    <n v="1097100"/>
    <n v="1919925"/>
    <n v="4114125"/>
    <n v="4114125"/>
    <n v="190"/>
    <n v="5211224.999999999"/>
    <n v="3396441.176470589"/>
    <n v="100"/>
    <n v="120"/>
    <n v="100"/>
    <n v="0"/>
    <n v="0"/>
    <n v="3291300"/>
    <n v="2742750"/>
    <n v="0"/>
    <n v="120"/>
    <n v="3291300"/>
    <n v="5461344.537815127"/>
    <n v="42"/>
    <n v="20"/>
    <n v="42"/>
    <n v="0"/>
    <m/>
    <n v="548549.9999999999"/>
    <n v="1075619.066666667"/>
    <n v="0"/>
    <n v="20"/>
    <n v="548549.9999999999"/>
    <n v="2293764.705882353"/>
  </r>
  <r>
    <s v="Lhotse-Camping y Outdoor"/>
    <x v="1"/>
    <x v="8"/>
    <x v="20"/>
    <n v="1615383407099"/>
    <x v="73"/>
    <x v="73"/>
    <x v="0"/>
    <x v="3"/>
    <n v="1"/>
    <x v="59"/>
    <n v="118"/>
    <m/>
    <n v="0"/>
    <n v="14674.94618124507"/>
    <n v="1731643.649386918"/>
    <n v="14.5"/>
    <n v="15841.25"/>
    <n v="42008.40336134454"/>
    <n v="37806.72268907564"/>
    <s v="Shenzhen"/>
    <s v="30/70"/>
    <n v="30"/>
    <n v="100"/>
    <n v="22"/>
    <n v="0.4301766860755283"/>
    <n v="1"/>
    <n v="0.4336783146408003"/>
    <n v="20"/>
    <n v="0.3783573742257766"/>
    <n v="21"/>
    <n v="0.5091441580272558"/>
    <n v="26"/>
    <n v="0.5197240615466581"/>
    <n v="37"/>
    <n v="0.3849394264191077"/>
    <n v="39"/>
    <n v="0.3766609920830142"/>
    <n v="32"/>
    <n v="0.4425416990156049"/>
    <n v="39"/>
    <n v="0.446271899163219"/>
    <n v="40"/>
    <n v="0.435497322189514"/>
    <n v="57"/>
    <n v="0.4458842195195147"/>
    <n v="18"/>
    <n v="0.539857461715305"/>
    <n v="38"/>
    <n v="0.4202075868445031"/>
    <n v="32"/>
    <n v="0.4477341907324596"/>
    <n v="31"/>
    <n v="0.4088255920240318"/>
    <n v="33"/>
    <n v="0.4603909166202538"/>
    <n v="1.65"/>
    <n v="20"/>
    <n v="0.6499137936981784"/>
    <n v="0.5714285714285714"/>
    <n v="34"/>
    <n v="0.3488462584019057"/>
    <n v="0.7083333333333334"/>
    <n v="0"/>
    <n v="0.4440532523780393"/>
    <n v="0"/>
    <n v="30"/>
    <n v="60"/>
    <n v="30"/>
    <n v="50"/>
    <n v="50"/>
    <n v="0"/>
    <n v="1599569.133755713"/>
    <n v="900449.9999999999"/>
    <n v="440248.3854373521"/>
    <n v="0"/>
    <n v="118"/>
    <n v="1731643.649386918"/>
    <n v="1059035.378857425"/>
    <n v="15"/>
    <n v="129"/>
    <n v="48"/>
    <n v="100"/>
    <n v="0"/>
    <n v="0"/>
    <n v="1643593.972299448"/>
    <n v="1935967.5"/>
    <n v="704397.4166997634"/>
    <n v="0"/>
    <n v="118"/>
    <n v="1731643.649386918"/>
    <n v="1694456.606171881"/>
    <n v="30"/>
    <n v="75"/>
    <n v="31"/>
    <n v="0"/>
    <n v="0"/>
    <n v="1464459.055599684"/>
    <n v="1100620.96359338"/>
    <n v="454923.3316185971"/>
    <n v="0"/>
    <n v="118"/>
    <n v="1731643.649386918"/>
    <n v="1302260.504201681"/>
    <n v="20"/>
    <n v="110"/>
    <n v="33"/>
    <n v="0"/>
    <n v="0"/>
    <n v="1650825"/>
    <n v="484273.2239810873"/>
    <n v="0"/>
    <n v="0"/>
    <n v="118"/>
    <n v="1731643.649386918"/>
    <n v="1386277.31092437"/>
    <n v="35"/>
    <n v="138"/>
    <n v="35"/>
    <m/>
    <n v="0"/>
    <n v="0"/>
    <n v="2025142.57301182"/>
    <n v="525262.4999999999"/>
    <n v="0"/>
    <n v="0"/>
    <n v="118"/>
    <n v="1731643.649386918"/>
    <n v="1470294.117647059"/>
    <n v="48"/>
    <n v="152"/>
    <n v="34"/>
    <m/>
    <n v="100"/>
    <n v="0"/>
    <n v="2230591.81954925"/>
    <n v="510254.9999999999"/>
    <n v="0"/>
    <n v="0"/>
    <n v="152"/>
    <n v="1731643.649386918"/>
    <n v="1428285.714285715"/>
    <n v="51"/>
    <n v="118"/>
    <n v="51"/>
    <n v="0"/>
    <n v="0"/>
    <n v="0"/>
    <n v="1731643.649386918"/>
    <n v="765382.4999999999"/>
    <n v="0"/>
    <n v="0"/>
    <n v="118"/>
    <n v="1731643.649386918"/>
    <n v="2142428.571428572"/>
    <n v="42"/>
    <n v="67"/>
    <n v="42"/>
    <n v="100"/>
    <n v="100"/>
    <n v="0"/>
    <n v="983221.3941434197"/>
    <n v="630314.9999999999"/>
    <n v="1500750"/>
    <n v="0"/>
    <n v="167"/>
    <n v="983221.3941434197"/>
    <n v="1764352.941176471"/>
    <n v="51"/>
    <n v="25"/>
    <n v="51"/>
    <n v="0"/>
    <n v="0"/>
    <n v="100"/>
    <n v="375187.4999999999"/>
    <n v="765382.4999999999"/>
    <n v="0"/>
    <n v="1500750"/>
    <n v="125"/>
    <n v="1875937.5"/>
    <n v="2142428.571428572"/>
    <n v="45"/>
    <n v="74"/>
    <n v="45"/>
    <n v="0"/>
    <n v="0"/>
    <n v="0"/>
    <m/>
    <n v="1110555"/>
    <n v="675337.4999999999"/>
    <n v="0"/>
    <n v="0"/>
    <n v="74"/>
    <n v="1110555"/>
    <n v="1701302.521008404"/>
    <n v="55"/>
    <n v="29"/>
    <n v="55"/>
    <n v="0"/>
    <n v="0"/>
    <n v="435217.4999999999"/>
    <n v="825412.4999999999"/>
    <n v="0"/>
    <n v="0"/>
    <n v="29"/>
    <n v="435217.4999999999"/>
    <n v="2183338.235294118"/>
    <n v="52"/>
    <n v="0"/>
    <n v="52"/>
    <n v="0"/>
    <n v="0"/>
    <n v="0"/>
    <n v="780389.9999999999"/>
    <n v="0"/>
    <n v="0"/>
    <n v="0"/>
    <n v="2184436.974789916"/>
    <n v="33"/>
    <n v="0"/>
    <n v="33"/>
    <n v="0"/>
    <m/>
    <n v="0"/>
    <n v="484273.2239810873"/>
    <n v="0"/>
    <n v="0"/>
    <n v="0"/>
    <n v="1386277.31092437"/>
  </r>
  <r>
    <s v="Lhotse-Deporte"/>
    <x v="1"/>
    <x v="9"/>
    <x v="21"/>
    <n v="1627416841030"/>
    <x v="74"/>
    <x v="74"/>
    <x v="0"/>
    <x v="6"/>
    <n v="1"/>
    <x v="12"/>
    <n v="6"/>
    <m/>
    <n v="0"/>
    <n v="5509"/>
    <n v="33054"/>
    <n v="5.05"/>
    <n v="5517.125"/>
    <n v="12596.63865546219"/>
    <n v="10915.96638655462"/>
    <s v="Shenzhen"/>
    <s v="30/70"/>
    <n v="30"/>
    <n v="100"/>
    <n v="39"/>
    <n v="0.6272418658957861"/>
    <n v="45"/>
    <n v="0.6064965656189232"/>
    <n v="55"/>
    <n v="0.5592795075781238"/>
    <n v="34"/>
    <n v="0.5665929276206098"/>
    <n v="73"/>
    <n v="0.5103565552268434"/>
    <n v="62"/>
    <n v="0.552272409541357"/>
    <n v="47"/>
    <n v="0.5773997572050751"/>
    <n v="32"/>
    <n v="0.5784551529988674"/>
    <n v="16"/>
    <n v="0.5946158116688712"/>
    <n v="80"/>
    <n v="0.5310620918872152"/>
    <n v="60"/>
    <n v="0.5323660007753729"/>
    <n v="130"/>
    <n v="0.5505760310825636"/>
    <n v="54"/>
    <n v="0.275372213460663"/>
    <n v="24"/>
    <n v="0.3892470442775787"/>
    <n v="38"/>
    <n v="0.2904094616319453"/>
    <n v="30"/>
    <n v="0.4049894763402924"/>
    <n v="1"/>
    <n v="23"/>
    <n v="0.507748355397398"/>
    <n v="0.4509803921568628"/>
    <n v="10"/>
    <n v="0.3422061176970276"/>
    <n v="0.5263157894736842"/>
    <n v="0"/>
    <n v="0.3480260765029445"/>
    <n v="0"/>
    <n v="40"/>
    <n v="145"/>
    <n v="40"/>
    <n v="0"/>
    <n v="0"/>
    <n v="0"/>
    <n v="628026"/>
    <n v="757878.75"/>
    <n v="220360"/>
    <n v="0"/>
    <n v="6"/>
    <n v="33054"/>
    <n v="423416.425393687"/>
    <n v="50"/>
    <n v="139"/>
    <n v="36"/>
    <n v="0"/>
    <n v="0"/>
    <n v="0"/>
    <n v="572936"/>
    <n v="726518.25"/>
    <n v="198324"/>
    <n v="0"/>
    <n v="6"/>
    <n v="33054"/>
    <n v="381074.7828543183"/>
    <n v="30"/>
    <n v="114"/>
    <n v="38"/>
    <n v="0"/>
    <n v="0"/>
    <n v="641176.25"/>
    <n v="628026"/>
    <n v="209342"/>
    <n v="0"/>
    <n v="6"/>
    <n v="33054"/>
    <n v="478672.2689075631"/>
    <n v="30"/>
    <n v="76"/>
    <n v="30"/>
    <n v="0"/>
    <n v="0"/>
    <n v="397233"/>
    <n v="165270"/>
    <n v="0"/>
    <n v="0"/>
    <n v="6"/>
    <n v="33054"/>
    <n v="377899.1596638656"/>
    <n v="51"/>
    <n v="29"/>
    <n v="51"/>
    <m/>
    <n v="0"/>
    <n v="0"/>
    <n v="159761"/>
    <n v="266564.25"/>
    <n v="0"/>
    <n v="0"/>
    <n v="6"/>
    <n v="33054"/>
    <n v="642428.5714285715"/>
    <n v="19"/>
    <n v="16"/>
    <n v="10"/>
    <m/>
    <n v="0"/>
    <n v="0"/>
    <n v="88144"/>
    <n v="52267.5"/>
    <n v="0"/>
    <n v="0"/>
    <n v="16"/>
    <n v="33054"/>
    <n v="125966.3865546219"/>
    <n v="0"/>
    <n v="6"/>
    <n v="0"/>
    <n v="0"/>
    <n v="0"/>
    <n v="0"/>
    <n v="33054"/>
    <n v="0"/>
    <n v="0"/>
    <n v="0"/>
    <n v="6"/>
    <n v="33054"/>
    <n v="0"/>
    <n v="0"/>
    <n v="6"/>
    <n v="0"/>
    <n v="0"/>
    <n v="0"/>
    <n v="0"/>
    <n v="33054"/>
    <n v="0"/>
    <n v="0"/>
    <n v="0"/>
    <n v="6"/>
    <n v="33054"/>
    <n v="0"/>
    <n v="0"/>
    <n v="6"/>
    <n v="0"/>
    <n v="0"/>
    <n v="0"/>
    <m/>
    <n v="31360.5"/>
    <n v="0"/>
    <n v="0"/>
    <n v="0"/>
    <n v="6"/>
    <n v="31360.5"/>
    <n v="0"/>
    <n v="0"/>
    <n v="6"/>
    <n v="0"/>
    <n v="0"/>
    <n v="0"/>
    <n v="0"/>
    <m/>
    <n v="31360.5"/>
    <n v="0"/>
    <n v="0"/>
    <n v="0"/>
    <n v="6"/>
    <n v="31360.5"/>
    <n v="0"/>
    <n v="0"/>
    <n v="6"/>
    <n v="0"/>
    <n v="0"/>
    <n v="0"/>
    <n v="31360.5"/>
    <n v="0"/>
    <n v="0"/>
    <n v="0"/>
    <n v="6"/>
    <n v="31360.5"/>
    <n v="0"/>
    <n v="0"/>
    <n v="6"/>
    <n v="0"/>
    <n v="0"/>
    <n v="0"/>
    <n v="31360.5"/>
    <n v="0"/>
    <n v="0"/>
    <n v="6"/>
    <n v="31360.5"/>
    <n v="0"/>
    <n v="0"/>
    <n v="6"/>
    <n v="0"/>
    <n v="0"/>
    <m/>
    <n v="31360.5"/>
    <n v="0"/>
    <n v="0"/>
    <n v="6"/>
    <n v="31360.5"/>
    <n v="0"/>
  </r>
  <r>
    <s v="Lhotse-Audio Menor"/>
    <x v="1"/>
    <x v="10"/>
    <x v="22"/>
    <n v="1592492799236"/>
    <x v="75"/>
    <x v="75"/>
    <x v="0"/>
    <x v="3"/>
    <n v="1"/>
    <x v="60"/>
    <n v="5466"/>
    <m/>
    <n v="0"/>
    <n v="2634.799456357596"/>
    <n v="14401813.82845062"/>
    <n v="2.36"/>
    <n v="2578.3"/>
    <n v="5000"/>
    <n v="4193.27731092437"/>
    <s v="Shenzhen"/>
    <s v="20/80 Credit"/>
    <n v="30"/>
    <n v="1000"/>
    <n v="719"/>
    <n v="0.4950787864384171"/>
    <n v="397"/>
    <n v="0.4744891509653849"/>
    <n v="1346"/>
    <n v="0.4899817956517373"/>
    <n v="1705"/>
    <n v="0.4922861227482009"/>
    <n v="1509"/>
    <n v="0.4894002777805773"/>
    <n v="1029"/>
    <n v="0.5074930352605262"/>
    <n v="1623"/>
    <n v="0.46640710223369"/>
    <n v="-228"/>
    <n v="0.5379367108602939"/>
    <n v="1545"/>
    <n v="0.4726589490429013"/>
    <n v="1434"/>
    <n v="0.4424163414202415"/>
    <n v="1609"/>
    <n v="0.443034013502581"/>
    <n v="136"/>
    <n v="0.592555830034988"/>
    <n v="30"/>
    <n v="0.4917350087704717"/>
    <n v="42"/>
    <n v="0.4763338005176184"/>
    <n v="256"/>
    <n v="0.4620427373761852"/>
    <n v="40"/>
    <n v="0.4710295519702166"/>
    <n v="0.05714285714285714"/>
    <n v="18"/>
    <n v="0.5692303348062672"/>
    <n v="0.05454545454545454"/>
    <n v="150"/>
    <n v="0.2919272886135301"/>
    <n v="0.5084745762711864"/>
    <n v="0"/>
    <n v="0.4333972381112577"/>
    <n v="0"/>
    <n v="620"/>
    <n v="5496"/>
    <n v="620"/>
    <n v="0"/>
    <n v="0"/>
    <n v="0"/>
    <n v="2474076.689519783"/>
    <n v="13424529.6"/>
    <n v="1633575.662941709"/>
    <n v="0"/>
    <n v="5466"/>
    <n v="14401813.82845062"/>
    <n v="2605042.016806723"/>
    <n v="670"/>
    <n v="5880"/>
    <n v="63"/>
    <n v="0"/>
    <n v="0"/>
    <n v="0"/>
    <n v="945893.0048323768"/>
    <n v="14362488"/>
    <n v="165992.3657505285"/>
    <n v="0"/>
    <n v="5466"/>
    <n v="14401813.82845062"/>
    <n v="264705.8823529412"/>
    <n v="950"/>
    <n v="5838"/>
    <n v="256"/>
    <n v="0"/>
    <n v="0"/>
    <n v="1585958.639081848"/>
    <n v="15381959.22621564"/>
    <n v="674508.6608275445"/>
    <n v="0"/>
    <n v="5466"/>
    <n v="14401813.82845062"/>
    <n v="1280000"/>
    <n v="700"/>
    <n v="6513"/>
    <n v="40"/>
    <n v="0"/>
    <n v="0"/>
    <n v="15908653.8"/>
    <n v="105391.9782543038"/>
    <n v="0"/>
    <n v="0"/>
    <n v="5466"/>
    <n v="14401813.82845062"/>
    <n v="200000"/>
    <n v="330"/>
    <n v="5484"/>
    <n v="330"/>
    <m/>
    <n v="0"/>
    <n v="0"/>
    <n v="14449240.21866506"/>
    <n v="806058.0000000001"/>
    <n v="0"/>
    <n v="0"/>
    <n v="5466"/>
    <n v="14401813.82845062"/>
    <n v="1650000"/>
    <n v="295"/>
    <n v="5616"/>
    <n v="150"/>
    <m/>
    <n v="0"/>
    <n v="0"/>
    <n v="14797033.74690426"/>
    <n v="366390.0000000001"/>
    <n v="0"/>
    <n v="0"/>
    <n v="5616"/>
    <n v="14401813.82845062"/>
    <n v="750000"/>
    <n v="40"/>
    <n v="5466"/>
    <n v="40"/>
    <n v="0"/>
    <n v="0"/>
    <n v="0"/>
    <n v="14401813.82845062"/>
    <n v="97704.00000000001"/>
    <n v="0"/>
    <n v="0"/>
    <n v="5466"/>
    <n v="14401813.82845062"/>
    <n v="200000"/>
    <n v="40"/>
    <n v="5426"/>
    <n v="40"/>
    <n v="0"/>
    <n v="0"/>
    <n v="0"/>
    <n v="14296421.85019631"/>
    <n v="97704.00000000001"/>
    <n v="0"/>
    <n v="0"/>
    <n v="5426"/>
    <n v="14296421.85019631"/>
    <n v="200000"/>
    <n v="40"/>
    <n v="5386"/>
    <n v="40"/>
    <n v="0"/>
    <n v="0"/>
    <m/>
    <n v="13155843.6"/>
    <n v="97704.00000000001"/>
    <n v="0"/>
    <n v="0"/>
    <n v="5386"/>
    <n v="13155843.6"/>
    <n v="200000"/>
    <n v="40"/>
    <n v="5346"/>
    <n v="40"/>
    <n v="0"/>
    <n v="0"/>
    <n v="0"/>
    <m/>
    <n v="13058139.6"/>
    <n v="97704.00000000001"/>
    <n v="0"/>
    <n v="0"/>
    <n v="5346"/>
    <n v="13058139.6"/>
    <n v="167731.0924369748"/>
    <n v="40"/>
    <n v="5306"/>
    <n v="40"/>
    <n v="0"/>
    <n v="0"/>
    <n v="12960435.6"/>
    <n v="97704.00000000001"/>
    <n v="0"/>
    <n v="0"/>
    <n v="5306"/>
    <n v="12960435.6"/>
    <n v="176117.6470588236"/>
    <n v="40"/>
    <n v="5266"/>
    <n v="40"/>
    <n v="0"/>
    <n v="0"/>
    <n v="12862731.6"/>
    <n v="97704.00000000001"/>
    <n v="0"/>
    <n v="5266"/>
    <n v="12862731.6"/>
    <n v="200000"/>
    <n v="24"/>
    <n v="5226"/>
    <n v="24"/>
    <n v="0"/>
    <m/>
    <n v="12765027.6"/>
    <n v="63235.1869525823"/>
    <n v="0"/>
    <n v="5226"/>
    <n v="12765027.6"/>
    <n v="120000"/>
  </r>
  <r>
    <s v="Lhotse-Audio Menor"/>
    <x v="1"/>
    <x v="10"/>
    <x v="22"/>
    <n v="1564150661249"/>
    <x v="76"/>
    <x v="76"/>
    <x v="0"/>
    <x v="3"/>
    <n v="1"/>
    <x v="61"/>
    <n v="77"/>
    <n v="1500"/>
    <n v="3363000"/>
    <n v="2495.289809374034"/>
    <n v="192137.3153218006"/>
    <n v="2.36"/>
    <n v="2578.3"/>
    <n v="5000"/>
    <n v="6714.285714285715"/>
    <s v="Shenzhen"/>
    <s v="20/80 Credit"/>
    <n v="30"/>
    <n v="1000"/>
    <n v="3238"/>
    <n v="0.4762297014601477"/>
    <n v="928"/>
    <n v="0.5124410677279823"/>
    <n v="4022"/>
    <n v="0.4765162019315586"/>
    <n v="1994"/>
    <n v="0.5012280285803149"/>
    <n v="1663"/>
    <n v="0.5021250221484074"/>
    <n v="3320"/>
    <n v="0.4779407758342745"/>
    <n v="2164"/>
    <n v="0.4789012487635569"/>
    <n v="218"/>
    <n v="0.5344332189485476"/>
    <n v="2809"/>
    <n v="0.4736602284836606"/>
    <n v="1641"/>
    <n v="0.4282857926074516"/>
    <n v="2515"/>
    <n v="0.4201260394180786"/>
    <n v="345"/>
    <n v="0.6197023500919836"/>
    <n v="2097"/>
    <n v="0.4802844417587449"/>
    <n v="77"/>
    <n v="0.3735032118337657"/>
    <n v="1978"/>
    <n v="0.4763688013765837"/>
    <n v="95"/>
    <n v="0.5216399680166577"/>
    <n v="0.1117647058823529"/>
    <n v="1661"/>
    <n v="0.4891209714390906"/>
    <n v="0.8024154589371981"/>
    <n v="337"/>
    <n v="0.314916322763923"/>
    <n v="0.7326086956521739"/>
    <n v="0"/>
    <n v="0.4734514561825264"/>
    <n v="0"/>
    <n v="815"/>
    <n v="2174"/>
    <n v="815"/>
    <n v="0"/>
    <n v="0"/>
    <n v="0"/>
    <n v="7257550.410564378"/>
    <n v="5310212.4"/>
    <n v="2033661.194639838"/>
    <n v="0"/>
    <n v="77"/>
    <n v="192137.3153218006"/>
    <n v="3424369.74789916"/>
    <n v="800"/>
    <n v="3639"/>
    <n v="115.5"/>
    <n v="0"/>
    <n v="0"/>
    <n v="0"/>
    <n v="5460941.747815073"/>
    <n v="8888621.400000002"/>
    <n v="288205.9729827009"/>
    <n v="0"/>
    <n v="77"/>
    <n v="192137.3153218006"/>
    <n v="485294.1176470589"/>
    <n v="1200"/>
    <n v="3558"/>
    <n v="1978"/>
    <n v="0"/>
    <n v="0"/>
    <n v="10228917.77483237"/>
    <n v="8878241.141752813"/>
    <n v="4935683.24294184"/>
    <n v="0"/>
    <n v="77"/>
    <n v="192137.3153218006"/>
    <n v="9890000"/>
    <n v="850"/>
    <n v="3507"/>
    <n v="95"/>
    <n v="0"/>
    <n v="0"/>
    <n v="8566198.200000001"/>
    <n v="237052.5318905333"/>
    <n v="0"/>
    <n v="0"/>
    <n v="77"/>
    <n v="192137.3153218006"/>
    <n v="475000"/>
    <n v="2070"/>
    <n v="1738"/>
    <n v="2070"/>
    <m/>
    <n v="0"/>
    <n v="0"/>
    <n v="4336813.688692071"/>
    <n v="5056182.000000001"/>
    <n v="0"/>
    <n v="0"/>
    <n v="77"/>
    <n v="192137.3153218006"/>
    <n v="10350000"/>
    <n v="460"/>
    <n v="414"/>
    <n v="337"/>
    <m/>
    <n v="0"/>
    <n v="0"/>
    <n v="1033049.98108085"/>
    <n v="823156.2000000001"/>
    <n v="0"/>
    <n v="0"/>
    <n v="414"/>
    <n v="192137.3153218006"/>
    <n v="1685000"/>
    <n v="100"/>
    <n v="77"/>
    <n v="100"/>
    <n v="0"/>
    <n v="0"/>
    <n v="0"/>
    <n v="192137.3153218006"/>
    <n v="244260"/>
    <n v="0"/>
    <n v="0"/>
    <n v="77"/>
    <n v="192137.3153218006"/>
    <n v="500000"/>
    <n v="100"/>
    <n v="0"/>
    <n v="100"/>
    <n v="1500"/>
    <n v="1500"/>
    <n v="0"/>
    <n v="0"/>
    <n v="244260"/>
    <n v="3663900"/>
    <n v="0"/>
    <n v="1500"/>
    <n v="0"/>
    <n v="500000"/>
    <n v="100"/>
    <n v="0"/>
    <n v="100"/>
    <n v="0"/>
    <n v="0"/>
    <n v="1500"/>
    <n v="0"/>
    <n v="244260"/>
    <n v="0"/>
    <n v="3663900"/>
    <n v="1500"/>
    <n v="3663900"/>
    <n v="500000"/>
    <n v="100"/>
    <n v="1400"/>
    <n v="100"/>
    <n v="0"/>
    <n v="0"/>
    <n v="0"/>
    <m/>
    <n v="3419640"/>
    <n v="244260"/>
    <n v="0"/>
    <n v="0"/>
    <n v="1400"/>
    <n v="3419640"/>
    <n v="671428.5714285715"/>
    <n v="100"/>
    <n v="1300"/>
    <n v="100"/>
    <n v="0"/>
    <n v="0"/>
    <n v="3175380"/>
    <n v="244260"/>
    <n v="0"/>
    <n v="0"/>
    <n v="1300"/>
    <n v="3175380"/>
    <n v="705000.0000000001"/>
    <n v="100"/>
    <n v="1200"/>
    <n v="100"/>
    <n v="0"/>
    <n v="0"/>
    <n v="2931120"/>
    <n v="244260"/>
    <n v="0"/>
    <n v="1200"/>
    <n v="2931120"/>
    <n v="500000"/>
    <n v="60"/>
    <n v="1100"/>
    <n v="60"/>
    <n v="0"/>
    <m/>
    <n v="2686860"/>
    <n v="149717.388562442"/>
    <n v="0"/>
    <n v="1100"/>
    <n v="2686860"/>
    <n v="300000"/>
  </r>
  <r>
    <s v="Lhotse-Audio Menor"/>
    <x v="1"/>
    <x v="10"/>
    <x v="22"/>
    <n v="1566335721736"/>
    <x v="77"/>
    <x v="77"/>
    <x v="0"/>
    <x v="3"/>
    <n v="1"/>
    <x v="62"/>
    <n v="6992"/>
    <m/>
    <n v="0"/>
    <n v="2554.676774638181"/>
    <n v="17862300.00827016"/>
    <n v="2.36"/>
    <n v="2578.3"/>
    <n v="5000"/>
    <n v="4193.27731092437"/>
    <s v="Shenzhen"/>
    <s v="20/80 Credit"/>
    <n v="30"/>
    <n v="1000"/>
    <n v="923"/>
    <n v="0.476149999676109"/>
    <n v="340"/>
    <n v="0.4947502966438635"/>
    <n v="1240"/>
    <n v="0.488385264984064"/>
    <n v="1683"/>
    <n v="0.4875221024697001"/>
    <n v="1333"/>
    <n v="0.4875268985746032"/>
    <n v="562"/>
    <n v="0.5090268589079442"/>
    <n v="1466"/>
    <n v="0.4644385791138296"/>
    <n v="-88"/>
    <n v="0.5180656757752938"/>
    <n v="1039"/>
    <n v="0.4604095481436603"/>
    <n v="1604"/>
    <n v="0.4496275216442682"/>
    <n v="1294"/>
    <n v="0.4514658621510608"/>
    <n v="139"/>
    <n v="0.6116720164192466"/>
    <n v="36"/>
    <n v="0.5193458895788878"/>
    <n v="36"/>
    <n v="0.3495980264136146"/>
    <n v="190"/>
    <n v="0.4630755666040332"/>
    <n v="20"/>
    <n v="0.4502729344281885"/>
    <n v="0.0273972602739726"/>
    <n v="17"/>
    <n v="0.6754461978218318"/>
    <n v="0.0425"/>
    <n v="102"/>
    <n v="0.3109975458291004"/>
    <n v="0.2873239436619718"/>
    <n v="0"/>
    <n v="0.43913928506873"/>
    <n v="0"/>
    <n v="600"/>
    <n v="7028"/>
    <n v="600"/>
    <n v="0"/>
    <n v="1500"/>
    <n v="0"/>
    <n v="2156147.197794625"/>
    <n v="17166592.8"/>
    <n v="1532806.064782909"/>
    <n v="0"/>
    <n v="6992"/>
    <n v="17862300.00827016"/>
    <n v="2521008.403361345"/>
    <n v="600"/>
    <n v="6556"/>
    <n v="54"/>
    <n v="0"/>
    <n v="0"/>
    <n v="0"/>
    <n v="674434.6685044798"/>
    <n v="16013685.6"/>
    <n v="137952.5458304618"/>
    <n v="0"/>
    <n v="6992"/>
    <n v="17862300.00827016"/>
    <n v="226890.756302521"/>
    <n v="930"/>
    <n v="6492"/>
    <n v="190"/>
    <n v="0"/>
    <n v="0"/>
    <n v="1513522.122674018"/>
    <n v="16584961.62095107"/>
    <n v="485388.5871812544"/>
    <n v="0"/>
    <n v="6992"/>
    <n v="17862300.00827016"/>
    <n v="950000"/>
    <n v="730"/>
    <n v="7189"/>
    <n v="20"/>
    <n v="0"/>
    <n v="0"/>
    <n v="17559851.4"/>
    <n v="51093.53549276362"/>
    <n v="0"/>
    <n v="0"/>
    <n v="6992"/>
    <n v="17862300.00827016"/>
    <n v="100000"/>
    <n v="400"/>
    <n v="7009"/>
    <n v="400"/>
    <m/>
    <n v="0"/>
    <n v="0"/>
    <n v="17905729.51343901"/>
    <n v="977040.0000000001"/>
    <n v="0"/>
    <n v="0"/>
    <n v="6992"/>
    <n v="17862300.00827016"/>
    <n v="2000000"/>
    <n v="355"/>
    <n v="7094"/>
    <n v="102"/>
    <m/>
    <n v="0"/>
    <n v="0"/>
    <n v="18122877.03928326"/>
    <n v="249145.2"/>
    <n v="0"/>
    <n v="0"/>
    <n v="7094"/>
    <n v="17862300.00827016"/>
    <n v="510000"/>
    <n v="50"/>
    <n v="6992"/>
    <n v="50"/>
    <n v="0"/>
    <n v="0"/>
    <n v="0"/>
    <n v="17862300.00827016"/>
    <n v="122130"/>
    <n v="0"/>
    <n v="0"/>
    <n v="6992"/>
    <n v="17862300.00827016"/>
    <n v="250000"/>
    <n v="50"/>
    <n v="6942"/>
    <n v="50"/>
    <n v="0"/>
    <n v="0"/>
    <n v="0"/>
    <n v="17734566.16953825"/>
    <n v="122130"/>
    <n v="0"/>
    <n v="0"/>
    <n v="6942"/>
    <n v="17734566.16953825"/>
    <n v="250000"/>
    <n v="50"/>
    <n v="6892"/>
    <n v="50"/>
    <n v="0"/>
    <n v="0"/>
    <m/>
    <n v="16834399.2"/>
    <n v="122130"/>
    <n v="0"/>
    <n v="0"/>
    <n v="6892"/>
    <n v="16834399.2"/>
    <n v="250000"/>
    <n v="50"/>
    <n v="6842"/>
    <n v="50"/>
    <n v="0"/>
    <n v="0"/>
    <n v="0"/>
    <m/>
    <n v="16712269.2"/>
    <n v="122130"/>
    <n v="0"/>
    <n v="0"/>
    <n v="6842"/>
    <n v="16712269.2"/>
    <n v="209663.8655462185"/>
    <n v="50"/>
    <n v="6792"/>
    <n v="50"/>
    <n v="0"/>
    <n v="0"/>
    <n v="16590139.2"/>
    <n v="122130"/>
    <n v="0"/>
    <n v="0"/>
    <n v="6792"/>
    <n v="16590139.2"/>
    <n v="220147.0588235294"/>
    <n v="50"/>
    <n v="6742"/>
    <n v="50"/>
    <n v="0"/>
    <n v="0"/>
    <n v="16468009.2"/>
    <n v="122130"/>
    <n v="0"/>
    <n v="6742"/>
    <n v="16468009.2"/>
    <n v="250000"/>
    <n v="30"/>
    <n v="6692"/>
    <n v="30"/>
    <n v="0"/>
    <m/>
    <n v="16345879.2"/>
    <n v="76640.30323914543"/>
    <n v="0"/>
    <n v="6692"/>
    <n v="16345879.2"/>
    <n v="150000"/>
  </r>
  <r>
    <s v="Lhotse-Audio Menor"/>
    <x v="1"/>
    <x v="10"/>
    <x v="22"/>
    <n v="1564150627423"/>
    <x v="78"/>
    <x v="78"/>
    <x v="0"/>
    <x v="3"/>
    <n v="1"/>
    <x v="63"/>
    <n v="4374"/>
    <n v="1000"/>
    <n v="2147000"/>
    <n v="2456.537939306479"/>
    <n v="10744896.94652654"/>
    <n v="2.26"/>
    <n v="2469.05"/>
    <n v="5000"/>
    <n v="6714.285714285715"/>
    <s v="Shenzhen"/>
    <s v="20/80 Credit"/>
    <n v="30"/>
    <n v="1000"/>
    <n v="2906"/>
    <n v="0.46613455786472"/>
    <n v="430"/>
    <n v="0.5007049326798886"/>
    <n v="3601"/>
    <n v="0.4706497173276107"/>
    <n v="2076"/>
    <n v="0.4970463435229336"/>
    <n v="1919"/>
    <n v="0.4961229749814805"/>
    <n v="2613"/>
    <n v="0.4728290841137501"/>
    <n v="1554"/>
    <n v="0.4774927026006522"/>
    <n v="151"/>
    <n v="0.5399184642780156"/>
    <n v="1617"/>
    <n v="0.4780149881910536"/>
    <n v="1727"/>
    <n v="0.4506891843273475"/>
    <n v="1667"/>
    <n v="0.446281742476553"/>
    <n v="158"/>
    <n v="0.5951062973692118"/>
    <n v="2067"/>
    <n v="0.4896175351132414"/>
    <n v="43"/>
    <n v="0.3683206617084109"/>
    <n v="1849"/>
    <n v="0.4899847435571587"/>
    <n v="50"/>
    <n v="0.5380459157157442"/>
    <n v="0.06157635467980296"/>
    <n v="23"/>
    <n v="0.6431543340247229"/>
    <n v="0.01119221411192214"/>
    <n v="306"/>
    <n v="0.2873621951633741"/>
    <n v="0.7463414634146341"/>
    <n v="0"/>
    <n v="0.4794636220444571"/>
    <n v="0"/>
    <n v="711"/>
    <n v="6441"/>
    <n v="711"/>
    <n v="0"/>
    <n v="0"/>
    <n v="0"/>
    <n v="6447183.821709855"/>
    <n v="15066143.1"/>
    <n v="1746598.474846907"/>
    <n v="0"/>
    <n v="4374"/>
    <n v="10744896.94652654"/>
    <n v="2987394.957983193"/>
    <n v="733"/>
    <n v="4745"/>
    <n v="64.5"/>
    <n v="0"/>
    <n v="0"/>
    <n v="0"/>
    <n v="4823412.243828272"/>
    <n v="11099029.5"/>
    <n v="158446.6970852679"/>
    <n v="0"/>
    <n v="4374"/>
    <n v="10744896.94652654"/>
    <n v="271008.4033613446"/>
    <n v="1060"/>
    <n v="4677"/>
    <n v="1849"/>
    <n v="0"/>
    <n v="0"/>
    <n v="9471816.046743002"/>
    <n v="11489227.9421364"/>
    <n v="4542138.64977768"/>
    <n v="0"/>
    <n v="4374"/>
    <n v="10744896.94652654"/>
    <n v="9245000"/>
    <n v="812"/>
    <n v="5592"/>
    <n v="50"/>
    <n v="0"/>
    <n v="0"/>
    <n v="13080247.2"/>
    <n v="122826.8969653239"/>
    <n v="0"/>
    <n v="0"/>
    <n v="4374"/>
    <n v="10744896.94652654"/>
    <n v="250000"/>
    <n v="2055"/>
    <n v="4397"/>
    <n v="2055"/>
    <m/>
    <n v="0"/>
    <n v="0"/>
    <n v="10801397.31913059"/>
    <n v="4806850.499999999"/>
    <n v="0"/>
    <n v="0"/>
    <n v="4374"/>
    <n v="10744896.94652654"/>
    <n v="10275000"/>
    <n v="410"/>
    <n v="4680"/>
    <n v="306"/>
    <m/>
    <n v="0"/>
    <n v="0"/>
    <n v="11496597.55595432"/>
    <n v="715764.5999999999"/>
    <n v="0"/>
    <n v="0"/>
    <n v="4680"/>
    <n v="10744896.94652654"/>
    <n v="1530000"/>
    <n v="75"/>
    <n v="4374"/>
    <n v="75"/>
    <n v="0"/>
    <n v="0"/>
    <n v="0"/>
    <n v="10744896.94652654"/>
    <n v="175432.5"/>
    <n v="0"/>
    <n v="0"/>
    <n v="4374"/>
    <n v="10744896.94652654"/>
    <n v="375000"/>
    <n v="75"/>
    <n v="4299"/>
    <n v="75"/>
    <n v="1000"/>
    <n v="1000"/>
    <n v="0"/>
    <n v="10560656.60107855"/>
    <n v="175432.5"/>
    <n v="2339100"/>
    <n v="0"/>
    <n v="5299"/>
    <n v="10560656.60107855"/>
    <n v="375000"/>
    <n v="75"/>
    <n v="4224"/>
    <n v="75"/>
    <n v="0"/>
    <n v="0"/>
    <n v="1000"/>
    <n v="9880358.399999999"/>
    <n v="175432.5"/>
    <n v="0"/>
    <n v="2339100"/>
    <n v="5224"/>
    <n v="12219458.4"/>
    <n v="375000"/>
    <n v="75"/>
    <n v="5149"/>
    <n v="75"/>
    <n v="0"/>
    <n v="0"/>
    <n v="0"/>
    <m/>
    <n v="12044025.9"/>
    <n v="175432.5"/>
    <n v="0"/>
    <n v="0"/>
    <n v="5149"/>
    <n v="12044025.9"/>
    <n v="503571.4285714286"/>
    <n v="75"/>
    <n v="5074"/>
    <n v="75"/>
    <n v="0"/>
    <n v="0"/>
    <n v="11868593.4"/>
    <n v="175432.5"/>
    <n v="0"/>
    <n v="0"/>
    <n v="5074"/>
    <n v="11868593.4"/>
    <n v="528750"/>
    <n v="75"/>
    <n v="4999"/>
    <n v="75"/>
    <n v="0"/>
    <n v="0"/>
    <n v="11693160.9"/>
    <n v="175432.5"/>
    <n v="0"/>
    <n v="4999"/>
    <n v="11693160.9"/>
    <n v="375000"/>
    <n v="45"/>
    <n v="4924"/>
    <n v="45"/>
    <n v="0"/>
    <m/>
    <n v="11517728.4"/>
    <n v="110544.2072687916"/>
    <n v="0"/>
    <n v="4924"/>
    <n v="11517728.4"/>
    <n v="225000"/>
  </r>
  <r>
    <s v="Lhotse-Audio Menor"/>
    <x v="1"/>
    <x v="10"/>
    <x v="22"/>
    <n v="1597086499840"/>
    <x v="79"/>
    <x v="79"/>
    <x v="0"/>
    <x v="3"/>
    <n v="1"/>
    <x v="64"/>
    <n v="3216"/>
    <m/>
    <n v="0"/>
    <n v="4699"/>
    <n v="15111984"/>
    <n v="4.600000000000001"/>
    <n v="5025.500000000001"/>
    <n v="9500"/>
    <n v="8394.957983193277"/>
    <s v="Shenzhen"/>
    <s v="20/80 Credit"/>
    <n v="30"/>
    <n v="1000"/>
    <n v="878"/>
    <n v="0.4419275105736837"/>
    <n v="527"/>
    <n v="0.4536051846334934"/>
    <n v="916"/>
    <n v="0.449001129962689"/>
    <n v="1237"/>
    <n v="0.4623936115224451"/>
    <n v="1193"/>
    <n v="0.4723553817154035"/>
    <n v="517"/>
    <n v="0.4855970668755209"/>
    <n v="1388"/>
    <n v="0.4634571260654328"/>
    <n v="586"/>
    <n v="0.467854668696904"/>
    <n v="660"/>
    <n v="0.4548079356903199"/>
    <n v="1791"/>
    <n v="0.4476062230615359"/>
    <n v="1434"/>
    <n v="0.4516184969481835"/>
    <n v="156"/>
    <n v="0.5322447664867962"/>
    <n v="98"/>
    <n v="0.4018490802024882"/>
    <n v="57"/>
    <n v="0.4160366283926243"/>
    <n v="507"/>
    <n v="0.4225130715169697"/>
    <n v="532"/>
    <n v="0.4375699551123138"/>
    <n v="0.9672727272727273"/>
    <n v="106"/>
    <n v="0.5710527256901148"/>
    <n v="0.212"/>
    <n v="452"/>
    <n v="0.3082762996475434"/>
    <n v="0.837037037037037"/>
    <n v="0"/>
    <n v="0.4120321524435774"/>
    <n v="0"/>
    <n v="740"/>
    <n v="2408"/>
    <n v="740"/>
    <n v="0"/>
    <n v="0"/>
    <n v="0"/>
    <n v="6261417.5"/>
    <n v="11464488"/>
    <n v="3477260"/>
    <n v="0"/>
    <n v="3216"/>
    <n v="15111984"/>
    <n v="5907563.025210084"/>
    <n v="680"/>
    <n v="2455"/>
    <n v="85.5"/>
    <n v="0"/>
    <n v="0"/>
    <n v="0"/>
    <n v="5284025.5"/>
    <n v="11688255"/>
    <n v="401764.5"/>
    <n v="0"/>
    <n v="3216"/>
    <n v="15111984"/>
    <n v="682563.025210084"/>
    <n v="750"/>
    <n v="2377"/>
    <n v="507"/>
    <n v="0"/>
    <n v="0"/>
    <n v="7262761"/>
    <n v="11169523"/>
    <n v="2382393"/>
    <n v="0"/>
    <n v="3216"/>
    <n v="15111984"/>
    <n v="4816500"/>
    <n v="550"/>
    <n v="3364"/>
    <n v="532"/>
    <n v="1500"/>
    <n v="0"/>
    <n v="16016004"/>
    <n v="2499868"/>
    <n v="7141500.000000001"/>
    <n v="0"/>
    <n v="3216"/>
    <n v="15111984"/>
    <n v="5054000"/>
    <n v="500"/>
    <n v="3322"/>
    <n v="500"/>
    <m/>
    <n v="0"/>
    <n v="0"/>
    <n v="15610078"/>
    <n v="2380500"/>
    <n v="0"/>
    <n v="0"/>
    <n v="3216"/>
    <n v="15111984"/>
    <n v="4750000"/>
    <n v="540"/>
    <n v="3668"/>
    <n v="452"/>
    <m/>
    <n v="0"/>
    <n v="0"/>
    <n v="17235932"/>
    <n v="2151972"/>
    <n v="0"/>
    <n v="0"/>
    <n v="3668"/>
    <n v="15111984"/>
    <n v="4294000"/>
    <n v="70"/>
    <n v="3216"/>
    <n v="70"/>
    <n v="1000"/>
    <n v="1000"/>
    <n v="0"/>
    <n v="15111984"/>
    <n v="333270.0000000001"/>
    <n v="4602300"/>
    <n v="0"/>
    <n v="3216"/>
    <n v="15111984"/>
    <n v="665000"/>
    <n v="70"/>
    <n v="3146"/>
    <n v="70"/>
    <n v="0"/>
    <n v="0"/>
    <n v="0"/>
    <n v="14783054"/>
    <n v="333270.0000000001"/>
    <n v="0"/>
    <n v="0"/>
    <n v="3146"/>
    <n v="14783054"/>
    <n v="665000"/>
    <n v="70"/>
    <n v="3076"/>
    <n v="70"/>
    <n v="0"/>
    <n v="0"/>
    <m/>
    <n v="14644836"/>
    <n v="333270.0000000001"/>
    <n v="0"/>
    <n v="0"/>
    <n v="3076"/>
    <n v="14644836"/>
    <n v="665000"/>
    <n v="70"/>
    <n v="3006"/>
    <n v="70"/>
    <n v="0"/>
    <n v="0"/>
    <n v="0"/>
    <m/>
    <n v="14311566"/>
    <n v="333270.0000000001"/>
    <n v="0"/>
    <n v="0"/>
    <n v="3006"/>
    <n v="14311566"/>
    <n v="587647.0588235294"/>
    <n v="70"/>
    <n v="2936"/>
    <n v="70"/>
    <n v="0"/>
    <n v="0"/>
    <n v="13978296"/>
    <n v="333270.0000000001"/>
    <n v="0"/>
    <n v="0"/>
    <n v="2936"/>
    <n v="13978296"/>
    <n v="617029.4117647059"/>
    <n v="70"/>
    <n v="2866"/>
    <n v="70"/>
    <n v="0"/>
    <n v="0"/>
    <n v="13645026"/>
    <n v="333270.0000000001"/>
    <n v="0"/>
    <n v="2866"/>
    <n v="13645026"/>
    <n v="665000"/>
    <n v="42"/>
    <n v="2796"/>
    <n v="42"/>
    <n v="0"/>
    <m/>
    <n v="13311756"/>
    <n v="197358"/>
    <n v="0"/>
    <n v="2796"/>
    <n v="13311756"/>
    <n v="399000"/>
  </r>
  <r>
    <s v="Lhotse-Audio Menor"/>
    <x v="1"/>
    <x v="10"/>
    <x v="22"/>
    <n v="1597098592591"/>
    <x v="80"/>
    <x v="80"/>
    <x v="0"/>
    <x v="3"/>
    <n v="1"/>
    <x v="65"/>
    <n v="1669"/>
    <m/>
    <n v="0"/>
    <n v="4740.87350063217"/>
    <n v="7912517.872555092"/>
    <n v="5.100000000000001"/>
    <n v="5571.750000000001"/>
    <n v="9500"/>
    <n v="10915.96638655462"/>
    <s v="Shenzhen"/>
    <s v="20/80 Credit"/>
    <n v="30"/>
    <n v="1000"/>
    <n v="750"/>
    <n v="0.4204238118962116"/>
    <n v="746"/>
    <n v="0.4115490643331546"/>
    <n v="1293"/>
    <n v="0.4050822139990194"/>
    <n v="1399"/>
    <n v="0.4241434363866313"/>
    <n v="1596"/>
    <n v="0.4180787241799711"/>
    <n v="742"/>
    <n v="0.4096150033979371"/>
    <n v="1744"/>
    <n v="0.4080531110599299"/>
    <n v="263"/>
    <n v="0.4272646742086561"/>
    <n v="899"/>
    <n v="0.4117679202485105"/>
    <n v="1776"/>
    <n v="0.4100784307932825"/>
    <n v="2509"/>
    <n v="0.4165326047562559"/>
    <n v="187"/>
    <n v="0.4876715142370648"/>
    <n v="104"/>
    <n v="0.3899555705850252"/>
    <n v="83"/>
    <n v="0.3250792362123771"/>
    <n v="594"/>
    <n v="0.4244398074135078"/>
    <n v="113"/>
    <n v="0.4183225791477159"/>
    <n v="0.14125"/>
    <n v="1452"/>
    <n v="0.4809503726953809"/>
    <n v="2.503448275862069"/>
    <n v="424"/>
    <n v="0.2715754278509018"/>
    <n v="0.7008264462809918"/>
    <n v="0"/>
    <n v="0.4303177762709123"/>
    <n v="0"/>
    <n v="900"/>
    <n v="2882"/>
    <n v="900"/>
    <n v="0"/>
    <n v="0"/>
    <n v="0"/>
    <n v="7673103.760773167"/>
    <n v="15212637"/>
    <n v="4266786.150568954"/>
    <n v="0"/>
    <n v="1669"/>
    <n v="7912517.872555092"/>
    <n v="7184873.949579832"/>
    <n v="880"/>
    <n v="2755"/>
    <n v="124.5"/>
    <n v="1000"/>
    <n v="1000"/>
    <n v="0"/>
    <n v="3942036.31577565"/>
    <n v="14542267.5"/>
    <n v="590238.7508287053"/>
    <n v="0"/>
    <n v="1669"/>
    <n v="7912517.872555092"/>
    <n v="993907.5630252102"/>
    <n v="900"/>
    <n v="2263"/>
    <n v="594"/>
    <n v="0"/>
    <n v="0"/>
    <n v="6413327.564946945"/>
    <n v="10728596.7319306"/>
    <n v="2816078.859375509"/>
    <n v="0"/>
    <n v="1669"/>
    <n v="7912517.872555092"/>
    <n v="5643000"/>
    <n v="800"/>
    <n v="4562"/>
    <n v="113"/>
    <n v="1500"/>
    <n v="0"/>
    <n v="24080517"/>
    <n v="535718.7055714353"/>
    <n v="7917750.000000001"/>
    <n v="0"/>
    <n v="1669"/>
    <n v="7912517.872555092"/>
    <n v="1073500"/>
    <n v="580"/>
    <n v="3121"/>
    <n v="580"/>
    <m/>
    <n v="0"/>
    <n v="0"/>
    <n v="14796266.195473"/>
    <n v="3061530"/>
    <n v="0"/>
    <n v="0"/>
    <n v="1669"/>
    <n v="7912517.872555092"/>
    <n v="5510000"/>
    <n v="605"/>
    <n v="2093"/>
    <n v="424"/>
    <m/>
    <n v="0"/>
    <n v="0"/>
    <n v="9922648.236823132"/>
    <n v="2238084"/>
    <n v="0"/>
    <n v="0"/>
    <n v="2093"/>
    <n v="7912517.872555092"/>
    <n v="4028000"/>
    <n v="100"/>
    <n v="1669"/>
    <n v="100"/>
    <n v="0"/>
    <n v="0"/>
    <n v="0"/>
    <n v="7912517.872555092"/>
    <n v="527850.0000000001"/>
    <n v="0"/>
    <n v="0"/>
    <n v="1669"/>
    <n v="7912517.872555092"/>
    <n v="950000"/>
    <n v="100"/>
    <n v="1569"/>
    <n v="100"/>
    <n v="0"/>
    <n v="0"/>
    <n v="0"/>
    <n v="7438430.522491875"/>
    <n v="527850.0000000001"/>
    <n v="0"/>
    <n v="0"/>
    <n v="1569"/>
    <n v="7438430.522491875"/>
    <n v="950000"/>
    <n v="100"/>
    <n v="1469"/>
    <n v="100"/>
    <n v="0"/>
    <n v="0"/>
    <m/>
    <n v="7754116.500000001"/>
    <n v="527850.0000000001"/>
    <n v="0"/>
    <n v="0"/>
    <n v="1469"/>
    <n v="7754116.500000001"/>
    <n v="950000"/>
    <n v="100"/>
    <n v="1369"/>
    <n v="100"/>
    <n v="0"/>
    <n v="0"/>
    <n v="0"/>
    <m/>
    <n v="7226266.500000001"/>
    <n v="527850.0000000001"/>
    <n v="0"/>
    <n v="0"/>
    <n v="1369"/>
    <n v="7226266.500000001"/>
    <n v="1091596.638655462"/>
    <n v="100"/>
    <n v="1269"/>
    <n v="100"/>
    <n v="0"/>
    <n v="0"/>
    <n v="6698416.500000001"/>
    <n v="527850.0000000001"/>
    <n v="0"/>
    <n v="0"/>
    <n v="1269"/>
    <n v="6698416.500000001"/>
    <n v="1146176.470588235"/>
    <n v="100"/>
    <n v="1169"/>
    <n v="100"/>
    <n v="0"/>
    <n v="0"/>
    <n v="6170566.500000001"/>
    <n v="527850.0000000001"/>
    <n v="0"/>
    <n v="1169"/>
    <n v="6170566.500000001"/>
    <n v="950000"/>
    <n v="60"/>
    <n v="1069"/>
    <n v="60"/>
    <n v="0"/>
    <m/>
    <n v="5642716.500000001"/>
    <n v="284452.4100379302"/>
    <n v="0"/>
    <n v="1069"/>
    <n v="5642716.500000001"/>
    <n v="570000"/>
  </r>
  <r>
    <s v="Lhotse-Audio Menor"/>
    <x v="1"/>
    <x v="10"/>
    <x v="22"/>
    <n v="68658866289861"/>
    <x v="81"/>
    <x v="81"/>
    <x v="0"/>
    <x v="3"/>
    <n v="1"/>
    <x v="66"/>
    <n v="2292"/>
    <m/>
    <n v="0"/>
    <n v="4470.153944020356"/>
    <n v="10245592.83969466"/>
    <n v="5.100000000000001"/>
    <n v="5571.750000000001"/>
    <n v="9500"/>
    <n v="8394.957983193277"/>
    <s v="Shenzhen"/>
    <s v="20/80 Credit"/>
    <n v="30"/>
    <n v="1000"/>
    <n v="512"/>
    <n v="0.3779718615233285"/>
    <n v="381"/>
    <n v="0.3839611382930574"/>
    <n v="436"/>
    <n v="0.3834713409299398"/>
    <n v="1259"/>
    <n v="0.3757156194404719"/>
    <n v="440"/>
    <n v="0.3951645528587056"/>
    <n v="329"/>
    <n v="0.3851175140475353"/>
    <n v="1140"/>
    <n v="0.3763717055394533"/>
    <n v="140"/>
    <n v="0.3857833580459398"/>
    <n v="426"/>
    <n v="0.3828887395517573"/>
    <n v="985"/>
    <n v="0.382361509283402"/>
    <n v="1908"/>
    <n v="0.3930169852760671"/>
    <n v="95"/>
    <n v="0.478183512929947"/>
    <n v="585"/>
    <n v="0.4932827373706217"/>
    <n v="22"/>
    <n v="0.4866933081865556"/>
    <n v="302"/>
    <n v="0.4911310234127298"/>
    <n v="28"/>
    <n v="0.4593186476492211"/>
    <n v="0.056"/>
    <n v="43"/>
    <n v="0.5761680072276905"/>
    <n v="0.1131578947368421"/>
    <n v="42"/>
    <n v="0.4350160208823468"/>
    <n v="0.12"/>
    <n v="0"/>
    <n v="0.4929698467901932"/>
    <n v="0"/>
    <n v="580"/>
    <n v="1154"/>
    <n v="580"/>
    <n v="0"/>
    <n v="0"/>
    <n v="0"/>
    <n v="4090190.858778626"/>
    <n v="6091389.000000001"/>
    <n v="2592689.287531807"/>
    <n v="0"/>
    <n v="2292"/>
    <n v="10245592.83969466"/>
    <n v="4630252.100840337"/>
    <n v="520"/>
    <n v="587"/>
    <n v="33"/>
    <n v="1000"/>
    <n v="1000"/>
    <n v="0"/>
    <n v="1622665.881679389"/>
    <n v="3098479.5"/>
    <n v="147515.0801526718"/>
    <n v="0"/>
    <n v="2292"/>
    <n v="10245592.83969466"/>
    <n v="263445.3781512605"/>
    <n v="590"/>
    <n v="2594"/>
    <n v="302"/>
    <n v="0"/>
    <n v="0"/>
    <n v="3480980.801526718"/>
    <n v="11595579.3307888"/>
    <n v="1349986.491094148"/>
    <n v="0"/>
    <n v="2292"/>
    <n v="10245592.83969466"/>
    <n v="2869000"/>
    <n v="500"/>
    <n v="2249"/>
    <n v="28"/>
    <n v="1000"/>
    <n v="0"/>
    <n v="11871346.5"/>
    <n v="125164.31043257"/>
    <n v="5278500.000000001"/>
    <n v="0"/>
    <n v="2292"/>
    <n v="10245592.83969466"/>
    <n v="266000"/>
    <n v="380"/>
    <n v="2335"/>
    <n v="380"/>
    <m/>
    <n v="0"/>
    <n v="0"/>
    <n v="10437809.45928753"/>
    <n v="2005830"/>
    <n v="0"/>
    <n v="0"/>
    <n v="2292"/>
    <n v="10245592.83969466"/>
    <n v="3610000"/>
    <n v="350"/>
    <n v="2334"/>
    <n v="42"/>
    <m/>
    <n v="0"/>
    <n v="0"/>
    <n v="10433339.30534351"/>
    <n v="221697"/>
    <n v="0"/>
    <n v="0"/>
    <n v="2334"/>
    <n v="10245592.83969466"/>
    <n v="399000"/>
    <n v="50"/>
    <n v="2292"/>
    <n v="50"/>
    <n v="1000"/>
    <n v="1000"/>
    <n v="0"/>
    <n v="10245592.83969466"/>
    <n v="263925.0000000001"/>
    <n v="5102550.000000001"/>
    <n v="0"/>
    <n v="2292"/>
    <n v="10245592.83969466"/>
    <n v="475000"/>
    <n v="50"/>
    <n v="2242"/>
    <n v="50"/>
    <n v="0"/>
    <n v="0"/>
    <n v="0"/>
    <n v="10022085.14249364"/>
    <n v="263925.0000000001"/>
    <n v="0"/>
    <n v="0"/>
    <n v="2242"/>
    <n v="10022085.14249364"/>
    <n v="475000"/>
    <n v="50"/>
    <n v="2192"/>
    <n v="50"/>
    <n v="0"/>
    <n v="0"/>
    <m/>
    <n v="11570472"/>
    <n v="263925.0000000001"/>
    <n v="0"/>
    <n v="0"/>
    <n v="2192"/>
    <n v="11570472"/>
    <n v="475000"/>
    <n v="50"/>
    <n v="2142"/>
    <n v="50"/>
    <n v="0"/>
    <n v="0"/>
    <n v="0"/>
    <m/>
    <n v="11306547"/>
    <n v="263925.0000000001"/>
    <n v="0"/>
    <n v="0"/>
    <n v="2142"/>
    <n v="11306547"/>
    <n v="419747.8991596638"/>
    <n v="50"/>
    <n v="2092"/>
    <n v="50"/>
    <n v="0"/>
    <n v="0"/>
    <n v="11042622"/>
    <n v="263925.0000000001"/>
    <n v="0"/>
    <n v="0"/>
    <n v="2092"/>
    <n v="11042622"/>
    <n v="440735.294117647"/>
    <n v="50"/>
    <n v="2042"/>
    <n v="50"/>
    <n v="0"/>
    <n v="0"/>
    <n v="10778697"/>
    <n v="263925.0000000001"/>
    <n v="0"/>
    <n v="2042"/>
    <n v="10778697"/>
    <n v="475000"/>
    <n v="30"/>
    <n v="1992"/>
    <n v="30"/>
    <n v="0"/>
    <m/>
    <n v="10514772"/>
    <n v="134104.6183206107"/>
    <n v="0"/>
    <n v="1992"/>
    <n v="10514772"/>
    <n v="285000"/>
  </r>
  <r>
    <s v="Lhotse-Audio Menor"/>
    <x v="1"/>
    <x v="10"/>
    <x v="22"/>
    <n v="68658868763602"/>
    <x v="82"/>
    <x v="82"/>
    <x v="0"/>
    <x v="3"/>
    <n v="1"/>
    <x v="67"/>
    <n v="2648"/>
    <m/>
    <n v="0"/>
    <n v="4453.087954110899"/>
    <n v="11791776.90248566"/>
    <n v="5.100000000000001"/>
    <n v="5571.750000000001"/>
    <n v="9500"/>
    <n v="8394.957983193277"/>
    <s v="Shenzhen"/>
    <s v="20/80 Credit"/>
    <n v="30"/>
    <n v="1000"/>
    <n v="503"/>
    <n v="0.3606369344694459"/>
    <n v="313"/>
    <n v="0.365385961067986"/>
    <n v="429"/>
    <n v="0.3720994625555269"/>
    <n v="969"/>
    <n v="0.3692012257454234"/>
    <n v="464"/>
    <n v="0.3743090273595796"/>
    <n v="318"/>
    <n v="0.3735973563747491"/>
    <n v="1171"/>
    <n v="0.3676943736977534"/>
    <n v="152"/>
    <n v="0.376890439214531"/>
    <n v="302"/>
    <n v="0.3721319034793662"/>
    <n v="921"/>
    <n v="0.3686009736475608"/>
    <n v="2206"/>
    <n v="0.3874041038350883"/>
    <n v="58"/>
    <n v="0.4189494924382468"/>
    <n v="2"/>
    <n v="0.5514843220297305"/>
    <n v="4"/>
    <n v="0.2968059425565861"/>
    <n v="253"/>
    <n v="0.4877555163232641"/>
    <n v="23"/>
    <n v="0.4483748807289396"/>
    <n v="0.05111111111111111"/>
    <n v="12"/>
    <n v="0.5603842455324946"/>
    <n v="0.02553191489361702"/>
    <n v="30"/>
    <n v="0.3988487282158255"/>
    <n v="0.07058823529411765"/>
    <n v="0"/>
    <n v="0.4779397091639834"/>
    <n v="0"/>
    <n v="0"/>
    <n v="17"/>
    <n v="0"/>
    <n v="0"/>
    <n v="0"/>
    <n v="0"/>
    <n v="1153349.780114723"/>
    <n v="89734.50000000001"/>
    <n v="0"/>
    <n v="0"/>
    <n v="2648"/>
    <n v="11791776.90248566"/>
    <n v="0"/>
    <n v="500"/>
    <n v="22"/>
    <n v="6"/>
    <n v="500"/>
    <n v="500"/>
    <n v="0"/>
    <n v="1255770.803059273"/>
    <n v="116127"/>
    <n v="26718.52772466539"/>
    <n v="0"/>
    <n v="2648"/>
    <n v="11791776.90248566"/>
    <n v="47899.15966386555"/>
    <n v="500"/>
    <n v="2901"/>
    <n v="253"/>
    <n v="0"/>
    <n v="0"/>
    <n v="3709947.275334609"/>
    <n v="12918408.15487572"/>
    <n v="1126631.252390057"/>
    <n v="0"/>
    <n v="2648"/>
    <n v="11791776.90248566"/>
    <n v="2403500"/>
    <n v="450"/>
    <n v="1735"/>
    <n v="23"/>
    <n v="1500"/>
    <n v="0"/>
    <n v="9158197.500000002"/>
    <n v="102421.0229445507"/>
    <n v="7917750.000000001"/>
    <n v="0"/>
    <n v="2648"/>
    <n v="11791776.90248566"/>
    <n v="218500"/>
    <n v="470"/>
    <n v="2660"/>
    <n v="470"/>
    <m/>
    <n v="0"/>
    <n v="0"/>
    <n v="11845213.95793499"/>
    <n v="2480895"/>
    <n v="0"/>
    <n v="0"/>
    <n v="2648"/>
    <n v="11791776.90248566"/>
    <n v="4465000"/>
    <n v="425"/>
    <n v="2678"/>
    <n v="30"/>
    <m/>
    <n v="0"/>
    <n v="0"/>
    <n v="11925369.54110899"/>
    <n v="158355"/>
    <n v="0"/>
    <n v="0"/>
    <n v="2678"/>
    <n v="11791776.90248566"/>
    <n v="285000"/>
    <n v="40"/>
    <n v="2648"/>
    <n v="40"/>
    <n v="1000"/>
    <n v="1000"/>
    <n v="0"/>
    <n v="11791776.90248566"/>
    <n v="211140"/>
    <n v="5102550.000000001"/>
    <n v="0"/>
    <n v="2648"/>
    <n v="11791776.90248566"/>
    <n v="380000"/>
    <n v="40"/>
    <n v="2608"/>
    <n v="40"/>
    <n v="0"/>
    <n v="0"/>
    <n v="0"/>
    <n v="11613653.38432122"/>
    <n v="211140"/>
    <n v="0"/>
    <n v="0"/>
    <n v="2608"/>
    <n v="11613653.38432122"/>
    <n v="380000"/>
    <n v="40"/>
    <n v="2568"/>
    <n v="40"/>
    <n v="0"/>
    <n v="0"/>
    <m/>
    <n v="13555188"/>
    <n v="211140"/>
    <n v="0"/>
    <n v="0"/>
    <n v="2568"/>
    <n v="13555188"/>
    <n v="380000"/>
    <n v="40"/>
    <n v="2528"/>
    <n v="40"/>
    <n v="0"/>
    <n v="0"/>
    <n v="0"/>
    <m/>
    <n v="13344048"/>
    <n v="211140"/>
    <n v="0"/>
    <n v="0"/>
    <n v="2528"/>
    <n v="13344048"/>
    <n v="335798.3193277311"/>
    <n v="40"/>
    <n v="2488"/>
    <n v="40"/>
    <n v="0"/>
    <n v="0"/>
    <n v="13132908"/>
    <n v="211140"/>
    <n v="0"/>
    <n v="0"/>
    <n v="2488"/>
    <n v="13132908"/>
    <n v="352588.2352941177"/>
    <n v="40"/>
    <n v="2448"/>
    <n v="40"/>
    <n v="0"/>
    <n v="0"/>
    <n v="12921768"/>
    <n v="211140"/>
    <n v="0"/>
    <n v="2448"/>
    <n v="12921768"/>
    <n v="380000"/>
    <n v="24"/>
    <n v="2408"/>
    <n v="24"/>
    <n v="0"/>
    <m/>
    <n v="12710628"/>
    <n v="106874.1108986616"/>
    <n v="0"/>
    <n v="2408"/>
    <n v="12710628"/>
    <n v="228000"/>
  </r>
  <r>
    <s v="Lhotse-Audio Menor"/>
    <x v="1"/>
    <x v="10"/>
    <x v="22"/>
    <s v="LHHEDBEMA"/>
    <x v="83"/>
    <x v="83"/>
    <x v="0"/>
    <x v="3"/>
    <n v="1"/>
    <x v="68"/>
    <n v="669"/>
    <m/>
    <n v="0"/>
    <n v="9453"/>
    <n v="6324057"/>
    <n v="8.199999999999999"/>
    <n v="8958.499999999998"/>
    <n v="18478.99159663866"/>
    <n v="16798.31932773109"/>
    <s v="Shenzhen"/>
    <s v="30/70"/>
    <n v="45"/>
    <n v="1000"/>
    <n v="15"/>
    <n v="0.5771681485858779"/>
    <n v="41"/>
    <n v="0.5383638080255733"/>
    <n v="97"/>
    <n v="0.543617731238349"/>
    <n v="80"/>
    <n v="0.5258880548012903"/>
    <n v="81"/>
    <n v="0.3677022519929081"/>
    <n v="95"/>
    <n v="0.4971426103492972"/>
    <n v="141"/>
    <n v="0.4834779049722371"/>
    <n v="54"/>
    <n v="0.5141776440267081"/>
    <n v="46"/>
    <n v="0.5160043860550709"/>
    <n v="243"/>
    <n v="0.4457404960332642"/>
    <n v="145"/>
    <n v="0.4748537835993065"/>
    <n v="244"/>
    <n v="0.4672125596319324"/>
    <n v="91"/>
    <s v=""/>
    <n v="172"/>
    <s v=""/>
    <n v="134"/>
    <s v=""/>
    <n v="46"/>
    <s v=""/>
    <n v="0.5111111111111111"/>
    <n v="121"/>
    <s v=""/>
    <n v="1.423529411764706"/>
    <n v="205"/>
    <s v=""/>
    <n v="1.025"/>
    <n v="34"/>
    <s v=""/>
    <n v="0.2833333333333333"/>
    <n v="80"/>
    <n v="490"/>
    <n v="80"/>
    <n v="0"/>
    <n v="0"/>
    <n v="0"/>
    <n v="4461816"/>
    <n v="4158629.999999999"/>
    <n v="756240"/>
    <n v="0"/>
    <n v="669"/>
    <n v="6324057"/>
    <n v="1242285.149353859"/>
    <n v="70"/>
    <n v="388"/>
    <n v="258"/>
    <n v="0"/>
    <n v="0"/>
    <n v="0"/>
    <n v="4140414"/>
    <n v="3292955.999999999"/>
    <n v="2438874"/>
    <n v="0"/>
    <n v="669"/>
    <n v="6324057"/>
    <n v="4006369.606666197"/>
    <n v="200"/>
    <n v="149"/>
    <n v="134"/>
    <n v="0"/>
    <n v="0"/>
    <n v="2422935"/>
    <n v="1408497"/>
    <n v="1266702"/>
    <n v="0"/>
    <n v="669"/>
    <n v="6324057"/>
    <n v="2476184.87394958"/>
    <n v="90"/>
    <n v="580"/>
    <n v="46"/>
    <n v="1000"/>
    <n v="0"/>
    <n v="4922459.999999999"/>
    <n v="434838"/>
    <n v="8486999.999999998"/>
    <n v="0"/>
    <n v="669"/>
    <n v="6324057"/>
    <n v="850033.6134453783"/>
    <n v="85"/>
    <n v="790"/>
    <n v="85"/>
    <m/>
    <n v="1000"/>
    <n v="0"/>
    <n v="7467870"/>
    <n v="721394.9999999999"/>
    <n v="0"/>
    <n v="0"/>
    <n v="669"/>
    <n v="6324057"/>
    <n v="1570714.285714286"/>
    <n v="200"/>
    <n v="874"/>
    <n v="205"/>
    <m/>
    <n v="500"/>
    <n v="0"/>
    <n v="8261922"/>
    <n v="1739835"/>
    <n v="0"/>
    <n v="0"/>
    <n v="874"/>
    <n v="6324057"/>
    <n v="3788193.277310925"/>
    <n v="120"/>
    <n v="703"/>
    <n v="120"/>
    <n v="0"/>
    <n v="0"/>
    <n v="0"/>
    <n v="6645459"/>
    <n v="1018440"/>
    <n v="0"/>
    <n v="0"/>
    <n v="703"/>
    <n v="6324057"/>
    <n v="2217478.991596639"/>
    <n v="120"/>
    <n v="583"/>
    <n v="120"/>
    <n v="0"/>
    <n v="0"/>
    <n v="0"/>
    <n v="5511099"/>
    <n v="1018440"/>
    <n v="0"/>
    <n v="0"/>
    <n v="583"/>
    <n v="5511099"/>
    <n v="2217478.991596639"/>
    <n v="80"/>
    <n v="463"/>
    <n v="80"/>
    <n v="0"/>
    <n v="0"/>
    <m/>
    <n v="3929480.999999999"/>
    <n v="678959.9999999999"/>
    <n v="0"/>
    <n v="0"/>
    <n v="463"/>
    <n v="3929480.999999999"/>
    <n v="1478319.327731093"/>
    <n v="250"/>
    <n v="383"/>
    <n v="250"/>
    <n v="0"/>
    <n v="0"/>
    <n v="0"/>
    <m/>
    <n v="3250521"/>
    <n v="2121750"/>
    <n v="0"/>
    <n v="0"/>
    <n v="383"/>
    <n v="3250521"/>
    <n v="4199579.831932773"/>
    <n v="150"/>
    <n v="133"/>
    <n v="150"/>
    <n v="0"/>
    <n v="0"/>
    <n v="1128771"/>
    <n v="1273050"/>
    <n v="0"/>
    <n v="0"/>
    <n v="133"/>
    <n v="1128771"/>
    <n v="2645735.294117647"/>
    <n v="250"/>
    <n v="0"/>
    <n v="250"/>
    <n v="0"/>
    <n v="0"/>
    <n v="0"/>
    <n v="2121750"/>
    <n v="0"/>
    <n v="0"/>
    <n v="0"/>
    <n v="4619747.899159664"/>
    <n v="90"/>
    <n v="0"/>
    <n v="90"/>
    <n v="0"/>
    <m/>
    <n v="0"/>
    <n v="850770"/>
    <n v="0"/>
    <n v="0"/>
    <n v="0"/>
    <n v="1663109.243697479"/>
  </r>
  <r>
    <s v="Lhotse-Audio Menor"/>
    <x v="1"/>
    <x v="10"/>
    <x v="22"/>
    <s v="LHHEDBEMA"/>
    <x v="84"/>
    <x v="84"/>
    <x v="0"/>
    <x v="3"/>
    <n v="0.8"/>
    <x v="69"/>
    <n v="8"/>
    <m/>
    <n v="0"/>
    <n v="9467"/>
    <n v="75736"/>
    <n v="8.199999999999999"/>
    <n v="8958.499999999998"/>
    <n v="18478.99159663866"/>
    <n v="16798.31932773109"/>
    <s v="Shenzhen"/>
    <s v="30/70"/>
    <n v="45"/>
    <n v="1000"/>
    <n v="11"/>
    <n v="0.5892659117532215"/>
    <n v="11"/>
    <n v="0.5149600368890256"/>
    <n v="27"/>
    <n v="0.5610381003736876"/>
    <n v="31"/>
    <n v="0.5110088824980961"/>
    <n v="29"/>
    <n v="0.4076211919500969"/>
    <n v="57"/>
    <n v="0.4764877943565184"/>
    <n v="32"/>
    <n v="0.4337852118137282"/>
    <n v="37"/>
    <n v="0.5340214514104699"/>
    <n v="50"/>
    <n v="0.3586965147129297"/>
    <n v="108"/>
    <n v="0.4519980194370845"/>
    <n v="61"/>
    <n v="0.4961192491715136"/>
    <n v="86"/>
    <n v="0.4848751516087537"/>
    <n v="25"/>
    <s v=""/>
    <n v="27"/>
    <s v=""/>
    <n v="123"/>
    <s v=""/>
    <n v="18"/>
    <s v=""/>
    <n v="0.5142857142857142"/>
    <n v="22"/>
    <s v=""/>
    <n v="0.5238095238095238"/>
    <n v="26"/>
    <s v=""/>
    <n v="0.4727272727272727"/>
    <n v="8"/>
    <s v=""/>
    <n v="0.1333333333333333"/>
    <n v="35"/>
    <n v="250"/>
    <n v="35"/>
    <n v="0"/>
    <n v="0"/>
    <n v="0"/>
    <n v="1879199.5"/>
    <n v="2121750"/>
    <n v="331345"/>
    <n v="0"/>
    <n v="8"/>
    <n v="75736"/>
    <n v="543499.7528423135"/>
    <n v="35"/>
    <n v="237"/>
    <n v="40.5"/>
    <n v="0"/>
    <n v="0"/>
    <n v="0"/>
    <n v="1718260.5"/>
    <n v="2011419"/>
    <n v="383413.5"/>
    <n v="0"/>
    <n v="8"/>
    <n v="75736"/>
    <n v="628906.8568603913"/>
    <n v="55"/>
    <n v="199"/>
    <n v="123"/>
    <n v="0"/>
    <n v="0"/>
    <n v="1620010.2"/>
    <n v="1883933"/>
    <n v="1164441"/>
    <n v="0"/>
    <n v="8"/>
    <n v="75736"/>
    <n v="2272915.966386555"/>
    <n v="35"/>
    <n v="87"/>
    <n v="18"/>
    <n v="0"/>
    <n v="0"/>
    <n v="738368.9999999999"/>
    <n v="170406"/>
    <n v="0"/>
    <n v="0"/>
    <n v="8"/>
    <n v="75736"/>
    <n v="332621.8487394959"/>
    <n v="42"/>
    <n v="30"/>
    <n v="33.6"/>
    <m/>
    <n v="0"/>
    <n v="0"/>
    <n v="284010"/>
    <n v="285163.2"/>
    <n v="0"/>
    <n v="0"/>
    <n v="8"/>
    <n v="75736"/>
    <n v="620894.1176470589"/>
    <n v="55"/>
    <n v="34"/>
    <n v="26"/>
    <m/>
    <n v="0"/>
    <n v="0"/>
    <n v="321878"/>
    <n v="220661.9999999999"/>
    <n v="0"/>
    <n v="0"/>
    <n v="34"/>
    <n v="75736"/>
    <n v="480453.7815126051"/>
    <n v="60"/>
    <n v="16"/>
    <n v="48"/>
    <n v="0"/>
    <n v="0"/>
    <n v="0"/>
    <n v="151472"/>
    <n v="407375.9999999999"/>
    <n v="0"/>
    <n v="0"/>
    <n v="16"/>
    <n v="75736"/>
    <n v="886991.5966386555"/>
    <n v="45"/>
    <n v="0"/>
    <n v="36"/>
    <n v="0"/>
    <n v="0"/>
    <n v="0"/>
    <n v="0"/>
    <n v="305531.9999999999"/>
    <n v="0"/>
    <n v="0"/>
    <n v="0"/>
    <n v="0"/>
    <n v="665243.6974789917"/>
    <n v="45"/>
    <n v="0"/>
    <n v="36"/>
    <n v="0"/>
    <n v="0"/>
    <m/>
    <n v="0"/>
    <n v="305531.9999999999"/>
    <n v="0"/>
    <n v="0"/>
    <n v="0"/>
    <n v="0"/>
    <n v="665243.6974789917"/>
    <n v="120"/>
    <n v="0"/>
    <n v="0"/>
    <n v="0"/>
    <n v="0"/>
    <n v="0"/>
    <m/>
    <n v="0"/>
    <n v="0"/>
    <n v="0"/>
    <n v="0"/>
    <n v="0"/>
    <n v="0"/>
    <n v="0"/>
    <n v="70"/>
    <n v="0"/>
    <n v="56"/>
    <n v="0"/>
    <n v="0"/>
    <n v="0"/>
    <n v="475271.9999999999"/>
    <n v="0"/>
    <n v="0"/>
    <n v="0"/>
    <n v="0"/>
    <n v="987741.1764705883"/>
    <n v="100"/>
    <n v="0"/>
    <n v="80"/>
    <n v="0"/>
    <n v="0"/>
    <n v="0"/>
    <n v="678959.9999999999"/>
    <n v="0"/>
    <n v="0"/>
    <n v="0"/>
    <n v="1478319.327731093"/>
    <n v="42"/>
    <n v="0"/>
    <n v="33.6"/>
    <n v="0"/>
    <m/>
    <n v="0"/>
    <n v="318091.2"/>
    <n v="0"/>
    <n v="0"/>
    <n v="0"/>
    <n v="620894.1176470589"/>
  </r>
  <r>
    <s v="Lhotse-Audio Menor"/>
    <x v="1"/>
    <x v="10"/>
    <x v="22"/>
    <s v="LHAUDTUNAIR-BK"/>
    <x v="85"/>
    <x v="85"/>
    <x v="0"/>
    <x v="4"/>
    <n v="1.2"/>
    <x v="70"/>
    <n v="161"/>
    <m/>
    <n v="0"/>
    <n v="2580"/>
    <n v="415380"/>
    <n v="4.6"/>
    <n v="5025.5"/>
    <n v="9235.294117647059"/>
    <n v="8394.957983193277"/>
    <s v="Shenzhen"/>
    <s v="30/70"/>
    <n v="30"/>
    <n v="300"/>
    <n v="15"/>
    <n v="0.6260849963634191"/>
    <n v="13"/>
    <n v="0.5129547443148449"/>
    <n v="42"/>
    <n v="0.5206501330698874"/>
    <n v="88"/>
    <n v="0.4969294029037882"/>
    <n v="114"/>
    <n v="0.5549536161324886"/>
    <n v="1"/>
    <n v="1"/>
    <n v="4"/>
    <n v="0.5439467748182916"/>
    <n v="2"/>
    <n v="0.5415958226456578"/>
    <n v="4"/>
    <n v="0.5415949065591792"/>
    <n v="3"/>
    <n v="0.3451097151332723"/>
    <n v="0"/>
    <s v=""/>
    <n v="4"/>
    <n v="0.7636496885305973"/>
    <n v="15"/>
    <s v=""/>
    <n v="21"/>
    <s v=""/>
    <n v="45"/>
    <s v=""/>
    <n v="69"/>
    <s v=""/>
    <n v="0.9857142857142858"/>
    <n v="116"/>
    <s v=""/>
    <n v="3.222222222222222"/>
    <n v="157"/>
    <s v=""/>
    <n v="1.9625"/>
    <n v="107"/>
    <s v=""/>
    <n v="2.14"/>
    <n v="50"/>
    <n v="496"/>
    <n v="40"/>
    <n v="0"/>
    <n v="0"/>
    <n v="0"/>
    <n v="300570"/>
    <n v="2361456"/>
    <n v="103200"/>
    <n v="0"/>
    <n v="161"/>
    <n v="415380"/>
    <n v="310430.0543746911"/>
    <n v="45"/>
    <n v="481"/>
    <n v="31.5"/>
    <n v="200"/>
    <n v="0"/>
    <n v="0"/>
    <n v="375390"/>
    <n v="2290041"/>
    <n v="81270"/>
    <n v="0"/>
    <n v="161"/>
    <n v="415380"/>
    <n v="244463.6678200692"/>
    <n v="48"/>
    <n v="450"/>
    <n v="45"/>
    <n v="0"/>
    <n v="0"/>
    <n v="499795.2"/>
    <n v="1161000"/>
    <n v="116100"/>
    <n v="0"/>
    <n v="161"/>
    <n v="415380"/>
    <n v="415588.2352941177"/>
    <n v="70"/>
    <n v="610"/>
    <n v="69"/>
    <n v="0"/>
    <n v="0"/>
    <n v="2904210"/>
    <n v="178020"/>
    <n v="0"/>
    <n v="0"/>
    <n v="161"/>
    <n v="415380"/>
    <n v="637235.2941176471"/>
    <n v="36"/>
    <n v="277"/>
    <n v="43.2"/>
    <m/>
    <n v="0"/>
    <n v="0"/>
    <n v="714660"/>
    <n v="205675.2"/>
    <n v="0"/>
    <n v="0"/>
    <n v="161"/>
    <n v="415380"/>
    <n v="398964.705882353"/>
    <n v="80"/>
    <n v="318"/>
    <n v="157"/>
    <m/>
    <n v="0"/>
    <n v="0"/>
    <n v="820440"/>
    <n v="747477"/>
    <n v="0"/>
    <n v="0"/>
    <n v="318"/>
    <n v="415380"/>
    <n v="1449941.176470588"/>
    <n v="50"/>
    <n v="268"/>
    <n v="60"/>
    <n v="0"/>
    <n v="0"/>
    <n v="0"/>
    <n v="691440"/>
    <n v="285660"/>
    <n v="0"/>
    <n v="0"/>
    <n v="268"/>
    <n v="415380"/>
    <n v="554117.6470588236"/>
    <n v="50"/>
    <n v="208"/>
    <n v="60"/>
    <n v="0"/>
    <n v="0"/>
    <n v="0"/>
    <n v="536640"/>
    <n v="285660"/>
    <n v="0"/>
    <n v="0"/>
    <n v="208"/>
    <n v="536640"/>
    <n v="554117.6470588236"/>
    <n v="40"/>
    <n v="148"/>
    <n v="48"/>
    <n v="0"/>
    <n v="0"/>
    <m/>
    <n v="704628"/>
    <n v="228528"/>
    <n v="0"/>
    <n v="0"/>
    <n v="148"/>
    <n v="704628"/>
    <n v="443294.1176470589"/>
    <n v="120"/>
    <n v="100"/>
    <n v="100"/>
    <n v="0"/>
    <n v="0"/>
    <n v="0"/>
    <m/>
    <n v="476100"/>
    <n v="476100"/>
    <n v="0"/>
    <n v="0"/>
    <n v="100"/>
    <n v="476100"/>
    <n v="839495.7983193276"/>
    <n v="70"/>
    <n v="0"/>
    <n v="84"/>
    <n v="500"/>
    <n v="500"/>
    <n v="0"/>
    <n v="399924"/>
    <n v="2380500"/>
    <n v="2380500"/>
    <n v="500"/>
    <n v="2380500"/>
    <n v="740435.2941176471"/>
    <n v="150"/>
    <n v="416"/>
    <n v="180"/>
    <n v="0"/>
    <n v="0"/>
    <n v="1980576"/>
    <n v="856980"/>
    <n v="0"/>
    <n v="416"/>
    <n v="1980576"/>
    <n v="1662352.941176471"/>
    <n v="42"/>
    <n v="236"/>
    <n v="50.4"/>
    <n v="0"/>
    <m/>
    <n v="1123596"/>
    <n v="130032"/>
    <n v="0"/>
    <n v="236"/>
    <n v="1123596"/>
    <n v="465458.8235294118"/>
  </r>
  <r>
    <s v="Lhotse-Audio Menor"/>
    <x v="1"/>
    <x v="10"/>
    <x v="22"/>
    <s v="LHAUDFIBUD-BK"/>
    <x v="86"/>
    <x v="86"/>
    <x v="0"/>
    <x v="4"/>
    <n v="1"/>
    <x v="71"/>
    <n v="46"/>
    <m/>
    <n v="0"/>
    <n v="4766"/>
    <n v="219236"/>
    <n v="5.8"/>
    <n v="6336.499999999999"/>
    <n v="14277.31092436975"/>
    <n v="10915.96638655462"/>
    <s v="Shenzhen"/>
    <s v="30/70"/>
    <n v="30"/>
    <n v="300"/>
    <n v="7"/>
    <n v="0.5347488910205401"/>
    <n v="27"/>
    <n v="0.4701034981246504"/>
    <n v="45"/>
    <n v="0.5382060658129043"/>
    <n v="40"/>
    <n v="0.5330057253489557"/>
    <n v="55"/>
    <n v="0.5561249179363249"/>
    <n v="80"/>
    <n v="0.5447379429002762"/>
    <n v="20"/>
    <n v="0.5559898686330733"/>
    <n v="11"/>
    <n v="0.6333924096818676"/>
    <n v="21"/>
    <n v="0.6615529314565941"/>
    <n v="63"/>
    <n v="0.6234509808362674"/>
    <n v="28"/>
    <n v="0.6262765601727524"/>
    <n v="55"/>
    <n v="0.6396998234132321"/>
    <n v="69"/>
    <s v=""/>
    <n v="20"/>
    <s v=""/>
    <n v="27"/>
    <s v=""/>
    <n v="25"/>
    <s v=""/>
    <n v="0.7142857142857143"/>
    <n v="35"/>
    <s v=""/>
    <n v="0.7"/>
    <n v="73"/>
    <s v=""/>
    <n v="1.216666666666667"/>
    <n v="32"/>
    <s v=""/>
    <n v="0.8"/>
    <n v="40"/>
    <n v="331"/>
    <n v="40"/>
    <n v="0"/>
    <n v="200"/>
    <n v="0"/>
    <n v="462302"/>
    <n v="1986993"/>
    <n v="190640"/>
    <n v="0"/>
    <n v="46"/>
    <n v="219236"/>
    <n v="479909.6109031849"/>
    <n v="40"/>
    <n v="264"/>
    <n v="30"/>
    <n v="0"/>
    <n v="0"/>
    <n v="0"/>
    <n v="390812"/>
    <n v="1584792"/>
    <n v="142980"/>
    <n v="0"/>
    <n v="46"/>
    <n v="219236"/>
    <n v="359932.2081773886"/>
    <n v="36"/>
    <n v="244"/>
    <n v="27"/>
    <n v="0"/>
    <n v="0"/>
    <n v="547982"/>
    <n v="1162904"/>
    <n v="128682"/>
    <n v="0"/>
    <n v="46"/>
    <n v="219236"/>
    <n v="385487.3949579832"/>
    <n v="35"/>
    <n v="216"/>
    <n v="25"/>
    <n v="0"/>
    <n v="0"/>
    <n v="1296648"/>
    <n v="119150"/>
    <n v="0"/>
    <n v="0"/>
    <n v="46"/>
    <n v="219236"/>
    <n v="356932.7731092437"/>
    <n v="50"/>
    <n v="81"/>
    <n v="50"/>
    <m/>
    <n v="0"/>
    <n v="0"/>
    <n v="386046"/>
    <n v="300149.9999999999"/>
    <n v="0"/>
    <n v="0"/>
    <n v="46"/>
    <n v="219236"/>
    <n v="713865.5462184874"/>
    <n v="60"/>
    <n v="119"/>
    <n v="73"/>
    <m/>
    <n v="0"/>
    <n v="0"/>
    <n v="567154"/>
    <n v="438218.9999999999"/>
    <n v="0"/>
    <n v="0"/>
    <n v="119"/>
    <n v="219236"/>
    <n v="1042243.697478992"/>
    <n v="40"/>
    <n v="78"/>
    <n v="40"/>
    <n v="150"/>
    <n v="150"/>
    <n v="0"/>
    <n v="371748"/>
    <n v="240120"/>
    <n v="870435"/>
    <n v="0"/>
    <n v="78"/>
    <n v="219236"/>
    <n v="571092.4369747899"/>
    <n v="45"/>
    <n v="38"/>
    <n v="45"/>
    <n v="0"/>
    <n v="200"/>
    <n v="150"/>
    <n v="181108"/>
    <n v="270134.9999999999"/>
    <n v="0"/>
    <n v="900449.9999999999"/>
    <n v="238"/>
    <n v="1081558"/>
    <n v="642478.9915966387"/>
    <n v="40"/>
    <n v="143"/>
    <n v="40"/>
    <n v="0"/>
    <n v="0"/>
    <m/>
    <n v="858428.9999999999"/>
    <n v="240120"/>
    <n v="0"/>
    <n v="0"/>
    <n v="143"/>
    <n v="858428.9999999999"/>
    <n v="571092.4369747899"/>
    <n v="60"/>
    <n v="103"/>
    <n v="60"/>
    <n v="200"/>
    <n v="200"/>
    <n v="200"/>
    <n v="0"/>
    <n v="618308.9999999999"/>
    <n v="360179.9999999999"/>
    <n v="1200600"/>
    <n v="1200600"/>
    <n v="303"/>
    <n v="1818909"/>
    <n v="654957.9831932774"/>
    <n v="50"/>
    <n v="243"/>
    <n v="50"/>
    <n v="0"/>
    <n v="0"/>
    <n v="1458729"/>
    <n v="300149.9999999999"/>
    <n v="0"/>
    <n v="0"/>
    <n v="243"/>
    <n v="1458729"/>
    <n v="573088.2352941177"/>
    <n v="90"/>
    <n v="193"/>
    <n v="90"/>
    <n v="0"/>
    <n v="0"/>
    <n v="1158579"/>
    <n v="540269.9999999999"/>
    <n v="0"/>
    <n v="193"/>
    <n v="1158579"/>
    <n v="1284957.983193277"/>
    <n v="30"/>
    <n v="103"/>
    <n v="30"/>
    <n v="0"/>
    <m/>
    <n v="618308.9999999999"/>
    <n v="142980"/>
    <n v="0"/>
    <n v="103"/>
    <n v="618308.9999999999"/>
    <n v="428319.3277310925"/>
  </r>
  <r>
    <s v="Lhotse-Audio Menor"/>
    <x v="1"/>
    <x v="10"/>
    <x v="22"/>
    <s v="LHHEDWEPR"/>
    <x v="87"/>
    <x v="87"/>
    <x v="0"/>
    <x v="4"/>
    <n v="0.6"/>
    <x v="72"/>
    <n v="887"/>
    <m/>
    <n v="0"/>
    <n v="6668"/>
    <n v="5914516"/>
    <n v="6.2"/>
    <n v="6773.499999999999"/>
    <n v="12596.63865546219"/>
    <n v="12596.63865546219"/>
    <s v="Shenzhen"/>
    <s v="30/70"/>
    <n v="30"/>
    <n v="1000"/>
    <n v="2"/>
    <n v="0.6030505642624917"/>
    <n v="17"/>
    <n v="0.5096201390887195"/>
    <n v="17"/>
    <n v="0.5528070195048342"/>
    <n v="11"/>
    <n v="0.4966483247788604"/>
    <n v="22"/>
    <n v="0.5876042148031283"/>
    <n v="36"/>
    <n v="0.5104264313925321"/>
    <n v="55"/>
    <n v="0.4571853166875096"/>
    <n v="156"/>
    <n v="0.4429888519314416"/>
    <n v="100"/>
    <n v="0.430036159308054"/>
    <n v="211"/>
    <n v="0.3811520534932222"/>
    <n v="198"/>
    <n v="0.3986282949737506"/>
    <n v="165"/>
    <n v="0.4098987143822438"/>
    <n v="9"/>
    <s v=""/>
    <n v="9"/>
    <s v=""/>
    <n v="27"/>
    <s v=""/>
    <n v="12"/>
    <s v=""/>
    <n v="0.12"/>
    <n v="19"/>
    <s v=""/>
    <n v="0.2375"/>
    <n v="58"/>
    <s v=""/>
    <n v="0.29"/>
    <n v="14"/>
    <s v=""/>
    <n v="0.1166666666666667"/>
    <n v="100"/>
    <n v="13"/>
    <n v="13"/>
    <n v="800"/>
    <n v="300"/>
    <n v="0"/>
    <n v="356738"/>
    <n v="83420.99999999999"/>
    <n v="86684"/>
    <n v="0"/>
    <n v="887"/>
    <n v="5914516"/>
    <n v="137610.3382529482"/>
    <n v="10"/>
    <n v="16"/>
    <n v="13.5"/>
    <n v="0"/>
    <n v="0"/>
    <n v="0"/>
    <n v="350070"/>
    <n v="102672"/>
    <n v="90018"/>
    <n v="0"/>
    <n v="887"/>
    <n v="5914516"/>
    <n v="142903.0435703693"/>
    <n v="210"/>
    <n v="297"/>
    <n v="27"/>
    <n v="0"/>
    <n v="0"/>
    <n v="568068"/>
    <n v="1980396"/>
    <n v="180036"/>
    <n v="0"/>
    <n v="887"/>
    <n v="5914516"/>
    <n v="340109.243697479"/>
    <n v="100"/>
    <n v="733"/>
    <n v="12"/>
    <n v="0"/>
    <n v="0"/>
    <n v="4703660.999999999"/>
    <n v="80016"/>
    <n v="0"/>
    <n v="0"/>
    <n v="887"/>
    <n v="5914516"/>
    <n v="151159.6638655462"/>
    <n v="80"/>
    <n v="906"/>
    <n v="48"/>
    <m/>
    <n v="0"/>
    <n v="0"/>
    <n v="6041208"/>
    <n v="308015.9999999999"/>
    <n v="0"/>
    <n v="0"/>
    <n v="887"/>
    <n v="5914516"/>
    <n v="604638.6554621849"/>
    <n v="200"/>
    <n v="945"/>
    <n v="58"/>
    <m/>
    <n v="0"/>
    <n v="0"/>
    <n v="6301260"/>
    <n v="372185.9999999999"/>
    <n v="0"/>
    <n v="0"/>
    <n v="945"/>
    <n v="5914516"/>
    <n v="730605.0420168068"/>
    <n v="120"/>
    <n v="901"/>
    <n v="72"/>
    <n v="0"/>
    <n v="200"/>
    <n v="0"/>
    <n v="6007868"/>
    <n v="462023.9999999999"/>
    <n v="0"/>
    <n v="0"/>
    <n v="901"/>
    <n v="5914516"/>
    <n v="906957.9831932774"/>
    <n v="150"/>
    <n v="829"/>
    <n v="90"/>
    <n v="0"/>
    <n v="0"/>
    <n v="0"/>
    <n v="5527772"/>
    <n v="577529.9999999999"/>
    <n v="0"/>
    <n v="0"/>
    <n v="829"/>
    <n v="5527772"/>
    <n v="1133697.478991597"/>
    <n v="100"/>
    <n v="739"/>
    <n v="60"/>
    <n v="0"/>
    <n v="0"/>
    <m/>
    <n v="4742162.999999999"/>
    <n v="385019.9999999999"/>
    <n v="0"/>
    <n v="0"/>
    <n v="739"/>
    <n v="4742162.999999999"/>
    <n v="755798.3193277312"/>
    <n v="150"/>
    <n v="679"/>
    <n v="90"/>
    <n v="0"/>
    <n v="0"/>
    <n v="0"/>
    <m/>
    <n v="4357142.999999999"/>
    <n v="577529.9999999999"/>
    <n v="0"/>
    <n v="0"/>
    <n v="679"/>
    <n v="4357142.999999999"/>
    <n v="1133697.478991597"/>
    <n v="120"/>
    <n v="589"/>
    <n v="72"/>
    <n v="0"/>
    <n v="0"/>
    <n v="3779613"/>
    <n v="462023.9999999999"/>
    <n v="0"/>
    <n v="0"/>
    <n v="589"/>
    <n v="3779613"/>
    <n v="952305.8823529413"/>
    <n v="200"/>
    <n v="517"/>
    <n v="120"/>
    <n v="0"/>
    <n v="0"/>
    <n v="3317589"/>
    <n v="770039.9999999999"/>
    <n v="0"/>
    <n v="517"/>
    <n v="3317589"/>
    <n v="1511596.638655462"/>
    <n v="72"/>
    <n v="397"/>
    <n v="43.2"/>
    <n v="0"/>
    <m/>
    <n v="2547549"/>
    <n v="288057.6"/>
    <n v="0"/>
    <n v="397"/>
    <n v="2547549"/>
    <n v="544174.7899159663"/>
  </r>
  <r>
    <s v="Lhotse-Audio Menor"/>
    <x v="1"/>
    <x v="10"/>
    <x v="22"/>
    <s v="LHHEDWEPR"/>
    <x v="88"/>
    <x v="88"/>
    <x v="0"/>
    <x v="3"/>
    <n v="0.6"/>
    <x v="73"/>
    <n v="170"/>
    <m/>
    <n v="0"/>
    <n v="6668"/>
    <n v="1133560"/>
    <n v="6.2"/>
    <n v="6773.499999999999"/>
    <n v="12596.63865546219"/>
    <n v="12596.63865546219"/>
    <s v="Shenzhen"/>
    <s v="30/70"/>
    <n v="30"/>
    <n v="1000"/>
    <n v="4"/>
    <n v="0.6030524507245032"/>
    <n v="22"/>
    <n v="0.5491493834638074"/>
    <n v="17"/>
    <n v="0.5256010403038698"/>
    <n v="18"/>
    <n v="0.5527207958400704"/>
    <n v="13"/>
    <n v="0.5907715890015951"/>
    <n v="26"/>
    <n v="0.4977561381891526"/>
    <n v="35"/>
    <n v="0.4415690872655797"/>
    <n v="35"/>
    <n v="0.4417808064880359"/>
    <n v="15"/>
    <n v="0.4421376947499264"/>
    <n v="74"/>
    <n v="0.4154452726159897"/>
    <n v="152"/>
    <n v="0.3999838810254214"/>
    <n v="250"/>
    <n v="0.4170058191443686"/>
    <n v="37"/>
    <s v=""/>
    <n v="37"/>
    <s v=""/>
    <n v="30"/>
    <s v=""/>
    <n v="13"/>
    <s v=""/>
    <n v="0.26"/>
    <n v="17"/>
    <s v=""/>
    <n v="0.425"/>
    <n v="19"/>
    <s v=""/>
    <n v="0.19"/>
    <n v="15"/>
    <s v=""/>
    <n v="0.25"/>
    <n v="50"/>
    <n v="316"/>
    <n v="60"/>
    <n v="0"/>
    <n v="0"/>
    <n v="0"/>
    <n v="970194"/>
    <n v="2027772"/>
    <n v="400080"/>
    <n v="0"/>
    <n v="170"/>
    <n v="1133560"/>
    <n v="635124.6380905304"/>
    <n v="60"/>
    <n v="274"/>
    <n v="55.5"/>
    <n v="0"/>
    <n v="0"/>
    <n v="0"/>
    <n v="656798"/>
    <n v="1758258"/>
    <n v="370074"/>
    <n v="0"/>
    <n v="170"/>
    <n v="1133560"/>
    <n v="587490.2902337407"/>
    <n v="64"/>
    <n v="238"/>
    <n v="30"/>
    <n v="0"/>
    <n v="0"/>
    <n v="440732"/>
    <n v="1586984"/>
    <n v="200040"/>
    <n v="0"/>
    <n v="170"/>
    <n v="1133560"/>
    <n v="377899.1596638656"/>
    <n v="50"/>
    <n v="201"/>
    <n v="13"/>
    <n v="0"/>
    <n v="0"/>
    <n v="1289817"/>
    <n v="86684"/>
    <n v="0"/>
    <n v="0"/>
    <n v="170"/>
    <n v="1133560"/>
    <n v="163756.3025210084"/>
    <n v="40"/>
    <n v="187"/>
    <n v="24"/>
    <m/>
    <n v="0"/>
    <n v="0"/>
    <n v="1246916"/>
    <n v="154008"/>
    <n v="0"/>
    <n v="0"/>
    <n v="170"/>
    <n v="1133560"/>
    <n v="302319.3277310925"/>
    <n v="100"/>
    <n v="189"/>
    <n v="19"/>
    <m/>
    <n v="0"/>
    <n v="0"/>
    <n v="1260252"/>
    <n v="121923"/>
    <n v="0"/>
    <n v="0"/>
    <n v="189"/>
    <n v="1133560"/>
    <n v="239336.1344537815"/>
    <n v="60"/>
    <n v="185"/>
    <n v="36"/>
    <n v="0"/>
    <n v="500"/>
    <n v="0"/>
    <n v="1233580"/>
    <n v="231012"/>
    <n v="0"/>
    <n v="0"/>
    <n v="185"/>
    <n v="1133560"/>
    <n v="453478.9915966387"/>
    <n v="60"/>
    <n v="149"/>
    <n v="36"/>
    <n v="0"/>
    <n v="0"/>
    <n v="0"/>
    <n v="993532"/>
    <n v="231012"/>
    <n v="0"/>
    <n v="0"/>
    <n v="149"/>
    <n v="993532"/>
    <n v="453478.9915966387"/>
    <n v="45"/>
    <n v="113"/>
    <n v="27"/>
    <n v="0"/>
    <n v="0"/>
    <m/>
    <n v="725120.9999999999"/>
    <n v="173259"/>
    <n v="0"/>
    <n v="0"/>
    <n v="113"/>
    <n v="725120.9999999999"/>
    <n v="340109.243697479"/>
    <n v="80"/>
    <n v="86"/>
    <n v="48"/>
    <n v="0"/>
    <n v="0"/>
    <n v="0"/>
    <m/>
    <n v="551861.9999999999"/>
    <n v="308015.9999999999"/>
    <n v="0"/>
    <n v="0"/>
    <n v="86"/>
    <n v="551861.9999999999"/>
    <n v="604638.6554621849"/>
    <n v="0"/>
    <n v="38"/>
    <n v="0"/>
    <n v="0"/>
    <n v="0"/>
    <n v="243846"/>
    <n v="0"/>
    <n v="0"/>
    <n v="0"/>
    <n v="38"/>
    <n v="243846"/>
    <n v="0"/>
    <n v="0"/>
    <n v="38"/>
    <n v="0"/>
    <n v="0"/>
    <n v="0"/>
    <n v="243846"/>
    <n v="0"/>
    <n v="0"/>
    <n v="38"/>
    <n v="243846"/>
    <n v="0"/>
    <n v="0"/>
    <n v="38"/>
    <n v="0"/>
    <n v="0"/>
    <m/>
    <n v="243846"/>
    <n v="0"/>
    <n v="0"/>
    <n v="38"/>
    <n v="243846"/>
    <n v="0"/>
  </r>
  <r>
    <m/>
    <x v="1"/>
    <x v="10"/>
    <x v="22"/>
    <s v="LHRMPLU"/>
    <x v="89"/>
    <x v="89"/>
    <x v="0"/>
    <x v="3"/>
    <n v="0.8"/>
    <x v="74"/>
    <n v="498"/>
    <m/>
    <n v="0"/>
    <n v="6229"/>
    <n v="3102042"/>
    <n v="4.7"/>
    <n v="5134.75"/>
    <n v="14277.31092436975"/>
    <n v="14277.31092436975"/>
    <s v="Shenzhen"/>
    <s v="30/70"/>
    <n v="30"/>
    <n v="1000"/>
    <n v="0"/>
    <s v=""/>
    <n v="0"/>
    <s v=""/>
    <n v="0"/>
    <s v=""/>
    <n v="0"/>
    <s v=""/>
    <n v="0"/>
    <s v=""/>
    <n v="0"/>
    <s v=""/>
    <n v="0"/>
    <s v=""/>
    <n v="2"/>
    <n v="0.5879650759003869"/>
    <n v="9"/>
    <n v="0.6291667956668607"/>
    <n v="141"/>
    <n v="0.5647112405837442"/>
    <n v="87"/>
    <n v="0.5742764977981886"/>
    <n v="334"/>
    <n v="0.4555001552381364"/>
    <n v="32"/>
    <s v=""/>
    <n v="80"/>
    <s v=""/>
    <n v="93"/>
    <s v=""/>
    <n v="33"/>
    <s v=""/>
    <n v="0.66"/>
    <n v="162"/>
    <s v=""/>
    <n v="2.16"/>
    <n v="0"/>
    <s v=""/>
    <n v="0"/>
    <n v="13"/>
    <s v=""/>
    <n v="0.13"/>
    <n v="60"/>
    <n v="446"/>
    <n v="60"/>
    <n v="0"/>
    <n v="0"/>
    <n v="0"/>
    <n v="1700517"/>
    <n v="2169567"/>
    <n v="373740"/>
    <n v="0"/>
    <n v="498"/>
    <n v="3102042"/>
    <n v="719864.4163547773"/>
    <n v="60"/>
    <n v="394"/>
    <n v="120"/>
    <n v="0"/>
    <n v="0"/>
    <n v="0"/>
    <n v="1532334"/>
    <n v="1916613"/>
    <n v="747480"/>
    <n v="0"/>
    <n v="498"/>
    <n v="3102042"/>
    <n v="1439728.832709555"/>
    <n v="100"/>
    <n v="312"/>
    <n v="93"/>
    <n v="0"/>
    <n v="0"/>
    <n v="1076724"/>
    <n v="1943448"/>
    <n v="579297"/>
    <n v="0"/>
    <n v="498"/>
    <n v="3102042"/>
    <n v="1327789.915966387"/>
    <n v="50"/>
    <n v="198"/>
    <n v="33"/>
    <n v="0"/>
    <n v="0"/>
    <n v="963171"/>
    <n v="205557"/>
    <n v="0"/>
    <n v="0"/>
    <n v="498"/>
    <n v="3102042"/>
    <n v="471151.2605042017"/>
    <n v="75"/>
    <n v="660"/>
    <n v="60"/>
    <m/>
    <n v="0"/>
    <n v="0"/>
    <n v="4111140"/>
    <n v="291870"/>
    <n v="0"/>
    <n v="0"/>
    <n v="498"/>
    <n v="3102042"/>
    <n v="856638.6554621849"/>
    <n v="150"/>
    <n v="498"/>
    <n v="0"/>
    <m/>
    <n v="0"/>
    <n v="0"/>
    <n v="3102042"/>
    <n v="0"/>
    <n v="0"/>
    <n v="0"/>
    <n v="498"/>
    <n v="3102042"/>
    <n v="0"/>
    <n v="100"/>
    <n v="511"/>
    <n v="80"/>
    <n v="1000"/>
    <n v="500"/>
    <n v="0"/>
    <n v="3183019"/>
    <n v="389160"/>
    <n v="4702349.999999999"/>
    <n v="0"/>
    <n v="511"/>
    <n v="3102042"/>
    <n v="1142184.87394958"/>
    <n v="90"/>
    <n v="431"/>
    <n v="72"/>
    <n v="0"/>
    <n v="500"/>
    <n v="500"/>
    <n v="2684699"/>
    <n v="350244"/>
    <n v="0"/>
    <n v="2432250"/>
    <n v="931"/>
    <n v="5116949"/>
    <n v="1027966.386554622"/>
    <n v="70"/>
    <n v="859"/>
    <n v="56"/>
    <n v="0"/>
    <n v="0"/>
    <m/>
    <n v="4178605.5"/>
    <n v="272412"/>
    <n v="0"/>
    <n v="0"/>
    <n v="859"/>
    <n v="4178605.5"/>
    <n v="799529.4117647059"/>
    <n v="160"/>
    <n v="803"/>
    <n v="128"/>
    <n v="0"/>
    <n v="0"/>
    <n v="0"/>
    <m/>
    <n v="3906193.5"/>
    <n v="622656"/>
    <n v="0"/>
    <n v="0"/>
    <n v="803"/>
    <n v="3906193.5"/>
    <n v="1827495.798319328"/>
    <n v="140"/>
    <n v="675"/>
    <n v="112"/>
    <n v="0"/>
    <n v="0"/>
    <n v="3283537.5"/>
    <n v="544824"/>
    <n v="0"/>
    <n v="0"/>
    <n v="675"/>
    <n v="3283537.5"/>
    <n v="1679011.764705882"/>
    <n v="250"/>
    <n v="563"/>
    <n v="200"/>
    <n v="0"/>
    <n v="0"/>
    <n v="2738713.5"/>
    <n v="972900"/>
    <n v="0"/>
    <n v="563"/>
    <n v="2738713.5"/>
    <n v="2855462.18487395"/>
    <n v="84"/>
    <n v="363"/>
    <n v="67.2"/>
    <n v="0"/>
    <m/>
    <n v="1765813.5"/>
    <n v="418588.8"/>
    <n v="0"/>
    <n v="363"/>
    <n v="1765813.5"/>
    <n v="959435.2941176472"/>
  </r>
  <r>
    <m/>
    <x v="1"/>
    <x v="10"/>
    <x v="22"/>
    <s v="LHRMPLU"/>
    <x v="90"/>
    <x v="90"/>
    <x v="0"/>
    <x v="3"/>
    <n v="1.1"/>
    <x v="75"/>
    <n v="499"/>
    <m/>
    <n v="0"/>
    <n v="6664"/>
    <n v="3325336"/>
    <n v="4.7"/>
    <n v="5134.75"/>
    <n v="14277.31092436975"/>
    <n v="14277.31092436975"/>
    <s v="Shenzhen"/>
    <s v="30/70"/>
    <n v="30"/>
    <n v="1000"/>
    <n v="0"/>
    <s v=""/>
    <n v="0"/>
    <s v=""/>
    <n v="0"/>
    <s v=""/>
    <n v="0"/>
    <s v=""/>
    <n v="0"/>
    <s v=""/>
    <n v="0"/>
    <s v=""/>
    <n v="0"/>
    <s v=""/>
    <n v="4"/>
    <n v="0.5930937843448528"/>
    <n v="22"/>
    <n v="0.6005480231925867"/>
    <n v="142"/>
    <n v="0.5331758319041657"/>
    <n v="83"/>
    <n v="0.4915335673312401"/>
    <n v="157"/>
    <n v="0.5313721438446796"/>
    <n v="81"/>
    <s v=""/>
    <n v="122"/>
    <s v=""/>
    <n v="202"/>
    <s v=""/>
    <n v="104"/>
    <s v=""/>
    <n v="1.3"/>
    <n v="3"/>
    <s v=""/>
    <n v="0.0375"/>
    <n v="8"/>
    <s v=""/>
    <n v="0.04"/>
    <n v="10"/>
    <s v=""/>
    <n v="0.1"/>
    <n v="60"/>
    <n v="569"/>
    <n v="90"/>
    <n v="0"/>
    <n v="0"/>
    <n v="0"/>
    <n v="3165400"/>
    <n v="2767900.5"/>
    <n v="599760"/>
    <n v="0"/>
    <n v="499"/>
    <n v="3325336"/>
    <n v="1079796.624532166"/>
    <n v="75"/>
    <n v="473"/>
    <n v="183"/>
    <n v="0"/>
    <n v="0"/>
    <n v="0"/>
    <n v="3258696"/>
    <n v="2300908.5"/>
    <n v="1219512"/>
    <n v="0"/>
    <n v="499"/>
    <n v="3325336"/>
    <n v="2195586.469882071"/>
    <n v="220"/>
    <n v="278"/>
    <n v="202"/>
    <n v="0"/>
    <n v="0"/>
    <n v="2467260"/>
    <n v="1852592"/>
    <n v="1346128"/>
    <n v="0"/>
    <n v="499"/>
    <n v="3325336"/>
    <n v="2884016.806722689"/>
    <n v="80"/>
    <n v="120"/>
    <n v="104"/>
    <n v="0"/>
    <n v="0"/>
    <n v="583740"/>
    <n v="693056"/>
    <n v="0"/>
    <n v="0"/>
    <n v="499"/>
    <n v="3325336"/>
    <n v="1484840.336134454"/>
    <n v="80"/>
    <n v="502"/>
    <n v="88"/>
    <m/>
    <n v="0"/>
    <n v="0"/>
    <n v="3345328"/>
    <n v="428076"/>
    <n v="0"/>
    <n v="0"/>
    <n v="499"/>
    <n v="3325336"/>
    <n v="1256403.361344538"/>
    <n v="200"/>
    <n v="507"/>
    <n v="8"/>
    <m/>
    <n v="0"/>
    <n v="0"/>
    <n v="3378648"/>
    <n v="38916"/>
    <n v="0"/>
    <n v="0"/>
    <n v="507"/>
    <n v="3325336"/>
    <n v="114218.487394958"/>
    <n v="100"/>
    <n v="509"/>
    <n v="110"/>
    <n v="1000"/>
    <n v="500"/>
    <n v="0"/>
    <n v="3391976"/>
    <n v="535095.0000000001"/>
    <n v="4702349.999999999"/>
    <n v="0"/>
    <n v="509"/>
    <n v="3325336"/>
    <n v="1570504.201680673"/>
    <n v="90"/>
    <n v="399"/>
    <n v="99.00000000000001"/>
    <n v="0"/>
    <n v="500"/>
    <n v="500"/>
    <n v="2658936"/>
    <n v="481585.5000000001"/>
    <n v="0"/>
    <n v="2432250"/>
    <n v="899"/>
    <n v="5091186"/>
    <n v="1413453.781512605"/>
    <n v="70"/>
    <n v="800"/>
    <n v="77"/>
    <n v="0"/>
    <n v="0"/>
    <m/>
    <n v="3891600"/>
    <n v="374566.5"/>
    <n v="0"/>
    <n v="0"/>
    <n v="800"/>
    <n v="3891600"/>
    <n v="1099352.941176471"/>
    <n v="150"/>
    <n v="723"/>
    <n v="165"/>
    <n v="0"/>
    <n v="0"/>
    <n v="0"/>
    <m/>
    <n v="3517033.5"/>
    <n v="802642.5"/>
    <n v="0"/>
    <n v="0"/>
    <n v="723"/>
    <n v="3517033.5"/>
    <n v="2355756.302521009"/>
    <n v="120"/>
    <n v="558"/>
    <n v="132"/>
    <n v="0"/>
    <n v="0"/>
    <n v="2714391"/>
    <n v="642114"/>
    <n v="0"/>
    <n v="0"/>
    <n v="558"/>
    <n v="2714391"/>
    <n v="1978835.294117647"/>
    <n v="200"/>
    <n v="426"/>
    <n v="220"/>
    <n v="0"/>
    <n v="0"/>
    <n v="2072277"/>
    <n v="1070190"/>
    <n v="0"/>
    <n v="426"/>
    <n v="2072277"/>
    <n v="3141008.403361345"/>
    <n v="72"/>
    <n v="206"/>
    <n v="79.2"/>
    <n v="0"/>
    <m/>
    <n v="1002087"/>
    <n v="527788.8"/>
    <n v="0"/>
    <n v="206"/>
    <n v="1002087"/>
    <n v="1130763.025210084"/>
  </r>
  <r>
    <s v="Lhotse-Audio Menor"/>
    <x v="1"/>
    <x v="10"/>
    <x v="23"/>
    <n v="67898461965813"/>
    <x v="91"/>
    <x v="91"/>
    <x v="0"/>
    <x v="6"/>
    <n v="1"/>
    <x v="12"/>
    <n v="3"/>
    <m/>
    <n v="0"/>
    <n v="4716"/>
    <n v="14148"/>
    <n v="4.75"/>
    <n v="5189.375"/>
    <n v="12596.63865546219"/>
    <n v="6714.285714285715"/>
    <s v="Shenzhen"/>
    <s v="30/70"/>
    <n v="30"/>
    <n v="1000"/>
    <n v="0"/>
    <s v=""/>
    <n v="0"/>
    <s v=""/>
    <n v="0"/>
    <s v=""/>
    <n v="0"/>
    <s v=""/>
    <n v="0"/>
    <s v=""/>
    <n v="0"/>
    <s v=""/>
    <n v="1"/>
    <n v="0.6490512686955875"/>
    <n v="0"/>
    <s v=""/>
    <n v="0"/>
    <s v=""/>
    <n v="0"/>
    <s v=""/>
    <n v="1"/>
    <n v="0.7005460317460318"/>
    <n v="1"/>
    <n v="1"/>
    <n v="0"/>
    <s v=""/>
    <n v="0"/>
    <s v=""/>
    <n v="1"/>
    <n v="-0.003617021276595745"/>
    <n v="0"/>
    <s v=""/>
    <n v="0"/>
    <n v="0"/>
    <s v=""/>
    <n v="0"/>
    <n v="1"/>
    <n v="0.4651581054036024"/>
    <n v="1"/>
    <n v="0"/>
    <n v="0.3021679721496954"/>
    <n v="0"/>
    <n v="0"/>
    <n v="5"/>
    <n v="0"/>
    <n v="0"/>
    <n v="0"/>
    <n v="0"/>
    <n v="4716"/>
    <n v="24581.25"/>
    <n v="0"/>
    <n v="0"/>
    <n v="3"/>
    <n v="14148"/>
    <n v="0"/>
    <n v="0"/>
    <n v="5"/>
    <n v="0"/>
    <n v="0"/>
    <n v="0"/>
    <n v="0"/>
    <n v="4716"/>
    <n v="24581.25"/>
    <n v="0"/>
    <n v="0"/>
    <n v="3"/>
    <n v="14148"/>
    <n v="0"/>
    <n v="0"/>
    <n v="5"/>
    <n v="1"/>
    <n v="0"/>
    <n v="0"/>
    <n v="9632.25"/>
    <n v="23580"/>
    <n v="4716"/>
    <n v="0"/>
    <n v="3"/>
    <n v="14148"/>
    <n v="12596.63865546219"/>
    <n v="0"/>
    <n v="4"/>
    <n v="0"/>
    <n v="0"/>
    <n v="0"/>
    <n v="19665"/>
    <n v="0"/>
    <n v="0"/>
    <n v="0"/>
    <n v="3"/>
    <n v="14148"/>
    <n v="0"/>
    <n v="1"/>
    <n v="3"/>
    <n v="1"/>
    <m/>
    <n v="0"/>
    <n v="0"/>
    <n v="14148"/>
    <n v="4916.25"/>
    <n v="0"/>
    <n v="0"/>
    <n v="3"/>
    <n v="14148"/>
    <n v="12596.63865546219"/>
    <n v="1"/>
    <n v="4"/>
    <n v="1"/>
    <m/>
    <n v="0"/>
    <n v="0"/>
    <n v="18864"/>
    <n v="4916.25"/>
    <n v="0"/>
    <n v="0"/>
    <n v="4"/>
    <n v="14148"/>
    <n v="12596.63865546219"/>
    <n v="1"/>
    <n v="3"/>
    <n v="1"/>
    <n v="0"/>
    <n v="0"/>
    <n v="0"/>
    <n v="14148"/>
    <n v="4916.25"/>
    <n v="0"/>
    <n v="0"/>
    <n v="3"/>
    <n v="14148"/>
    <n v="12596.63865546219"/>
    <n v="0"/>
    <n v="2"/>
    <n v="0"/>
    <n v="0"/>
    <n v="0"/>
    <n v="0"/>
    <n v="9432"/>
    <n v="0"/>
    <n v="0"/>
    <n v="0"/>
    <n v="2"/>
    <n v="9432"/>
    <n v="0"/>
    <n v="0"/>
    <n v="2"/>
    <n v="0"/>
    <n v="0"/>
    <n v="0"/>
    <m/>
    <n v="9832.5"/>
    <n v="0"/>
    <n v="0"/>
    <n v="0"/>
    <n v="2"/>
    <n v="9832.5"/>
    <n v="0"/>
    <n v="0"/>
    <n v="2"/>
    <n v="0"/>
    <n v="0"/>
    <n v="0"/>
    <n v="0"/>
    <m/>
    <n v="9832.5"/>
    <n v="0"/>
    <n v="0"/>
    <n v="0"/>
    <n v="2"/>
    <n v="9832.5"/>
    <n v="0"/>
    <n v="0"/>
    <n v="2"/>
    <n v="0"/>
    <n v="0"/>
    <n v="0"/>
    <n v="9832.5"/>
    <n v="0"/>
    <n v="0"/>
    <n v="0"/>
    <n v="2"/>
    <n v="9832.5"/>
    <n v="0"/>
    <n v="0"/>
    <n v="2"/>
    <n v="0"/>
    <n v="0"/>
    <n v="0"/>
    <n v="9832.5"/>
    <n v="0"/>
    <n v="0"/>
    <n v="2"/>
    <n v="9832.5"/>
    <n v="0"/>
    <n v="0"/>
    <n v="2"/>
    <n v="0"/>
    <n v="0"/>
    <m/>
    <n v="9832.5"/>
    <n v="0"/>
    <n v="0"/>
    <n v="2"/>
    <n v="9832.5"/>
    <n v="0"/>
  </r>
  <r>
    <s v="Lhotse-Audio Menor"/>
    <x v="1"/>
    <x v="10"/>
    <x v="23"/>
    <s v="LHPARTUNUP"/>
    <x v="92"/>
    <x v="92"/>
    <x v="0"/>
    <x v="3"/>
    <n v="1"/>
    <x v="76"/>
    <n v="1837"/>
    <m/>
    <n v="0"/>
    <n v="4512.999292035398"/>
    <n v="8290379.699469026"/>
    <n v="4.72"/>
    <n v="5156.599999999999"/>
    <n v="10915.96638655462"/>
    <n v="8394.957983193277"/>
    <s v="Shenzhen"/>
    <s v="20/80 Credit"/>
    <n v="30"/>
    <n v="1000"/>
    <n v="588"/>
    <n v="0.1953477516031303"/>
    <n v="2"/>
    <s v=""/>
    <n v="1691"/>
    <n v="0.30266943955273"/>
    <n v="849"/>
    <n v="0.3168892347687237"/>
    <n v="6"/>
    <n v="0.4411828749645591"/>
    <n v="995"/>
    <n v="0.3590932274536139"/>
    <n v="1944"/>
    <n v="0.3354810009673722"/>
    <n v="68"/>
    <n v="0.4002606099968394"/>
    <n v="603"/>
    <n v="0.2393049775623526"/>
    <n v="929"/>
    <n v="0.3537692803311155"/>
    <n v="2880"/>
    <n v="0.3357965327878982"/>
    <n v="313"/>
    <n v="0.5202077121205168"/>
    <n v="392"/>
    <n v="0.3675496919169323"/>
    <n v="304"/>
    <n v="0.3353068024130339"/>
    <n v="224"/>
    <n v="0.3505641257688021"/>
    <n v="140"/>
    <n v="0.3758079725551162"/>
    <n v="0.2153846153846154"/>
    <n v="75"/>
    <n v="0.5844523703894764"/>
    <n v="0.5"/>
    <n v="439"/>
    <n v="0.3463677470137566"/>
    <n v="2.926666666666667"/>
    <n v="0"/>
    <n v="0.3669313344186907"/>
    <n v="0"/>
    <n v="850"/>
    <n v="3473"/>
    <n v="850"/>
    <n v="0"/>
    <n v="0"/>
    <n v="0"/>
    <n v="6904888.91681416"/>
    <n v="16966299.6"/>
    <n v="3836049.398230088"/>
    <n v="0"/>
    <n v="1837"/>
    <n v="8290379.699469026"/>
    <n v="7797118.847539017"/>
    <n v="460"/>
    <n v="3006"/>
    <n v="456"/>
    <n v="0"/>
    <n v="0"/>
    <n v="0"/>
    <n v="3700659.419469026"/>
    <n v="14684911.2"/>
    <n v="2057927.677168142"/>
    <n v="0"/>
    <n v="1837"/>
    <n v="8290379.699469026"/>
    <n v="4182924.934679755"/>
    <n v="650"/>
    <n v="2630"/>
    <n v="224"/>
    <n v="0"/>
    <n v="0"/>
    <n v="2375511.742300885"/>
    <n v="11869188.1380531"/>
    <n v="1010911.841415929"/>
    <n v="0"/>
    <n v="1837"/>
    <n v="8290379.699469026"/>
    <n v="2445176.470588236"/>
    <n v="650"/>
    <n v="2508"/>
    <n v="140"/>
    <n v="0"/>
    <n v="0"/>
    <n v="12252081.6"/>
    <n v="631819.9008849557"/>
    <n v="0"/>
    <n v="0"/>
    <n v="1837"/>
    <n v="8290379.699469026"/>
    <n v="1528235.294117647"/>
    <n v="150"/>
    <n v="1912"/>
    <n v="150"/>
    <m/>
    <n v="0"/>
    <n v="0"/>
    <n v="8628854.646371681"/>
    <n v="732780"/>
    <n v="0"/>
    <n v="0"/>
    <n v="1837"/>
    <n v="8290379.699469026"/>
    <n v="1637394.957983193"/>
    <n v="150"/>
    <n v="2276"/>
    <n v="439"/>
    <m/>
    <n v="0"/>
    <n v="0"/>
    <n v="10271586.38867257"/>
    <n v="2144602.8"/>
    <n v="0"/>
    <n v="0"/>
    <n v="2276"/>
    <n v="8290379.699469026"/>
    <n v="4792109.243697479"/>
    <n v="150"/>
    <n v="1837"/>
    <n v="150"/>
    <n v="0"/>
    <n v="0"/>
    <n v="0"/>
    <n v="8290379.699469026"/>
    <n v="732780"/>
    <n v="0"/>
    <n v="0"/>
    <n v="1837"/>
    <n v="8290379.699469026"/>
    <n v="1637394.957983193"/>
    <n v="150"/>
    <n v="1687"/>
    <n v="150"/>
    <n v="1500"/>
    <n v="1500"/>
    <n v="0"/>
    <n v="7613429.805663716"/>
    <n v="732780"/>
    <n v="7327800"/>
    <n v="0"/>
    <n v="3187"/>
    <n v="7613429.805663716"/>
    <n v="1637394.957983193"/>
    <n v="150"/>
    <n v="1537"/>
    <n v="150"/>
    <n v="0"/>
    <n v="0"/>
    <n v="1500"/>
    <n v="7508552.399999999"/>
    <n v="732780"/>
    <n v="0"/>
    <n v="7327800"/>
    <n v="3037"/>
    <n v="14836352.4"/>
    <n v="1637394.957983193"/>
    <n v="300"/>
    <n v="2887"/>
    <n v="300"/>
    <n v="0"/>
    <n v="0"/>
    <n v="0"/>
    <m/>
    <n v="14103572.4"/>
    <n v="1465560"/>
    <n v="0"/>
    <n v="0"/>
    <n v="2887"/>
    <n v="14103572.4"/>
    <n v="2518487.394957983"/>
    <n v="150"/>
    <n v="2587"/>
    <n v="150"/>
    <n v="0"/>
    <n v="0"/>
    <n v="12638012.4"/>
    <n v="732780"/>
    <n v="0"/>
    <n v="0"/>
    <n v="2587"/>
    <n v="12638012.4"/>
    <n v="1322205.882352941"/>
    <n v="300"/>
    <n v="2437"/>
    <n v="300"/>
    <n v="0"/>
    <n v="0"/>
    <n v="11905232.4"/>
    <n v="1465560"/>
    <n v="0"/>
    <n v="2437"/>
    <n v="11905232.4"/>
    <n v="3274789.915966387"/>
    <n v="90"/>
    <n v="2137"/>
    <n v="90"/>
    <n v="0"/>
    <m/>
    <n v="10439672.4"/>
    <n v="406169.9362831858"/>
    <n v="0"/>
    <n v="2137"/>
    <n v="10439672.4"/>
    <n v="982436.9747899161"/>
  </r>
  <r>
    <s v="Lhotse-Audio Menor"/>
    <x v="1"/>
    <x v="10"/>
    <x v="23"/>
    <s v="LHPARTUNUP"/>
    <x v="93"/>
    <x v="93"/>
    <x v="0"/>
    <x v="3"/>
    <n v="1"/>
    <x v="77"/>
    <n v="2776"/>
    <m/>
    <n v="0"/>
    <n v="4511"/>
    <n v="12522536"/>
    <n v="4.72"/>
    <n v="5156.599999999999"/>
    <n v="10915.96638655462"/>
    <n v="8394.957983193277"/>
    <s v="Shenzhen"/>
    <s v="20/80 Credit"/>
    <n v="30"/>
    <n v="1000"/>
    <n v="725"/>
    <n v="0.1998600738643375"/>
    <n v="642"/>
    <n v="0.2002053926164686"/>
    <n v="1391"/>
    <n v="0.2962694847731738"/>
    <n v="85"/>
    <n v="0.3168799041749571"/>
    <n v="6"/>
    <n v="0.4073535582648143"/>
    <n v="916"/>
    <n v="0.3535725487110687"/>
    <n v="1447"/>
    <n v="0.3317075074077027"/>
    <n v="77"/>
    <n v="0.3977647111190803"/>
    <n v="438"/>
    <n v="0.2382009372690522"/>
    <n v="986"/>
    <n v="0.3264336536496523"/>
    <n v="2367"/>
    <n v="0.3295698152847742"/>
    <n v="395"/>
    <n v="0.4184229674265489"/>
    <n v="450"/>
    <n v="0.4175111621469312"/>
    <n v="113"/>
    <n v="0.3706893475089347"/>
    <n v="167"/>
    <n v="0.3636903115085005"/>
    <n v="56"/>
    <n v="0.4019193792677859"/>
    <n v="0.16"/>
    <n v="25"/>
    <n v="0.5878548743505593"/>
    <n v="0.3571428571428572"/>
    <n v="64"/>
    <n v="0.2629812156046148"/>
    <n v="0.9142857142857143"/>
    <n v="0"/>
    <n v="0.394506779849447"/>
    <n v="0"/>
    <n v="850"/>
    <n v="2713"/>
    <n v="850"/>
    <n v="0"/>
    <n v="1000"/>
    <n v="0"/>
    <n v="5352301.5"/>
    <n v="13253547.6"/>
    <n v="3834350"/>
    <n v="0"/>
    <n v="2776"/>
    <n v="12522536"/>
    <n v="7797118.847539017"/>
    <n v="620"/>
    <n v="2233"/>
    <n v="169.5"/>
    <n v="0"/>
    <n v="0"/>
    <n v="0"/>
    <n v="1770567.5"/>
    <n v="10908651.6"/>
    <n v="764614.5"/>
    <n v="0"/>
    <n v="2776"/>
    <n v="12522536"/>
    <n v="1554837.229009251"/>
    <n v="350"/>
    <n v="2088"/>
    <n v="167"/>
    <n v="0"/>
    <n v="0"/>
    <n v="1347917"/>
    <n v="9418968"/>
    <n v="753337"/>
    <n v="0"/>
    <n v="2776"/>
    <n v="12522536"/>
    <n v="1822966.386554622"/>
    <n v="350"/>
    <n v="2843"/>
    <n v="56"/>
    <n v="1000"/>
    <n v="0"/>
    <n v="13888623.6"/>
    <n v="252616"/>
    <n v="4885200"/>
    <n v="0"/>
    <n v="2776"/>
    <n v="12522536"/>
    <n v="611294.1176470589"/>
    <n v="70"/>
    <n v="2801"/>
    <n v="70"/>
    <m/>
    <n v="1000"/>
    <n v="0"/>
    <n v="12635311"/>
    <n v="341964"/>
    <n v="0"/>
    <n v="0"/>
    <n v="2776"/>
    <n v="12522536"/>
    <n v="764117.6470588236"/>
    <n v="70"/>
    <n v="2840"/>
    <n v="64"/>
    <m/>
    <n v="0"/>
    <n v="0"/>
    <n v="12811240"/>
    <n v="312652.8"/>
    <n v="0"/>
    <n v="0"/>
    <n v="2840"/>
    <n v="12522536"/>
    <n v="698621.8487394959"/>
    <n v="70"/>
    <n v="2776"/>
    <n v="70"/>
    <n v="1000"/>
    <n v="1000"/>
    <n v="0"/>
    <n v="12522536"/>
    <n v="341964"/>
    <n v="4722359.999999999"/>
    <n v="0"/>
    <n v="2776"/>
    <n v="12522536"/>
    <n v="764117.6470588236"/>
    <n v="70"/>
    <n v="2706"/>
    <n v="70"/>
    <n v="0"/>
    <n v="0"/>
    <n v="1000"/>
    <n v="12206766"/>
    <n v="341964"/>
    <n v="0"/>
    <n v="4885200"/>
    <n v="2706"/>
    <n v="17091966"/>
    <n v="764117.6470588236"/>
    <n v="70"/>
    <n v="3636"/>
    <n v="70"/>
    <n v="0"/>
    <n v="0"/>
    <m/>
    <n v="17762587.2"/>
    <n v="341964"/>
    <n v="0"/>
    <n v="0"/>
    <n v="3636"/>
    <n v="17762587.2"/>
    <n v="764117.6470588236"/>
    <n v="140"/>
    <n v="3566"/>
    <n v="140"/>
    <n v="0"/>
    <n v="0"/>
    <n v="0"/>
    <m/>
    <n v="17420623.2"/>
    <n v="683928"/>
    <n v="0"/>
    <n v="0"/>
    <n v="3566"/>
    <n v="17420623.2"/>
    <n v="1175294.117647059"/>
    <n v="140"/>
    <n v="3426"/>
    <n v="140"/>
    <n v="0"/>
    <n v="0"/>
    <n v="16736695.2"/>
    <n v="683928"/>
    <n v="0"/>
    <n v="0"/>
    <n v="3426"/>
    <n v="16736695.2"/>
    <n v="1234058.823529412"/>
    <n v="280"/>
    <n v="3286"/>
    <n v="280"/>
    <n v="0"/>
    <n v="0"/>
    <n v="16052767.2"/>
    <n v="1367856"/>
    <n v="0"/>
    <n v="3286"/>
    <n v="16052767.2"/>
    <n v="3056470.588235294"/>
    <n v="84"/>
    <n v="3006"/>
    <n v="84"/>
    <n v="0"/>
    <m/>
    <n v="14684911.2"/>
    <n v="378924"/>
    <n v="0"/>
    <n v="3006"/>
    <n v="14684911.2"/>
    <n v="916941.1764705883"/>
  </r>
  <r>
    <s v="Lhotse-Audio Menor"/>
    <x v="1"/>
    <x v="10"/>
    <x v="23"/>
    <s v="LHPARTUNUP"/>
    <x v="94"/>
    <x v="94"/>
    <x v="0"/>
    <x v="3"/>
    <n v="1"/>
    <x v="78"/>
    <n v="2626"/>
    <m/>
    <n v="0"/>
    <n v="4616.999145785877"/>
    <n v="12124239.75683371"/>
    <n v="4.72"/>
    <n v="5156.599999999999"/>
    <n v="10915.96638655462"/>
    <n v="8394.957983193277"/>
    <s v="Shenzhen"/>
    <s v="20/80 Credit"/>
    <n v="30"/>
    <n v="1000"/>
    <n v="762"/>
    <n v="0.198634354336263"/>
    <n v="31"/>
    <n v="0.1971967479674798"/>
    <n v="1511"/>
    <n v="0.3120288121897262"/>
    <n v="772"/>
    <n v="0.3036656115012853"/>
    <n v="20"/>
    <n v="0.5792289295880984"/>
    <n v="813"/>
    <n v="0.3161573184282453"/>
    <n v="2071"/>
    <n v="0.3437337830155852"/>
    <n v="-17"/>
    <n v="0.4165457078156267"/>
    <n v="549"/>
    <n v="0.2387161127861703"/>
    <n v="898"/>
    <n v="0.3414448039568791"/>
    <n v="2423"/>
    <n v="0.3307690664666177"/>
    <n v="507"/>
    <n v="0.4341614983088727"/>
    <n v="409"/>
    <n v="0.3543029063483772"/>
    <n v="155"/>
    <n v="0.3066342401433442"/>
    <n v="305"/>
    <n v="0.3617089950794995"/>
    <n v="55"/>
    <n v="0.3667423044646503"/>
    <n v="0.08870967741935484"/>
    <n v="46"/>
    <n v="0.5624081551380833"/>
    <n v="0.46"/>
    <n v="433"/>
    <n v="0.2615075574045535"/>
    <n v="4.33"/>
    <n v="0"/>
    <n v="0.3350758385159345"/>
    <n v="0"/>
    <n v="820"/>
    <n v="4083"/>
    <n v="820"/>
    <n v="0"/>
    <n v="1000"/>
    <n v="0"/>
    <n v="6267576.340404328"/>
    <n v="19946271.6"/>
    <n v="3785939.299544419"/>
    <n v="0"/>
    <n v="2626"/>
    <n v="12124239.75683371"/>
    <n v="7521926.417625875"/>
    <n v="620"/>
    <n v="3706"/>
    <n v="232.5"/>
    <n v="0"/>
    <n v="0"/>
    <n v="0"/>
    <n v="2735571.993878132"/>
    <n v="18104551.2"/>
    <n v="1073452.301395216"/>
    <n v="0"/>
    <n v="2626"/>
    <n v="12124239.75683371"/>
    <n v="2132741.331826849"/>
    <n v="620"/>
    <n v="3491"/>
    <n v="305"/>
    <n v="0"/>
    <n v="0"/>
    <n v="2150639.692482916"/>
    <n v="16117944.0179385"/>
    <n v="1408184.739464693"/>
    <n v="0"/>
    <n v="2626"/>
    <n v="12124239.75683371"/>
    <n v="3329369.74789916"/>
    <n v="620"/>
    <n v="3138"/>
    <n v="55"/>
    <n v="0"/>
    <n v="0"/>
    <n v="15329757.6"/>
    <n v="253934.9530182232"/>
    <n v="0"/>
    <n v="0"/>
    <n v="2626"/>
    <n v="12124239.75683371"/>
    <n v="600378.1512605043"/>
    <n v="100"/>
    <n v="2672"/>
    <n v="100"/>
    <m/>
    <n v="0"/>
    <n v="0"/>
    <n v="12336621.71753986"/>
    <n v="488520"/>
    <n v="0"/>
    <n v="0"/>
    <n v="2626"/>
    <n v="12124239.75683371"/>
    <n v="1091596.638655462"/>
    <n v="100"/>
    <n v="3059"/>
    <n v="433"/>
    <m/>
    <n v="0"/>
    <n v="0"/>
    <n v="14123400.386959"/>
    <n v="2115291.6"/>
    <n v="0"/>
    <n v="0"/>
    <n v="3059"/>
    <n v="12124239.75683371"/>
    <n v="4726613.445378152"/>
    <n v="100"/>
    <n v="2626"/>
    <n v="100"/>
    <n v="1000"/>
    <n v="1000"/>
    <n v="0"/>
    <n v="12124239.75683371"/>
    <n v="488520"/>
    <n v="4722359.999999999"/>
    <n v="0"/>
    <n v="2626"/>
    <n v="12124239.75683371"/>
    <n v="1091596.638655462"/>
    <n v="100"/>
    <n v="2526"/>
    <n v="100"/>
    <n v="0"/>
    <n v="0"/>
    <n v="1000"/>
    <n v="11662539.84225512"/>
    <n v="488520"/>
    <n v="0"/>
    <n v="4885200"/>
    <n v="2526"/>
    <n v="16547739.84225512"/>
    <n v="1091596.638655462"/>
    <n v="100"/>
    <n v="3426"/>
    <n v="100"/>
    <n v="0"/>
    <n v="0"/>
    <m/>
    <n v="16736695.2"/>
    <n v="488520"/>
    <n v="0"/>
    <n v="0"/>
    <n v="3426"/>
    <n v="16736695.2"/>
    <n v="1091596.638655462"/>
    <n v="200"/>
    <n v="3326"/>
    <n v="200"/>
    <n v="0"/>
    <n v="0"/>
    <n v="0"/>
    <m/>
    <n v="16248175.2"/>
    <n v="977040"/>
    <n v="0"/>
    <n v="0"/>
    <n v="3326"/>
    <n v="16248175.2"/>
    <n v="1678991.596638655"/>
    <n v="150"/>
    <n v="3126"/>
    <n v="150"/>
    <n v="0"/>
    <n v="0"/>
    <n v="15271135.2"/>
    <n v="732780"/>
    <n v="0"/>
    <n v="0"/>
    <n v="3126"/>
    <n v="15271135.2"/>
    <n v="1322205.882352941"/>
    <n v="300"/>
    <n v="2976"/>
    <n v="300"/>
    <n v="0"/>
    <n v="0"/>
    <n v="14538355.2"/>
    <n v="1465560"/>
    <n v="0"/>
    <n v="2976"/>
    <n v="14538355.2"/>
    <n v="3274789.915966387"/>
    <n v="90"/>
    <n v="2676"/>
    <n v="90"/>
    <n v="0"/>
    <m/>
    <n v="13072795.2"/>
    <n v="415529.9231207289"/>
    <n v="0"/>
    <n v="2676"/>
    <n v="13072795.2"/>
    <n v="982436.9747899161"/>
  </r>
  <r>
    <s v="Lhotse-Audio Menor"/>
    <x v="1"/>
    <x v="10"/>
    <x v="23"/>
    <s v="LHPARTUNUP"/>
    <x v="95"/>
    <x v="95"/>
    <x v="0"/>
    <x v="3"/>
    <n v="1"/>
    <x v="79"/>
    <n v="2309"/>
    <m/>
    <n v="0"/>
    <n v="4535"/>
    <n v="10471315"/>
    <n v="4.72"/>
    <n v="5156.599999999999"/>
    <n v="10915.96638655462"/>
    <n v="8394.957983193277"/>
    <s v="Shenzhen"/>
    <s v="20/80 Credit"/>
    <n v="30"/>
    <n v="1000"/>
    <n v="201"/>
    <n v="0.2002201398317245"/>
    <n v="10"/>
    <n v="0.1975040650406504"/>
    <n v="1402"/>
    <n v="0.3015856478259986"/>
    <n v="87"/>
    <n v="0.3380293624270921"/>
    <n v="6"/>
    <n v="0.4068749645591154"/>
    <n v="571"/>
    <n v="0.2774712076419144"/>
    <n v="1947"/>
    <n v="0.3447740714706369"/>
    <n v="22"/>
    <n v="0.4111070568430013"/>
    <n v="435"/>
    <n v="0.2386028170305345"/>
    <n v="860"/>
    <n v="0.3246023890424332"/>
    <n v="2150"/>
    <n v="0.33069346825652"/>
    <n v="260"/>
    <n v="0.4321907939998754"/>
    <n v="125"/>
    <n v="0.3440354225068605"/>
    <n v="135"/>
    <n v="0.3714409895901034"/>
    <n v="135"/>
    <n v="0.3279096170274396"/>
    <n v="34"/>
    <n v="0.371362504038357"/>
    <n v="0.1133333333333333"/>
    <n v="13"/>
    <n v="0.5795749985018278"/>
    <n v="0.26"/>
    <n v="52"/>
    <n v="0.3384495555567464"/>
    <n v="1.04"/>
    <n v="0"/>
    <n v="0.356937416838372"/>
    <n v="0"/>
    <n v="600"/>
    <n v="2817"/>
    <n v="600"/>
    <n v="0"/>
    <n v="1000"/>
    <n v="0"/>
    <n v="4251562.5"/>
    <n v="13761608.4"/>
    <n v="2721000"/>
    <n v="0"/>
    <n v="2309"/>
    <n v="10471315"/>
    <n v="5503848.598262835"/>
    <n v="400"/>
    <n v="2703"/>
    <n v="202.5"/>
    <n v="0"/>
    <n v="0"/>
    <n v="0"/>
    <n v="1684752.5"/>
    <n v="13204695.6"/>
    <n v="918337.5"/>
    <n v="0"/>
    <n v="2309"/>
    <n v="10471315"/>
    <n v="1857548.901913707"/>
    <n v="300"/>
    <n v="2542"/>
    <n v="135"/>
    <n v="0"/>
    <n v="0"/>
    <n v="1010675"/>
    <n v="11527970"/>
    <n v="612225"/>
    <n v="0"/>
    <n v="2309"/>
    <n v="10471315"/>
    <n v="1473655.462184874"/>
    <n v="300"/>
    <n v="2352"/>
    <n v="34"/>
    <n v="0"/>
    <n v="0"/>
    <n v="11489990.4"/>
    <n v="154190"/>
    <n v="0"/>
    <n v="0"/>
    <n v="2309"/>
    <n v="10471315"/>
    <n v="371142.8571428572"/>
    <n v="50"/>
    <n v="2322"/>
    <n v="50"/>
    <m/>
    <n v="0"/>
    <n v="0"/>
    <n v="10530270"/>
    <n v="244260"/>
    <n v="0"/>
    <n v="0"/>
    <n v="2309"/>
    <n v="10471315"/>
    <n v="545798.3193277312"/>
    <n v="50"/>
    <n v="2361"/>
    <n v="52"/>
    <m/>
    <n v="0"/>
    <n v="0"/>
    <n v="10707135"/>
    <n v="254030.4"/>
    <n v="0"/>
    <n v="0"/>
    <n v="2361"/>
    <n v="10471315"/>
    <n v="567630.2521008403"/>
    <n v="50"/>
    <n v="2309"/>
    <n v="50"/>
    <n v="1000"/>
    <n v="1000"/>
    <n v="0"/>
    <n v="10471315"/>
    <n v="244260"/>
    <n v="4722359.999999999"/>
    <n v="0"/>
    <n v="2309"/>
    <n v="10471315"/>
    <n v="545798.3193277312"/>
    <n v="50"/>
    <n v="2259"/>
    <n v="50"/>
    <n v="0"/>
    <n v="0"/>
    <n v="1000"/>
    <n v="10244565"/>
    <n v="244260"/>
    <n v="0"/>
    <n v="4885200"/>
    <n v="2259"/>
    <n v="15129765"/>
    <n v="545798.3193277312"/>
    <n v="50"/>
    <n v="3209"/>
    <n v="50"/>
    <n v="0"/>
    <n v="0"/>
    <m/>
    <n v="15676606.8"/>
    <n v="244260"/>
    <n v="0"/>
    <n v="0"/>
    <n v="3209"/>
    <n v="15676606.8"/>
    <n v="545798.3193277312"/>
    <n v="100"/>
    <n v="3159"/>
    <n v="100"/>
    <n v="0"/>
    <n v="0"/>
    <n v="0"/>
    <m/>
    <n v="15432346.8"/>
    <n v="488520"/>
    <n v="0"/>
    <n v="0"/>
    <n v="3159"/>
    <n v="15432346.8"/>
    <n v="839495.7983193276"/>
    <n v="100"/>
    <n v="3059"/>
    <n v="100"/>
    <n v="0"/>
    <n v="0"/>
    <n v="14943826.8"/>
    <n v="488520"/>
    <n v="0"/>
    <n v="0"/>
    <n v="3059"/>
    <n v="14943826.8"/>
    <n v="881470.5882352941"/>
    <n v="200"/>
    <n v="2959"/>
    <n v="200"/>
    <n v="0"/>
    <n v="0"/>
    <n v="14455306.8"/>
    <n v="977040"/>
    <n v="0"/>
    <n v="2959"/>
    <n v="14455306.8"/>
    <n v="2183193.277310925"/>
    <n v="60"/>
    <n v="2759"/>
    <n v="60"/>
    <n v="0"/>
    <m/>
    <n v="13478266.8"/>
    <n v="272100"/>
    <n v="0"/>
    <n v="2759"/>
    <n v="13478266.8"/>
    <n v="654957.9831932774"/>
  </r>
  <r>
    <s v="Lhotse-Audio Menor"/>
    <x v="1"/>
    <x v="10"/>
    <x v="23"/>
    <s v="LHPARTRGO"/>
    <x v="96"/>
    <x v="96"/>
    <x v="0"/>
    <x v="4"/>
    <n v="1"/>
    <x v="80"/>
    <n v="14"/>
    <m/>
    <n v="0"/>
    <n v="5887"/>
    <n v="82418"/>
    <n v="5.4"/>
    <n v="5899.499999999999"/>
    <n v="12596.63865546219"/>
    <n v="10915.96638655462"/>
    <s v="Shenzhen"/>
    <s v="30/70"/>
    <n v="30"/>
    <n v="1000"/>
    <n v="4"/>
    <n v="0.6115844103825521"/>
    <n v="21"/>
    <n v="0.4946350078858922"/>
    <n v="23"/>
    <n v="0.5487479123031205"/>
    <n v="14"/>
    <n v="0.3819136538504803"/>
    <n v="71"/>
    <n v="0.4269975139606617"/>
    <n v="49"/>
    <n v="0.6762738982198699"/>
    <n v="76"/>
    <n v="0.3681890158980337"/>
    <n v="50"/>
    <n v="0.3453478975957575"/>
    <n v="36"/>
    <n v="0.3227682720799147"/>
    <n v="112"/>
    <n v="0.3378473011752678"/>
    <n v="218"/>
    <n v="0.3131717595547003"/>
    <n v="253"/>
    <n v="0.4419730388902332"/>
    <n v="40"/>
    <s v=""/>
    <n v="20"/>
    <s v=""/>
    <n v="10"/>
    <s v=""/>
    <n v="20"/>
    <s v=""/>
    <n v="0"/>
    <n v="1"/>
    <s v=""/>
    <n v="0"/>
    <n v="12"/>
    <s v=""/>
    <n v="0"/>
    <n v="10"/>
    <s v=""/>
    <n v="0"/>
    <n v="80"/>
    <n v="42"/>
    <n v="42"/>
    <n v="0"/>
    <n v="0"/>
    <n v="0"/>
    <n v="482734"/>
    <n v="234738"/>
    <n v="247254"/>
    <n v="0"/>
    <n v="14"/>
    <n v="82418"/>
    <n v="444587.2466633713"/>
    <n v="0"/>
    <n v="25"/>
    <n v="30"/>
    <n v="0"/>
    <n v="0"/>
    <n v="0"/>
    <n v="353220"/>
    <n v="139725"/>
    <n v="176610"/>
    <n v="0"/>
    <n v="14"/>
    <n v="82418"/>
    <n v="317562.3190452652"/>
    <n v="0"/>
    <n v="5"/>
    <n v="10"/>
    <n v="0"/>
    <n v="0"/>
    <n v="176610"/>
    <n v="29435"/>
    <n v="58870"/>
    <n v="0"/>
    <n v="14"/>
    <n v="82418"/>
    <n v="125966.3865546219"/>
    <n v="0"/>
    <n v="28"/>
    <n v="20"/>
    <n v="0"/>
    <n v="0"/>
    <n v="156492"/>
    <n v="117740"/>
    <n v="0"/>
    <n v="0"/>
    <n v="14"/>
    <n v="82418"/>
    <n v="251932.7731092437"/>
    <n v="0"/>
    <n v="15"/>
    <n v="0"/>
    <m/>
    <n v="0"/>
    <n v="0"/>
    <n v="88305"/>
    <n v="0"/>
    <n v="0"/>
    <n v="0"/>
    <n v="14"/>
    <n v="82418"/>
    <n v="0"/>
    <n v="0"/>
    <n v="26"/>
    <n v="12"/>
    <m/>
    <n v="0"/>
    <n v="0"/>
    <n v="153062"/>
    <n v="67068"/>
    <n v="0"/>
    <n v="0"/>
    <n v="26"/>
    <n v="82418"/>
    <n v="151159.6638655462"/>
    <n v="0"/>
    <n v="24"/>
    <n v="0"/>
    <n v="300"/>
    <n v="300"/>
    <n v="0"/>
    <n v="141288"/>
    <n v="0"/>
    <n v="1620810"/>
    <n v="0"/>
    <n v="24"/>
    <n v="82418"/>
    <n v="0"/>
    <n v="0"/>
    <n v="24"/>
    <n v="0"/>
    <n v="0"/>
    <n v="0"/>
    <n v="0"/>
    <n v="141288"/>
    <n v="0"/>
    <n v="0"/>
    <n v="0"/>
    <n v="24"/>
    <n v="141288"/>
    <n v="0"/>
    <n v="0"/>
    <n v="24"/>
    <n v="0"/>
    <n v="0"/>
    <n v="0"/>
    <n v="300"/>
    <n v="134136"/>
    <n v="0"/>
    <n v="0"/>
    <n v="1676700"/>
    <n v="324"/>
    <n v="1810836"/>
    <n v="0"/>
    <n v="11"/>
    <n v="324"/>
    <n v="11"/>
    <n v="0"/>
    <n v="0"/>
    <n v="0"/>
    <m/>
    <n v="1810836"/>
    <n v="61479"/>
    <n v="0"/>
    <n v="0"/>
    <n v="324"/>
    <n v="1810836"/>
    <n v="120075.6302521008"/>
    <n v="0"/>
    <n v="313"/>
    <n v="0"/>
    <n v="0"/>
    <n v="0"/>
    <n v="1749357"/>
    <n v="0"/>
    <n v="0"/>
    <n v="0"/>
    <n v="313"/>
    <n v="1749357"/>
    <n v="0"/>
    <n v="0"/>
    <n v="313"/>
    <n v="0"/>
    <n v="0"/>
    <n v="0"/>
    <n v="1749357"/>
    <n v="0"/>
    <n v="0"/>
    <n v="313"/>
    <n v="1749357"/>
    <n v="0"/>
    <n v="0"/>
    <n v="313"/>
    <n v="0"/>
    <n v="0"/>
    <m/>
    <n v="1749357"/>
    <n v="0"/>
    <n v="0"/>
    <n v="313"/>
    <n v="1749357"/>
    <n v="0"/>
  </r>
  <r>
    <s v="Lhotse-Audio Menor"/>
    <x v="1"/>
    <x v="10"/>
    <x v="23"/>
    <s v="LHPARTRGO"/>
    <x v="97"/>
    <x v="97"/>
    <x v="0"/>
    <x v="6"/>
    <n v="1"/>
    <x v="12"/>
    <n v="108"/>
    <m/>
    <n v="0"/>
    <n v="5754"/>
    <n v="621432"/>
    <n v="5.4"/>
    <n v="5899.499999999999"/>
    <n v="12596.63865546219"/>
    <n v="10915.96638655462"/>
    <s v="Shenzhen"/>
    <s v="30/70"/>
    <n v="30"/>
    <n v="1000"/>
    <n v="11"/>
    <n v="0.6621717934415374"/>
    <n v="21"/>
    <n v="0.5996724564180804"/>
    <n v="21"/>
    <n v="0.6187802465174022"/>
    <n v="8"/>
    <n v="0.6196919634990672"/>
    <n v="12"/>
    <n v="0.5713578584235074"/>
    <n v="27"/>
    <n v="0.473601907998448"/>
    <n v="28"/>
    <n v="0.3563764805157799"/>
    <n v="73"/>
    <n v="0.3026517870592004"/>
    <n v="30"/>
    <n v="0.3818515831568092"/>
    <n v="49"/>
    <n v="0.3843328762067197"/>
    <n v="101"/>
    <n v="0.2908155669430335"/>
    <n v="234"/>
    <n v="0.4320948469848493"/>
    <n v="27"/>
    <s v=""/>
    <n v="23"/>
    <s v=""/>
    <n v="36"/>
    <s v=""/>
    <n v="37"/>
    <s v=""/>
    <n v="0.6166666666666667"/>
    <n v="49"/>
    <s v=""/>
    <n v="1.633333333333333"/>
    <n v="154"/>
    <s v=""/>
    <n v="3.08"/>
    <n v="20"/>
    <s v=""/>
    <n v="0.4761904761904762"/>
    <n v="70"/>
    <n v="424"/>
    <n v="90"/>
    <n v="0"/>
    <n v="0"/>
    <n v="0"/>
    <n v="923517"/>
    <n v="2369736"/>
    <n v="517860"/>
    <n v="0"/>
    <n v="108"/>
    <n v="621432"/>
    <n v="952686.9571357956"/>
    <n v="80"/>
    <n v="398"/>
    <n v="34.5"/>
    <n v="0"/>
    <n v="0"/>
    <n v="0"/>
    <n v="618555"/>
    <n v="2224422"/>
    <n v="198513"/>
    <n v="0"/>
    <n v="108"/>
    <n v="621432"/>
    <n v="365196.666902055"/>
    <n v="60"/>
    <n v="373"/>
    <n v="36"/>
    <n v="0"/>
    <n v="0"/>
    <n v="587712"/>
    <n v="2146242"/>
    <n v="207144"/>
    <n v="0"/>
    <n v="108"/>
    <n v="621432"/>
    <n v="453478.9915966387"/>
    <n v="60"/>
    <n v="346"/>
    <n v="37"/>
    <n v="0"/>
    <n v="0"/>
    <n v="1933794"/>
    <n v="212898"/>
    <n v="0"/>
    <n v="0"/>
    <n v="108"/>
    <n v="621432"/>
    <n v="466075.6302521009"/>
    <n v="30"/>
    <n v="157"/>
    <n v="30"/>
    <m/>
    <n v="0"/>
    <n v="0"/>
    <n v="903378"/>
    <n v="167670"/>
    <n v="0"/>
    <n v="0"/>
    <n v="108"/>
    <n v="621432"/>
    <n v="377899.1596638656"/>
    <n v="50"/>
    <n v="262"/>
    <n v="154"/>
    <m/>
    <n v="0"/>
    <n v="0"/>
    <n v="1507548"/>
    <n v="860706"/>
    <n v="0"/>
    <n v="0"/>
    <n v="262"/>
    <n v="621432"/>
    <n v="1939882.352941177"/>
    <n v="42"/>
    <n v="128"/>
    <n v="42"/>
    <n v="0"/>
    <n v="0"/>
    <n v="0"/>
    <n v="736512"/>
    <n v="234738"/>
    <n v="0"/>
    <n v="0"/>
    <n v="128"/>
    <n v="621432"/>
    <n v="529058.8235294118"/>
    <n v="76"/>
    <n v="86"/>
    <n v="76"/>
    <n v="0"/>
    <n v="0"/>
    <n v="0"/>
    <n v="494844"/>
    <n v="424764"/>
    <n v="0"/>
    <n v="0"/>
    <n v="86"/>
    <n v="494844"/>
    <n v="957344.5378151261"/>
    <n v="44"/>
    <n v="10"/>
    <n v="44"/>
    <n v="0"/>
    <n v="0"/>
    <m/>
    <n v="55890"/>
    <n v="245916"/>
    <n v="0"/>
    <n v="0"/>
    <n v="10"/>
    <n v="55890"/>
    <n v="554252.1008403362"/>
    <n v="50"/>
    <n v="0"/>
    <n v="0"/>
    <n v="0"/>
    <n v="0"/>
    <n v="0"/>
    <m/>
    <n v="0"/>
    <n v="0"/>
    <n v="0"/>
    <n v="0"/>
    <n v="0"/>
    <n v="0"/>
    <n v="0"/>
    <n v="13"/>
    <n v="0"/>
    <n v="13"/>
    <n v="0"/>
    <n v="0"/>
    <n v="0"/>
    <n v="72657"/>
    <n v="0"/>
    <n v="0"/>
    <n v="0"/>
    <n v="0"/>
    <n v="149002.9411764706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Audio Menor"/>
    <x v="1"/>
    <x v="10"/>
    <x v="23"/>
    <s v="LHPARTRGO"/>
    <x v="98"/>
    <x v="98"/>
    <x v="0"/>
    <x v="4"/>
    <n v="0.8"/>
    <x v="81"/>
    <n v="414"/>
    <m/>
    <n v="0"/>
    <n v="5933"/>
    <n v="2456262"/>
    <n v="5.4"/>
    <n v="5899.499999999999"/>
    <n v="12596.63865546219"/>
    <n v="10915.96638655462"/>
    <s v="Shenzhen"/>
    <s v="30/70"/>
    <n v="30"/>
    <n v="1000"/>
    <n v="4"/>
    <n v="0.5896115107220923"/>
    <n v="5"/>
    <n v="0.5995999977459867"/>
    <n v="5"/>
    <n v="0.5529228224407612"/>
    <n v="8"/>
    <n v="0.5817371268639031"/>
    <n v="6"/>
    <n v="0.5664113193556306"/>
    <n v="75"/>
    <n v="0.4266155280766499"/>
    <n v="38"/>
    <n v="0.3506282080214567"/>
    <n v="66"/>
    <n v="0.250691631645214"/>
    <n v="25"/>
    <n v="0.35176586556298"/>
    <n v="40"/>
    <n v="0.3701580399487472"/>
    <n v="57"/>
    <n v="0.3714736116864659"/>
    <n v="120"/>
    <n v="0.4842158899859959"/>
    <n v="27"/>
    <s v=""/>
    <n v="27"/>
    <s v=""/>
    <n v="19"/>
    <s v=""/>
    <n v="19"/>
    <s v=""/>
    <n v="0.475"/>
    <n v="12"/>
    <s v=""/>
    <n v="0.4"/>
    <n v="18"/>
    <s v=""/>
    <n v="0.2571428571428571"/>
    <n v="4"/>
    <s v=""/>
    <n v="0.07407407407407407"/>
    <n v="40"/>
    <n v="548"/>
    <n v="40"/>
    <n v="0"/>
    <n v="0"/>
    <n v="0"/>
    <n v="590333.5"/>
    <n v="3062772"/>
    <n v="237320"/>
    <n v="0"/>
    <n v="414"/>
    <n v="2456262"/>
    <n v="423416.425393687"/>
    <n v="40"/>
    <n v="517"/>
    <n v="40.5"/>
    <n v="0"/>
    <n v="0"/>
    <n v="0"/>
    <n v="465740.5"/>
    <n v="2889513"/>
    <n v="240286.5"/>
    <n v="0"/>
    <n v="414"/>
    <n v="2456262"/>
    <n v="428709.130711108"/>
    <n v="60"/>
    <n v="488"/>
    <n v="19"/>
    <n v="0"/>
    <n v="0"/>
    <n v="359590"/>
    <n v="2895304"/>
    <n v="112727"/>
    <n v="0"/>
    <n v="414"/>
    <n v="2456262"/>
    <n v="239336.1344537815"/>
    <n v="40"/>
    <n v="474"/>
    <n v="19"/>
    <n v="0"/>
    <n v="0"/>
    <n v="2649186"/>
    <n v="112727"/>
    <n v="0"/>
    <n v="0"/>
    <n v="414"/>
    <n v="2456262"/>
    <n v="239336.1344537815"/>
    <n v="30"/>
    <n v="426"/>
    <n v="24"/>
    <m/>
    <n v="0"/>
    <n v="0"/>
    <n v="2527458"/>
    <n v="134136"/>
    <n v="0"/>
    <n v="0"/>
    <n v="414"/>
    <n v="2456262"/>
    <n v="302319.3277310925"/>
    <n v="70"/>
    <n v="432"/>
    <n v="18"/>
    <m/>
    <n v="0"/>
    <n v="0"/>
    <n v="2563056"/>
    <n v="100602"/>
    <n v="0"/>
    <n v="0"/>
    <n v="432"/>
    <n v="2456262"/>
    <n v="226739.4957983193"/>
    <n v="54"/>
    <n v="418"/>
    <n v="43.2"/>
    <n v="0"/>
    <n v="0"/>
    <n v="0"/>
    <n v="2479994"/>
    <n v="241444.8"/>
    <n v="0"/>
    <n v="0"/>
    <n v="418"/>
    <n v="2456262"/>
    <n v="544174.7899159665"/>
    <n v="60"/>
    <n v="374.8"/>
    <n v="48"/>
    <n v="0"/>
    <n v="0"/>
    <n v="0"/>
    <n v="2223688.4"/>
    <n v="268272"/>
    <n v="0"/>
    <n v="0"/>
    <n v="374.8"/>
    <n v="2223688.4"/>
    <n v="604638.6554621849"/>
    <n v="25"/>
    <n v="326.8"/>
    <n v="20"/>
    <n v="0"/>
    <n v="0"/>
    <m/>
    <n v="1826485.2"/>
    <n v="111780"/>
    <n v="0"/>
    <n v="0"/>
    <n v="326.8"/>
    <n v="1826485.2"/>
    <n v="251932.7731092437"/>
    <n v="50"/>
    <n v="306.8"/>
    <n v="40"/>
    <n v="0"/>
    <n v="0"/>
    <n v="0"/>
    <m/>
    <n v="1714705.2"/>
    <n v="223560"/>
    <n v="0"/>
    <n v="0"/>
    <n v="306.8"/>
    <n v="1714705.2"/>
    <n v="436638.6554621849"/>
    <n v="60"/>
    <n v="266.8"/>
    <n v="48"/>
    <n v="0"/>
    <n v="0"/>
    <n v="1491145.2"/>
    <n v="268272"/>
    <n v="0"/>
    <n v="0"/>
    <n v="266.8"/>
    <n v="1491145.2"/>
    <n v="550164.705882353"/>
    <n v="120"/>
    <n v="218.8"/>
    <n v="96"/>
    <n v="0"/>
    <n v="0"/>
    <n v="1222873.2"/>
    <n v="536544"/>
    <n v="0"/>
    <n v="218.8"/>
    <n v="1222873.2"/>
    <n v="1209277.31092437"/>
    <n v="36"/>
    <n v="122.8"/>
    <n v="28.8"/>
    <n v="0"/>
    <m/>
    <n v="686329.2000000001"/>
    <n v="170870.4"/>
    <n v="0"/>
    <n v="122.8"/>
    <n v="686329.2000000001"/>
    <n v="362783.193277311"/>
  </r>
  <r>
    <s v="Lhotse-Audio Menor"/>
    <x v="1"/>
    <x v="10"/>
    <x v="23"/>
    <s v="LHPARTRGO"/>
    <x v="99"/>
    <x v="99"/>
    <x v="0"/>
    <x v="4"/>
    <n v="1"/>
    <x v="82"/>
    <n v="3"/>
    <m/>
    <n v="0"/>
    <n v="5916"/>
    <n v="17748"/>
    <n v="5.4"/>
    <n v="5899.499999999999"/>
    <n v="12596.63865546219"/>
    <n v="10915.96638655462"/>
    <s v="Shenzhen"/>
    <s v="30/70"/>
    <n v="30"/>
    <n v="1000"/>
    <n v="14"/>
    <n v="0.663427495434891"/>
    <n v="6"/>
    <n v="0.4602507364237137"/>
    <n v="27"/>
    <n v="0.5456180350150328"/>
    <n v="6"/>
    <n v="0.5687016111394619"/>
    <n v="8"/>
    <n v="0.5232395841727778"/>
    <n v="44"/>
    <n v="0.5031311505433685"/>
    <n v="104"/>
    <n v="0.399561732121016"/>
    <n v="107"/>
    <n v="0.305271792835586"/>
    <n v="52"/>
    <n v="0.3233770136394913"/>
    <n v="103"/>
    <n v="0.3955813516722535"/>
    <n v="129"/>
    <n v="0.3808195114583875"/>
    <n v="263"/>
    <n v="0.4486030761187252"/>
    <n v="103"/>
    <s v=""/>
    <n v="21"/>
    <s v=""/>
    <n v="2"/>
    <s v=""/>
    <n v="4"/>
    <s v=""/>
    <n v="0"/>
    <n v="0"/>
    <s v=""/>
    <n v="0"/>
    <n v="1"/>
    <s v=""/>
    <n v="0"/>
    <n v="0"/>
    <s v=""/>
    <n v="0"/>
    <n v="60"/>
    <n v="133"/>
    <n v="120"/>
    <n v="0"/>
    <n v="0"/>
    <n v="0"/>
    <n v="908106"/>
    <n v="743337"/>
    <n v="709920"/>
    <n v="0"/>
    <n v="3"/>
    <n v="17748"/>
    <n v="1270249.276181061"/>
    <n v="15"/>
    <n v="27"/>
    <n v="31.5"/>
    <n v="0"/>
    <n v="0"/>
    <n v="0"/>
    <n v="221850"/>
    <n v="150903"/>
    <n v="186354"/>
    <n v="0"/>
    <n v="3"/>
    <n v="17748"/>
    <n v="333440.4349975285"/>
    <n v="0"/>
    <n v="6"/>
    <n v="2"/>
    <n v="0"/>
    <n v="0"/>
    <n v="35496"/>
    <n v="35496"/>
    <n v="11832"/>
    <n v="0"/>
    <n v="3"/>
    <n v="17748"/>
    <n v="25193.27731092437"/>
    <n v="0"/>
    <n v="7"/>
    <n v="4"/>
    <n v="0"/>
    <n v="0"/>
    <n v="39123"/>
    <n v="23664"/>
    <n v="0"/>
    <n v="0"/>
    <n v="3"/>
    <n v="17748"/>
    <n v="50386.55462184874"/>
    <n v="0"/>
    <n v="3"/>
    <n v="0"/>
    <m/>
    <n v="0"/>
    <n v="0"/>
    <n v="17748"/>
    <n v="0"/>
    <n v="0"/>
    <n v="0"/>
    <n v="3"/>
    <n v="17748"/>
    <n v="0"/>
    <n v="0"/>
    <n v="4"/>
    <n v="1"/>
    <m/>
    <n v="0"/>
    <n v="0"/>
    <n v="23664"/>
    <n v="5589"/>
    <n v="0"/>
    <n v="0"/>
    <n v="4"/>
    <n v="17748"/>
    <n v="12596.63865546219"/>
    <n v="0"/>
    <n v="3"/>
    <n v="0"/>
    <n v="300"/>
    <n v="300"/>
    <n v="0"/>
    <n v="17748"/>
    <n v="0"/>
    <n v="1620810"/>
    <n v="0"/>
    <n v="3"/>
    <n v="17748"/>
    <n v="0"/>
    <n v="0"/>
    <n v="3"/>
    <n v="0"/>
    <n v="0"/>
    <n v="0"/>
    <n v="0"/>
    <n v="17748"/>
    <n v="0"/>
    <n v="0"/>
    <n v="0"/>
    <n v="3"/>
    <n v="17748"/>
    <n v="0"/>
    <n v="0"/>
    <n v="3"/>
    <n v="0"/>
    <n v="0"/>
    <n v="0"/>
    <n v="300"/>
    <n v="16767"/>
    <n v="0"/>
    <n v="0"/>
    <n v="1676700"/>
    <n v="303"/>
    <n v="1693467"/>
    <n v="0"/>
    <n v="28"/>
    <n v="303"/>
    <n v="28"/>
    <n v="0"/>
    <n v="0"/>
    <n v="0"/>
    <m/>
    <n v="1693467"/>
    <n v="156492"/>
    <n v="0"/>
    <n v="0"/>
    <n v="303"/>
    <n v="1693467"/>
    <n v="305647.0588235295"/>
    <n v="0"/>
    <n v="275"/>
    <n v="0"/>
    <n v="0"/>
    <n v="0"/>
    <n v="1536975"/>
    <n v="0"/>
    <n v="0"/>
    <n v="0"/>
    <n v="275"/>
    <n v="1536975"/>
    <n v="0"/>
    <n v="0"/>
    <n v="275"/>
    <n v="0"/>
    <n v="0"/>
    <n v="0"/>
    <n v="1536975"/>
    <n v="0"/>
    <n v="0"/>
    <n v="275"/>
    <n v="1536975"/>
    <n v="0"/>
    <n v="0"/>
    <n v="275"/>
    <n v="0"/>
    <n v="0"/>
    <m/>
    <n v="1536975"/>
    <n v="0"/>
    <n v="0"/>
    <n v="275"/>
    <n v="1536975"/>
    <n v="0"/>
  </r>
  <r>
    <s v="Lhotse-Audio Menor"/>
    <x v="1"/>
    <x v="10"/>
    <x v="23"/>
    <s v="LHPARPULS"/>
    <x v="100"/>
    <x v="100"/>
    <x v="0"/>
    <x v="0"/>
    <n v="0.7"/>
    <x v="83"/>
    <n v="132"/>
    <m/>
    <n v="0"/>
    <n v="8447"/>
    <n v="1115004"/>
    <n v="8.59"/>
    <n v="9384.574999999999"/>
    <n v="16798.31932773109"/>
    <n v="15117.64705882353"/>
    <s v="Shenzhen"/>
    <s v="30/70"/>
    <n v="30"/>
    <n v="200"/>
    <n v="0"/>
    <n v="2.367704510485706e-05"/>
    <n v="5"/>
    <n v="0.6132470101280196"/>
    <n v="10"/>
    <n v="0.5584859216588647"/>
    <n v="7"/>
    <n v="0.54810311967098"/>
    <n v="0"/>
    <s v=""/>
    <n v="37"/>
    <n v="0.4560448168491986"/>
    <n v="29"/>
    <n v="0.4650540687853053"/>
    <n v="16"/>
    <n v="0.4893025786171633"/>
    <n v="23"/>
    <n v="0.492763089215622"/>
    <n v="32"/>
    <n v="0.4554725879746803"/>
    <n v="9"/>
    <n v="0.4959503431168937"/>
    <n v="13"/>
    <n v="0.4971606797326225"/>
    <n v="1"/>
    <s v=""/>
    <n v="7"/>
    <s v=""/>
    <n v="19"/>
    <s v=""/>
    <n v="11"/>
    <s v=""/>
    <n v="0.7333333333333333"/>
    <n v="7"/>
    <s v=""/>
    <n v="0.2258064516129032"/>
    <n v="30"/>
    <s v=""/>
    <n v="0.75"/>
    <n v="9"/>
    <s v=""/>
    <n v="0.225"/>
    <n v="20"/>
    <n v="7"/>
    <n v="2"/>
    <n v="200"/>
    <n v="200"/>
    <n v="0"/>
    <n v="266080.5"/>
    <n v="62234.55"/>
    <n v="16894"/>
    <n v="0"/>
    <n v="132"/>
    <n v="1115004"/>
    <n v="28232.46945837159"/>
    <n v="3"/>
    <n v="11"/>
    <n v="10.5"/>
    <n v="0"/>
    <n v="0"/>
    <n v="0"/>
    <n v="342103.5"/>
    <n v="97797.14999999999"/>
    <n v="88693.5"/>
    <n v="0"/>
    <n v="132"/>
    <n v="1115004"/>
    <n v="148220.4646564508"/>
    <n v="30"/>
    <n v="193"/>
    <n v="19"/>
    <n v="0"/>
    <n v="0"/>
    <n v="446337.105"/>
    <n v="1630271"/>
    <n v="160493"/>
    <n v="0"/>
    <n v="132"/>
    <n v="1115004"/>
    <n v="319168.0672268908"/>
    <n v="15"/>
    <n v="190"/>
    <n v="11"/>
    <n v="0"/>
    <n v="0"/>
    <n v="1689223.5"/>
    <n v="92917"/>
    <n v="0"/>
    <n v="0"/>
    <n v="132"/>
    <n v="1115004"/>
    <n v="184781.512605042"/>
    <n v="31"/>
    <n v="139"/>
    <n v="21.7"/>
    <m/>
    <n v="0"/>
    <n v="0"/>
    <n v="1174133"/>
    <n v="192927.105"/>
    <n v="0"/>
    <n v="0"/>
    <n v="132"/>
    <n v="1115004"/>
    <n v="364523.5294117647"/>
    <n v="40"/>
    <n v="162"/>
    <n v="30"/>
    <m/>
    <n v="0"/>
    <n v="0"/>
    <n v="1368414"/>
    <n v="266719.5"/>
    <n v="0"/>
    <n v="0"/>
    <n v="162"/>
    <n v="1115004"/>
    <n v="503949.5798319328"/>
    <n v="40"/>
    <n v="141"/>
    <n v="28"/>
    <n v="0"/>
    <n v="0"/>
    <n v="0"/>
    <n v="1191027"/>
    <n v="248938.2"/>
    <n v="0"/>
    <n v="0"/>
    <n v="141"/>
    <n v="1115004"/>
    <n v="470352.9411764706"/>
    <n v="22"/>
    <n v="113"/>
    <n v="15.4"/>
    <n v="0"/>
    <n v="0"/>
    <n v="0"/>
    <n v="954511"/>
    <n v="136916.01"/>
    <n v="0"/>
    <n v="0"/>
    <n v="113"/>
    <n v="954511"/>
    <n v="258694.1176470588"/>
    <n v="32"/>
    <n v="97.59999999999999"/>
    <n v="22.4"/>
    <n v="0"/>
    <n v="0"/>
    <m/>
    <n v="867727.4399999999"/>
    <n v="199150.56"/>
    <n v="0"/>
    <n v="0"/>
    <n v="97.59999999999999"/>
    <n v="867727.4399999999"/>
    <n v="376282.3529411764"/>
    <n v="35"/>
    <n v="75.19999999999999"/>
    <n v="24.5"/>
    <n v="0"/>
    <n v="0"/>
    <n v="0"/>
    <m/>
    <n v="668576.8799999999"/>
    <n v="217820.925"/>
    <n v="0"/>
    <n v="0"/>
    <n v="75.19999999999999"/>
    <n v="668576.8799999999"/>
    <n v="370382.3529411765"/>
    <n v="30"/>
    <n v="50.69999999999999"/>
    <n v="21"/>
    <n v="0"/>
    <n v="0"/>
    <n v="450755.9549999999"/>
    <n v="186703.65"/>
    <n v="0"/>
    <n v="0"/>
    <n v="50.69999999999999"/>
    <n v="450755.9549999999"/>
    <n v="333344.1176470588"/>
    <n v="35"/>
    <n v="29.69999999999999"/>
    <n v="24.5"/>
    <n v="0"/>
    <n v="0"/>
    <n v="264052.3049999999"/>
    <n v="217820.925"/>
    <n v="0"/>
    <n v="29.69999999999999"/>
    <n v="264052.3049999999"/>
    <n v="411558.8235294118"/>
    <n v="18"/>
    <n v="5.199999999999989"/>
    <n v="12.6"/>
    <n v="0"/>
    <m/>
    <n v="46231.3799999999"/>
    <n v="106432.2"/>
    <n v="0"/>
    <n v="5.199999999999989"/>
    <n v="46231.3799999999"/>
    <n v="211658.8235294118"/>
  </r>
  <r>
    <s v="Lhotse-Audio Menor"/>
    <x v="1"/>
    <x v="10"/>
    <x v="23"/>
    <s v="LHPARPULS"/>
    <x v="101"/>
    <x v="101"/>
    <x v="0"/>
    <x v="6"/>
    <n v="1"/>
    <x v="12"/>
    <n v="8"/>
    <m/>
    <n v="0"/>
    <n v="8447"/>
    <n v="67576"/>
    <n v="8.59"/>
    <n v="9384.574999999999"/>
    <n v="16798.31932773109"/>
    <n v="15117.64705882353"/>
    <s v="Shenzhen"/>
    <s v="30/70"/>
    <n v="30"/>
    <n v="200"/>
    <n v="2"/>
    <n v="0.608224981060899"/>
    <n v="0"/>
    <n v="0.5977714285714286"/>
    <n v="7"/>
    <n v="0.4971612509293983"/>
    <n v="1"/>
    <n v="0.6409284135351131"/>
    <n v="2"/>
    <n v="0.5977714285714286"/>
    <n v="17"/>
    <n v="0.4624236037006463"/>
    <n v="12"/>
    <n v="0.4371011913759192"/>
    <n v="12"/>
    <n v="0.4669469305509877"/>
    <n v="4"/>
    <n v="0.4971615923137204"/>
    <n v="14"/>
    <n v="0.3807126206082813"/>
    <n v="15"/>
    <n v="0.4894946334856949"/>
    <n v="97"/>
    <n v="0.4399151797478708"/>
    <n v="1"/>
    <s v=""/>
    <n v="2"/>
    <s v=""/>
    <n v="3"/>
    <s v=""/>
    <n v="2"/>
    <s v=""/>
    <n v="0"/>
    <n v="0"/>
    <s v=""/>
    <n v="0"/>
    <n v="4"/>
    <s v=""/>
    <n v="0"/>
    <n v="0"/>
    <s v=""/>
    <n v="0"/>
    <n v="12"/>
    <n v="2"/>
    <n v="2"/>
    <n v="0"/>
    <n v="0"/>
    <n v="0"/>
    <n v="67576"/>
    <n v="17781.3"/>
    <n v="16894"/>
    <n v="0"/>
    <n v="8"/>
    <n v="67576"/>
    <n v="28232.46945837159"/>
    <n v="3"/>
    <n v="5"/>
    <n v="3"/>
    <n v="0"/>
    <n v="0"/>
    <n v="0"/>
    <n v="67576"/>
    <n v="44453.25"/>
    <n v="25341"/>
    <n v="0"/>
    <n v="8"/>
    <n v="67576"/>
    <n v="42348.70418755738"/>
    <n v="0"/>
    <n v="3"/>
    <n v="3"/>
    <n v="0"/>
    <n v="0"/>
    <n v="60016.3"/>
    <n v="25341"/>
    <n v="25341"/>
    <n v="0"/>
    <n v="8"/>
    <n v="67576"/>
    <n v="50394.95798319328"/>
    <n v="0"/>
    <n v="14"/>
    <n v="2"/>
    <n v="0"/>
    <n v="0"/>
    <n v="124469.1"/>
    <n v="16894"/>
    <n v="0"/>
    <n v="0"/>
    <n v="8"/>
    <n v="67576"/>
    <n v="33596.63865546219"/>
    <n v="2"/>
    <n v="8"/>
    <n v="2"/>
    <m/>
    <n v="0"/>
    <n v="0"/>
    <n v="67576"/>
    <n v="17781.3"/>
    <n v="0"/>
    <n v="0"/>
    <n v="8"/>
    <n v="67576"/>
    <n v="33596.63865546219"/>
    <n v="0"/>
    <n v="12"/>
    <n v="4"/>
    <m/>
    <n v="0"/>
    <n v="0"/>
    <n v="101364"/>
    <n v="35562.6"/>
    <n v="0"/>
    <n v="0"/>
    <n v="12"/>
    <n v="67576"/>
    <n v="67193.27731092437"/>
    <n v="0"/>
    <n v="8"/>
    <n v="0"/>
    <n v="0"/>
    <n v="0"/>
    <n v="0"/>
    <n v="67576"/>
    <n v="0"/>
    <n v="0"/>
    <n v="0"/>
    <n v="8"/>
    <n v="67576"/>
    <n v="0"/>
    <n v="0"/>
    <n v="8"/>
    <n v="0"/>
    <n v="0"/>
    <n v="0"/>
    <n v="0"/>
    <n v="67576"/>
    <n v="0"/>
    <n v="0"/>
    <n v="0"/>
    <n v="8"/>
    <n v="67576"/>
    <n v="0"/>
    <n v="0"/>
    <n v="8"/>
    <n v="0"/>
    <n v="0"/>
    <n v="0"/>
    <m/>
    <n v="71125.2"/>
    <n v="0"/>
    <n v="0"/>
    <n v="0"/>
    <n v="8"/>
    <n v="71125.2"/>
    <n v="0"/>
    <n v="0"/>
    <n v="8"/>
    <n v="0"/>
    <n v="0"/>
    <n v="0"/>
    <n v="0"/>
    <m/>
    <n v="71125.2"/>
    <n v="0"/>
    <n v="0"/>
    <n v="0"/>
    <n v="8"/>
    <n v="71125.2"/>
    <n v="0"/>
    <n v="0"/>
    <n v="8"/>
    <n v="0"/>
    <n v="0"/>
    <n v="0"/>
    <n v="71125.2"/>
    <n v="0"/>
    <n v="0"/>
    <n v="0"/>
    <n v="8"/>
    <n v="71125.2"/>
    <n v="0"/>
    <n v="0"/>
    <n v="8"/>
    <n v="0"/>
    <n v="0"/>
    <n v="0"/>
    <n v="71125.2"/>
    <n v="0"/>
    <n v="0"/>
    <n v="8"/>
    <n v="71125.2"/>
    <n v="0"/>
    <n v="0"/>
    <n v="8"/>
    <n v="0"/>
    <n v="0"/>
    <m/>
    <n v="71125.2"/>
    <n v="0"/>
    <n v="0"/>
    <n v="8"/>
    <n v="71125.2"/>
    <n v="0"/>
  </r>
  <r>
    <s v="Lhotse-Audio Menor"/>
    <x v="1"/>
    <x v="10"/>
    <x v="23"/>
    <s v="LHPARPULS"/>
    <x v="102"/>
    <x v="102"/>
    <x v="0"/>
    <x v="0"/>
    <n v="0.5"/>
    <x v="84"/>
    <n v="86"/>
    <m/>
    <n v="0"/>
    <n v="8447"/>
    <n v="726442"/>
    <n v="8.59"/>
    <n v="9384.574999999999"/>
    <n v="16798.31932773109"/>
    <n v="15117.64705882353"/>
    <s v="Shenzhen"/>
    <s v="30/70"/>
    <n v="30"/>
    <n v="200"/>
    <n v="1"/>
    <n v="0.6409284135351131"/>
    <n v="2"/>
    <n v="0.553059493108048"/>
    <n v="14"/>
    <n v="0.4971619548358831"/>
    <n v="2"/>
    <n v="0.4800582719494429"/>
    <n v="4"/>
    <n v="0.640928413535113"/>
    <n v="21"/>
    <n v="0.4253883792157317"/>
    <n v="11"/>
    <n v="0.4971723971330144"/>
    <n v="14"/>
    <n v="0.4971613407674227"/>
    <n v="12"/>
    <n v="0.4971623888753357"/>
    <n v="35"/>
    <n v="0.4493285880300879"/>
    <n v="8"/>
    <n v="0.4971538363603483"/>
    <n v="26"/>
    <n v="0.4952185006538349"/>
    <n v="0"/>
    <s v=""/>
    <n v="4"/>
    <s v=""/>
    <n v="9"/>
    <s v=""/>
    <n v="6"/>
    <s v=""/>
    <n v="0.4"/>
    <n v="4"/>
    <s v=""/>
    <n v="0.3636363636363636"/>
    <n v="6"/>
    <s v=""/>
    <n v="0.24"/>
    <n v="6"/>
    <s v=""/>
    <n v="0.5"/>
    <n v="15"/>
    <n v="11"/>
    <n v="2"/>
    <n v="100"/>
    <n v="100"/>
    <n v="0"/>
    <n v="143599"/>
    <n v="97797.14999999999"/>
    <n v="16894"/>
    <n v="0"/>
    <n v="86"/>
    <n v="726442"/>
    <n v="28232.46945837159"/>
    <n v="3"/>
    <n v="17"/>
    <n v="6"/>
    <n v="0"/>
    <n v="0"/>
    <n v="0"/>
    <n v="177387"/>
    <n v="151141.05"/>
    <n v="50682"/>
    <n v="0"/>
    <n v="86"/>
    <n v="726442"/>
    <n v="84697.40837511476"/>
    <n v="20"/>
    <n v="108"/>
    <n v="9"/>
    <n v="0"/>
    <n v="0"/>
    <n v="175603.575"/>
    <n v="912276"/>
    <n v="76023"/>
    <n v="0"/>
    <n v="86"/>
    <n v="726442"/>
    <n v="151184.8739495798"/>
    <n v="15"/>
    <n v="109"/>
    <n v="6"/>
    <n v="0"/>
    <n v="0"/>
    <n v="969080.85"/>
    <n v="50682"/>
    <n v="0"/>
    <n v="0"/>
    <n v="86"/>
    <n v="726442"/>
    <n v="100789.9159663866"/>
    <n v="11"/>
    <n v="90"/>
    <n v="5.5"/>
    <m/>
    <n v="0"/>
    <n v="0"/>
    <n v="760230"/>
    <n v="48898.575"/>
    <n v="0"/>
    <n v="0"/>
    <n v="86"/>
    <n v="726442"/>
    <n v="92390.75630252101"/>
    <n v="25"/>
    <n v="92"/>
    <n v="6"/>
    <m/>
    <n v="0"/>
    <n v="0"/>
    <n v="777124"/>
    <n v="53343.89999999999"/>
    <n v="0"/>
    <n v="0"/>
    <n v="92"/>
    <n v="726442"/>
    <n v="100789.9159663866"/>
    <n v="12"/>
    <n v="92"/>
    <n v="6"/>
    <n v="0"/>
    <n v="0"/>
    <n v="0"/>
    <n v="777124"/>
    <n v="53343.89999999999"/>
    <n v="0"/>
    <n v="0"/>
    <n v="92"/>
    <n v="726442"/>
    <n v="100789.9159663866"/>
    <n v="10"/>
    <n v="86"/>
    <n v="5"/>
    <n v="0"/>
    <n v="0"/>
    <n v="0"/>
    <n v="726442"/>
    <n v="44453.25"/>
    <n v="0"/>
    <n v="0"/>
    <n v="86"/>
    <n v="726442"/>
    <n v="83991.59663865546"/>
    <n v="8"/>
    <n v="81"/>
    <n v="4"/>
    <n v="0"/>
    <n v="0"/>
    <m/>
    <n v="720142.65"/>
    <n v="35562.6"/>
    <n v="0"/>
    <n v="0"/>
    <n v="81"/>
    <n v="720142.65"/>
    <n v="67193.27731092437"/>
    <n v="35"/>
    <n v="77"/>
    <n v="17.5"/>
    <n v="0"/>
    <n v="0"/>
    <n v="0"/>
    <m/>
    <n v="684580.0499999999"/>
    <n v="155586.375"/>
    <n v="0"/>
    <n v="0"/>
    <n v="77"/>
    <n v="684580.0499999999"/>
    <n v="264558.8235294117"/>
    <n v="30"/>
    <n v="59.5"/>
    <n v="15"/>
    <n v="0"/>
    <n v="0"/>
    <n v="528993.6749999999"/>
    <n v="133359.75"/>
    <n v="0"/>
    <n v="0"/>
    <n v="59.5"/>
    <n v="528993.6749999999"/>
    <n v="238102.9411764706"/>
    <n v="35"/>
    <n v="44.5"/>
    <n v="17.5"/>
    <n v="0"/>
    <n v="0"/>
    <n v="395633.925"/>
    <n v="155586.375"/>
    <n v="0"/>
    <n v="44.5"/>
    <n v="395633.925"/>
    <n v="293970.5882352941"/>
    <n v="18"/>
    <n v="27"/>
    <n v="9"/>
    <n v="0"/>
    <m/>
    <n v="240047.55"/>
    <n v="76023"/>
    <n v="0"/>
    <n v="27"/>
    <n v="240047.55"/>
    <n v="151184.8739495798"/>
  </r>
  <r>
    <s v="Lhotse-Audio Menor"/>
    <x v="1"/>
    <x v="10"/>
    <x v="23"/>
    <s v="LHPARPULS"/>
    <x v="103"/>
    <x v="103"/>
    <x v="0"/>
    <x v="0"/>
    <n v="1"/>
    <x v="85"/>
    <n v="123"/>
    <m/>
    <n v="0"/>
    <n v="8447"/>
    <n v="1038981"/>
    <n v="8.59"/>
    <n v="9384.574999999999"/>
    <n v="16798.31932773109"/>
    <n v="15117.64705882353"/>
    <s v="Shenzhen"/>
    <s v="30/70"/>
    <n v="30"/>
    <n v="200"/>
    <n v="1"/>
    <n v="0.6408826155350538"/>
    <n v="2"/>
    <n v="0.5977714285714286"/>
    <n v="7"/>
    <n v="0.4971580077552196"/>
    <n v="11"/>
    <n v="0.5390810869802466"/>
    <n v="0"/>
    <s v=""/>
    <n v="11"/>
    <n v="0.4946392512628875"/>
    <n v="17"/>
    <n v="0.4690446438248151"/>
    <n v="18"/>
    <n v="0.4999462829848618"/>
    <n v="18"/>
    <n v="0.5236396085361102"/>
    <n v="32"/>
    <n v="0.4432164759907296"/>
    <n v="38"/>
    <n v="0.5072570743637422"/>
    <n v="31"/>
    <n v="0.3764943613857651"/>
    <n v="0"/>
    <s v=""/>
    <n v="0"/>
    <s v=""/>
    <n v="17"/>
    <s v=""/>
    <n v="15"/>
    <s v=""/>
    <n v="1"/>
    <n v="22"/>
    <s v=""/>
    <n v="1.466666666666667"/>
    <n v="18"/>
    <s v=""/>
    <n v="1.2"/>
    <n v="10"/>
    <s v=""/>
    <n v="0.4347826086956522"/>
    <n v="20"/>
    <n v="3"/>
    <n v="2"/>
    <n v="200"/>
    <n v="200"/>
    <n v="0"/>
    <n v="160493"/>
    <n v="26671.95"/>
    <n v="16894"/>
    <n v="0"/>
    <n v="123"/>
    <n v="1038981"/>
    <n v="28232.46945837159"/>
    <n v="3"/>
    <n v="3"/>
    <n v="0"/>
    <n v="0"/>
    <n v="0"/>
    <n v="0"/>
    <n v="270304"/>
    <n v="26671.95"/>
    <n v="0"/>
    <n v="0"/>
    <n v="123"/>
    <n v="1038981"/>
    <n v="0"/>
    <n v="10"/>
    <n v="193"/>
    <n v="17"/>
    <n v="0"/>
    <n v="0"/>
    <n v="403663.75"/>
    <n v="1630271"/>
    <n v="143599"/>
    <n v="0"/>
    <n v="123"/>
    <n v="1038981"/>
    <n v="285571.4285714286"/>
    <n v="15"/>
    <n v="188"/>
    <n v="15"/>
    <n v="0"/>
    <n v="0"/>
    <n v="1671442.2"/>
    <n v="126705"/>
    <n v="0"/>
    <n v="0"/>
    <n v="123"/>
    <n v="1038981"/>
    <n v="251974.7899159664"/>
    <n v="15"/>
    <n v="145"/>
    <n v="15"/>
    <m/>
    <n v="0"/>
    <n v="0"/>
    <n v="1224815"/>
    <n v="133359.75"/>
    <n v="0"/>
    <n v="0"/>
    <n v="123"/>
    <n v="1038981"/>
    <n v="251974.7899159664"/>
    <n v="15"/>
    <n v="141"/>
    <n v="18"/>
    <m/>
    <n v="0"/>
    <n v="0"/>
    <n v="1191027"/>
    <n v="160031.7"/>
    <n v="0"/>
    <n v="0"/>
    <n v="141"/>
    <n v="1038981"/>
    <n v="302369.7478991597"/>
    <n v="23"/>
    <n v="133"/>
    <n v="23"/>
    <n v="0"/>
    <n v="0"/>
    <n v="0"/>
    <n v="1123451"/>
    <n v="204484.95"/>
    <n v="0"/>
    <n v="0"/>
    <n v="133"/>
    <n v="1038981"/>
    <n v="386361.3445378151"/>
    <n v="25"/>
    <n v="110"/>
    <n v="25"/>
    <n v="0"/>
    <n v="0"/>
    <n v="0"/>
    <n v="929170"/>
    <n v="222266.25"/>
    <n v="0"/>
    <n v="0"/>
    <n v="110"/>
    <n v="929170"/>
    <n v="419957.9831932773"/>
    <n v="25"/>
    <n v="85"/>
    <n v="25"/>
    <n v="0"/>
    <n v="0"/>
    <m/>
    <n v="755705.25"/>
    <n v="222266.25"/>
    <n v="0"/>
    <n v="0"/>
    <n v="85"/>
    <n v="755705.25"/>
    <n v="419957.9831932773"/>
    <n v="35"/>
    <n v="60"/>
    <n v="35"/>
    <n v="0"/>
    <n v="0"/>
    <n v="0"/>
    <m/>
    <n v="533439"/>
    <n v="311172.75"/>
    <n v="0"/>
    <n v="0"/>
    <n v="60"/>
    <n v="533439"/>
    <n v="529117.6470588235"/>
    <n v="32"/>
    <n v="25"/>
    <n v="32"/>
    <n v="0"/>
    <n v="0"/>
    <n v="222266.25"/>
    <n v="284500.8"/>
    <n v="0"/>
    <n v="0"/>
    <n v="25"/>
    <n v="222266.25"/>
    <n v="507952.9411764706"/>
    <n v="35"/>
    <n v="0"/>
    <n v="35"/>
    <n v="0"/>
    <n v="0"/>
    <n v="0"/>
    <n v="311172.75"/>
    <n v="0"/>
    <n v="0"/>
    <n v="0"/>
    <n v="587941.1764705882"/>
    <n v="19.2"/>
    <n v="0"/>
    <n v="19.2"/>
    <n v="0"/>
    <m/>
    <n v="0"/>
    <n v="162182.4"/>
    <n v="0"/>
    <n v="0"/>
    <n v="0"/>
    <n v="322527.731092437"/>
  </r>
  <r>
    <s v="Lhotse-Audio Menor"/>
    <x v="1"/>
    <x v="10"/>
    <x v="23"/>
    <s v="LHPARJOUR"/>
    <x v="104"/>
    <x v="104"/>
    <x v="0"/>
    <x v="4"/>
    <n v="0.8"/>
    <x v="86"/>
    <n v="18"/>
    <m/>
    <n v="0"/>
    <n v="10174"/>
    <n v="183132"/>
    <n v="10.53"/>
    <n v="11504.025"/>
    <n v="21000"/>
    <n v="21000"/>
    <s v="Shenzhen"/>
    <s v="30/70"/>
    <n v="30"/>
    <n v="100"/>
    <n v="4"/>
    <n v="0.5347716838976601"/>
    <n v="14"/>
    <n v="0.54774922954213"/>
    <n v="15"/>
    <n v="0.5875181192944188"/>
    <n v="8"/>
    <n v="0.563924537366592"/>
    <n v="6"/>
    <n v="0.541580648003995"/>
    <n v="34"/>
    <n v="0.4471352679228898"/>
    <n v="2"/>
    <n v="0.478601784103438"/>
    <n v="3"/>
    <n v="0.5045722222222222"/>
    <n v="8"/>
    <n v="0.52660489502835"/>
    <n v="35"/>
    <n v="0.4183054072531482"/>
    <n v="17"/>
    <n v="0.4634072041465219"/>
    <n v="18"/>
    <n v="0.5080811609706802"/>
    <n v="9"/>
    <s v=""/>
    <n v="18"/>
    <s v=""/>
    <n v="20"/>
    <s v=""/>
    <n v="18"/>
    <s v=""/>
    <n v="1.2"/>
    <n v="8"/>
    <s v=""/>
    <n v="0.4705882352941176"/>
    <n v="25"/>
    <s v=""/>
    <n v="0.7352941176470589"/>
    <n v="4"/>
    <s v=""/>
    <n v="0.25"/>
    <n v="20"/>
    <n v="113"/>
    <n v="15"/>
    <n v="0"/>
    <n v="92"/>
    <n v="0"/>
    <n v="630788"/>
    <n v="1231536.15"/>
    <n v="152610"/>
    <n v="0"/>
    <n v="18"/>
    <n v="183132"/>
    <n v="264705.8823529412"/>
    <n v="15"/>
    <n v="108"/>
    <n v="27"/>
    <n v="0"/>
    <n v="0"/>
    <n v="0"/>
    <n v="661310"/>
    <n v="1177043.4"/>
    <n v="274698"/>
    <n v="0"/>
    <n v="18"/>
    <n v="183132"/>
    <n v="476470.5882352942"/>
    <n v="30"/>
    <n v="90"/>
    <n v="20"/>
    <n v="0"/>
    <n v="0"/>
    <n v="534832.28"/>
    <n v="915660"/>
    <n v="203480"/>
    <n v="0"/>
    <n v="18"/>
    <n v="183132"/>
    <n v="420000"/>
    <n v="15"/>
    <n v="74"/>
    <n v="18"/>
    <n v="0"/>
    <n v="0"/>
    <n v="806492.7"/>
    <n v="183132"/>
    <n v="0"/>
    <n v="0"/>
    <n v="18"/>
    <n v="183132"/>
    <n v="378000"/>
    <n v="17"/>
    <n v="26"/>
    <n v="13.6"/>
    <m/>
    <n v="0"/>
    <n v="0"/>
    <n v="264524"/>
    <n v="148220.28"/>
    <n v="0"/>
    <n v="0"/>
    <n v="18"/>
    <n v="183132"/>
    <n v="285600.0000000001"/>
    <n v="34"/>
    <n v="43"/>
    <n v="25"/>
    <m/>
    <n v="0"/>
    <n v="0"/>
    <n v="437482"/>
    <n v="272463.75"/>
    <n v="0"/>
    <n v="0"/>
    <n v="43"/>
    <n v="183132"/>
    <n v="525000"/>
    <n v="16"/>
    <n v="22"/>
    <n v="12.8"/>
    <n v="0"/>
    <n v="0"/>
    <n v="0"/>
    <n v="223828"/>
    <n v="139501.44"/>
    <n v="0"/>
    <n v="0"/>
    <n v="22"/>
    <n v="183132"/>
    <n v="268800"/>
    <n v="12"/>
    <n v="9.199999999999999"/>
    <n v="9.600000000000001"/>
    <n v="0"/>
    <n v="0"/>
    <n v="0"/>
    <n v="93600.79999999999"/>
    <n v="104626.08"/>
    <n v="0"/>
    <n v="0"/>
    <n v="9.199999999999999"/>
    <n v="93600.79999999999"/>
    <n v="201600"/>
    <n v="20"/>
    <n v="0"/>
    <n v="16"/>
    <n v="0"/>
    <n v="0"/>
    <m/>
    <n v="0"/>
    <n v="174376.8"/>
    <n v="0"/>
    <n v="0"/>
    <n v="0"/>
    <n v="0"/>
    <n v="336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Audio Menor"/>
    <x v="1"/>
    <x v="10"/>
    <x v="23"/>
    <s v="LHPARJOUR"/>
    <x v="105"/>
    <x v="105"/>
    <x v="0"/>
    <x v="4"/>
    <n v="0.8"/>
    <x v="87"/>
    <n v="7"/>
    <m/>
    <n v="0"/>
    <n v="10890"/>
    <n v="76230"/>
    <n v="10.53"/>
    <n v="11504.025"/>
    <n v="21000"/>
    <n v="21000"/>
    <s v="Shenzhen"/>
    <s v="30/70"/>
    <n v="30"/>
    <n v="100"/>
    <n v="12"/>
    <n v="0.6462349610524549"/>
    <n v="24"/>
    <n v="0.5466836991135864"/>
    <n v="8"/>
    <n v="0.5783642963096278"/>
    <n v="10"/>
    <n v="0.4216522831228742"/>
    <n v="4"/>
    <n v="0.4932911034710121"/>
    <n v="11"/>
    <n v="0.4166076477151386"/>
    <n v="2"/>
    <n v="0.4876690476190476"/>
    <n v="5"/>
    <n v="0.4284465608465608"/>
    <n v="21"/>
    <n v="0.423813000755858"/>
    <n v="41"/>
    <n v="0.3712907202389716"/>
    <n v="30"/>
    <n v="0.4727624749247386"/>
    <n v="28"/>
    <n v="0.5206495608165063"/>
    <n v="9"/>
    <s v=""/>
    <n v="13"/>
    <s v=""/>
    <n v="15"/>
    <s v=""/>
    <n v="11"/>
    <s v=""/>
    <n v="0.9166666666666666"/>
    <n v="9"/>
    <s v=""/>
    <n v="0.5625"/>
    <n v="16"/>
    <s v=""/>
    <n v="0.64"/>
    <n v="0"/>
    <s v=""/>
    <n v="0"/>
    <n v="20"/>
    <n v="85"/>
    <n v="15"/>
    <n v="0"/>
    <n v="0"/>
    <n v="0"/>
    <n v="539055"/>
    <n v="926376.7499999999"/>
    <n v="163350"/>
    <n v="0"/>
    <n v="7"/>
    <n v="76230"/>
    <n v="264705.8823529412"/>
    <n v="15"/>
    <n v="77"/>
    <n v="19.5"/>
    <n v="0"/>
    <n v="0"/>
    <n v="0"/>
    <n v="495495"/>
    <n v="839188.35"/>
    <n v="212355"/>
    <n v="0"/>
    <n v="7"/>
    <n v="76230"/>
    <n v="344117.6470588236"/>
    <n v="20"/>
    <n v="62"/>
    <n v="15"/>
    <n v="0"/>
    <n v="0"/>
    <n v="422641.44"/>
    <n v="675180"/>
    <n v="163350"/>
    <n v="0"/>
    <n v="7"/>
    <n v="76230"/>
    <n v="315000"/>
    <n v="12"/>
    <n v="48"/>
    <n v="11"/>
    <n v="0"/>
    <n v="0"/>
    <n v="523130.4"/>
    <n v="119790"/>
    <n v="0"/>
    <n v="0"/>
    <n v="7"/>
    <n v="76230"/>
    <n v="231000"/>
    <n v="16"/>
    <n v="16"/>
    <n v="12.8"/>
    <m/>
    <n v="0"/>
    <n v="0"/>
    <n v="174240"/>
    <n v="139501.44"/>
    <n v="0"/>
    <n v="0"/>
    <n v="7"/>
    <n v="76230"/>
    <n v="268800"/>
    <n v="25"/>
    <n v="23"/>
    <n v="16"/>
    <m/>
    <n v="0"/>
    <n v="0"/>
    <n v="250470"/>
    <n v="174376.8"/>
    <n v="0"/>
    <n v="0"/>
    <n v="23"/>
    <n v="76230"/>
    <n v="336000"/>
    <n v="12"/>
    <n v="7"/>
    <n v="9.600000000000001"/>
    <n v="0"/>
    <n v="0"/>
    <n v="0"/>
    <n v="76230"/>
    <n v="104626.08"/>
    <n v="0"/>
    <n v="0"/>
    <n v="7"/>
    <n v="76230"/>
    <n v="201600"/>
    <n v="22"/>
    <n v="0"/>
    <n v="17.6"/>
    <n v="0"/>
    <n v="0"/>
    <n v="0"/>
    <n v="0"/>
    <n v="191814.48"/>
    <n v="0"/>
    <n v="0"/>
    <n v="0"/>
    <n v="0"/>
    <n v="369600.0000000001"/>
    <n v="30"/>
    <n v="0"/>
    <n v="24"/>
    <n v="0"/>
    <n v="0"/>
    <m/>
    <n v="0"/>
    <n v="261565.2"/>
    <n v="0"/>
    <n v="0"/>
    <n v="0"/>
    <n v="0"/>
    <n v="504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Equipamiento"/>
    <x v="1"/>
    <x v="11"/>
    <x v="24"/>
    <n v="1623703942966"/>
    <x v="106"/>
    <x v="106"/>
    <x v="0"/>
    <x v="3"/>
    <n v="1"/>
    <x v="88"/>
    <n v="121"/>
    <m/>
    <n v="0"/>
    <n v="2636.019899778198"/>
    <n v="318958.407873162"/>
    <n v="2.5"/>
    <n v="2731.25"/>
    <n v="10915.96638655462"/>
    <n v="8394.957983193277"/>
    <s v="Shenzhen"/>
    <s v="30/70"/>
    <n v="30"/>
    <n v="300"/>
    <n v="90"/>
    <n v="0.7430663549076114"/>
    <n v="107"/>
    <n v="0.7573820440402506"/>
    <n v="518"/>
    <n v="0.7136858946480397"/>
    <n v="24"/>
    <n v="0.7556707441268664"/>
    <n v="4"/>
    <n v="1"/>
    <n v="10"/>
    <n v="0.7692329334324238"/>
    <n v="43"/>
    <n v="0.7535017925044702"/>
    <n v="96"/>
    <n v="0.7573322240443797"/>
    <n v="116"/>
    <n v="0.7595225088256387"/>
    <n v="167"/>
    <n v="0.7116419860940777"/>
    <n v="204"/>
    <n v="0.7122622637310793"/>
    <n v="181"/>
    <n v="0.7107170253180662"/>
    <n v="53"/>
    <n v="0.5905112267132052"/>
    <n v="75"/>
    <n v="0.5791509629155431"/>
    <n v="168"/>
    <n v="0.5556182806973445"/>
    <n v="164"/>
    <n v="0.5571027960108159"/>
    <n v="2.733333333333333"/>
    <n v="181"/>
    <n v="0.7516416042747254"/>
    <n v="1.81"/>
    <n v="184"/>
    <n v="0.4938478695602929"/>
    <n v="0.92"/>
    <n v="0"/>
    <n v="0.5933361366221188"/>
    <n v="0"/>
    <n v="100"/>
    <n v="116"/>
    <n v="90"/>
    <n v="200"/>
    <n v="200"/>
    <n v="0"/>
    <n v="976645.3728678224"/>
    <n v="300150"/>
    <n v="237241.7909800378"/>
    <n v="0"/>
    <n v="121"/>
    <n v="318958.407873162"/>
    <n v="825577.2897394253"/>
    <n v="100"/>
    <n v="347"/>
    <n v="112.5"/>
    <n v="100"/>
    <n v="100"/>
    <n v="0"/>
    <n v="1171710.845451409"/>
    <n v="897862.5"/>
    <n v="296552.2387250473"/>
    <n v="0"/>
    <n v="121"/>
    <n v="318958.407873162"/>
    <n v="1031971.612174282"/>
    <n v="250"/>
    <n v="507"/>
    <n v="168"/>
    <n v="0"/>
    <n v="0"/>
    <n v="1133908.606726362"/>
    <n v="1336462.089187546"/>
    <n v="442851.3431627373"/>
    <n v="0"/>
    <n v="121"/>
    <n v="318958.407873162"/>
    <n v="1833882.352941177"/>
    <n v="60"/>
    <n v="700"/>
    <n v="164"/>
    <n v="300"/>
    <n v="0"/>
    <n v="1811250"/>
    <n v="432307.2635636245"/>
    <n v="776250"/>
    <n v="0"/>
    <n v="121"/>
    <n v="318958.407873162"/>
    <n v="1790218.487394958"/>
    <n v="100"/>
    <n v="302"/>
    <n v="100"/>
    <m/>
    <n v="0"/>
    <n v="0"/>
    <n v="796078.0097330158"/>
    <n v="258750"/>
    <n v="0"/>
    <n v="0"/>
    <n v="121"/>
    <n v="318958.407873162"/>
    <n v="1091596.638655462"/>
    <n v="200"/>
    <n v="305"/>
    <n v="184"/>
    <m/>
    <n v="0"/>
    <n v="0"/>
    <n v="803986.0694323505"/>
    <n v="476100"/>
    <n v="0"/>
    <n v="0"/>
    <n v="305"/>
    <n v="318958.407873162"/>
    <n v="2008537.81512605"/>
    <n v="120"/>
    <n v="121"/>
    <n v="120"/>
    <n v="0"/>
    <n v="0"/>
    <n v="0"/>
    <n v="318958.407873162"/>
    <n v="310500"/>
    <n v="0"/>
    <n v="0"/>
    <n v="121"/>
    <n v="318958.407873162"/>
    <n v="1309915.966386555"/>
    <n v="120"/>
    <n v="1"/>
    <n v="120"/>
    <n v="300"/>
    <n v="300"/>
    <n v="300"/>
    <n v="2636.019899778198"/>
    <n v="310500"/>
    <n v="776250"/>
    <n v="776250"/>
    <n v="301"/>
    <n v="778886.0198997782"/>
    <n v="1309915.966386555"/>
    <n v="120"/>
    <n v="181"/>
    <n v="120"/>
    <n v="0"/>
    <n v="0"/>
    <m/>
    <n v="468337.5"/>
    <n v="310500"/>
    <n v="0"/>
    <n v="0"/>
    <n v="181"/>
    <n v="468337.5"/>
    <n v="1309915.966386555"/>
    <n v="200"/>
    <n v="61"/>
    <n v="61"/>
    <n v="300"/>
    <n v="300"/>
    <n v="300"/>
    <n v="0"/>
    <n v="157837.5"/>
    <n v="157837.5"/>
    <n v="776250"/>
    <n v="776250"/>
    <n v="361"/>
    <n v="934087.5"/>
    <n v="512092.4369747899"/>
    <n v="204"/>
    <n v="300"/>
    <n v="204"/>
    <n v="0"/>
    <n v="0"/>
    <n v="776250"/>
    <n v="527850"/>
    <n v="0"/>
    <n v="0"/>
    <n v="300"/>
    <n v="776250"/>
    <n v="1798200"/>
    <n v="300"/>
    <n v="96"/>
    <n v="300"/>
    <n v="0"/>
    <n v="0"/>
    <n v="248400"/>
    <n v="776250"/>
    <n v="0"/>
    <n v="96"/>
    <n v="248400"/>
    <n v="3274789.915966387"/>
    <n v="122.4"/>
    <n v="0"/>
    <n v="122.4"/>
    <n v="0"/>
    <m/>
    <n v="0"/>
    <n v="322648.8357328514"/>
    <n v="0"/>
    <n v="0"/>
    <n v="0"/>
    <n v="1336114.285714286"/>
  </r>
  <r>
    <s v="Lhotse-Equipamiento"/>
    <x v="1"/>
    <x v="11"/>
    <x v="24"/>
    <s v="LHBANHIM"/>
    <x v="107"/>
    <x v="107"/>
    <x v="0"/>
    <x v="4"/>
    <n v="1"/>
    <x v="89"/>
    <n v="200"/>
    <m/>
    <n v="0"/>
    <n v="3412"/>
    <n v="682400"/>
    <n v="3.75"/>
    <n v="4096.875"/>
    <n v="8394.957983193277"/>
    <n v="7554.621848739496"/>
    <s v="Shenzhen"/>
    <s v="30/70"/>
    <n v="45"/>
    <n v="300"/>
    <n v="49"/>
    <n v="0.5284249935310033"/>
    <n v="34"/>
    <n v="0.5146444993332804"/>
    <n v="36"/>
    <n v="0.5148314170131792"/>
    <n v="24"/>
    <n v="0.5274345566074897"/>
    <n v="387"/>
    <n v="0.3034573361452524"/>
    <n v="18"/>
    <n v="2.815199476213945"/>
    <n v="31"/>
    <n v="0.456439183098661"/>
    <n v="16"/>
    <n v="0.5247369851221778"/>
    <n v="20"/>
    <n v="0.5366840909083102"/>
    <n v="77"/>
    <n v="0.5062085399313548"/>
    <n v="10"/>
    <n v="0.5128172144564745"/>
    <n v="7"/>
    <n v="0.3984185441941074"/>
    <n v="59"/>
    <s v=""/>
    <n v="82"/>
    <s v=""/>
    <n v="40"/>
    <s v=""/>
    <n v="4"/>
    <s v=""/>
    <n v="0.16"/>
    <n v="36"/>
    <s v=""/>
    <n v="1.028571428571428"/>
    <n v="25"/>
    <s v=""/>
    <n v="0.625"/>
    <n v="34"/>
    <s v=""/>
    <n v="1.133333333333333"/>
    <n v="5"/>
    <n v="4"/>
    <n v="5"/>
    <n v="0"/>
    <n v="150"/>
    <n v="0"/>
    <n v="573216"/>
    <n v="15525"/>
    <n v="17060"/>
    <n v="0"/>
    <n v="200"/>
    <n v="682400"/>
    <n v="35272.93270249276"/>
    <n v="35"/>
    <n v="455"/>
    <n v="123"/>
    <n v="0"/>
    <n v="0"/>
    <n v="0"/>
    <n v="569804"/>
    <n v="1765968.75"/>
    <n v="419676"/>
    <n v="0"/>
    <n v="200"/>
    <n v="682400"/>
    <n v="867714.1444813219"/>
    <n v="87.5"/>
    <n v="286"/>
    <n v="40"/>
    <n v="0"/>
    <n v="0"/>
    <n v="285971.75"/>
    <n v="975832"/>
    <n v="136480"/>
    <n v="0"/>
    <n v="200"/>
    <n v="682400"/>
    <n v="335798.3193277311"/>
    <n v="25"/>
    <n v="335"/>
    <n v="4"/>
    <n v="0"/>
    <n v="0"/>
    <n v="1300218.75"/>
    <n v="13648"/>
    <n v="0"/>
    <n v="0"/>
    <n v="200"/>
    <n v="682400"/>
    <n v="33579.83193277311"/>
    <n v="35"/>
    <n v="236"/>
    <n v="35"/>
    <m/>
    <n v="0"/>
    <n v="0"/>
    <n v="805232"/>
    <n v="135843.75"/>
    <n v="0"/>
    <n v="0"/>
    <n v="200"/>
    <n v="682400"/>
    <n v="293823.5294117647"/>
    <n v="40"/>
    <n v="225"/>
    <n v="25"/>
    <m/>
    <n v="0"/>
    <n v="0"/>
    <n v="767700"/>
    <n v="97031.24999999999"/>
    <n v="0"/>
    <n v="0"/>
    <n v="225"/>
    <n v="682400"/>
    <n v="209873.9495798319"/>
    <n v="30"/>
    <n v="234"/>
    <n v="30"/>
    <n v="0"/>
    <n v="0"/>
    <n v="0"/>
    <n v="798408"/>
    <n v="116437.5"/>
    <n v="0"/>
    <n v="0"/>
    <n v="234"/>
    <n v="682400"/>
    <n v="251848.7394957983"/>
    <n v="30"/>
    <n v="204"/>
    <n v="30"/>
    <n v="0"/>
    <n v="0"/>
    <n v="0"/>
    <n v="696048"/>
    <n v="116437.5"/>
    <n v="0"/>
    <n v="0"/>
    <n v="204"/>
    <n v="696048"/>
    <n v="251848.7394957983"/>
    <n v="35"/>
    <n v="174"/>
    <n v="35"/>
    <n v="0"/>
    <n v="0"/>
    <m/>
    <n v="675337.4999999999"/>
    <n v="135843.75"/>
    <n v="0"/>
    <n v="0"/>
    <n v="174"/>
    <n v="675337.4999999999"/>
    <n v="293823.5294117647"/>
    <n v="70"/>
    <n v="139"/>
    <n v="70"/>
    <n v="0"/>
    <n v="0"/>
    <n v="0"/>
    <m/>
    <n v="539493.7499999999"/>
    <n v="271687.4999999999"/>
    <n v="0"/>
    <n v="0"/>
    <n v="139"/>
    <n v="539493.7499999999"/>
    <n v="528823.5294117647"/>
    <n v="60"/>
    <n v="69"/>
    <n v="60"/>
    <n v="0"/>
    <n v="0"/>
    <n v="267806.2499999999"/>
    <n v="232875"/>
    <n v="0"/>
    <n v="0"/>
    <n v="69"/>
    <n v="267806.2499999999"/>
    <n v="475941.1764705883"/>
    <n v="100"/>
    <n v="9"/>
    <n v="100"/>
    <n v="0"/>
    <n v="0"/>
    <n v="34931.24999999999"/>
    <n v="388124.9999999999"/>
    <n v="0"/>
    <n v="9"/>
    <n v="34931.24999999999"/>
    <n v="839495.7983193276"/>
    <n v="36"/>
    <n v="0"/>
    <n v="36"/>
    <n v="0"/>
    <m/>
    <n v="0"/>
    <n v="122832"/>
    <n v="0"/>
    <n v="0"/>
    <n v="0"/>
    <n v="302218.487394958"/>
  </r>
  <r>
    <s v="Lhotse-Equipamiento"/>
    <x v="1"/>
    <x v="11"/>
    <x v="24"/>
    <s v="LHBANHIM"/>
    <x v="108"/>
    <x v="107"/>
    <x v="0"/>
    <x v="6"/>
    <n v="1"/>
    <x v="12"/>
    <n v="11"/>
    <m/>
    <n v="0"/>
    <n v="3821"/>
    <n v="42031"/>
    <n v="3.75"/>
    <n v="4096.875"/>
    <n v="8394.957983193277"/>
    <n v="8394.957983193277"/>
    <s v="Shenzhen"/>
    <s v="30/70"/>
    <n v="45"/>
    <n v="300"/>
    <n v="11"/>
    <n v="0.543564504382456"/>
    <n v="7"/>
    <n v="0.5448318323127919"/>
    <n v="5"/>
    <n v="0.5448298004812794"/>
    <n v="5"/>
    <n v="0.5448298004812794"/>
    <n v="3"/>
    <n v="0.5448302561048244"/>
    <n v="1"/>
    <n v="0.2303051666834525"/>
    <n v="10"/>
    <n v="0.4636226482753576"/>
    <n v="0"/>
    <s v=""/>
    <n v="3"/>
    <n v="0.5090800982019343"/>
    <n v="13"/>
    <n v="0.485900034048467"/>
    <n v="16"/>
    <n v="0.5248440515571985"/>
    <n v="144"/>
    <n v="0.4433677075862258"/>
    <n v="52"/>
    <s v=""/>
    <n v="16"/>
    <s v=""/>
    <n v="11"/>
    <s v=""/>
    <n v="7"/>
    <s v=""/>
    <n v="0.7"/>
    <n v="8"/>
    <s v=""/>
    <n v="2"/>
    <n v="4"/>
    <s v=""/>
    <n v="0.4"/>
    <n v="3"/>
    <s v=""/>
    <n v="0.2142857142857143"/>
    <n v="25"/>
    <n v="90"/>
    <n v="25"/>
    <n v="0"/>
    <n v="0"/>
    <n v="0"/>
    <n v="229260"/>
    <n v="349312.4999999999"/>
    <n v="95525"/>
    <n v="0"/>
    <n v="11"/>
    <n v="42031"/>
    <n v="176364.6635124638"/>
    <n v="15"/>
    <n v="58"/>
    <n v="24"/>
    <n v="0"/>
    <n v="0"/>
    <n v="0"/>
    <n v="160482"/>
    <n v="225112.5"/>
    <n v="91704"/>
    <n v="0"/>
    <n v="11"/>
    <n v="42031"/>
    <n v="169310.0769719653"/>
    <n v="9"/>
    <n v="34"/>
    <n v="11"/>
    <n v="0"/>
    <n v="0"/>
    <n v="84303"/>
    <n v="129914"/>
    <n v="42031"/>
    <n v="0"/>
    <n v="11"/>
    <n v="42031"/>
    <n v="92344.53781512605"/>
    <n v="10"/>
    <n v="32"/>
    <n v="7"/>
    <n v="0"/>
    <n v="0"/>
    <n v="124200"/>
    <n v="26747"/>
    <n v="0"/>
    <n v="0"/>
    <n v="11"/>
    <n v="42031"/>
    <n v="58764.70588235294"/>
    <n v="4"/>
    <n v="19"/>
    <n v="4"/>
    <m/>
    <n v="0"/>
    <n v="0"/>
    <n v="72599"/>
    <n v="15525"/>
    <n v="0"/>
    <n v="0"/>
    <n v="11"/>
    <n v="42031"/>
    <n v="33579.83193277311"/>
    <n v="10"/>
    <n v="15"/>
    <n v="4"/>
    <m/>
    <n v="0"/>
    <n v="0"/>
    <n v="57315"/>
    <n v="15525"/>
    <n v="0"/>
    <n v="0"/>
    <n v="15"/>
    <n v="42031"/>
    <n v="33579.83193277311"/>
    <n v="14"/>
    <n v="14"/>
    <n v="14"/>
    <n v="0"/>
    <n v="0"/>
    <n v="0"/>
    <n v="53494"/>
    <n v="54337.49999999999"/>
    <n v="0"/>
    <n v="0"/>
    <n v="14"/>
    <n v="42031"/>
    <n v="117529.4117647059"/>
    <n v="3"/>
    <n v="0"/>
    <n v="3"/>
    <n v="0"/>
    <n v="0"/>
    <n v="0"/>
    <n v="0"/>
    <n v="11643.75"/>
    <n v="0"/>
    <n v="0"/>
    <n v="0"/>
    <n v="0"/>
    <n v="25184.87394957983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Equipamiento"/>
    <x v="1"/>
    <x v="11"/>
    <x v="24"/>
    <s v="LHBANHIM"/>
    <x v="109"/>
    <x v="107"/>
    <x v="0"/>
    <x v="6"/>
    <n v="1"/>
    <x v="12"/>
    <n v="4"/>
    <m/>
    <n v="0"/>
    <n v="3821"/>
    <n v="15284"/>
    <n v="3.75"/>
    <n v="4096.875"/>
    <n v="8394.957983193277"/>
    <n v="8394.957983193277"/>
    <s v="Shenzhen"/>
    <s v="30/70"/>
    <n v="45"/>
    <n v="300"/>
    <n v="9"/>
    <n v="0.5461091712361824"/>
    <n v="9"/>
    <n v="0.4807160952106729"/>
    <n v="5"/>
    <n v="0.43959909595909"/>
    <n v="9"/>
    <n v="0.5244732355100874"/>
    <n v="4"/>
    <n v="0.5984857082807903"/>
    <n v="7"/>
    <n v="0.4645084436970079"/>
    <n v="16"/>
    <n v="0.4938233289621331"/>
    <n v="5"/>
    <n v="0.5448703008196164"/>
    <n v="11"/>
    <n v="0.5411227556928202"/>
    <n v="23"/>
    <n v="0.5241628510069476"/>
    <n v="20"/>
    <n v="0.516296660034802"/>
    <n v="109"/>
    <n v="0.42641330732664"/>
    <n v="65"/>
    <s v=""/>
    <n v="18"/>
    <s v=""/>
    <n v="11"/>
    <s v=""/>
    <n v="0"/>
    <s v=""/>
    <n v="0"/>
    <n v="0"/>
    <s v=""/>
    <n v="0"/>
    <n v="0"/>
    <s v=""/>
    <n v="0"/>
    <n v="0"/>
    <s v=""/>
    <n v="0"/>
    <n v="25"/>
    <n v="85"/>
    <n v="30"/>
    <n v="0"/>
    <n v="0"/>
    <n v="0"/>
    <n v="259828"/>
    <n v="329906.2499999999"/>
    <n v="114630"/>
    <n v="0"/>
    <n v="4"/>
    <n v="15284"/>
    <n v="211637.5962149566"/>
    <n v="15"/>
    <n v="32"/>
    <n v="27"/>
    <n v="0"/>
    <n v="0"/>
    <n v="0"/>
    <n v="145198"/>
    <n v="124200"/>
    <n v="103167"/>
    <n v="0"/>
    <n v="4"/>
    <n v="15284"/>
    <n v="190473.8365934609"/>
    <n v="9"/>
    <n v="15"/>
    <n v="11"/>
    <n v="0"/>
    <n v="0"/>
    <n v="42031"/>
    <n v="57315"/>
    <n v="42031"/>
    <n v="0"/>
    <n v="4"/>
    <n v="15284"/>
    <n v="92344.53781512605"/>
    <n v="10"/>
    <n v="4"/>
    <n v="0"/>
    <n v="0"/>
    <n v="0"/>
    <n v="15525"/>
    <n v="0"/>
    <n v="0"/>
    <n v="0"/>
    <n v="4"/>
    <n v="15284"/>
    <n v="0"/>
    <n v="0"/>
    <n v="4"/>
    <n v="0"/>
    <m/>
    <n v="0"/>
    <n v="0"/>
    <n v="15284"/>
    <n v="0"/>
    <n v="0"/>
    <n v="0"/>
    <n v="4"/>
    <n v="15284"/>
    <n v="0"/>
    <n v="0"/>
    <n v="4"/>
    <n v="0"/>
    <m/>
    <n v="0"/>
    <n v="0"/>
    <n v="15284"/>
    <n v="0"/>
    <n v="0"/>
    <n v="0"/>
    <n v="4"/>
    <n v="15284"/>
    <n v="0"/>
    <n v="0"/>
    <n v="4"/>
    <n v="0"/>
    <n v="0"/>
    <n v="0"/>
    <n v="0"/>
    <n v="15284"/>
    <n v="0"/>
    <n v="0"/>
    <n v="0"/>
    <n v="4"/>
    <n v="15284"/>
    <n v="0"/>
    <n v="0"/>
    <n v="4"/>
    <n v="0"/>
    <n v="0"/>
    <n v="0"/>
    <n v="0"/>
    <n v="15284"/>
    <n v="0"/>
    <n v="0"/>
    <n v="0"/>
    <n v="4"/>
    <n v="15284"/>
    <n v="0"/>
    <n v="0"/>
    <n v="4"/>
    <n v="0"/>
    <n v="0"/>
    <n v="0"/>
    <m/>
    <n v="15525"/>
    <n v="0"/>
    <n v="0"/>
    <n v="0"/>
    <n v="4"/>
    <n v="15525"/>
    <n v="0"/>
    <n v="0"/>
    <n v="4"/>
    <n v="0"/>
    <n v="0"/>
    <n v="0"/>
    <n v="0"/>
    <m/>
    <n v="15525"/>
    <n v="0"/>
    <n v="0"/>
    <n v="0"/>
    <n v="4"/>
    <n v="15525"/>
    <n v="0"/>
    <n v="0"/>
    <n v="4"/>
    <n v="0"/>
    <n v="0"/>
    <n v="0"/>
    <n v="15525"/>
    <n v="0"/>
    <n v="0"/>
    <n v="0"/>
    <n v="4"/>
    <n v="15525"/>
    <n v="0"/>
    <n v="0"/>
    <n v="4"/>
    <n v="0"/>
    <n v="0"/>
    <n v="0"/>
    <n v="15525"/>
    <n v="0"/>
    <n v="0"/>
    <n v="4"/>
    <n v="15525"/>
    <n v="0"/>
    <n v="0"/>
    <n v="4"/>
    <n v="0"/>
    <n v="0"/>
    <m/>
    <n v="15525"/>
    <n v="0"/>
    <n v="0"/>
    <n v="4"/>
    <n v="15525"/>
    <n v="0"/>
  </r>
  <r>
    <m/>
    <x v="1"/>
    <x v="11"/>
    <x v="24"/>
    <s v="LHBANK2"/>
    <x v="110"/>
    <x v="108"/>
    <x v="0"/>
    <x v="3"/>
    <n v="1"/>
    <x v="90"/>
    <n v="274"/>
    <m/>
    <n v="0"/>
    <n v="4569"/>
    <n v="1251906"/>
    <n v="4.7"/>
    <n v="5134.75"/>
    <n v="16798.31932773109"/>
    <n v="15117.64705882353"/>
    <s v="Shenzhen"/>
    <s v="30/70"/>
    <n v="45"/>
    <n v="300"/>
    <n v="0"/>
    <s v=""/>
    <n v="0"/>
    <s v=""/>
    <n v="0"/>
    <s v=""/>
    <n v="0"/>
    <s v=""/>
    <n v="0"/>
    <s v=""/>
    <n v="0"/>
    <s v=""/>
    <n v="0"/>
    <s v=""/>
    <n v="0"/>
    <s v=""/>
    <n v="2"/>
    <n v="0.5362385111344826"/>
    <n v="26"/>
    <n v="0.6111112653368858"/>
    <n v="53"/>
    <n v="0.5776687518383767"/>
    <n v="44"/>
    <n v="0.7174523198914226"/>
    <n v="32"/>
    <s v=""/>
    <n v="35"/>
    <s v=""/>
    <n v="1"/>
    <s v=""/>
    <n v="0"/>
    <s v=""/>
    <n v="0"/>
    <n v="2"/>
    <s v=""/>
    <n v="0.05714285714285714"/>
    <n v="10"/>
    <s v=""/>
    <n v="0.1666666666666667"/>
    <n v="15"/>
    <s v=""/>
    <n v="0.4166666666666667"/>
    <n v="30"/>
    <n v="54"/>
    <n v="35"/>
    <n v="0"/>
    <n v="0"/>
    <n v="0"/>
    <n v="404356.5"/>
    <n v="262683"/>
    <n v="159915"/>
    <n v="0"/>
    <n v="274"/>
    <n v="1251906"/>
    <n v="494068.2155215028"/>
    <n v="19"/>
    <n v="36"/>
    <n v="52.5"/>
    <n v="0"/>
    <n v="0"/>
    <n v="0"/>
    <n v="244441.5"/>
    <n v="175122"/>
    <n v="239872.5"/>
    <n v="0"/>
    <n v="274"/>
    <n v="1251906"/>
    <n v="741102.3232822542"/>
    <n v="0"/>
    <n v="1"/>
    <n v="1"/>
    <n v="0"/>
    <n v="0"/>
    <n v="174826.5"/>
    <n v="4569"/>
    <n v="4569"/>
    <n v="0"/>
    <n v="274"/>
    <n v="1251906"/>
    <n v="16798.31932773109"/>
    <n v="20"/>
    <n v="0"/>
    <n v="0"/>
    <n v="300"/>
    <n v="0"/>
    <n v="0"/>
    <n v="0"/>
    <n v="1459350"/>
    <n v="0"/>
    <n v="274"/>
    <n v="1251906"/>
    <n v="0"/>
    <n v="35"/>
    <n v="276"/>
    <n v="35"/>
    <m/>
    <n v="0"/>
    <n v="0"/>
    <n v="1261044"/>
    <n v="170257.5"/>
    <n v="0"/>
    <n v="0"/>
    <n v="274"/>
    <n v="1251906"/>
    <n v="587941.1764705882"/>
    <n v="60"/>
    <n v="284"/>
    <n v="10"/>
    <m/>
    <n v="0"/>
    <n v="0"/>
    <n v="1297596"/>
    <n v="48645"/>
    <n v="0"/>
    <n v="0"/>
    <n v="284"/>
    <n v="1251906"/>
    <n v="167983.1932773109"/>
    <n v="36"/>
    <n v="289"/>
    <n v="36"/>
    <n v="0"/>
    <n v="0"/>
    <n v="0"/>
    <n v="1320441"/>
    <n v="175122"/>
    <n v="0"/>
    <n v="0"/>
    <n v="289"/>
    <n v="1251906"/>
    <n v="604739.4957983193"/>
    <n v="35"/>
    <n v="253"/>
    <n v="35"/>
    <n v="0"/>
    <n v="0"/>
    <n v="0"/>
    <n v="1155957"/>
    <n v="170257.5"/>
    <n v="0"/>
    <n v="0"/>
    <n v="253"/>
    <n v="1155957"/>
    <n v="587941.1764705882"/>
    <n v="35"/>
    <n v="218"/>
    <n v="35"/>
    <n v="300"/>
    <n v="0"/>
    <m/>
    <n v="1060461"/>
    <n v="170257.5"/>
    <n v="1459350"/>
    <n v="0"/>
    <n v="218"/>
    <n v="1060461"/>
    <n v="587941.1764705882"/>
    <n v="100"/>
    <n v="483"/>
    <n v="100"/>
    <n v="0"/>
    <n v="0"/>
    <n v="0"/>
    <n v="300"/>
    <n v="2349553.5"/>
    <n v="486450"/>
    <n v="0"/>
    <n v="1459350"/>
    <n v="483"/>
    <n v="3808903.5"/>
    <n v="1511764.705882353"/>
    <n v="80"/>
    <n v="383"/>
    <n v="80"/>
    <n v="0"/>
    <n v="0"/>
    <n v="1863103.5"/>
    <n v="389160"/>
    <n v="0"/>
    <n v="0"/>
    <n v="383"/>
    <n v="1863103.5"/>
    <n v="1269882.352941177"/>
    <n v="150"/>
    <n v="303"/>
    <n v="150"/>
    <n v="300"/>
    <n v="300"/>
    <n v="1473943.5"/>
    <n v="729675"/>
    <n v="1459350"/>
    <n v="603"/>
    <n v="2933293.5"/>
    <n v="2519747.899159664"/>
    <n v="48"/>
    <n v="453"/>
    <n v="48"/>
    <n v="0"/>
    <m/>
    <n v="2203618.5"/>
    <n v="219312"/>
    <n v="0"/>
    <n v="453"/>
    <n v="2203618.5"/>
    <n v="806319.3277310925"/>
  </r>
  <r>
    <s v="Lhotse-Equipamiento"/>
    <x v="1"/>
    <x v="11"/>
    <x v="25"/>
    <s v="LHMALEXPBK-90"/>
    <x v="111"/>
    <x v="109"/>
    <x v="0"/>
    <x v="3"/>
    <n v="1"/>
    <x v="91"/>
    <n v="12"/>
    <m/>
    <n v="0"/>
    <n v="43172"/>
    <n v="518064"/>
    <n v="40.75"/>
    <n v="44519.375"/>
    <n v="84025.21008403362"/>
    <n v="84025.21008403362"/>
    <s v="Shenzhen"/>
    <s v="30/70"/>
    <n v="60"/>
    <n v="300"/>
    <n v="20"/>
    <n v="0.5152803364277154"/>
    <n v="15"/>
    <n v="0.4238532079658671"/>
    <n v="26"/>
    <n v="0.4411269728642683"/>
    <n v="12"/>
    <n v="0.4618070882824332"/>
    <n v="8"/>
    <n v="0.4525251247219175"/>
    <n v="29"/>
    <n v="0.3797002269816995"/>
    <n v="27"/>
    <n v="0.3644394682683628"/>
    <n v="29"/>
    <n v="0.4168520796219863"/>
    <n v="5"/>
    <n v="0.5029520640409256"/>
    <n v="26"/>
    <n v="0.4254784244948885"/>
    <n v="16"/>
    <n v="0.394183079168613"/>
    <n v="57"/>
    <n v="0.3408664055230259"/>
    <n v="86"/>
    <s v=""/>
    <n v="45"/>
    <s v=""/>
    <n v="25"/>
    <s v=""/>
    <n v="18"/>
    <s v=""/>
    <n v="1.2"/>
    <n v="12"/>
    <s v=""/>
    <n v="0.8"/>
    <n v="8"/>
    <s v=""/>
    <n v="0.2"/>
    <n v="10"/>
    <s v=""/>
    <n v="0.6666666666666666"/>
    <n v="22"/>
    <n v="97"/>
    <n v="40"/>
    <n v="0"/>
    <n v="100"/>
    <n v="0"/>
    <n v="5720290"/>
    <n v="4091096.25"/>
    <n v="1726880"/>
    <n v="0"/>
    <n v="12"/>
    <n v="518064"/>
    <n v="2824376.809547348"/>
    <n v="35"/>
    <n v="125"/>
    <n v="67.5"/>
    <n v="0"/>
    <n v="0"/>
    <n v="0"/>
    <n v="4770506"/>
    <n v="5272031.25"/>
    <n v="2914110"/>
    <n v="0"/>
    <n v="12"/>
    <n v="518064"/>
    <n v="4766135.866111151"/>
    <n v="45"/>
    <n v="66"/>
    <n v="25"/>
    <n v="0"/>
    <n v="0"/>
    <n v="2489039.75"/>
    <n v="2849352"/>
    <n v="1079300"/>
    <n v="0"/>
    <n v="12"/>
    <n v="518064"/>
    <n v="2100630.252100841"/>
    <n v="15"/>
    <n v="48"/>
    <n v="18"/>
    <n v="0"/>
    <n v="0"/>
    <n v="2024460"/>
    <n v="777096"/>
    <n v="0"/>
    <n v="0"/>
    <n v="12"/>
    <n v="518064"/>
    <n v="1512453.781512605"/>
    <n v="15"/>
    <n v="24"/>
    <n v="15"/>
    <m/>
    <n v="0"/>
    <n v="0"/>
    <n v="1036128"/>
    <n v="632643.75"/>
    <n v="0"/>
    <n v="0"/>
    <n v="12"/>
    <n v="518064"/>
    <n v="1260378.151260504"/>
    <n v="40"/>
    <n v="20"/>
    <n v="8"/>
    <m/>
    <n v="0"/>
    <n v="0"/>
    <n v="863440"/>
    <n v="337410"/>
    <n v="0"/>
    <n v="0"/>
    <n v="20"/>
    <n v="518064"/>
    <n v="672201.680672269"/>
    <n v="15"/>
    <n v="22"/>
    <n v="15"/>
    <n v="200"/>
    <n v="200"/>
    <n v="0"/>
    <n v="949784"/>
    <n v="632643.75"/>
    <n v="8154075"/>
    <n v="0"/>
    <n v="22"/>
    <n v="518064"/>
    <n v="1260378.151260504"/>
    <n v="4"/>
    <n v="7"/>
    <n v="4"/>
    <n v="0"/>
    <n v="0"/>
    <n v="0"/>
    <n v="302204"/>
    <n v="168705"/>
    <n v="0"/>
    <n v="0"/>
    <n v="7"/>
    <n v="302204"/>
    <n v="336100.8403361345"/>
    <n v="0"/>
    <n v="3"/>
    <n v="0"/>
    <n v="0"/>
    <n v="0"/>
    <n v="200"/>
    <n v="126528.75"/>
    <n v="0"/>
    <n v="0"/>
    <n v="8435250"/>
    <n v="203"/>
    <n v="8561778.75"/>
    <n v="0"/>
    <n v="50"/>
    <n v="203"/>
    <n v="50"/>
    <n v="0"/>
    <n v="0"/>
    <n v="0"/>
    <n v="0"/>
    <n v="8561778.75"/>
    <n v="2108812.5"/>
    <n v="0"/>
    <n v="0"/>
    <n v="203"/>
    <n v="8561778.75"/>
    <n v="4201260.504201681"/>
    <n v="25"/>
    <n v="153"/>
    <n v="25"/>
    <n v="0"/>
    <n v="0"/>
    <n v="6452966.25"/>
    <n v="1054406.25"/>
    <n v="0"/>
    <n v="0"/>
    <n v="153"/>
    <n v="6452966.25"/>
    <n v="2205661.764705883"/>
    <n v="60"/>
    <n v="128"/>
    <n v="60"/>
    <n v="0"/>
    <n v="0"/>
    <n v="5398560"/>
    <n v="2530575"/>
    <n v="0"/>
    <n v="128"/>
    <n v="5398560"/>
    <n v="5041512.605042017"/>
    <n v="15"/>
    <n v="68"/>
    <n v="15"/>
    <n v="150"/>
    <n v="150"/>
    <n v="2867985"/>
    <n v="647580"/>
    <n v="6326437.5"/>
    <n v="218"/>
    <n v="9194422.5"/>
    <n v="1260378.151260504"/>
  </r>
  <r>
    <s v="Lhotse-Equipamiento"/>
    <x v="1"/>
    <x v="11"/>
    <x v="25"/>
    <s v="LHMALEXPBK-70"/>
    <x v="112"/>
    <x v="110"/>
    <x v="0"/>
    <x v="4"/>
    <n v="1"/>
    <x v="92"/>
    <n v="1"/>
    <m/>
    <n v="0"/>
    <n v="36446"/>
    <n v="36446"/>
    <n v="34.8"/>
    <n v="38019"/>
    <n v="71420.1680672269"/>
    <n v="67218.48739495799"/>
    <s v="Shenzhen"/>
    <s v="30/70"/>
    <n v="30"/>
    <n v="300"/>
    <n v="5"/>
    <n v="0.4074206364564567"/>
    <n v="17"/>
    <n v="0.4529500205181843"/>
    <n v="23"/>
    <n v="0.4254794858208714"/>
    <n v="13"/>
    <n v="0.4625561881495821"/>
    <n v="8"/>
    <n v="0.4536796767455087"/>
    <n v="13"/>
    <n v="0.3801938195280765"/>
    <n v="34"/>
    <n v="0.3451591042832667"/>
    <n v="19"/>
    <n v="0.3966933455536664"/>
    <n v="7"/>
    <n v="0.4424824036034901"/>
    <n v="17"/>
    <n v="0.3879478741110353"/>
    <n v="12"/>
    <n v="0.4112694402325267"/>
    <n v="27"/>
    <n v="0.3784422126436349"/>
    <n v="75"/>
    <s v=""/>
    <n v="47"/>
    <s v=""/>
    <n v="19"/>
    <s v=""/>
    <n v="13"/>
    <s v=""/>
    <n v="0.8666666666666667"/>
    <n v="42"/>
    <s v=""/>
    <n v="2.8"/>
    <n v="41"/>
    <s v=""/>
    <n v="1.366666666666667"/>
    <n v="13"/>
    <s v=""/>
    <n v="0.52"/>
    <n v="15"/>
    <n v="146"/>
    <n v="20"/>
    <n v="0"/>
    <n v="100"/>
    <n v="0"/>
    <n v="3990837"/>
    <n v="5258627.999999999"/>
    <n v="728920"/>
    <n v="0"/>
    <n v="1"/>
    <n v="36446"/>
    <n v="1200338.959113057"/>
    <n v="15"/>
    <n v="181"/>
    <n v="70.5"/>
    <n v="0"/>
    <n v="0"/>
    <n v="0"/>
    <n v="3735715"/>
    <n v="6519257.999999999"/>
    <n v="2569443"/>
    <n v="0"/>
    <n v="1"/>
    <n v="36446"/>
    <n v="4231194.830873527"/>
    <n v="40"/>
    <n v="132"/>
    <n v="19"/>
    <n v="0"/>
    <n v="0"/>
    <n v="1706542"/>
    <n v="4810872"/>
    <n v="692474"/>
    <n v="0"/>
    <n v="1"/>
    <n v="36446"/>
    <n v="1356983.193277311"/>
    <n v="15"/>
    <n v="119"/>
    <n v="13"/>
    <n v="0"/>
    <n v="0"/>
    <n v="4286141.999999999"/>
    <n v="473798"/>
    <n v="0"/>
    <n v="0"/>
    <n v="1"/>
    <n v="36446"/>
    <n v="928462.1848739497"/>
    <n v="15"/>
    <n v="43"/>
    <n v="15"/>
    <m/>
    <n v="0"/>
    <n v="0"/>
    <n v="1567178"/>
    <n v="540269.9999999999"/>
    <n v="0"/>
    <n v="0"/>
    <n v="1"/>
    <n v="36446"/>
    <n v="1071302.521008404"/>
    <n v="30"/>
    <n v="42"/>
    <n v="41"/>
    <m/>
    <n v="0"/>
    <n v="0"/>
    <n v="1530732"/>
    <n v="1476738"/>
    <n v="0"/>
    <n v="0"/>
    <n v="42"/>
    <n v="36446"/>
    <n v="2928226.890756303"/>
    <n v="25"/>
    <n v="14"/>
    <n v="25"/>
    <n v="0"/>
    <n v="0"/>
    <n v="0"/>
    <n v="510244"/>
    <n v="900449.9999999998"/>
    <n v="0"/>
    <n v="0"/>
    <n v="14"/>
    <n v="36446"/>
    <n v="1785504.201680673"/>
    <n v="30"/>
    <n v="0"/>
    <n v="30"/>
    <n v="0"/>
    <n v="0"/>
    <n v="0"/>
    <n v="0"/>
    <n v="1080540"/>
    <n v="0"/>
    <n v="0"/>
    <n v="0"/>
    <n v="0"/>
    <n v="2142605.042016807"/>
    <n v="20"/>
    <n v="0"/>
    <n v="20"/>
    <n v="0"/>
    <n v="0"/>
    <m/>
    <n v="0"/>
    <n v="720359.9999999999"/>
    <n v="0"/>
    <n v="0"/>
    <n v="0"/>
    <n v="0"/>
    <n v="1428403.361344538"/>
    <n v="0"/>
    <n v="0"/>
    <n v="0"/>
    <n v="0"/>
    <n v="0"/>
    <n v="0"/>
    <m/>
    <n v="0"/>
    <n v="0"/>
    <n v="0"/>
    <n v="0"/>
    <n v="0"/>
    <n v="0"/>
    <n v="0"/>
    <n v="20"/>
    <n v="0"/>
    <n v="20"/>
    <n v="0"/>
    <n v="0"/>
    <n v="0"/>
    <n v="720359.9999999999"/>
    <n v="0"/>
    <n v="0"/>
    <n v="0"/>
    <n v="0"/>
    <n v="1411588.235294118"/>
    <n v="30"/>
    <n v="0"/>
    <n v="30"/>
    <n v="0"/>
    <n v="0"/>
    <n v="0"/>
    <n v="1080540"/>
    <n v="0"/>
    <n v="0"/>
    <n v="0"/>
    <n v="2142605.042016807"/>
    <n v="12"/>
    <n v="0"/>
    <n v="12"/>
    <n v="0"/>
    <m/>
    <n v="0"/>
    <n v="437352"/>
    <n v="0"/>
    <n v="0"/>
    <n v="0"/>
    <n v="857042.0168067229"/>
  </r>
  <r>
    <s v="Lhotse-Equipamiento"/>
    <x v="1"/>
    <x v="11"/>
    <x v="25"/>
    <s v="LHMALEXPBK-30"/>
    <x v="113"/>
    <x v="111"/>
    <x v="0"/>
    <x v="4"/>
    <n v="0.6"/>
    <x v="93"/>
    <n v="0"/>
    <m/>
    <n v="0"/>
    <n v="30321"/>
    <n v="0"/>
    <n v="28"/>
    <n v="30590"/>
    <n v="58815.12605042017"/>
    <n v="54613.44537815126"/>
    <s v="Shenzhen"/>
    <s v="30/70"/>
    <n v="60"/>
    <n v="300"/>
    <n v="16"/>
    <n v="0.4653900123570889"/>
    <n v="19"/>
    <n v="0.4168980684928035"/>
    <n v="20"/>
    <n v="0.4448249315299167"/>
    <n v="6"/>
    <n v="0.2516019232952722"/>
    <n v="13"/>
    <n v="0.4373995176284834"/>
    <n v="33"/>
    <n v="0.303562905501491"/>
    <n v="53"/>
    <n v="0.2102189487560475"/>
    <n v="34"/>
    <n v="0.2154500692647622"/>
    <n v="32"/>
    <n v="0.2891798450725828"/>
    <n v="34"/>
    <n v="0.2576728091312613"/>
    <n v="13"/>
    <n v="0.3015235019482572"/>
    <n v="24"/>
    <n v="0.3055115293513185"/>
    <n v="23"/>
    <s v=""/>
    <n v="64"/>
    <s v=""/>
    <n v="12"/>
    <s v=""/>
    <n v="2"/>
    <s v=""/>
    <n v="0.2"/>
    <n v="4"/>
    <s v=""/>
    <n v="0.4"/>
    <n v="1"/>
    <s v=""/>
    <n v="0.02857142857142857"/>
    <n v="63"/>
    <s v=""/>
    <n v="0"/>
    <n v="15"/>
    <n v="159"/>
    <n v="20"/>
    <n v="0"/>
    <n v="0"/>
    <n v="0"/>
    <n v="3881088"/>
    <n v="4607819.999999999"/>
    <n v="606420"/>
    <n v="0"/>
    <n v="0"/>
    <n v="0"/>
    <n v="988489.5134524398"/>
    <n v="15"/>
    <n v="94"/>
    <n v="96"/>
    <n v="0"/>
    <n v="0"/>
    <n v="0"/>
    <n v="3335310"/>
    <n v="2724120"/>
    <n v="2910816"/>
    <n v="0"/>
    <n v="0"/>
    <n v="0"/>
    <n v="4744749.664571712"/>
    <n v="18"/>
    <n v="86"/>
    <n v="12"/>
    <n v="0"/>
    <n v="0"/>
    <n v="598374"/>
    <n v="2607606"/>
    <n v="363852"/>
    <n v="0"/>
    <n v="0"/>
    <n v="0"/>
    <n v="705781.5126050421"/>
    <n v="10"/>
    <n v="67"/>
    <n v="2"/>
    <n v="0"/>
    <n v="0"/>
    <n v="1941660"/>
    <n v="60642"/>
    <n v="0"/>
    <n v="0"/>
    <n v="0"/>
    <n v="0"/>
    <n v="117630.2521008403"/>
    <n v="10"/>
    <n v="4"/>
    <n v="6"/>
    <m/>
    <n v="0"/>
    <n v="0"/>
    <n v="121284"/>
    <n v="173880"/>
    <n v="0"/>
    <n v="0"/>
    <n v="0"/>
    <n v="0"/>
    <n v="352890.756302521"/>
    <n v="35"/>
    <n v="1"/>
    <n v="1"/>
    <m/>
    <n v="0"/>
    <n v="0"/>
    <n v="30321"/>
    <n v="28980"/>
    <n v="0"/>
    <n v="0"/>
    <n v="1"/>
    <n v="0"/>
    <n v="58815.12605042017"/>
    <n v="0"/>
    <n v="63"/>
    <n v="0"/>
    <n v="0"/>
    <n v="0"/>
    <n v="0"/>
    <n v="1910223"/>
    <n v="0"/>
    <n v="0"/>
    <n v="0"/>
    <n v="63"/>
    <n v="0"/>
    <n v="0"/>
    <n v="0"/>
    <n v="63"/>
    <n v="0"/>
    <n v="0"/>
    <n v="0"/>
    <n v="0"/>
    <n v="1910223"/>
    <n v="0"/>
    <n v="0"/>
    <n v="0"/>
    <n v="63"/>
    <n v="1910223"/>
    <n v="0"/>
    <n v="0"/>
    <n v="63"/>
    <n v="0"/>
    <n v="0"/>
    <n v="0"/>
    <m/>
    <n v="1825740"/>
    <n v="0"/>
    <n v="0"/>
    <n v="0"/>
    <n v="63"/>
    <n v="1825740"/>
    <n v="0"/>
    <n v="0"/>
    <n v="63"/>
    <n v="0"/>
    <n v="0"/>
    <n v="0"/>
    <n v="0"/>
    <m/>
    <n v="1825740"/>
    <n v="0"/>
    <n v="0"/>
    <n v="0"/>
    <n v="63"/>
    <n v="1825740"/>
    <n v="0"/>
    <n v="0"/>
    <n v="63"/>
    <n v="0"/>
    <n v="0"/>
    <n v="0"/>
    <n v="1825740"/>
    <n v="0"/>
    <n v="0"/>
    <n v="0"/>
    <n v="63"/>
    <n v="1825740"/>
    <n v="0"/>
    <n v="0"/>
    <n v="63"/>
    <n v="0"/>
    <n v="0"/>
    <n v="0"/>
    <n v="1825740"/>
    <n v="0"/>
    <n v="0"/>
    <n v="63"/>
    <n v="1825740"/>
    <n v="0"/>
    <n v="0"/>
    <n v="63"/>
    <n v="0"/>
    <n v="0"/>
    <m/>
    <n v="1825740"/>
    <n v="0"/>
    <n v="0"/>
    <n v="63"/>
    <n v="1825740"/>
    <n v="0"/>
  </r>
  <r>
    <s v="Lhotse-Equipamiento"/>
    <x v="1"/>
    <x v="11"/>
    <x v="26"/>
    <n v="1623703861303"/>
    <x v="114"/>
    <x v="112"/>
    <x v="0"/>
    <x v="3"/>
    <n v="1"/>
    <x v="94"/>
    <n v="165"/>
    <m/>
    <n v="0"/>
    <n v="9703"/>
    <n v="1600995"/>
    <n v="9.5"/>
    <n v="10378.75"/>
    <n v="19319.32773109244"/>
    <n v="19319.32773109244"/>
    <s v="Shenzhen"/>
    <s v="30/70"/>
    <n v="30"/>
    <n v="300"/>
    <n v="77"/>
    <n v="0.5009014691954732"/>
    <n v="37"/>
    <n v="0.5469024166165475"/>
    <n v="81"/>
    <n v="0.4953455446884243"/>
    <n v="47"/>
    <n v="0.5266830299511194"/>
    <n v="34"/>
    <n v="0.5278007470112905"/>
    <n v="90"/>
    <n v="0.4403121228967078"/>
    <n v="213"/>
    <n v="0.3628952773748706"/>
    <n v="18"/>
    <n v="0.5595646426846337"/>
    <n v="5"/>
    <n v="0.5353224478506228"/>
    <n v="50"/>
    <n v="0.5005234055552678"/>
    <n v="160"/>
    <n v="0.4890051985377151"/>
    <n v="95"/>
    <n v="0.4769995595733175"/>
    <n v="72"/>
    <n v="0.2570438335241711"/>
    <n v="25"/>
    <n v="0.2983189448829067"/>
    <n v="46"/>
    <n v="0.2453558095130068"/>
    <n v="40"/>
    <n v="0.2681002825881917"/>
    <n v="0.8"/>
    <n v="124"/>
    <n v="0.3387299141627927"/>
    <n v="3.542857142857143"/>
    <n v="78"/>
    <n v="-0.1019724679373378"/>
    <n v="0.78"/>
    <n v="0"/>
    <n v="0.1998959349717142"/>
    <n v="0"/>
    <n v="100"/>
    <n v="461"/>
    <n v="60"/>
    <n v="100"/>
    <n v="100"/>
    <n v="0"/>
    <n v="1392380.5"/>
    <n v="4532782.5"/>
    <n v="582180"/>
    <n v="0"/>
    <n v="165"/>
    <n v="1600995"/>
    <n v="974083.7511475179"/>
    <n v="60"/>
    <n v="522"/>
    <n v="37.5"/>
    <n v="0"/>
    <n v="0"/>
    <n v="0"/>
    <n v="1198320.5"/>
    <n v="5132565"/>
    <n v="363862.5"/>
    <n v="0"/>
    <n v="165"/>
    <n v="1600995"/>
    <n v="608802.3444671987"/>
    <n v="72"/>
    <n v="494"/>
    <n v="46"/>
    <n v="0"/>
    <n v="0"/>
    <n v="1178595.5"/>
    <n v="4793282"/>
    <n v="446338"/>
    <n v="0"/>
    <n v="165"/>
    <n v="1600995"/>
    <n v="888689.0756302521"/>
    <n v="50"/>
    <n v="451"/>
    <n v="40"/>
    <n v="0"/>
    <n v="0"/>
    <n v="4434457.5"/>
    <n v="388120"/>
    <n v="0"/>
    <n v="0"/>
    <n v="165"/>
    <n v="1600995"/>
    <n v="772773.1092436975"/>
    <n v="35"/>
    <n v="289"/>
    <n v="35"/>
    <m/>
    <n v="0"/>
    <n v="0"/>
    <n v="2804167"/>
    <n v="344137.5"/>
    <n v="0"/>
    <n v="0"/>
    <n v="165"/>
    <n v="1600995"/>
    <n v="676176.4705882353"/>
    <n v="100"/>
    <n v="243"/>
    <n v="78"/>
    <m/>
    <n v="0"/>
    <n v="0"/>
    <n v="2357829"/>
    <n v="766935"/>
    <n v="0"/>
    <n v="0"/>
    <n v="243"/>
    <n v="1600995"/>
    <n v="1506907.56302521"/>
    <n v="100"/>
    <n v="165"/>
    <n v="100"/>
    <n v="0"/>
    <n v="0"/>
    <n v="0"/>
    <n v="1600995"/>
    <n v="983250"/>
    <n v="0"/>
    <n v="0"/>
    <n v="165"/>
    <n v="1600995"/>
    <n v="1931932.773109244"/>
    <n v="73"/>
    <n v="65"/>
    <n v="73"/>
    <n v="0"/>
    <n v="0"/>
    <n v="0"/>
    <n v="630695"/>
    <n v="717772.5"/>
    <n v="0"/>
    <n v="0"/>
    <n v="65"/>
    <n v="630695"/>
    <n v="1410310.924369748"/>
    <n v="55"/>
    <n v="0"/>
    <n v="55"/>
    <n v="300"/>
    <n v="300"/>
    <n v="300"/>
    <n v="0"/>
    <n v="540787.5"/>
    <n v="2949750"/>
    <n v="2949750"/>
    <n v="300"/>
    <n v="2949750"/>
    <n v="1062563.025210084"/>
    <n v="70"/>
    <n v="245"/>
    <n v="70"/>
    <n v="0"/>
    <n v="0"/>
    <n v="0"/>
    <m/>
    <n v="2408962.5"/>
    <n v="688275"/>
    <n v="0"/>
    <n v="0"/>
    <n v="245"/>
    <n v="2408962.5"/>
    <n v="1352352.941176471"/>
    <n v="120"/>
    <n v="175"/>
    <n v="120"/>
    <n v="0"/>
    <n v="0"/>
    <n v="1720687.5"/>
    <n v="1179900"/>
    <n v="0"/>
    <n v="0"/>
    <n v="175"/>
    <n v="1720687.5"/>
    <n v="2434235.294117647"/>
    <n v="150"/>
    <n v="55"/>
    <n v="150"/>
    <n v="0"/>
    <n v="0"/>
    <n v="540787.5"/>
    <n v="1474875"/>
    <n v="0"/>
    <n v="55"/>
    <n v="540787.5"/>
    <n v="2897899.159663866"/>
    <n v="72"/>
    <n v="0"/>
    <n v="72"/>
    <n v="0"/>
    <m/>
    <n v="0"/>
    <n v="698616"/>
    <n v="0"/>
    <n v="0"/>
    <n v="0"/>
    <n v="1390991.596638656"/>
  </r>
  <r>
    <s v="Lhotse-Equipamiento"/>
    <x v="1"/>
    <x v="11"/>
    <x v="26"/>
    <s v="LHBOLDUF60"/>
    <x v="115"/>
    <x v="113"/>
    <x v="0"/>
    <x v="3"/>
    <n v="1"/>
    <x v="95"/>
    <n v="3"/>
    <m/>
    <n v="0"/>
    <n v="12746"/>
    <n v="38238"/>
    <n v="12"/>
    <n v="13110"/>
    <n v="33605.04201680672"/>
    <n v="31924.36974789916"/>
    <s v="Shenzhen"/>
    <s v="30/70"/>
    <n v="45"/>
    <n v="300"/>
    <n v="25"/>
    <n v="0.6844764104175772"/>
    <n v="22"/>
    <n v="0.646891557633521"/>
    <n v="36"/>
    <n v="0.5875214679539242"/>
    <n v="44"/>
    <n v="0.5703529646687922"/>
    <n v="14"/>
    <n v="0.6321489963170779"/>
    <n v="60"/>
    <n v="0.5419924434617023"/>
    <n v="31"/>
    <n v="0.561252590230031"/>
    <n v="7"/>
    <n v="0.5915753935911066"/>
    <n v="5"/>
    <n v="0.6742527919278998"/>
    <n v="41"/>
    <n v="0.4605623451183875"/>
    <n v="14"/>
    <n v="0.5886280859351154"/>
    <n v="35"/>
    <n v="0.6431816374576651"/>
    <n v="94"/>
    <s v=""/>
    <n v="38"/>
    <s v=""/>
    <n v="17"/>
    <s v=""/>
    <n v="14"/>
    <s v=""/>
    <n v="0"/>
    <n v="13"/>
    <s v=""/>
    <n v="0.52"/>
    <n v="28"/>
    <s v=""/>
    <n v="0.5600000000000001"/>
    <n v="1"/>
    <s v=""/>
    <n v="0.02941176470588235"/>
    <n v="30"/>
    <n v="208"/>
    <n v="35"/>
    <n v="0"/>
    <n v="0"/>
    <n v="0"/>
    <n v="1389314"/>
    <n v="2583360"/>
    <n v="446110"/>
    <n v="0"/>
    <n v="3"/>
    <n v="38238"/>
    <n v="988383.5887296095"/>
    <n v="25"/>
    <n v="119"/>
    <n v="57"/>
    <n v="0"/>
    <n v="0"/>
    <n v="0"/>
    <n v="1121648"/>
    <n v="1477980"/>
    <n v="726522"/>
    <n v="0"/>
    <n v="3"/>
    <n v="38238"/>
    <n v="1609653.273073936"/>
    <n v="72"/>
    <n v="65"/>
    <n v="17"/>
    <n v="0"/>
    <n v="0"/>
    <n v="705626"/>
    <n v="828490"/>
    <n v="216682"/>
    <n v="0"/>
    <n v="3"/>
    <n v="38238"/>
    <n v="571285.7142857143"/>
    <n v="0"/>
    <n v="58"/>
    <n v="14"/>
    <n v="0"/>
    <n v="0"/>
    <n v="720359.9999999999"/>
    <n v="178444"/>
    <n v="0"/>
    <n v="0"/>
    <n v="3"/>
    <n v="38238"/>
    <n v="470470.5882352941"/>
    <n v="25"/>
    <n v="16"/>
    <n v="25"/>
    <m/>
    <n v="0"/>
    <n v="0"/>
    <n v="203936"/>
    <n v="310499.9999999999"/>
    <n v="0"/>
    <n v="0"/>
    <n v="3"/>
    <n v="38238"/>
    <n v="840126.0504201681"/>
    <n v="50"/>
    <n v="31"/>
    <n v="28"/>
    <m/>
    <n v="0"/>
    <n v="0"/>
    <n v="395126"/>
    <n v="347759.9999999999"/>
    <n v="0"/>
    <n v="0"/>
    <n v="31"/>
    <n v="38238"/>
    <n v="940941.1764705882"/>
    <n v="34"/>
    <n v="4"/>
    <n v="34"/>
    <n v="300"/>
    <n v="300"/>
    <n v="0"/>
    <n v="50984"/>
    <n v="422279.9999999999"/>
    <n v="3601800"/>
    <n v="0"/>
    <n v="4"/>
    <n v="38238"/>
    <n v="1142571.428571429"/>
    <n v="20"/>
    <n v="0"/>
    <n v="20"/>
    <n v="0"/>
    <n v="0"/>
    <n v="0"/>
    <n v="0"/>
    <n v="248400"/>
    <n v="0"/>
    <n v="0"/>
    <n v="0"/>
    <n v="0"/>
    <n v="672100.8403361344"/>
    <n v="25"/>
    <n v="0"/>
    <n v="25"/>
    <n v="0"/>
    <n v="300"/>
    <n v="300"/>
    <n v="0"/>
    <n v="310499.9999999999"/>
    <n v="0"/>
    <n v="3726000"/>
    <n v="300"/>
    <n v="3726000"/>
    <n v="840126.0504201681"/>
    <n v="45"/>
    <n v="275"/>
    <n v="45"/>
    <n v="0"/>
    <n v="0"/>
    <n v="0"/>
    <m/>
    <n v="3415500"/>
    <n v="558899.9999999999"/>
    <n v="0"/>
    <n v="0"/>
    <n v="275"/>
    <n v="3415500"/>
    <n v="1436596.638655462"/>
    <n v="40"/>
    <n v="230"/>
    <n v="40"/>
    <n v="0"/>
    <n v="0"/>
    <n v="2856600"/>
    <n v="496799.9999999999"/>
    <n v="0"/>
    <n v="0"/>
    <n v="230"/>
    <n v="2856600"/>
    <n v="1340823.529411765"/>
    <n v="45"/>
    <n v="190"/>
    <n v="45"/>
    <n v="0"/>
    <n v="0"/>
    <n v="2359800"/>
    <n v="558899.9999999999"/>
    <n v="0"/>
    <n v="190"/>
    <n v="2359800"/>
    <n v="1512226.890756303"/>
    <n v="24"/>
    <n v="145"/>
    <n v="24"/>
    <n v="0"/>
    <m/>
    <n v="1800900"/>
    <n v="305904"/>
    <n v="0"/>
    <n v="145"/>
    <n v="1800900"/>
    <n v="806521.0084033613"/>
  </r>
  <r>
    <s v="Lhotse-Equipamiento"/>
    <x v="1"/>
    <x v="11"/>
    <x v="26"/>
    <s v="LHBOLDUF60"/>
    <x v="116"/>
    <x v="114"/>
    <x v="0"/>
    <x v="3"/>
    <n v="0.8"/>
    <x v="96"/>
    <n v="279"/>
    <m/>
    <n v="0"/>
    <n v="12910"/>
    <n v="3601890"/>
    <n v="12"/>
    <n v="13110"/>
    <n v="33605.04201680672"/>
    <n v="31924.36974789916"/>
    <s v="Shenzhen"/>
    <s v="30/70"/>
    <n v="45"/>
    <n v="300"/>
    <n v="9"/>
    <n v="0.7016326712535947"/>
    <n v="9"/>
    <n v="0.6321815787451939"/>
    <n v="25"/>
    <n v="0.5240109133248277"/>
    <n v="15"/>
    <n v="0.484050583768662"/>
    <n v="9"/>
    <n v="0.5883896062490036"/>
    <n v="19"/>
    <n v="0.5298161948180873"/>
    <n v="62"/>
    <n v="0.3976066139565756"/>
    <n v="12"/>
    <n v="0.4938720874073835"/>
    <n v="5"/>
    <n v="0.6615428093504313"/>
    <n v="22"/>
    <n v="0.5547477865390683"/>
    <n v="16"/>
    <n v="0.5585099275872976"/>
    <n v="20"/>
    <n v="0.6693190441931229"/>
    <n v="26"/>
    <s v=""/>
    <n v="15"/>
    <s v=""/>
    <n v="5"/>
    <s v=""/>
    <n v="8"/>
    <s v=""/>
    <n v="0.4705882352941176"/>
    <n v="36"/>
    <s v=""/>
    <n v="3.6"/>
    <n v="21"/>
    <s v=""/>
    <n v="0.6"/>
    <n v="15"/>
    <s v=""/>
    <n v="0.5"/>
    <n v="20"/>
    <n v="110"/>
    <n v="30"/>
    <n v="0"/>
    <n v="0"/>
    <n v="0"/>
    <n v="742325"/>
    <n v="1366200"/>
    <n v="387300"/>
    <n v="0"/>
    <n v="279"/>
    <n v="3601890"/>
    <n v="847185.9331968082"/>
    <n v="25"/>
    <n v="73"/>
    <n v="22.5"/>
    <n v="200"/>
    <n v="50"/>
    <n v="0"/>
    <n v="458305"/>
    <n v="906659.9999999999"/>
    <n v="290475"/>
    <n v="0"/>
    <n v="279"/>
    <n v="3601890"/>
    <n v="635389.4498976062"/>
    <n v="35"/>
    <n v="57"/>
    <n v="5"/>
    <n v="0"/>
    <n v="0"/>
    <n v="267190"/>
    <n v="735870"/>
    <n v="64550"/>
    <n v="0"/>
    <n v="279"/>
    <n v="3601890"/>
    <n v="168025.2100840336"/>
    <n v="17"/>
    <n v="359"/>
    <n v="8"/>
    <n v="0"/>
    <n v="0"/>
    <n v="4458779.999999999"/>
    <n v="103280"/>
    <n v="0"/>
    <n v="0"/>
    <n v="279"/>
    <n v="3601890"/>
    <n v="268840.3361344538"/>
    <n v="10"/>
    <n v="315"/>
    <n v="8"/>
    <m/>
    <n v="0"/>
    <n v="0"/>
    <n v="4066650"/>
    <n v="99359.99999999999"/>
    <n v="0"/>
    <n v="0"/>
    <n v="279"/>
    <n v="3601890"/>
    <n v="268840.3361344538"/>
    <n v="35"/>
    <n v="300"/>
    <n v="21"/>
    <m/>
    <n v="0"/>
    <n v="0"/>
    <n v="3873000"/>
    <n v="260820"/>
    <n v="0"/>
    <n v="0"/>
    <n v="300"/>
    <n v="3601890"/>
    <n v="705705.8823529412"/>
    <n v="30"/>
    <n v="294"/>
    <n v="24"/>
    <n v="0"/>
    <n v="0"/>
    <n v="0"/>
    <n v="3795540"/>
    <n v="298079.9999999999"/>
    <n v="0"/>
    <n v="0"/>
    <n v="294"/>
    <n v="3601890"/>
    <n v="806521.0084033613"/>
    <n v="15"/>
    <n v="270"/>
    <n v="12"/>
    <n v="0"/>
    <n v="0"/>
    <n v="0"/>
    <n v="3485700"/>
    <n v="149040"/>
    <n v="0"/>
    <n v="0"/>
    <n v="270"/>
    <n v="3485700"/>
    <n v="403260.5042016807"/>
    <n v="12"/>
    <n v="258"/>
    <n v="9.600000000000001"/>
    <n v="0"/>
    <n v="0"/>
    <m/>
    <n v="3204360"/>
    <n v="119232"/>
    <n v="0"/>
    <n v="0"/>
    <n v="258"/>
    <n v="3204360"/>
    <n v="322608.4033613446"/>
    <n v="35"/>
    <n v="248.4"/>
    <n v="28"/>
    <n v="0"/>
    <n v="0"/>
    <n v="0"/>
    <m/>
    <n v="3085128"/>
    <n v="347759.9999999999"/>
    <n v="0"/>
    <n v="0"/>
    <n v="248.4"/>
    <n v="3085128"/>
    <n v="893882.3529411765"/>
    <n v="30"/>
    <n v="220.4"/>
    <n v="24"/>
    <n v="0"/>
    <n v="0"/>
    <n v="2737368"/>
    <n v="298079.9999999999"/>
    <n v="0"/>
    <n v="0"/>
    <n v="220.4"/>
    <n v="2737368"/>
    <n v="804494.1176470589"/>
    <n v="35"/>
    <n v="196.4"/>
    <n v="28"/>
    <n v="0"/>
    <n v="0"/>
    <n v="2439288"/>
    <n v="347759.9999999999"/>
    <n v="0"/>
    <n v="196.4"/>
    <n v="2439288"/>
    <n v="940941.1764705882"/>
    <n v="18"/>
    <n v="168.4"/>
    <n v="14.4"/>
    <n v="0"/>
    <m/>
    <n v="2091528"/>
    <n v="185904"/>
    <n v="0"/>
    <n v="168.4"/>
    <n v="2091528"/>
    <n v="483912.6050420168"/>
  </r>
  <r>
    <s v="Lhotse-Equipamiento"/>
    <x v="1"/>
    <x v="11"/>
    <x v="26"/>
    <s v="LHBOLDUF60"/>
    <x v="117"/>
    <x v="115"/>
    <x v="0"/>
    <x v="3"/>
    <n v="0.8"/>
    <x v="97"/>
    <n v="148"/>
    <m/>
    <n v="0"/>
    <n v="12347"/>
    <n v="1827356"/>
    <n v="12"/>
    <n v="13110"/>
    <n v="33605.04201680672"/>
    <n v="31924.36974789916"/>
    <s v="Shenzhen"/>
    <s v="30/70"/>
    <n v="45"/>
    <n v="300"/>
    <n v="17"/>
    <n v="0.6566872410416089"/>
    <n v="31"/>
    <n v="0.61892042746024"/>
    <n v="150"/>
    <n v="0.5258857885336734"/>
    <n v="23"/>
    <n v="0.5784614830452729"/>
    <n v="0"/>
    <s v=""/>
    <n v="3"/>
    <n v="0.9999939344453517"/>
    <n v="15"/>
    <n v="0.471246055155628"/>
    <n v="56"/>
    <n v="0.6209219366166892"/>
    <n v="21"/>
    <n v="0.6506809232080262"/>
    <n v="117"/>
    <n v="0.4938021969693561"/>
    <n v="44"/>
    <n v="0.6126728805071008"/>
    <n v="61"/>
    <n v="0.6206147134941077"/>
    <n v="87"/>
    <s v=""/>
    <n v="66"/>
    <s v=""/>
    <n v="25"/>
    <s v=""/>
    <n v="9"/>
    <s v=""/>
    <n v="0"/>
    <n v="9"/>
    <s v=""/>
    <n v="0.2"/>
    <n v="81"/>
    <s v=""/>
    <n v="1.0125"/>
    <n v="60"/>
    <s v=""/>
    <n v="1.2"/>
    <n v="30"/>
    <n v="73"/>
    <n v="50"/>
    <n v="0"/>
    <n v="96"/>
    <n v="0"/>
    <n v="2148378"/>
    <n v="906659.9999999999"/>
    <n v="617350"/>
    <n v="0"/>
    <n v="148"/>
    <n v="1827356"/>
    <n v="1411976.555328014"/>
    <n v="40"/>
    <n v="100"/>
    <n v="99"/>
    <n v="150"/>
    <n v="50"/>
    <n v="0"/>
    <n v="1642151"/>
    <n v="1242000"/>
    <n v="1222353"/>
    <n v="0"/>
    <n v="148"/>
    <n v="1827356"/>
    <n v="2795713.579549467"/>
    <n v="12"/>
    <n v="27"/>
    <n v="25"/>
    <n v="0"/>
    <n v="0"/>
    <n v="866918"/>
    <n v="333369"/>
    <n v="308675"/>
    <n v="0"/>
    <n v="148"/>
    <n v="1827356"/>
    <n v="840126.0504201681"/>
    <n v="0"/>
    <n v="309"/>
    <n v="9"/>
    <n v="0"/>
    <n v="0"/>
    <n v="3837780"/>
    <n v="111123"/>
    <n v="0"/>
    <n v="0"/>
    <n v="148"/>
    <n v="1827356"/>
    <n v="302445.3781512605"/>
    <n v="45"/>
    <n v="157"/>
    <n v="36"/>
    <m/>
    <n v="0"/>
    <n v="0"/>
    <n v="1938479"/>
    <n v="447119.9999999999"/>
    <n v="0"/>
    <n v="0"/>
    <n v="148"/>
    <n v="1827356"/>
    <n v="1209781.512605042"/>
    <n v="80"/>
    <n v="229"/>
    <n v="81"/>
    <m/>
    <n v="0"/>
    <n v="0"/>
    <n v="2827463"/>
    <n v="1006020"/>
    <n v="0"/>
    <n v="0"/>
    <n v="229"/>
    <n v="1827356"/>
    <n v="2722008.403361344"/>
    <n v="50"/>
    <n v="208"/>
    <n v="40"/>
    <n v="300"/>
    <n v="300"/>
    <n v="0"/>
    <n v="2568176"/>
    <n v="496799.9999999999"/>
    <n v="3601800"/>
    <n v="0"/>
    <n v="208"/>
    <n v="1827356"/>
    <n v="1344201.680672269"/>
    <n v="62"/>
    <n v="168"/>
    <n v="49.6"/>
    <n v="0"/>
    <n v="0"/>
    <n v="0"/>
    <n v="2074296"/>
    <n v="616031.9999999999"/>
    <n v="0"/>
    <n v="0"/>
    <n v="168"/>
    <n v="2074296"/>
    <n v="1666810.084033613"/>
    <n v="30"/>
    <n v="118.4"/>
    <n v="24"/>
    <n v="0"/>
    <n v="300"/>
    <n v="300"/>
    <n v="1470528"/>
    <n v="298079.9999999999"/>
    <n v="0"/>
    <n v="3726000"/>
    <n v="418.4"/>
    <n v="5196527.999999999"/>
    <n v="806521.0084033613"/>
    <n v="120"/>
    <n v="394.4"/>
    <n v="96"/>
    <n v="0"/>
    <n v="0"/>
    <n v="0"/>
    <m/>
    <n v="4898447.999999999"/>
    <n v="1192320"/>
    <n v="0"/>
    <n v="0"/>
    <n v="394.4"/>
    <n v="4898447.999999999"/>
    <n v="3064739.49579832"/>
    <n v="50"/>
    <n v="298.4"/>
    <n v="40"/>
    <n v="0"/>
    <n v="0"/>
    <n v="3706127.999999999"/>
    <n v="496799.9999999999"/>
    <n v="0"/>
    <n v="0"/>
    <n v="298.4"/>
    <n v="3706127.999999999"/>
    <n v="1340823.529411765"/>
    <n v="60"/>
    <n v="258.4"/>
    <n v="48"/>
    <n v="0"/>
    <n v="0"/>
    <n v="3209327.999999999"/>
    <n v="596159.9999999999"/>
    <n v="0"/>
    <n v="258.4"/>
    <n v="3209327.999999999"/>
    <n v="1613042.016806723"/>
    <n v="30"/>
    <n v="210.4"/>
    <n v="24"/>
    <n v="0"/>
    <m/>
    <n v="2613168"/>
    <n v="296328"/>
    <n v="0"/>
    <n v="210.4"/>
    <n v="2613168"/>
    <n v="806521.0084033613"/>
  </r>
  <r>
    <s v="Lhotse-Equipamiento"/>
    <x v="1"/>
    <x v="11"/>
    <x v="26"/>
    <s v="LHBOLDUF30"/>
    <x v="118"/>
    <x v="116"/>
    <x v="0"/>
    <x v="3"/>
    <n v="1"/>
    <x v="98"/>
    <n v="195"/>
    <m/>
    <n v="0"/>
    <n v="9737"/>
    <n v="1898715"/>
    <n v="10.33"/>
    <n v="11285.525"/>
    <n v="21000"/>
    <n v="23521.00840336135"/>
    <s v="Shenzhen"/>
    <s v="30/70"/>
    <n v="45"/>
    <n v="300"/>
    <n v="8"/>
    <n v="0.6550675456202408"/>
    <n v="11"/>
    <n v="0.5551497103622488"/>
    <n v="16"/>
    <n v="0.5482392649802572"/>
    <n v="14"/>
    <n v="0.532002824532549"/>
    <n v="5"/>
    <n v="0.560095230537259"/>
    <n v="13"/>
    <n v="0.482328281568736"/>
    <n v="66"/>
    <n v="0.389959606545686"/>
    <n v="8"/>
    <n v="0.5859747752186522"/>
    <n v="3"/>
    <n v="0.6229488628753175"/>
    <n v="27"/>
    <n v="0.4801309261459087"/>
    <n v="12"/>
    <n v="0.5742865729660367"/>
    <n v="15"/>
    <n v="0.5824271992674733"/>
    <n v="6"/>
    <s v=""/>
    <n v="39"/>
    <s v=""/>
    <n v="11"/>
    <s v=""/>
    <n v="4"/>
    <s v=""/>
    <n v="0.2666666666666667"/>
    <n v="12"/>
    <s v=""/>
    <n v="0.8"/>
    <n v="23"/>
    <s v=""/>
    <n v="0.46"/>
    <n v="21"/>
    <s v=""/>
    <n v="0.6"/>
    <n v="20"/>
    <n v="4"/>
    <n v="8"/>
    <n v="0"/>
    <n v="100"/>
    <n v="0"/>
    <n v="754617.5"/>
    <n v="42766.2"/>
    <n v="77896"/>
    <n v="0"/>
    <n v="195"/>
    <n v="1898715"/>
    <n v="141176.4705882353"/>
    <n v="20"/>
    <n v="307"/>
    <n v="58.5"/>
    <n v="0"/>
    <n v="0"/>
    <n v="0"/>
    <n v="715669.5"/>
    <n v="3282305.85"/>
    <n v="569614.5"/>
    <n v="0"/>
    <n v="195"/>
    <n v="1898715"/>
    <n v="1032352.941176471"/>
    <n v="37.5"/>
    <n v="247"/>
    <n v="11"/>
    <n v="0"/>
    <n v="0"/>
    <n v="306428.25"/>
    <n v="2405039"/>
    <n v="107107"/>
    <n v="0"/>
    <n v="195"/>
    <n v="1898715"/>
    <n v="231000"/>
    <n v="15"/>
    <n v="257"/>
    <n v="4"/>
    <n v="0"/>
    <n v="0"/>
    <n v="2747728.35"/>
    <n v="38948"/>
    <n v="0"/>
    <n v="0"/>
    <n v="195"/>
    <n v="1898715"/>
    <n v="84000"/>
    <n v="15"/>
    <n v="207"/>
    <n v="15"/>
    <m/>
    <n v="0"/>
    <n v="0"/>
    <n v="2015559"/>
    <n v="160373.25"/>
    <n v="0"/>
    <n v="0"/>
    <n v="195"/>
    <n v="1898715"/>
    <n v="315000"/>
    <n v="50"/>
    <n v="218"/>
    <n v="23"/>
    <m/>
    <n v="0"/>
    <n v="0"/>
    <n v="2122666"/>
    <n v="245905.65"/>
    <n v="0"/>
    <n v="0"/>
    <n v="218"/>
    <n v="1898715"/>
    <n v="483000"/>
    <n v="35"/>
    <n v="216"/>
    <n v="35"/>
    <n v="0"/>
    <n v="0"/>
    <n v="0"/>
    <n v="2103192"/>
    <n v="374204.25"/>
    <n v="0"/>
    <n v="0"/>
    <n v="216"/>
    <n v="1898715"/>
    <n v="735000"/>
    <n v="20"/>
    <n v="181"/>
    <n v="20"/>
    <n v="0"/>
    <n v="0"/>
    <n v="0"/>
    <n v="1762397"/>
    <n v="213831"/>
    <n v="0"/>
    <n v="0"/>
    <n v="181"/>
    <n v="1762397"/>
    <n v="420000"/>
    <n v="25"/>
    <n v="161"/>
    <n v="25"/>
    <n v="0"/>
    <n v="0"/>
    <m/>
    <n v="1721339.55"/>
    <n v="267288.75"/>
    <n v="0"/>
    <n v="0"/>
    <n v="161"/>
    <n v="1721339.55"/>
    <n v="525000"/>
    <n v="40"/>
    <n v="136"/>
    <n v="40"/>
    <n v="0"/>
    <n v="0"/>
    <n v="0"/>
    <m/>
    <n v="1454050.8"/>
    <n v="427662"/>
    <n v="0"/>
    <n v="0"/>
    <n v="136"/>
    <n v="1454050.8"/>
    <n v="940840.3361344538"/>
    <n v="40"/>
    <n v="96"/>
    <n v="40"/>
    <n v="0"/>
    <n v="0"/>
    <n v="1026388.8"/>
    <n v="427662"/>
    <n v="0"/>
    <n v="0"/>
    <n v="96"/>
    <n v="1026388.8"/>
    <n v="987882.3529411765"/>
    <n v="45"/>
    <n v="56"/>
    <n v="45"/>
    <n v="0"/>
    <n v="0"/>
    <n v="598726.7999999999"/>
    <n v="481119.7499999999"/>
    <n v="0"/>
    <n v="56"/>
    <n v="598726.7999999999"/>
    <n v="945000"/>
    <n v="24"/>
    <n v="11"/>
    <n v="24"/>
    <n v="0"/>
    <m/>
    <n v="117607.05"/>
    <n v="233688"/>
    <n v="0"/>
    <n v="11"/>
    <n v="117607.05"/>
    <n v="504000"/>
  </r>
  <r>
    <s v="Lhotse-Equipamiento"/>
    <x v="1"/>
    <x v="11"/>
    <x v="26"/>
    <s v="LHBOLDUF30"/>
    <x v="119"/>
    <x v="117"/>
    <x v="0"/>
    <x v="3"/>
    <n v="1"/>
    <x v="99"/>
    <n v="173"/>
    <m/>
    <n v="0"/>
    <n v="9813"/>
    <n v="1697649"/>
    <n v="10.33"/>
    <n v="11285.525"/>
    <n v="21000"/>
    <n v="23521.00840336135"/>
    <s v="Shenzhen"/>
    <s v="30/70"/>
    <n v="45"/>
    <n v="300"/>
    <n v="11"/>
    <n v="0.5803317839562286"/>
    <n v="23"/>
    <n v="0.5302269188012136"/>
    <n v="29"/>
    <n v="0.5071158634374066"/>
    <n v="19"/>
    <n v="0.509179758995847"/>
    <n v="2"/>
    <n v="0.5586945480517419"/>
    <n v="12"/>
    <n v="0.5731758495846072"/>
    <n v="61"/>
    <n v="0.4508668616714029"/>
    <n v="6"/>
    <n v="0.5752191267155228"/>
    <n v="13"/>
    <n v="0.2934747071580236"/>
    <n v="10"/>
    <n v="0.4927198738518572"/>
    <n v="7"/>
    <n v="0.5440291242544957"/>
    <n v="27"/>
    <n v="0.4508261454436387"/>
    <n v="9"/>
    <s v=""/>
    <n v="36"/>
    <s v=""/>
    <n v="25"/>
    <s v=""/>
    <n v="21"/>
    <s v=""/>
    <n v="1.05"/>
    <n v="16"/>
    <s v=""/>
    <n v="0.8"/>
    <n v="20"/>
    <s v=""/>
    <n v="0.3333333333333333"/>
    <n v="22"/>
    <s v=""/>
    <n v="0.55"/>
    <n v="20"/>
    <n v="24"/>
    <n v="15"/>
    <n v="0"/>
    <n v="100"/>
    <n v="0"/>
    <n v="922422"/>
    <n v="256597.2"/>
    <n v="147195"/>
    <n v="0"/>
    <n v="173"/>
    <n v="1697649"/>
    <n v="264705.8823529412"/>
    <n v="25"/>
    <n v="316"/>
    <n v="54"/>
    <n v="0"/>
    <n v="0"/>
    <n v="0"/>
    <n v="981300"/>
    <n v="3378529.8"/>
    <n v="529902"/>
    <n v="0"/>
    <n v="173"/>
    <n v="1697649"/>
    <n v="952941.1764705883"/>
    <n v="30"/>
    <n v="255"/>
    <n v="25"/>
    <n v="0"/>
    <n v="0"/>
    <n v="665229"/>
    <n v="2502315"/>
    <n v="245325"/>
    <n v="0"/>
    <n v="173"/>
    <n v="1697649"/>
    <n v="525000"/>
    <n v="20"/>
    <n v="256"/>
    <n v="21"/>
    <n v="0"/>
    <n v="0"/>
    <n v="2737036.8"/>
    <n v="206073"/>
    <n v="0"/>
    <n v="0"/>
    <n v="173"/>
    <n v="1697649"/>
    <n v="441000"/>
    <n v="20"/>
    <n v="189"/>
    <n v="20"/>
    <m/>
    <n v="0"/>
    <n v="0"/>
    <n v="1854657"/>
    <n v="213831"/>
    <n v="0"/>
    <n v="0"/>
    <n v="173"/>
    <n v="1697649"/>
    <n v="420000"/>
    <n v="60"/>
    <n v="193"/>
    <n v="20"/>
    <m/>
    <n v="0"/>
    <n v="0"/>
    <n v="1893909"/>
    <n v="213831"/>
    <n v="0"/>
    <n v="0"/>
    <n v="193"/>
    <n v="1697649"/>
    <n v="420000"/>
    <n v="40"/>
    <n v="195"/>
    <n v="40"/>
    <n v="0"/>
    <n v="0"/>
    <n v="0"/>
    <n v="1913535"/>
    <n v="427662"/>
    <n v="0"/>
    <n v="0"/>
    <n v="195"/>
    <n v="1697649"/>
    <n v="840000"/>
    <n v="16"/>
    <n v="155"/>
    <n v="16"/>
    <n v="0"/>
    <n v="0"/>
    <n v="0"/>
    <n v="1521015"/>
    <n v="171064.8"/>
    <n v="0"/>
    <n v="0"/>
    <n v="155"/>
    <n v="1521015"/>
    <n v="336000"/>
    <n v="20"/>
    <n v="139"/>
    <n v="20"/>
    <n v="0"/>
    <n v="0"/>
    <m/>
    <n v="1486125.45"/>
    <n v="213831"/>
    <n v="0"/>
    <n v="0"/>
    <n v="139"/>
    <n v="1486125.45"/>
    <n v="420000"/>
    <n v="50"/>
    <n v="119"/>
    <n v="50"/>
    <n v="0"/>
    <n v="0"/>
    <n v="0"/>
    <m/>
    <n v="1272294.45"/>
    <n v="534577.5"/>
    <n v="0"/>
    <n v="0"/>
    <n v="119"/>
    <n v="1272294.45"/>
    <n v="1176050.420168067"/>
    <n v="40"/>
    <n v="69"/>
    <n v="40"/>
    <n v="0"/>
    <n v="0"/>
    <n v="737716.95"/>
    <n v="427662"/>
    <n v="0"/>
    <n v="0"/>
    <n v="69"/>
    <n v="737716.95"/>
    <n v="987882.3529411765"/>
    <n v="50"/>
    <n v="29"/>
    <n v="50"/>
    <n v="0"/>
    <n v="0"/>
    <n v="310054.95"/>
    <n v="534577.5"/>
    <n v="0"/>
    <n v="29"/>
    <n v="310054.95"/>
    <n v="1050000"/>
    <n v="24"/>
    <n v="0"/>
    <n v="24"/>
    <n v="0"/>
    <m/>
    <n v="0"/>
    <n v="235512"/>
    <n v="0"/>
    <n v="0"/>
    <n v="0"/>
    <n v="504000"/>
  </r>
  <r>
    <s v="Lhotse-Equipamiento"/>
    <x v="1"/>
    <x v="11"/>
    <x v="26"/>
    <s v="LHBOLDUF30"/>
    <x v="120"/>
    <x v="118"/>
    <x v="0"/>
    <x v="3"/>
    <n v="0.7"/>
    <x v="100"/>
    <n v="7"/>
    <m/>
    <n v="0"/>
    <n v="10698"/>
    <n v="74886"/>
    <n v="10.33"/>
    <n v="11285.525"/>
    <n v="21000"/>
    <n v="23521.00840336135"/>
    <s v="Shenzhen"/>
    <s v="30/70"/>
    <n v="45"/>
    <n v="300"/>
    <n v="22"/>
    <n v="0.5868064647278917"/>
    <n v="25"/>
    <n v="0.578315329478824"/>
    <n v="47"/>
    <n v="0.5472730260061021"/>
    <n v="31"/>
    <n v="0.5148283318940193"/>
    <n v="111"/>
    <n v="0.3967182788582671"/>
    <n v="39"/>
    <n v="-0.0923965538047984"/>
    <n v="30"/>
    <n v="0.5028299898461932"/>
    <n v="20"/>
    <n v="0.5476892267442554"/>
    <n v="17"/>
    <n v="0.3456951738622465"/>
    <n v="28"/>
    <n v="0.4835332542279401"/>
    <n v="71"/>
    <n v="0.4759461318364361"/>
    <n v="74"/>
    <n v="0.5240648253753031"/>
    <n v="24"/>
    <s v=""/>
    <n v="42"/>
    <s v=""/>
    <n v="48"/>
    <s v=""/>
    <n v="4"/>
    <s v=""/>
    <n v="0.1333333333333333"/>
    <n v="6"/>
    <s v=""/>
    <n v="0.12"/>
    <n v="36"/>
    <s v=""/>
    <n v="0.45"/>
    <n v="1"/>
    <s v=""/>
    <n v="0.025"/>
    <n v="30"/>
    <n v="177"/>
    <n v="15"/>
    <n v="0"/>
    <n v="0"/>
    <n v="0"/>
    <n v="1347948"/>
    <n v="1892404.35"/>
    <n v="160470"/>
    <n v="0"/>
    <n v="7"/>
    <n v="74886"/>
    <n v="264705.8823529412"/>
    <n v="25"/>
    <n v="160"/>
    <n v="63"/>
    <n v="0"/>
    <n v="0"/>
    <n v="0"/>
    <n v="1230270"/>
    <n v="1710648"/>
    <n v="673974"/>
    <n v="0"/>
    <n v="7"/>
    <n v="74886"/>
    <n v="1111764.705882353"/>
    <n v="50"/>
    <n v="103"/>
    <n v="48"/>
    <n v="0"/>
    <n v="0"/>
    <n v="930500.25"/>
    <n v="1101894"/>
    <n v="513504"/>
    <n v="0"/>
    <n v="7"/>
    <n v="74886"/>
    <n v="1008000"/>
    <n v="30"/>
    <n v="67"/>
    <n v="4"/>
    <n v="0"/>
    <n v="0"/>
    <n v="716333.85"/>
    <n v="42792"/>
    <n v="0"/>
    <n v="0"/>
    <n v="7"/>
    <n v="74886"/>
    <n v="84000"/>
    <n v="50"/>
    <n v="13"/>
    <n v="35"/>
    <m/>
    <n v="0"/>
    <n v="0"/>
    <n v="139074"/>
    <n v="374204.25"/>
    <n v="0"/>
    <n v="0"/>
    <n v="7"/>
    <n v="74886"/>
    <n v="735000"/>
    <n v="80"/>
    <n v="43"/>
    <n v="36"/>
    <m/>
    <n v="0"/>
    <n v="0"/>
    <n v="460014"/>
    <n v="384895.8"/>
    <n v="0"/>
    <n v="0"/>
    <n v="43"/>
    <n v="74886"/>
    <n v="756000"/>
    <n v="40"/>
    <n v="8"/>
    <n v="28"/>
    <n v="300"/>
    <n v="300"/>
    <n v="0"/>
    <n v="85584"/>
    <n v="299363.4"/>
    <n v="3100549.5"/>
    <n v="0"/>
    <n v="8"/>
    <n v="74886"/>
    <n v="588000"/>
    <n v="35"/>
    <n v="0"/>
    <n v="24.5"/>
    <n v="0"/>
    <n v="0"/>
    <n v="0"/>
    <n v="0"/>
    <n v="261942.975"/>
    <n v="0"/>
    <n v="0"/>
    <n v="0"/>
    <n v="0"/>
    <n v="514500"/>
    <n v="25"/>
    <n v="0"/>
    <n v="17.5"/>
    <n v="0"/>
    <n v="300"/>
    <n v="300"/>
    <n v="0"/>
    <n v="187102.125"/>
    <n v="0"/>
    <n v="3207465"/>
    <n v="300"/>
    <n v="3207465"/>
    <n v="367500"/>
    <n v="60"/>
    <n v="282.5"/>
    <n v="42"/>
    <n v="0"/>
    <n v="0"/>
    <n v="0"/>
    <m/>
    <n v="3020362.875"/>
    <n v="449045.1"/>
    <n v="0"/>
    <n v="0"/>
    <n v="282.5"/>
    <n v="3020362.875"/>
    <n v="987882.3529411765"/>
    <n v="55"/>
    <n v="240.5"/>
    <n v="38.5"/>
    <n v="0"/>
    <n v="0"/>
    <n v="2571317.775"/>
    <n v="411624.675"/>
    <n v="0"/>
    <n v="0"/>
    <n v="240.5"/>
    <n v="2571317.775"/>
    <n v="950836.7647058824"/>
    <n v="70"/>
    <n v="202"/>
    <n v="49"/>
    <n v="0"/>
    <n v="0"/>
    <n v="2159693.1"/>
    <n v="523885.95"/>
    <n v="0"/>
    <n v="202"/>
    <n v="2159693.1"/>
    <n v="1029000"/>
    <n v="33"/>
    <n v="153"/>
    <n v="23.1"/>
    <n v="0"/>
    <m/>
    <n v="1635807.15"/>
    <n v="247123.8"/>
    <n v="0"/>
    <n v="153"/>
    <n v="1635807.15"/>
    <n v="485099.9999999999"/>
  </r>
  <r>
    <m/>
    <x v="1"/>
    <x v="11"/>
    <x v="25"/>
    <s v="LHMALFRONT-S"/>
    <x v="121"/>
    <x v="119"/>
    <x v="0"/>
    <x v="2"/>
    <n v="1"/>
    <x v="12"/>
    <n v="0"/>
    <m/>
    <m/>
    <n v="22942.5"/>
    <n v="0"/>
    <n v="21"/>
    <n v="22942.5"/>
    <n v="57838.23529411765"/>
    <n v="49162.5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150"/>
    <n v="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n v="18"/>
    <n v="0"/>
    <m/>
    <n v="217350"/>
    <n v="412965"/>
    <n v="0"/>
    <n v="10"/>
    <n v="217350"/>
    <n v="1041088.235294118"/>
  </r>
  <r>
    <m/>
    <x v="1"/>
    <x v="11"/>
    <x v="25"/>
    <s v="LHMALFRONT-M"/>
    <x v="122"/>
    <x v="120"/>
    <x v="0"/>
    <x v="2"/>
    <n v="1"/>
    <x v="12"/>
    <n v="0"/>
    <m/>
    <m/>
    <n v="22942.5"/>
    <n v="0"/>
    <n v="21"/>
    <n v="22942.5"/>
    <n v="57838.23529411765"/>
    <n v="49162.5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150"/>
    <n v="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m/>
    <n v="0"/>
    <m/>
    <n v="217350"/>
    <n v="0"/>
    <n v="0"/>
    <n v="10"/>
    <n v="217350"/>
    <n v="0"/>
  </r>
  <r>
    <m/>
    <x v="1"/>
    <x v="11"/>
    <x v="25"/>
    <s v="LHMALFRONT-L"/>
    <x v="123"/>
    <x v="121"/>
    <x v="0"/>
    <x v="2"/>
    <n v="1"/>
    <x v="12"/>
    <n v="0"/>
    <m/>
    <m/>
    <n v="22942.5"/>
    <n v="0"/>
    <n v="21"/>
    <n v="22942.5"/>
    <n v="57838.23529411765"/>
    <n v="49162.5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150"/>
    <n v="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m/>
    <n v="0"/>
    <m/>
    <n v="217350"/>
    <n v="0"/>
    <n v="0"/>
    <n v="10"/>
    <n v="217350"/>
    <n v="0"/>
  </r>
  <r>
    <s v="Lhotse-Equipamiento"/>
    <x v="1"/>
    <x v="11"/>
    <x v="27"/>
    <s v="LHNECKHUM"/>
    <x v="124"/>
    <x v="122"/>
    <x v="0"/>
    <x v="4"/>
    <n v="0.9"/>
    <x v="101"/>
    <n v="228"/>
    <m/>
    <n v="0"/>
    <n v="4731"/>
    <n v="1078668"/>
    <n v="4.4"/>
    <n v="4807"/>
    <n v="10915.96638655462"/>
    <n v="10915.96638655462"/>
    <s v="Shenzhen"/>
    <s v="30/70"/>
    <n v="30"/>
    <n v="300"/>
    <n v="18"/>
    <n v="0.6598247046967359"/>
    <n v="29"/>
    <n v="0.5488688764973588"/>
    <n v="39"/>
    <n v="0.5453921421925524"/>
    <n v="23"/>
    <n v="0.513014200743827"/>
    <n v="41"/>
    <n v="0.4091850462578747"/>
    <n v="31"/>
    <n v="0.282577659914373"/>
    <n v="83"/>
    <n v="0.3871070266869102"/>
    <n v="74"/>
    <n v="0.4830877426649708"/>
    <n v="31"/>
    <n v="0.558901312504728"/>
    <n v="62"/>
    <n v="0.5061761465026409"/>
    <n v="40"/>
    <n v="0.5148191856563087"/>
    <n v="17"/>
    <n v="0.5327422091050638"/>
    <n v="1"/>
    <s v=""/>
    <n v="8"/>
    <s v=""/>
    <n v="2"/>
    <s v=""/>
    <n v="7"/>
    <s v=""/>
    <n v="0.175"/>
    <n v="15"/>
    <s v=""/>
    <n v="0.3658536585365854"/>
    <n v="9"/>
    <s v=""/>
    <n v="0.1125"/>
    <n v="9"/>
    <s v=""/>
    <n v="0.15"/>
    <n v="40"/>
    <n v="1"/>
    <n v="0"/>
    <n v="300"/>
    <n v="150"/>
    <n v="0"/>
    <n v="66234"/>
    <n v="4554"/>
    <n v="0"/>
    <n v="0"/>
    <n v="228"/>
    <n v="1078668"/>
    <n v="0"/>
    <n v="0"/>
    <n v="9"/>
    <n v="12"/>
    <n v="0"/>
    <n v="0"/>
    <n v="0"/>
    <n v="99351"/>
    <n v="40986"/>
    <n v="56772"/>
    <n v="0"/>
    <n v="228"/>
    <n v="1078668"/>
    <n v="110076.9719652567"/>
    <n v="0"/>
    <n v="1"/>
    <n v="2"/>
    <n v="0"/>
    <n v="0"/>
    <n v="210621.6"/>
    <n v="4731"/>
    <n v="9462"/>
    <n v="0"/>
    <n v="228"/>
    <n v="1078668"/>
    <n v="21831.93277310925"/>
    <n v="40"/>
    <n v="287"/>
    <n v="7"/>
    <n v="0"/>
    <n v="0"/>
    <n v="1306998"/>
    <n v="33117"/>
    <n v="0"/>
    <n v="0"/>
    <n v="228"/>
    <n v="1078668"/>
    <n v="76411.76470588236"/>
    <n v="41"/>
    <n v="243"/>
    <n v="36.9"/>
    <m/>
    <n v="0"/>
    <n v="0"/>
    <n v="1149633"/>
    <n v="168042.6"/>
    <n v="0"/>
    <n v="0"/>
    <n v="228"/>
    <n v="1078668"/>
    <n v="402799.1596638656"/>
    <n v="80"/>
    <n v="237"/>
    <n v="9"/>
    <m/>
    <n v="0"/>
    <n v="0"/>
    <n v="1121247"/>
    <n v="40986"/>
    <n v="0"/>
    <n v="0"/>
    <n v="237"/>
    <n v="1078668"/>
    <n v="98243.6974789916"/>
    <n v="60"/>
    <n v="237"/>
    <n v="54"/>
    <n v="0"/>
    <n v="0"/>
    <n v="0"/>
    <n v="1121247"/>
    <n v="245916"/>
    <n v="0"/>
    <n v="0"/>
    <n v="237"/>
    <n v="1078668"/>
    <n v="589462.1848739496"/>
    <n v="70"/>
    <n v="183"/>
    <n v="63"/>
    <n v="300"/>
    <n v="300"/>
    <n v="0"/>
    <n v="865773"/>
    <n v="286902"/>
    <n v="1366200"/>
    <n v="0"/>
    <n v="483"/>
    <n v="865773"/>
    <n v="687705.8823529412"/>
    <n v="30"/>
    <n v="120"/>
    <n v="27"/>
    <n v="0"/>
    <n v="0"/>
    <n v="300"/>
    <n v="546480"/>
    <n v="122958"/>
    <n v="0"/>
    <n v="1366200"/>
    <n v="420"/>
    <n v="1912680"/>
    <n v="294731.0924369748"/>
    <n v="70"/>
    <n v="393"/>
    <n v="63"/>
    <n v="0"/>
    <n v="0"/>
    <n v="0"/>
    <m/>
    <n v="1789722"/>
    <n v="286902"/>
    <n v="0"/>
    <n v="0"/>
    <n v="393"/>
    <n v="1789722"/>
    <n v="687705.8823529412"/>
    <n v="50"/>
    <n v="330"/>
    <n v="45"/>
    <n v="0"/>
    <n v="0"/>
    <n v="1502820"/>
    <n v="204930"/>
    <n v="0"/>
    <n v="0"/>
    <n v="330"/>
    <n v="1502820"/>
    <n v="515779.411764706"/>
    <n v="150"/>
    <n v="285"/>
    <n v="135"/>
    <n v="0"/>
    <n v="0"/>
    <n v="1297890"/>
    <n v="614790"/>
    <n v="0"/>
    <n v="285"/>
    <n v="1297890"/>
    <n v="1473655.462184874"/>
    <n v="30"/>
    <n v="150"/>
    <n v="27"/>
    <n v="0"/>
    <m/>
    <n v="683100"/>
    <n v="127737"/>
    <n v="0"/>
    <n v="150"/>
    <n v="683100"/>
    <n v="294731.0924369748"/>
  </r>
  <r>
    <s v="Lhotse-Equipamiento"/>
    <x v="1"/>
    <x v="11"/>
    <x v="27"/>
    <s v="LHNECKHUM"/>
    <x v="125"/>
    <x v="122"/>
    <x v="0"/>
    <x v="4"/>
    <n v="1"/>
    <x v="102"/>
    <n v="13"/>
    <m/>
    <n v="0"/>
    <n v="4731"/>
    <n v="61503"/>
    <n v="4.4"/>
    <n v="4807"/>
    <n v="10915.96638655462"/>
    <n v="10915.96638655462"/>
    <s v="Shenzhen"/>
    <s v="30/70"/>
    <n v="30"/>
    <n v="300"/>
    <n v="5"/>
    <n v="0.6338791809190668"/>
    <n v="6"/>
    <n v="0.5284341371416494"/>
    <n v="15"/>
    <n v="0.552835574487391"/>
    <n v="11"/>
    <n v="0.5366242531632042"/>
    <n v="5"/>
    <n v="0.6018665634362269"/>
    <n v="18"/>
    <n v="0.5431584421682708"/>
    <n v="52"/>
    <n v="0.3478456958010698"/>
    <n v="6"/>
    <n v="0.5963933802558073"/>
    <n v="22"/>
    <n v="0.5565252674522384"/>
    <n v="28"/>
    <n v="0.4992896837894381"/>
    <n v="51"/>
    <n v="0.5115225349081522"/>
    <n v="224"/>
    <n v="0.5212505630154587"/>
    <n v="4"/>
    <s v=""/>
    <n v="21"/>
    <s v=""/>
    <n v="2"/>
    <s v=""/>
    <n v="0"/>
    <s v=""/>
    <n v="0"/>
    <n v="0"/>
    <s v=""/>
    <n v="0"/>
    <n v="0"/>
    <s v=""/>
    <n v="0"/>
    <n v="0"/>
    <s v=""/>
    <n v="0"/>
    <n v="40"/>
    <n v="45"/>
    <n v="40"/>
    <n v="0"/>
    <n v="0"/>
    <n v="0"/>
    <n v="347728.5"/>
    <n v="204930"/>
    <n v="189240"/>
    <n v="0"/>
    <n v="13"/>
    <n v="61503"/>
    <n v="366923.239884189"/>
    <n v="5"/>
    <n v="36"/>
    <n v="31.5"/>
    <n v="0"/>
    <n v="0"/>
    <n v="0"/>
    <n v="158488.5"/>
    <n v="163944"/>
    <n v="149026.5"/>
    <n v="0"/>
    <n v="13"/>
    <n v="61503"/>
    <n v="288952.0514087988"/>
    <n v="0"/>
    <n v="15"/>
    <n v="2"/>
    <n v="0"/>
    <n v="0"/>
    <n v="100542"/>
    <n v="70965"/>
    <n v="9462"/>
    <n v="0"/>
    <n v="13"/>
    <n v="61503"/>
    <n v="21831.93277310925"/>
    <n v="0"/>
    <n v="13"/>
    <n v="0"/>
    <n v="0"/>
    <n v="0"/>
    <n v="59202"/>
    <n v="0"/>
    <n v="0"/>
    <n v="0"/>
    <n v="13"/>
    <n v="61503"/>
    <n v="0"/>
    <n v="20"/>
    <n v="13"/>
    <n v="20"/>
    <m/>
    <n v="0"/>
    <n v="0"/>
    <n v="61503"/>
    <n v="91080"/>
    <n v="0"/>
    <n v="0"/>
    <n v="13"/>
    <n v="61503"/>
    <n v="218319.3277310925"/>
    <n v="20"/>
    <n v="13"/>
    <n v="0"/>
    <m/>
    <n v="0"/>
    <n v="0"/>
    <n v="61503"/>
    <n v="0"/>
    <n v="0"/>
    <n v="0"/>
    <n v="13"/>
    <n v="61503"/>
    <n v="0"/>
    <n v="55"/>
    <n v="13"/>
    <n v="55"/>
    <n v="0"/>
    <n v="0"/>
    <n v="0"/>
    <n v="61503"/>
    <n v="250470"/>
    <n v="0"/>
    <n v="0"/>
    <n v="13"/>
    <n v="61503"/>
    <n v="600378.1512605043"/>
    <n v="25"/>
    <n v="0"/>
    <n v="25"/>
    <n v="300"/>
    <n v="300"/>
    <n v="0"/>
    <n v="0"/>
    <n v="113850"/>
    <n v="1366200"/>
    <n v="0"/>
    <n v="300"/>
    <n v="0"/>
    <n v="272899.1596638656"/>
    <n v="25"/>
    <n v="0"/>
    <n v="25"/>
    <n v="0"/>
    <n v="0"/>
    <n v="300"/>
    <n v="0"/>
    <n v="113850"/>
    <n v="0"/>
    <n v="1366200"/>
    <n v="300"/>
    <n v="1366200"/>
    <n v="272899.1596638656"/>
    <n v="50"/>
    <n v="275"/>
    <n v="50"/>
    <n v="0"/>
    <n v="0"/>
    <n v="0"/>
    <m/>
    <n v="1252350"/>
    <n v="227700"/>
    <n v="0"/>
    <n v="0"/>
    <n v="275"/>
    <n v="1252350"/>
    <n v="545798.3193277312"/>
    <n v="50"/>
    <n v="225"/>
    <n v="50"/>
    <n v="0"/>
    <n v="0"/>
    <n v="1024650"/>
    <n v="227700"/>
    <n v="0"/>
    <n v="0"/>
    <n v="225"/>
    <n v="1024650"/>
    <n v="573088.2352941177"/>
    <n v="100"/>
    <n v="175"/>
    <n v="100"/>
    <n v="0"/>
    <n v="0"/>
    <n v="796950"/>
    <n v="455400"/>
    <n v="0"/>
    <n v="175"/>
    <n v="796950"/>
    <n v="1091596.638655462"/>
    <n v="30"/>
    <n v="75"/>
    <n v="30"/>
    <n v="0"/>
    <m/>
    <n v="341550"/>
    <n v="141930"/>
    <n v="0"/>
    <n v="75"/>
    <n v="341550"/>
    <n v="327478.9915966387"/>
  </r>
  <r>
    <m/>
    <x v="1"/>
    <x v="11"/>
    <x v="27"/>
    <s v="LHNECTRRIM"/>
    <x v="126"/>
    <x v="123"/>
    <x v="0"/>
    <x v="4"/>
    <n v="1.5"/>
    <x v="103"/>
    <n v="55"/>
    <m/>
    <n v="0"/>
    <n v="4249"/>
    <n v="233695"/>
    <n v="4.5"/>
    <n v="4916.25"/>
    <n v="12596.63865546219"/>
    <n v="12596.63865546219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n v="0"/>
    <n v="25"/>
    <n v="0.629216215532116"/>
    <n v="53"/>
    <n v="0.59007697568456"/>
    <n v="18"/>
    <n v="0.6145858619850029"/>
    <n v="0"/>
    <s v=""/>
    <n v="9"/>
    <s v=""/>
    <n v="43"/>
    <s v=""/>
    <n v="9"/>
    <s v=""/>
    <n v="45"/>
    <s v=""/>
    <n v="1.5"/>
    <n v="61"/>
    <s v=""/>
    <n v="2.44"/>
    <n v="89"/>
    <s v=""/>
    <n v="1.78"/>
    <n v="42"/>
    <s v=""/>
    <n v="1.05"/>
    <n v="15"/>
    <n v="0"/>
    <n v="10"/>
    <n v="0"/>
    <n v="50"/>
    <n v="0"/>
    <n v="354791.5"/>
    <n v="0"/>
    <n v="42490"/>
    <n v="0"/>
    <n v="55"/>
    <n v="233695"/>
    <n v="105854.1063484217"/>
    <n v="30"/>
    <n v="42"/>
    <n v="64.5"/>
    <n v="300"/>
    <n v="150"/>
    <n v="0"/>
    <n v="503506.5"/>
    <n v="195615"/>
    <n v="274060.5"/>
    <n v="0"/>
    <n v="55"/>
    <n v="233695"/>
    <n v="682758.9859473202"/>
    <n v="15"/>
    <n v="0"/>
    <n v="9"/>
    <n v="0"/>
    <n v="0"/>
    <n v="404102.25"/>
    <n v="0"/>
    <n v="38241"/>
    <n v="0"/>
    <n v="55"/>
    <n v="233695"/>
    <n v="113369.7478991597"/>
    <n v="30"/>
    <n v="295"/>
    <n v="45"/>
    <n v="0"/>
    <n v="0"/>
    <n v="1373962.5"/>
    <n v="191205"/>
    <n v="0"/>
    <n v="0"/>
    <n v="55"/>
    <n v="233695"/>
    <n v="566848.7394957984"/>
    <n v="25"/>
    <n v="116"/>
    <n v="37.5"/>
    <m/>
    <n v="0"/>
    <n v="0"/>
    <n v="492884"/>
    <n v="174656.25"/>
    <n v="0"/>
    <n v="0"/>
    <n v="55"/>
    <n v="233695"/>
    <n v="472373.949579832"/>
    <n v="50"/>
    <n v="144"/>
    <n v="89"/>
    <m/>
    <n v="0"/>
    <n v="0"/>
    <n v="611856"/>
    <n v="414517.5"/>
    <n v="0"/>
    <n v="0"/>
    <n v="144"/>
    <n v="233695"/>
    <n v="1121100.840336135"/>
    <n v="40"/>
    <n v="97"/>
    <n v="60"/>
    <n v="0"/>
    <n v="0"/>
    <n v="0"/>
    <n v="412153"/>
    <n v="279450"/>
    <n v="0"/>
    <n v="0"/>
    <n v="97"/>
    <n v="233695"/>
    <n v="755798.3193277312"/>
    <n v="35"/>
    <n v="37"/>
    <n v="52.5"/>
    <n v="0"/>
    <n v="0"/>
    <n v="0"/>
    <n v="157213"/>
    <n v="244518.75"/>
    <n v="0"/>
    <n v="0"/>
    <n v="37"/>
    <n v="157213"/>
    <n v="661323.5294117648"/>
    <n v="35"/>
    <n v="0"/>
    <n v="52.5"/>
    <n v="0"/>
    <n v="0"/>
    <m/>
    <n v="0"/>
    <n v="244518.75"/>
    <n v="0"/>
    <n v="0"/>
    <n v="0"/>
    <n v="0"/>
    <n v="661323.5294117648"/>
    <n v="70"/>
    <n v="0"/>
    <n v="0"/>
    <n v="500"/>
    <n v="500"/>
    <n v="500"/>
    <n v="0"/>
    <n v="0"/>
    <n v="0"/>
    <n v="2328750"/>
    <n v="2328750"/>
    <n v="500"/>
    <n v="2328750"/>
    <n v="0"/>
    <n v="50"/>
    <n v="500"/>
    <n v="75"/>
    <n v="0"/>
    <n v="0"/>
    <n v="2328750"/>
    <n v="349312.5"/>
    <n v="0"/>
    <n v="0"/>
    <n v="500"/>
    <n v="2328750"/>
    <n v="991985.2941176472"/>
    <n v="150"/>
    <n v="425"/>
    <n v="225"/>
    <n v="0"/>
    <n v="0"/>
    <n v="1979437.5"/>
    <n v="1047937.5"/>
    <n v="0"/>
    <n v="425"/>
    <n v="1979437.5"/>
    <n v="2834243.697478992"/>
    <n v="30"/>
    <n v="200"/>
    <n v="45"/>
    <n v="0"/>
    <m/>
    <n v="931500"/>
    <n v="191205"/>
    <n v="0"/>
    <n v="200"/>
    <n v="931500"/>
    <n v="566848.7394957984"/>
  </r>
  <r>
    <s v="Lhotse-Equipamiento"/>
    <x v="1"/>
    <x v="11"/>
    <x v="12"/>
    <n v="1566849947902"/>
    <x v="127"/>
    <x v="124"/>
    <x v="0"/>
    <x v="6"/>
    <n v="0.7"/>
    <x v="12"/>
    <n v="176"/>
    <m/>
    <n v="0"/>
    <n v="10420"/>
    <n v="1833920"/>
    <n v="9.9"/>
    <n v="10815.75"/>
    <n v="21000"/>
    <n v="21000"/>
    <s v="Shenzhen"/>
    <s v="30/70"/>
    <n v="30"/>
    <n v="300"/>
    <n v="40"/>
    <n v="0.4688949060105415"/>
    <n v="82"/>
    <n v="0.4287359364737212"/>
    <n v="111"/>
    <n v="0.4097090165806002"/>
    <n v="32"/>
    <n v="0.4914468284628732"/>
    <n v="23"/>
    <n v="0.5598849892684926"/>
    <n v="179"/>
    <n v="0.4701276398629724"/>
    <n v="46"/>
    <n v="0.4507679516957401"/>
    <n v="30"/>
    <n v="0.4868570257588516"/>
    <n v="10"/>
    <n v="0.454992932881181"/>
    <n v="57"/>
    <n v="0.5028662646941477"/>
    <n v="83"/>
    <n v="0.4456488838842699"/>
    <n v="18"/>
    <n v="0.5668322348278161"/>
    <n v="82"/>
    <n v="0.3578619342889466"/>
    <n v="24"/>
    <n v="0.3466859392761152"/>
    <n v="25"/>
    <n v="0.3577954165025065"/>
    <n v="15"/>
    <n v="0.3077346159255323"/>
    <n v="0.5"/>
    <n v="143"/>
    <n v="0.1981457121642801"/>
    <n v="4.766666666666667"/>
    <n v="18"/>
    <n v="0.4260727920992017"/>
    <n v="0.15"/>
    <n v="0"/>
    <n v="0.3011308524422446"/>
    <n v="0"/>
    <n v="30"/>
    <n v="563"/>
    <n v="20"/>
    <n v="0"/>
    <n v="0"/>
    <n v="0"/>
    <n v="844020"/>
    <n v="5768779.5"/>
    <n v="208400"/>
    <n v="0"/>
    <n v="176"/>
    <n v="1833920"/>
    <n v="352941.1764705883"/>
    <n v="30"/>
    <n v="489"/>
    <n v="36"/>
    <n v="0"/>
    <n v="0"/>
    <n v="0"/>
    <n v="791920"/>
    <n v="5010538.5"/>
    <n v="375120"/>
    <n v="0"/>
    <n v="176"/>
    <n v="1833920"/>
    <n v="635294.1176470588"/>
    <n v="100"/>
    <n v="450"/>
    <n v="25"/>
    <n v="0"/>
    <n v="0"/>
    <n v="631976.5"/>
    <n v="4689000"/>
    <n v="260500"/>
    <n v="0"/>
    <n v="176"/>
    <n v="1833920"/>
    <n v="525000"/>
    <n v="30"/>
    <n v="440"/>
    <n v="15"/>
    <n v="0"/>
    <n v="0"/>
    <n v="4508460"/>
    <n v="156300"/>
    <n v="0"/>
    <n v="0"/>
    <n v="176"/>
    <n v="1833920"/>
    <n v="315000"/>
    <n v="30"/>
    <n v="319"/>
    <n v="21"/>
    <m/>
    <n v="0"/>
    <n v="0"/>
    <n v="3323980"/>
    <n v="215176.5"/>
    <n v="0"/>
    <n v="0"/>
    <n v="176"/>
    <n v="1833920"/>
    <n v="441000"/>
    <n v="120"/>
    <n v="194"/>
    <n v="18"/>
    <m/>
    <n v="0"/>
    <n v="0"/>
    <n v="2021480"/>
    <n v="184437"/>
    <n v="0"/>
    <n v="0"/>
    <n v="194"/>
    <n v="1833920"/>
    <n v="378000"/>
    <n v="141.7"/>
    <n v="176"/>
    <n v="99.18999999999998"/>
    <n v="0"/>
    <n v="0"/>
    <n v="0"/>
    <n v="1833920"/>
    <n v="1016350.335"/>
    <n v="0"/>
    <n v="0"/>
    <n v="176"/>
    <n v="1833920"/>
    <n v="2082990"/>
    <n v="100"/>
    <n v="76.81000000000002"/>
    <n v="70"/>
    <n v="154.9862068965517"/>
    <n v="154.9862068965517"/>
    <n v="0"/>
    <n v="800360.2000000002"/>
    <n v="717255"/>
    <n v="1588066.168965517"/>
    <n v="0"/>
    <n v="231.7962068965517"/>
    <n v="800360.2000000002"/>
    <n v="1470000"/>
    <n v="94.7"/>
    <n v="6.810000000000016"/>
    <n v="66.28999999999999"/>
    <n v="0"/>
    <n v="0"/>
    <n v="154.9862068965517"/>
    <n v="69778.66500000017"/>
    <n v="679240.4849999999"/>
    <n v="0"/>
    <n v="1588066.168965517"/>
    <n v="161.7962068965517"/>
    <n v="1657844.833965518"/>
    <n v="1392090"/>
    <n v="60"/>
    <n v="95.50620689655175"/>
    <n v="42"/>
    <n v="0"/>
    <n v="0"/>
    <n v="0"/>
    <m/>
    <n v="978604.3489655175"/>
    <n v="430353"/>
    <n v="0"/>
    <n v="0"/>
    <n v="95.50620689655175"/>
    <n v="978604.3489655175"/>
    <n v="882000"/>
    <n v="60"/>
    <n v="53.50620689655175"/>
    <n v="42"/>
    <n v="0"/>
    <n v="0"/>
    <n v="548251.3489655175"/>
    <n v="430353"/>
    <n v="0"/>
    <n v="0"/>
    <n v="53.50620689655175"/>
    <n v="548251.3489655175"/>
    <n v="926100"/>
    <n v="60"/>
    <n v="11.50620689655175"/>
    <n v="42"/>
    <n v="0"/>
    <n v="0"/>
    <n v="117898.3489655175"/>
    <n v="430353"/>
    <n v="0"/>
    <n v="11.50620689655175"/>
    <n v="117898.3489655175"/>
    <n v="882000"/>
    <n v="36"/>
    <n v="0"/>
    <n v="25.2"/>
    <n v="0"/>
    <m/>
    <n v="0"/>
    <n v="262584"/>
    <n v="0"/>
    <n v="0"/>
    <n v="0"/>
    <n v="529200"/>
  </r>
  <r>
    <s v="Lhotse-Equipamiento"/>
    <x v="1"/>
    <x v="11"/>
    <x v="12"/>
    <n v="1661873799978"/>
    <x v="128"/>
    <x v="125"/>
    <x v="0"/>
    <x v="3"/>
    <n v="1"/>
    <x v="104"/>
    <n v="76"/>
    <m/>
    <n v="0"/>
    <n v="9741.973413227781"/>
    <n v="740389.9794053114"/>
    <n v="9.199999999999999"/>
    <n v="10051"/>
    <n v="19319.32773109244"/>
    <n v="21000"/>
    <s v="Shenzhen"/>
    <s v="30/70"/>
    <n v="30"/>
    <n v="250"/>
    <n v="46"/>
    <n v="0.5829332927682005"/>
    <n v="18"/>
    <n v="0.617022590657715"/>
    <n v="12"/>
    <n v="0.6299718002796093"/>
    <n v="1"/>
    <s v=""/>
    <n v="1"/>
    <n v="0.4872726771740328"/>
    <n v="19"/>
    <n v="0.557086640944893"/>
    <n v="43"/>
    <n v="0.5154158398930543"/>
    <n v="21"/>
    <n v="0.5913387036723379"/>
    <n v="39"/>
    <n v="0.4951022212519783"/>
    <n v="163"/>
    <n v="0.591699669188083"/>
    <n v="20"/>
    <n v="0.5931110209141648"/>
    <n v="25"/>
    <n v="0.5875350311132151"/>
    <n v="50"/>
    <n v="0.3384576641255141"/>
    <n v="75"/>
    <n v="0.2366303924830462"/>
    <n v="155"/>
    <n v="0.2494274974976846"/>
    <n v="72"/>
    <n v="0.3463061696648632"/>
    <n v="1.8"/>
    <n v="32"/>
    <n v="0.5549881475936496"/>
    <n v="0.4"/>
    <n v="58"/>
    <n v="0.2579109383291312"/>
    <n v="0.3866666666666667"/>
    <n v="0"/>
    <n v="0.3000257627612218"/>
    <n v="0"/>
    <n v="35"/>
    <n v="437"/>
    <n v="22"/>
    <n v="0"/>
    <n v="0"/>
    <n v="0"/>
    <n v="2820301.303129443"/>
    <n v="4161114"/>
    <n v="214323.4150910112"/>
    <n v="0"/>
    <n v="76"/>
    <n v="740389.9794053114"/>
    <n v="357164.0420874233"/>
    <n v="35"/>
    <n v="386"/>
    <n v="112.5"/>
    <n v="0"/>
    <n v="0"/>
    <n v="0"/>
    <n v="3307399.973790831"/>
    <n v="3675492"/>
    <n v="1095972.008988125"/>
    <n v="0"/>
    <n v="76"/>
    <n v="740389.9794053114"/>
    <n v="1826407.033401596"/>
    <n v="60"/>
    <n v="271"/>
    <n v="155"/>
    <n v="0"/>
    <n v="0"/>
    <n v="2973187.964802706"/>
    <n v="2640074.794984729"/>
    <n v="1510005.879050306"/>
    <n v="0"/>
    <n v="76"/>
    <n v="740389.9794053114"/>
    <n v="2994495.798319328"/>
    <n v="40"/>
    <n v="150"/>
    <n v="72"/>
    <n v="0"/>
    <n v="0"/>
    <n v="1428300"/>
    <n v="701422.0857524002"/>
    <n v="0"/>
    <n v="0"/>
    <n v="76"/>
    <n v="740389.9794053114"/>
    <n v="1390991.596638656"/>
    <n v="80"/>
    <n v="108"/>
    <n v="80"/>
    <m/>
    <n v="0"/>
    <n v="0"/>
    <n v="1052133.1286286"/>
    <n v="761760"/>
    <n v="0"/>
    <n v="0"/>
    <n v="76"/>
    <n v="740389.9794053114"/>
    <n v="1545546.218487395"/>
    <n v="150"/>
    <n v="134"/>
    <n v="58"/>
    <m/>
    <n v="0"/>
    <n v="0"/>
    <n v="1305424.437372523"/>
    <n v="552276"/>
    <n v="0"/>
    <n v="0"/>
    <n v="134"/>
    <n v="740389.9794053114"/>
    <n v="1120521.008403362"/>
    <n v="66"/>
    <n v="76"/>
    <n v="66"/>
    <n v="100"/>
    <n v="100"/>
    <n v="0"/>
    <n v="740389.9794053114"/>
    <n v="628452"/>
    <n v="920459.9999999999"/>
    <n v="0"/>
    <n v="76"/>
    <n v="740389.9794053114"/>
    <n v="1275075.630252101"/>
    <n v="60"/>
    <n v="10"/>
    <n v="60"/>
    <n v="150"/>
    <n v="150"/>
    <n v="0"/>
    <n v="97419.73413227781"/>
    <n v="571320"/>
    <n v="1428300"/>
    <n v="0"/>
    <n v="160"/>
    <n v="97419.73413227781"/>
    <n v="1159159.663865546"/>
    <n v="61"/>
    <n v="0"/>
    <n v="61"/>
    <n v="0"/>
    <n v="0"/>
    <n v="150"/>
    <n v="0"/>
    <n v="580842"/>
    <n v="0"/>
    <n v="1428300"/>
    <n v="150"/>
    <n v="1428300"/>
    <n v="1178478.991596639"/>
    <n v="100"/>
    <n v="89"/>
    <n v="89"/>
    <n v="300"/>
    <n v="300"/>
    <n v="300"/>
    <n v="0"/>
    <n v="847458"/>
    <n v="847458"/>
    <n v="2856600"/>
    <n v="2856600"/>
    <n v="389"/>
    <n v="3704058"/>
    <n v="1869000"/>
    <n v="80"/>
    <n v="300"/>
    <n v="80"/>
    <n v="0"/>
    <n v="0"/>
    <n v="2856600"/>
    <n v="761760"/>
    <n v="0"/>
    <n v="0"/>
    <n v="300"/>
    <n v="2856600"/>
    <n v="1764000"/>
    <n v="120"/>
    <n v="220"/>
    <n v="120"/>
    <n v="0"/>
    <n v="0"/>
    <n v="2094840"/>
    <n v="1142640"/>
    <n v="0"/>
    <n v="220"/>
    <n v="2094840"/>
    <n v="2318319.327731092"/>
    <n v="48"/>
    <n v="100"/>
    <n v="48"/>
    <n v="0"/>
    <m/>
    <n v="952200"/>
    <n v="467614.7238349335"/>
    <n v="0"/>
    <n v="100"/>
    <n v="952200"/>
    <n v="927327.7310924371"/>
  </r>
  <r>
    <s v="Lhotse-Equipamiento"/>
    <x v="1"/>
    <x v="11"/>
    <x v="12"/>
    <n v="1661873818029"/>
    <x v="129"/>
    <x v="126"/>
    <x v="0"/>
    <x v="3"/>
    <n v="1"/>
    <x v="105"/>
    <n v="126"/>
    <m/>
    <n v="0"/>
    <n v="9659"/>
    <n v="1217034"/>
    <n v="9.199999999999999"/>
    <n v="10051"/>
    <n v="19319.32773109244"/>
    <n v="21000"/>
    <s v="Shenzhen"/>
    <s v="30/70"/>
    <n v="30"/>
    <n v="250"/>
    <n v="61"/>
    <n v="0.530569282583523"/>
    <n v="23"/>
    <n v="0.6117241544240136"/>
    <n v="21"/>
    <n v="0.6281346711542939"/>
    <n v="4"/>
    <n v="0.6309654566313936"/>
    <n v="1"/>
    <n v="0.6309685739227046"/>
    <n v="7"/>
    <n v="0.5826809078183041"/>
    <n v="24"/>
    <n v="0.516743795422552"/>
    <n v="14"/>
    <n v="0.5848796724479748"/>
    <n v="18"/>
    <n v="0.5329033072749599"/>
    <n v="105"/>
    <n v="0.596700981600764"/>
    <n v="20"/>
    <n v="0.5853264316312363"/>
    <n v="33"/>
    <n v="0.5913386775912578"/>
    <n v="32"/>
    <n v="0.4242892503961953"/>
    <n v="44"/>
    <n v="0.2643392231711832"/>
    <n v="100"/>
    <n v="0.254106472997689"/>
    <n v="44"/>
    <n v="0.3649545759423428"/>
    <n v="1.76"/>
    <n v="42"/>
    <n v="0.4954035881001507"/>
    <n v="1.05"/>
    <n v="28"/>
    <n v="0.347674068897731"/>
    <n v="0.35"/>
    <n v="0"/>
    <n v="0.3380879385084119"/>
    <n v="0"/>
    <n v="20"/>
    <n v="457"/>
    <n v="18"/>
    <n v="0"/>
    <n v="0"/>
    <n v="0"/>
    <n v="1777256"/>
    <n v="4351554"/>
    <n v="173862"/>
    <n v="0"/>
    <n v="126"/>
    <n v="1217034"/>
    <n v="292225.1253442554"/>
    <n v="20"/>
    <n v="403"/>
    <n v="66"/>
    <n v="0"/>
    <n v="0"/>
    <n v="0"/>
    <n v="2028390"/>
    <n v="3837366"/>
    <n v="637494"/>
    <n v="0"/>
    <n v="126"/>
    <n v="1217034"/>
    <n v="1071492.12626227"/>
    <n v="90"/>
    <n v="338"/>
    <n v="100"/>
    <n v="0"/>
    <n v="0"/>
    <n v="1771776"/>
    <n v="3264742"/>
    <n v="965900"/>
    <n v="0"/>
    <n v="126"/>
    <n v="1217034"/>
    <n v="1931932.773109244"/>
    <n v="25"/>
    <n v="253"/>
    <n v="44"/>
    <n v="0"/>
    <n v="0"/>
    <n v="2409066"/>
    <n v="424996"/>
    <n v="0"/>
    <n v="0"/>
    <n v="126"/>
    <n v="1217034"/>
    <n v="850050.4201680673"/>
    <n v="40"/>
    <n v="168"/>
    <n v="40"/>
    <m/>
    <n v="0"/>
    <n v="0"/>
    <n v="1622712"/>
    <n v="380880"/>
    <n v="0"/>
    <n v="0"/>
    <n v="126"/>
    <n v="1217034"/>
    <n v="772773.1092436975"/>
    <n v="80"/>
    <n v="154"/>
    <n v="28"/>
    <m/>
    <n v="0"/>
    <n v="0"/>
    <n v="1487486"/>
    <n v="266616"/>
    <n v="0"/>
    <n v="0"/>
    <n v="154"/>
    <n v="1217034"/>
    <n v="540941.1764705883"/>
    <n v="35"/>
    <n v="126"/>
    <n v="35"/>
    <n v="0"/>
    <n v="0"/>
    <n v="0"/>
    <n v="1217034"/>
    <n v="333270"/>
    <n v="0"/>
    <n v="0"/>
    <n v="126"/>
    <n v="1217034"/>
    <n v="676176.4705882353"/>
    <n v="35"/>
    <n v="91"/>
    <n v="35"/>
    <n v="100"/>
    <n v="100"/>
    <n v="0"/>
    <n v="878969"/>
    <n v="333270"/>
    <n v="952200"/>
    <n v="0"/>
    <n v="191"/>
    <n v="878969"/>
    <n v="676176.4705882353"/>
    <n v="60"/>
    <n v="56"/>
    <n v="60"/>
    <n v="0"/>
    <n v="0"/>
    <n v="100"/>
    <n v="533232"/>
    <n v="571320"/>
    <n v="0"/>
    <n v="952200"/>
    <n v="156"/>
    <n v="1485432"/>
    <n v="1159159.663865546"/>
    <n v="80"/>
    <n v="96"/>
    <n v="80"/>
    <n v="0"/>
    <n v="0"/>
    <n v="0"/>
    <m/>
    <n v="914112"/>
    <n v="761760"/>
    <n v="0"/>
    <n v="0"/>
    <n v="96"/>
    <n v="914112"/>
    <n v="1680000"/>
    <n v="50"/>
    <n v="16"/>
    <n v="50"/>
    <n v="200"/>
    <n v="200"/>
    <n v="152352"/>
    <n v="476100"/>
    <n v="1904400"/>
    <n v="1904400"/>
    <n v="216"/>
    <n v="2056752"/>
    <n v="1102500"/>
    <n v="80"/>
    <n v="166"/>
    <n v="80"/>
    <n v="0"/>
    <n v="0"/>
    <n v="1580652"/>
    <n v="761760"/>
    <n v="0"/>
    <n v="166"/>
    <n v="1580652"/>
    <n v="1545546.218487395"/>
    <n v="30"/>
    <n v="86"/>
    <n v="30"/>
    <n v="0"/>
    <m/>
    <n v="818892"/>
    <n v="289770"/>
    <n v="0"/>
    <n v="86"/>
    <n v="818892"/>
    <n v="579579.8319327731"/>
  </r>
  <r>
    <m/>
    <x v="1"/>
    <x v="11"/>
    <x v="12"/>
    <s v="LHMOMAK"/>
    <x v="130"/>
    <x v="127"/>
    <x v="0"/>
    <x v="3"/>
    <n v="1"/>
    <x v="106"/>
    <n v="63"/>
    <m/>
    <n v="0"/>
    <n v="11880"/>
    <n v="748440"/>
    <n v="12"/>
    <n v="13110"/>
    <n v="27722.68907563025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2"/>
    <n v="0.5854613397064385"/>
    <n v="14"/>
    <n v="0.5432989546829903"/>
    <n v="13"/>
    <n v="0.5027373916013651"/>
    <n v="53"/>
    <n v="0.5116797301187758"/>
    <n v="56"/>
    <s v=""/>
    <n v="39"/>
    <s v=""/>
    <n v="13"/>
    <s v=""/>
    <n v="27"/>
    <s v=""/>
    <n v="0.675"/>
    <n v="39"/>
    <s v=""/>
    <n v="1.3"/>
    <n v="93"/>
    <s v=""/>
    <n v="1.55"/>
    <n v="70"/>
    <s v=""/>
    <n v="1.75"/>
    <n v="25"/>
    <n v="11"/>
    <n v="20"/>
    <n v="0"/>
    <n v="50"/>
    <n v="0"/>
    <n v="1087020"/>
    <n v="136620"/>
    <n v="237600"/>
    <n v="0"/>
    <n v="63"/>
    <n v="748440"/>
    <n v="465927.5474895841"/>
    <n v="30"/>
    <n v="50"/>
    <n v="58.5"/>
    <n v="100"/>
    <n v="100"/>
    <n v="0"/>
    <n v="1170180"/>
    <n v="620999.9999999999"/>
    <n v="694980"/>
    <n v="0"/>
    <n v="63"/>
    <n v="748440"/>
    <n v="1362838.076407033"/>
    <n v="50"/>
    <n v="10"/>
    <n v="13"/>
    <n v="0"/>
    <n v="0"/>
    <n v="847800"/>
    <n v="118800"/>
    <n v="154440"/>
    <n v="0"/>
    <n v="63"/>
    <n v="748440"/>
    <n v="360394.9579831933"/>
    <n v="40"/>
    <n v="295"/>
    <n v="27"/>
    <n v="0"/>
    <n v="0"/>
    <n v="3663900"/>
    <n v="320760"/>
    <n v="0"/>
    <n v="0"/>
    <n v="63"/>
    <n v="748440"/>
    <n v="748512.6050420168"/>
    <n v="30"/>
    <n v="102"/>
    <n v="30"/>
    <m/>
    <n v="0"/>
    <n v="0"/>
    <n v="1211760"/>
    <n v="372599.9999999999"/>
    <n v="0"/>
    <n v="0"/>
    <n v="63"/>
    <n v="748440"/>
    <n v="831680.6722689075"/>
    <n v="60"/>
    <n v="156"/>
    <n v="93"/>
    <m/>
    <n v="0"/>
    <n v="0"/>
    <n v="1853280"/>
    <n v="1155060"/>
    <n v="0"/>
    <n v="0"/>
    <n v="156"/>
    <n v="748440"/>
    <n v="2578210.084033614"/>
    <n v="40"/>
    <n v="133"/>
    <n v="40"/>
    <n v="0"/>
    <n v="0"/>
    <n v="0"/>
    <n v="1580040"/>
    <n v="496799.9999999999"/>
    <n v="0"/>
    <n v="0"/>
    <n v="133"/>
    <n v="748440"/>
    <n v="1108907.56302521"/>
    <n v="35"/>
    <n v="93"/>
    <n v="35"/>
    <n v="0"/>
    <n v="0"/>
    <n v="0"/>
    <n v="1104840"/>
    <n v="434699.9999999999"/>
    <n v="0"/>
    <n v="0"/>
    <n v="93"/>
    <n v="1104840"/>
    <n v="970294.1176470588"/>
    <n v="30"/>
    <n v="58"/>
    <n v="30"/>
    <n v="0"/>
    <n v="0"/>
    <m/>
    <n v="720359.9999999999"/>
    <n v="372599.9999999999"/>
    <n v="0"/>
    <n v="0"/>
    <n v="58"/>
    <n v="720359.9999999999"/>
    <n v="831680.6722689075"/>
    <n v="60"/>
    <n v="328"/>
    <n v="60"/>
    <n v="0"/>
    <n v="0"/>
    <n v="0"/>
    <n v="300"/>
    <n v="4073760"/>
    <n v="745199.9999999999"/>
    <n v="0"/>
    <n v="3726000"/>
    <n v="328"/>
    <n v="7799759.999999999"/>
    <n v="1411260.504201681"/>
    <n v="55"/>
    <n v="268"/>
    <n v="55"/>
    <n v="0"/>
    <n v="0"/>
    <n v="3328560"/>
    <n v="683099.9999999999"/>
    <n v="0"/>
    <n v="0"/>
    <n v="268"/>
    <n v="3328560"/>
    <n v="1358338.235294118"/>
    <n v="100"/>
    <n v="213"/>
    <n v="100"/>
    <n v="0"/>
    <n v="0"/>
    <n v="2645460"/>
    <n v="1242000"/>
    <n v="0"/>
    <n v="213"/>
    <n v="2645460"/>
    <n v="2772268.907563025"/>
    <n v="33"/>
    <n v="113"/>
    <n v="33"/>
    <n v="0"/>
    <m/>
    <n v="1403460"/>
    <n v="392040"/>
    <n v="0"/>
    <n v="113"/>
    <n v="1403460"/>
    <n v="914848.7394957984"/>
  </r>
  <r>
    <m/>
    <x v="1"/>
    <x v="11"/>
    <x v="12"/>
    <s v="LHMOMAK"/>
    <x v="131"/>
    <x v="128"/>
    <x v="0"/>
    <x v="3"/>
    <n v="1"/>
    <x v="107"/>
    <n v="0"/>
    <m/>
    <n v="0"/>
    <n v="12625"/>
    <n v="0"/>
    <n v="12"/>
    <n v="13110"/>
    <n v="27722.68907563025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6"/>
    <n v="0.5787987670387724"/>
    <n v="12"/>
    <n v="0.5516807199291035"/>
    <n v="11"/>
    <n v="0.4925403078096846"/>
    <n v="31"/>
    <n v="0.5555385935105075"/>
    <n v="49"/>
    <s v=""/>
    <n v="63"/>
    <s v=""/>
    <n v="18"/>
    <s v=""/>
    <n v="3"/>
    <s v=""/>
    <n v="0.1"/>
    <n v="2"/>
    <s v=""/>
    <n v="0.05714285714285714"/>
    <n v="0"/>
    <s v=""/>
    <n v="0"/>
    <n v="0"/>
    <s v=""/>
    <n v="0"/>
    <n v="20"/>
    <n v="85"/>
    <n v="40"/>
    <n v="0"/>
    <n v="50"/>
    <n v="0"/>
    <n v="1925312.5"/>
    <n v="1055700"/>
    <n v="505000"/>
    <n v="0"/>
    <n v="0"/>
    <n v="0"/>
    <n v="931855.0949791681"/>
    <n v="30"/>
    <n v="86"/>
    <n v="94.5"/>
    <n v="0"/>
    <n v="0"/>
    <n v="0"/>
    <n v="1458187.5"/>
    <n v="1068120"/>
    <n v="1193062.5"/>
    <n v="0"/>
    <n v="0"/>
    <n v="0"/>
    <n v="2201507.661888285"/>
    <n v="75"/>
    <n v="18"/>
    <n v="18"/>
    <n v="0"/>
    <n v="0"/>
    <n v="699825"/>
    <n v="227250"/>
    <n v="227250"/>
    <n v="0"/>
    <n v="0"/>
    <n v="0"/>
    <n v="499008.4033613445"/>
    <n v="30"/>
    <n v="3"/>
    <n v="3"/>
    <n v="100"/>
    <n v="0"/>
    <n v="37259.99999999999"/>
    <n v="37875"/>
    <n v="1242000"/>
    <n v="0"/>
    <n v="0"/>
    <n v="0"/>
    <n v="83168.06722689077"/>
    <n v="35"/>
    <n v="2"/>
    <n v="35"/>
    <m/>
    <n v="0"/>
    <n v="0"/>
    <n v="25250"/>
    <n v="434699.9999999999"/>
    <n v="0"/>
    <n v="0"/>
    <n v="0"/>
    <n v="0"/>
    <n v="970294.1176470588"/>
    <n v="60"/>
    <n v="0"/>
    <n v="0"/>
    <m/>
    <n v="0"/>
    <n v="0"/>
    <n v="0"/>
    <n v="0"/>
    <n v="0"/>
    <n v="0"/>
    <n v="0"/>
    <n v="0"/>
    <n v="0"/>
    <n v="35"/>
    <n v="0"/>
    <n v="35"/>
    <n v="300"/>
    <n v="300"/>
    <n v="0"/>
    <n v="0"/>
    <n v="434699.9999999999"/>
    <n v="3601800"/>
    <n v="0"/>
    <n v="0"/>
    <n v="0"/>
    <n v="970294.1176470588"/>
    <n v="30"/>
    <n v="0"/>
    <n v="30"/>
    <n v="0"/>
    <n v="0"/>
    <n v="0"/>
    <n v="0"/>
    <n v="372599.9999999999"/>
    <n v="0"/>
    <n v="0"/>
    <n v="0"/>
    <n v="0"/>
    <n v="831680.6722689075"/>
    <n v="35"/>
    <n v="0"/>
    <n v="35"/>
    <n v="0"/>
    <n v="0"/>
    <n v="300"/>
    <n v="0"/>
    <n v="434699.9999999999"/>
    <n v="0"/>
    <n v="3726000"/>
    <n v="300"/>
    <n v="3726000"/>
    <n v="970294.1176470588"/>
    <n v="60"/>
    <n v="265"/>
    <n v="60"/>
    <n v="0"/>
    <n v="0"/>
    <n v="0"/>
    <n v="0"/>
    <n v="3291300"/>
    <n v="745199.9999999999"/>
    <n v="0"/>
    <n v="0"/>
    <n v="265"/>
    <n v="3291300"/>
    <n v="1411260.504201681"/>
    <n v="50"/>
    <n v="205"/>
    <n v="50"/>
    <n v="0"/>
    <n v="0"/>
    <n v="2546100"/>
    <n v="620999.9999999999"/>
    <n v="0"/>
    <n v="0"/>
    <n v="205"/>
    <n v="2546100"/>
    <n v="1234852.941176471"/>
    <n v="60"/>
    <n v="155"/>
    <n v="60"/>
    <n v="300"/>
    <n v="300"/>
    <n v="1925100"/>
    <n v="745199.9999999999"/>
    <n v="3726000"/>
    <n v="455"/>
    <n v="5651099.999999999"/>
    <n v="1663361.344537815"/>
    <n v="30"/>
    <n v="395"/>
    <n v="30"/>
    <n v="0"/>
    <m/>
    <n v="4905899.999999999"/>
    <n v="378750"/>
    <n v="0"/>
    <n v="395"/>
    <n v="4905899.999999999"/>
    <n v="831680.6722689075"/>
  </r>
  <r>
    <m/>
    <x v="1"/>
    <x v="11"/>
    <x v="12"/>
    <s v="LHMOPUM"/>
    <x v="132"/>
    <x v="129"/>
    <x v="0"/>
    <x v="3"/>
    <n v="1.2"/>
    <x v="108"/>
    <n v="53"/>
    <m/>
    <n v="0"/>
    <n v="12589"/>
    <n v="667217"/>
    <n v="12.5"/>
    <n v="13656.25"/>
    <n v="29403.36134453782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1"/>
    <n v="0.6608814987621405"/>
    <n v="3"/>
    <n v="0.6024875138864253"/>
    <n v="16"/>
    <n v="0.4665797852490512"/>
    <n v="11"/>
    <n v="0.5263453528065302"/>
    <n v="14"/>
    <n v="0.4666624012360054"/>
    <n v="29"/>
    <s v=""/>
    <n v="26"/>
    <s v=""/>
    <n v="90"/>
    <s v=""/>
    <n v="58"/>
    <s v=""/>
    <n v="1.45"/>
    <n v="59"/>
    <s v=""/>
    <n v="1.475"/>
    <n v="100"/>
    <s v=""/>
    <n v="1.666666666666667"/>
    <n v="31"/>
    <s v=""/>
    <n v="0.8857142857142857"/>
    <n v="20"/>
    <n v="61"/>
    <n v="40"/>
    <n v="0"/>
    <n v="100"/>
    <n v="0"/>
    <n v="2127541"/>
    <n v="789187.4999999999"/>
    <n v="503560"/>
    <n v="0"/>
    <n v="53"/>
    <n v="667217"/>
    <n v="988348.2804886661"/>
    <n v="35"/>
    <n v="120"/>
    <n v="39"/>
    <n v="120"/>
    <n v="120"/>
    <n v="0"/>
    <n v="2354143"/>
    <n v="1552500"/>
    <n v="490971"/>
    <n v="0"/>
    <n v="53"/>
    <n v="667217"/>
    <n v="963639.5734764496"/>
    <n v="50"/>
    <n v="85"/>
    <n v="90"/>
    <n v="0"/>
    <n v="0"/>
    <n v="2484172"/>
    <n v="1070065"/>
    <n v="1133010"/>
    <n v="0"/>
    <n v="53"/>
    <n v="667217"/>
    <n v="2646302.521008404"/>
    <n v="40"/>
    <n v="309"/>
    <n v="58"/>
    <n v="0"/>
    <n v="0"/>
    <n v="3997687.5"/>
    <n v="730162"/>
    <n v="0"/>
    <n v="0"/>
    <n v="53"/>
    <n v="667217"/>
    <n v="1705394.957983193"/>
    <n v="40"/>
    <n v="112"/>
    <n v="48"/>
    <m/>
    <n v="0"/>
    <n v="0"/>
    <n v="1409968"/>
    <n v="620999.9999999999"/>
    <n v="0"/>
    <n v="0"/>
    <n v="53"/>
    <n v="667217"/>
    <n v="1411361.344537815"/>
    <n v="60"/>
    <n v="153"/>
    <n v="100"/>
    <m/>
    <n v="0"/>
    <n v="0"/>
    <n v="1926117"/>
    <n v="1293750"/>
    <n v="0"/>
    <n v="0"/>
    <n v="153"/>
    <n v="667217"/>
    <n v="2940336.134453782"/>
    <n v="35"/>
    <n v="84"/>
    <n v="42"/>
    <n v="0"/>
    <n v="0"/>
    <n v="0"/>
    <n v="1057476"/>
    <n v="543374.9999999999"/>
    <n v="0"/>
    <n v="0"/>
    <n v="84"/>
    <n v="667217"/>
    <n v="1234941.176470588"/>
    <n v="35"/>
    <n v="42"/>
    <n v="42"/>
    <n v="0"/>
    <n v="0"/>
    <n v="0"/>
    <n v="528738"/>
    <n v="543374.9999999999"/>
    <n v="0"/>
    <n v="0"/>
    <n v="42"/>
    <n v="528738"/>
    <n v="1234941.176470588"/>
    <n v="35"/>
    <n v="0"/>
    <n v="42"/>
    <n v="0"/>
    <n v="0"/>
    <m/>
    <n v="0"/>
    <n v="543374.9999999999"/>
    <n v="0"/>
    <n v="0"/>
    <n v="0"/>
    <n v="0"/>
    <n v="1234941.176470588"/>
    <n v="80"/>
    <n v="300"/>
    <n v="96"/>
    <n v="0"/>
    <n v="0"/>
    <n v="0"/>
    <n v="300"/>
    <n v="3881250"/>
    <n v="1242000"/>
    <n v="0"/>
    <n v="3881250"/>
    <n v="300"/>
    <n v="7762499.999999999"/>
    <n v="2258016.806722689"/>
    <n v="60"/>
    <n v="204"/>
    <n v="72"/>
    <n v="0"/>
    <n v="0"/>
    <n v="2639250"/>
    <n v="931499.9999999999"/>
    <n v="0"/>
    <n v="0"/>
    <n v="204"/>
    <n v="2639250"/>
    <n v="1778188.235294118"/>
    <n v="120"/>
    <n v="132"/>
    <n v="144"/>
    <n v="300"/>
    <n v="300"/>
    <n v="1707750"/>
    <n v="1863000"/>
    <n v="3881250"/>
    <n v="432"/>
    <n v="5588999.999999999"/>
    <n v="4234084.033613446"/>
    <n v="36"/>
    <n v="288"/>
    <n v="43.2"/>
    <n v="0"/>
    <m/>
    <n v="3726000"/>
    <n v="543844.7999999999"/>
    <n v="0"/>
    <n v="288"/>
    <n v="3726000"/>
    <n v="1270225.210084034"/>
  </r>
  <r>
    <m/>
    <x v="1"/>
    <x v="11"/>
    <x v="12"/>
    <s v="LHMOPUM"/>
    <x v="133"/>
    <x v="130"/>
    <x v="0"/>
    <x v="3"/>
    <n v="1.2"/>
    <x v="109"/>
    <n v="0"/>
    <m/>
    <n v="0"/>
    <n v="12843"/>
    <n v="0"/>
    <n v="12.5"/>
    <n v="13656.25"/>
    <n v="29403.36134453782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n v="2.176049417376742e-05"/>
    <n v="4"/>
    <n v="0.5247859107866726"/>
    <n v="13"/>
    <n v="0.5215312551307435"/>
    <n v="8"/>
    <n v="0.4883307237418365"/>
    <n v="26"/>
    <n v="0.5497826070077045"/>
    <n v="13"/>
    <s v=""/>
    <n v="22"/>
    <s v=""/>
    <n v="33"/>
    <s v=""/>
    <n v="30"/>
    <s v=""/>
    <n v="1.2"/>
    <n v="24"/>
    <s v=""/>
    <n v="0.96"/>
    <n v="14"/>
    <s v=""/>
    <n v="0.28"/>
    <n v="7"/>
    <s v=""/>
    <n v="0.2"/>
    <n v="20"/>
    <n v="56"/>
    <n v="15"/>
    <n v="0"/>
    <n v="100"/>
    <n v="0"/>
    <n v="1040283"/>
    <n v="724499.9999999999"/>
    <n v="192645"/>
    <n v="0"/>
    <n v="0"/>
    <n v="0"/>
    <n v="370630.6051832498"/>
    <n v="25"/>
    <n v="137"/>
    <n v="33"/>
    <n v="0"/>
    <n v="0"/>
    <n v="0"/>
    <n v="1232928"/>
    <n v="1772437.5"/>
    <n v="423819"/>
    <n v="0"/>
    <n v="0"/>
    <n v="0"/>
    <n v="815387.3314031496"/>
    <n v="40"/>
    <n v="109"/>
    <n v="33"/>
    <n v="0"/>
    <n v="0"/>
    <n v="1197234"/>
    <n v="1399887"/>
    <n v="423819"/>
    <n v="0"/>
    <n v="0"/>
    <n v="0"/>
    <n v="970310.924369748"/>
    <n v="25"/>
    <n v="83"/>
    <n v="30"/>
    <n v="0"/>
    <n v="0"/>
    <n v="1073812.5"/>
    <n v="385290"/>
    <n v="0"/>
    <n v="0"/>
    <n v="0"/>
    <n v="0"/>
    <n v="882100.8403361345"/>
    <n v="25"/>
    <n v="24"/>
    <n v="30"/>
    <m/>
    <n v="0"/>
    <n v="0"/>
    <n v="308232"/>
    <n v="388124.9999999999"/>
    <n v="0"/>
    <n v="0"/>
    <n v="0"/>
    <n v="0"/>
    <n v="882100.8403361345"/>
    <n v="50"/>
    <n v="14"/>
    <n v="14"/>
    <m/>
    <n v="0"/>
    <n v="0"/>
    <n v="179802"/>
    <n v="181125"/>
    <n v="0"/>
    <n v="0"/>
    <n v="14"/>
    <n v="0"/>
    <n v="411647.0588235295"/>
    <n v="35"/>
    <n v="7"/>
    <n v="42"/>
    <n v="300"/>
    <n v="300"/>
    <n v="0"/>
    <n v="89901"/>
    <n v="543374.9999999999"/>
    <n v="3751875"/>
    <n v="0"/>
    <n v="7"/>
    <n v="0"/>
    <n v="1234941.176470588"/>
    <n v="25"/>
    <n v="0"/>
    <n v="30"/>
    <n v="0"/>
    <n v="0"/>
    <n v="0"/>
    <n v="0"/>
    <n v="388124.9999999999"/>
    <n v="0"/>
    <n v="0"/>
    <n v="0"/>
    <n v="0"/>
    <n v="882100.8403361345"/>
    <n v="20"/>
    <n v="0"/>
    <n v="24"/>
    <n v="0"/>
    <n v="0"/>
    <n v="300"/>
    <n v="0"/>
    <n v="310499.9999999999"/>
    <n v="0"/>
    <n v="3881250"/>
    <n v="300"/>
    <n v="3881250"/>
    <n v="705680.6722689077"/>
    <n v="50"/>
    <n v="276"/>
    <n v="60"/>
    <n v="0"/>
    <n v="0"/>
    <n v="0"/>
    <n v="0"/>
    <n v="3570750"/>
    <n v="776249.9999999999"/>
    <n v="0"/>
    <n v="0"/>
    <n v="276"/>
    <n v="3570750"/>
    <n v="1411260.504201681"/>
    <n v="40"/>
    <n v="216"/>
    <n v="48"/>
    <n v="0"/>
    <n v="0"/>
    <n v="2794500"/>
    <n v="620999.9999999999"/>
    <n v="0"/>
    <n v="0"/>
    <n v="216"/>
    <n v="2794500"/>
    <n v="1185458.823529412"/>
    <n v="50"/>
    <n v="168"/>
    <n v="60"/>
    <n v="0"/>
    <n v="0"/>
    <n v="2173500"/>
    <n v="776249.9999999999"/>
    <n v="0"/>
    <n v="168"/>
    <n v="2173500"/>
    <n v="1764201.680672269"/>
    <n v="24"/>
    <n v="108"/>
    <n v="28.8"/>
    <n v="0"/>
    <m/>
    <n v="1397250"/>
    <n v="369878.4"/>
    <n v="0"/>
    <n v="108"/>
    <n v="1397250"/>
    <n v="846816.8067226891"/>
  </r>
  <r>
    <m/>
    <x v="1"/>
    <x v="11"/>
    <x v="12"/>
    <s v="LHMOVINOM"/>
    <x v="134"/>
    <x v="131"/>
    <x v="0"/>
    <x v="4"/>
    <n v="1"/>
    <x v="110"/>
    <n v="77"/>
    <m/>
    <n v="0"/>
    <n v="20412"/>
    <n v="1571724"/>
    <n v="22"/>
    <n v="24035"/>
    <n v="54613.44537815126"/>
    <n v="40327.73109243697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3"/>
    <n v="0.5327604557660272"/>
    <n v="69"/>
    <n v="0.4205588478268666"/>
    <n v="35"/>
    <n v="0.4904319262415017"/>
    <n v="14"/>
    <n v="0.4329839222662862"/>
    <n v="7"/>
    <s v=""/>
    <n v="11"/>
    <s v=""/>
    <n v="30"/>
    <s v=""/>
    <n v="27"/>
    <s v=""/>
    <n v="0.7714285714285715"/>
    <n v="37"/>
    <s v=""/>
    <n v="1.48"/>
    <n v="159"/>
    <s v=""/>
    <n v="3.18"/>
    <n v="24"/>
    <s v=""/>
    <n v="0.5333333333333333"/>
    <n v="15"/>
    <n v="16"/>
    <n v="10"/>
    <n v="0"/>
    <n v="100"/>
    <n v="0"/>
    <n v="1153278"/>
    <n v="364320"/>
    <n v="204120"/>
    <n v="0"/>
    <n v="77"/>
    <n v="1571724"/>
    <n v="458936.5157827837"/>
    <n v="30"/>
    <n v="367"/>
    <n v="16.5"/>
    <n v="0"/>
    <n v="0"/>
    <n v="0"/>
    <n v="1500282"/>
    <n v="8356590"/>
    <n v="336798"/>
    <n v="0"/>
    <n v="77"/>
    <n v="1571724"/>
    <n v="757245.2510415931"/>
    <n v="40"/>
    <n v="350"/>
    <n v="30"/>
    <n v="0"/>
    <n v="0"/>
    <n v="1732734"/>
    <n v="7144200"/>
    <n v="612360"/>
    <n v="0"/>
    <n v="77"/>
    <n v="1571724"/>
    <n v="1638403.361344538"/>
    <n v="35"/>
    <n v="325"/>
    <n v="27"/>
    <m/>
    <n v="0"/>
    <n v="7400250"/>
    <n v="551124"/>
    <n v="0"/>
    <n v="0"/>
    <n v="77"/>
    <n v="1571724"/>
    <n v="1474563.025210084"/>
    <n v="25"/>
    <n v="114"/>
    <n v="25"/>
    <m/>
    <n v="0"/>
    <n v="0"/>
    <n v="2326968"/>
    <n v="569250"/>
    <n v="0"/>
    <n v="0"/>
    <n v="77"/>
    <n v="1571724"/>
    <n v="1365336.134453782"/>
    <n v="50"/>
    <n v="236"/>
    <n v="159"/>
    <m/>
    <n v="0"/>
    <n v="0"/>
    <n v="4817232"/>
    <n v="3620430"/>
    <n v="0"/>
    <n v="0"/>
    <n v="236"/>
    <n v="1571724"/>
    <n v="8683537.81512605"/>
    <n v="45"/>
    <n v="101"/>
    <n v="45"/>
    <n v="0"/>
    <n v="0"/>
    <n v="0"/>
    <n v="2061612"/>
    <n v="1024650"/>
    <n v="0"/>
    <n v="0"/>
    <n v="101"/>
    <n v="1571724"/>
    <n v="2457605.042016807"/>
    <n v="25"/>
    <n v="56"/>
    <n v="25"/>
    <n v="0"/>
    <n v="0"/>
    <n v="0"/>
    <n v="1143072"/>
    <n v="569250"/>
    <n v="0"/>
    <n v="0"/>
    <n v="56"/>
    <n v="1143072"/>
    <n v="1365336.134453782"/>
    <n v="20"/>
    <n v="31"/>
    <n v="20"/>
    <n v="0"/>
    <n v="0"/>
    <m/>
    <n v="705870"/>
    <n v="455400"/>
    <n v="0"/>
    <n v="0"/>
    <n v="31"/>
    <n v="705870"/>
    <n v="1092268.907563025"/>
    <n v="50"/>
    <n v="11"/>
    <n v="11"/>
    <n v="0"/>
    <n v="0"/>
    <n v="0"/>
    <m/>
    <n v="250470"/>
    <n v="250470"/>
    <n v="0"/>
    <n v="0"/>
    <n v="11"/>
    <n v="250470"/>
    <n v="443605.0420168067"/>
    <n v="29"/>
    <n v="0"/>
    <n v="29"/>
    <n v="0"/>
    <n v="0"/>
    <n v="0"/>
    <n v="660330"/>
    <n v="0"/>
    <n v="0"/>
    <n v="0"/>
    <n v="0"/>
    <n v="1227979.411764706"/>
    <n v="80"/>
    <n v="0"/>
    <n v="80"/>
    <n v="300"/>
    <n v="300"/>
    <n v="0"/>
    <n v="1821600"/>
    <n v="6831000"/>
    <n v="300"/>
    <n v="6831000"/>
    <n v="4369075.630252101"/>
    <n v="17.4"/>
    <n v="220"/>
    <n v="17.4"/>
    <n v="0"/>
    <m/>
    <n v="5009400"/>
    <n v="355168.8"/>
    <n v="0"/>
    <n v="220"/>
    <n v="5009400"/>
    <n v="950273.9495798319"/>
  </r>
  <r>
    <m/>
    <x v="1"/>
    <x v="11"/>
    <x v="12"/>
    <s v="LHMOCLATK-BK"/>
    <x v="135"/>
    <x v="132"/>
    <x v="0"/>
    <x v="2"/>
    <n v="1"/>
    <x v="12"/>
    <n v="0"/>
    <m/>
    <n v="0"/>
    <n v="15513.5"/>
    <n v="0"/>
    <n v="14.2"/>
    <n v="15513.5"/>
    <n v="39109.66386554622"/>
    <n v="33243.21428571428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50"/>
    <n v="250"/>
    <n v="0"/>
    <n v="0"/>
    <n v="0"/>
    <n v="3674250"/>
    <n v="0"/>
    <n v="250"/>
    <n v="0"/>
    <n v="0"/>
    <n v="0"/>
    <n v="0"/>
    <n v="0"/>
    <n v="0"/>
    <n v="0"/>
    <n v="250"/>
    <n v="0"/>
    <n v="0"/>
    <n v="0"/>
    <n v="3674250"/>
    <n v="250"/>
    <n v="3674250"/>
    <n v="0"/>
    <n v="40"/>
    <n v="250"/>
    <n v="40"/>
    <n v="0"/>
    <n v="0"/>
    <n v="0"/>
    <m/>
    <n v="3674250"/>
    <n v="587879.9999999999"/>
    <n v="0"/>
    <n v="0"/>
    <n v="250"/>
    <n v="3674250"/>
    <n v="1329728.571428571"/>
    <n v="40"/>
    <n v="210"/>
    <n v="40"/>
    <n v="0"/>
    <n v="0"/>
    <n v="3086370"/>
    <n v="587879.9999999999"/>
    <n v="0"/>
    <n v="0"/>
    <n v="210"/>
    <n v="3086370"/>
    <n v="1396215"/>
    <n v="60"/>
    <n v="170"/>
    <n v="60"/>
    <n v="0"/>
    <n v="0"/>
    <n v="2498490"/>
    <n v="881819.9999999999"/>
    <n v="0"/>
    <n v="170"/>
    <n v="2498490"/>
    <n v="2346579.831932773"/>
    <n v="24"/>
    <n v="110"/>
    <n v="24"/>
    <n v="0"/>
    <m/>
    <n v="1616670"/>
    <n v="372323.9999999999"/>
    <n v="0"/>
    <n v="110"/>
    <n v="1616670"/>
    <n v="938631.9327731092"/>
  </r>
  <r>
    <m/>
    <x v="1"/>
    <x v="11"/>
    <x v="12"/>
    <s v="LHMOCLATK-BU"/>
    <x v="136"/>
    <x v="133"/>
    <x v="0"/>
    <x v="2"/>
    <n v="1"/>
    <x v="12"/>
    <n v="0"/>
    <m/>
    <n v="0"/>
    <n v="15513.5"/>
    <n v="0"/>
    <n v="14.2"/>
    <n v="15513.5"/>
    <n v="39109.66386554622"/>
    <n v="33243.21428571428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50"/>
    <n v="250"/>
    <n v="0"/>
    <n v="0"/>
    <n v="0"/>
    <n v="3674250"/>
    <n v="0"/>
    <n v="250"/>
    <n v="0"/>
    <n v="0"/>
    <n v="0"/>
    <n v="0"/>
    <n v="0"/>
    <n v="0"/>
    <n v="0"/>
    <n v="250"/>
    <n v="0"/>
    <n v="0"/>
    <n v="0"/>
    <n v="3674250"/>
    <n v="250"/>
    <n v="3674250"/>
    <n v="0"/>
    <n v="40"/>
    <n v="250"/>
    <n v="40"/>
    <n v="0"/>
    <n v="0"/>
    <n v="0"/>
    <m/>
    <n v="3674250"/>
    <n v="587879.9999999999"/>
    <n v="0"/>
    <n v="0"/>
    <n v="250"/>
    <n v="3674250"/>
    <n v="1329728.571428571"/>
    <n v="40"/>
    <n v="210"/>
    <n v="40"/>
    <n v="0"/>
    <n v="0"/>
    <n v="3086370"/>
    <n v="587879.9999999999"/>
    <n v="0"/>
    <n v="0"/>
    <n v="210"/>
    <n v="3086370"/>
    <n v="1396215"/>
    <n v="60"/>
    <n v="170"/>
    <n v="60"/>
    <n v="0"/>
    <n v="0"/>
    <n v="2498490"/>
    <n v="881819.9999999999"/>
    <n v="0"/>
    <n v="170"/>
    <n v="2498490"/>
    <n v="2346579.831932773"/>
    <n v="24"/>
    <n v="110"/>
    <n v="24"/>
    <n v="0"/>
    <m/>
    <n v="1616670"/>
    <n v="372323.9999999999"/>
    <n v="0"/>
    <n v="110"/>
    <n v="1616670"/>
    <n v="938631.9327731092"/>
  </r>
  <r>
    <s v="Lhotse-Equipamiento"/>
    <x v="1"/>
    <x v="11"/>
    <x v="12"/>
    <n v="1623703728452"/>
    <x v="137"/>
    <x v="134"/>
    <x v="0"/>
    <x v="6"/>
    <n v="1"/>
    <x v="12"/>
    <n v="5"/>
    <m/>
    <n v="0"/>
    <n v="9554"/>
    <n v="47770"/>
    <n v="8.699999999999999"/>
    <n v="9504.75"/>
    <n v="18478.99159663866"/>
    <n v="19319.32773109244"/>
    <s v="Shenzhen"/>
    <s v="30/70"/>
    <n v="30"/>
    <n v="500"/>
    <n v="11"/>
    <n v="0.4467483305350147"/>
    <n v="24"/>
    <n v="0.441537403965275"/>
    <n v="47"/>
    <n v="0.4116863009133295"/>
    <n v="12"/>
    <n v="0.497506001732459"/>
    <n v="9"/>
    <n v="0.3854768422927482"/>
    <n v="46"/>
    <n v="0.4075460893038689"/>
    <n v="21"/>
    <n v="0.3952137482668845"/>
    <n v="22"/>
    <n v="0.4339147034872641"/>
    <n v="16"/>
    <n v="0.4382442946688341"/>
    <n v="33"/>
    <n v="0.4416926828408153"/>
    <n v="43"/>
    <n v="0.4840615156105425"/>
    <n v="54"/>
    <n v="0.4500091654982111"/>
    <n v="37"/>
    <n v="0.2568484148987704"/>
    <n v="33"/>
    <n v="0.2672271959922551"/>
    <n v="21"/>
    <n v="0.233891980104397"/>
    <n v="18"/>
    <n v="0.2684731688007843"/>
    <n v="0.72"/>
    <n v="6"/>
    <n v="0.5325482390023297"/>
    <n v="0.3"/>
    <n v="9"/>
    <n v="0.3585459639447102"/>
    <n v="0.3"/>
    <n v="0"/>
    <n v="0.2804854681728483"/>
    <n v="0"/>
    <n v="20"/>
    <n v="139"/>
    <n v="24"/>
    <n v="0"/>
    <n v="0"/>
    <n v="0"/>
    <n v="902853"/>
    <n v="1251625.5"/>
    <n v="229296"/>
    <n v="0"/>
    <n v="5"/>
    <n v="47770"/>
    <n v="372685.5448061578"/>
    <n v="25"/>
    <n v="99"/>
    <n v="49.5"/>
    <n v="0"/>
    <n v="0"/>
    <n v="0"/>
    <n v="845529"/>
    <n v="891445.4999999998"/>
    <n v="472923"/>
    <n v="0"/>
    <n v="5"/>
    <n v="47770"/>
    <n v="768663.9361627005"/>
    <n v="40"/>
    <n v="66"/>
    <n v="21"/>
    <n v="0"/>
    <n v="0"/>
    <n v="552696"/>
    <n v="630564"/>
    <n v="200634"/>
    <n v="0"/>
    <n v="5"/>
    <n v="47770"/>
    <n v="388058.8235294118"/>
    <n v="25"/>
    <n v="31"/>
    <n v="18"/>
    <n v="0"/>
    <n v="0"/>
    <n v="279139.4999999999"/>
    <n v="171972"/>
    <n v="0"/>
    <n v="0"/>
    <n v="5"/>
    <n v="47770"/>
    <n v="332621.8487394959"/>
    <n v="20"/>
    <n v="11"/>
    <n v="20"/>
    <m/>
    <n v="0"/>
    <n v="0"/>
    <n v="105094"/>
    <n v="180090"/>
    <n v="0"/>
    <n v="0"/>
    <n v="5"/>
    <n v="47770"/>
    <n v="369579.8319327732"/>
    <n v="30"/>
    <n v="14"/>
    <n v="9"/>
    <m/>
    <n v="0"/>
    <n v="0"/>
    <n v="133756"/>
    <n v="81040.49999999999"/>
    <n v="0"/>
    <n v="0"/>
    <n v="14"/>
    <n v="47770"/>
    <n v="166310.9243697479"/>
    <n v="48.3"/>
    <n v="5"/>
    <n v="48.3"/>
    <n v="0"/>
    <n v="0"/>
    <n v="0"/>
    <n v="47770"/>
    <n v="434917.3499999999"/>
    <n v="0"/>
    <n v="0"/>
    <n v="5"/>
    <n v="47770"/>
    <n v="892535.2941176471"/>
    <n v="49.6"/>
    <n v="0"/>
    <n v="49.6"/>
    <n v="0"/>
    <n v="0"/>
    <n v="0"/>
    <n v="0"/>
    <n v="446623.1999999999"/>
    <n v="0"/>
    <n v="0"/>
    <n v="0"/>
    <n v="0"/>
    <n v="916557.9831932775"/>
    <n v="40.4"/>
    <n v="0"/>
    <n v="40.4"/>
    <n v="0"/>
    <n v="0"/>
    <m/>
    <n v="0"/>
    <n v="363781.7999999999"/>
    <n v="0"/>
    <n v="0"/>
    <n v="0"/>
    <n v="0"/>
    <n v="746551.2605042018"/>
    <n v="40.1"/>
    <n v="0"/>
    <n v="0"/>
    <n v="0"/>
    <n v="0"/>
    <n v="0"/>
    <m/>
    <n v="0"/>
    <n v="0"/>
    <n v="0"/>
    <n v="0"/>
    <n v="0"/>
    <n v="0"/>
    <n v="0"/>
    <n v="40.1"/>
    <n v="0"/>
    <n v="40.1"/>
    <n v="0"/>
    <n v="0"/>
    <n v="0"/>
    <n v="361080.45"/>
    <n v="0"/>
    <n v="0"/>
    <n v="0"/>
    <n v="0"/>
    <n v="813440.2941176471"/>
    <n v="40.1"/>
    <n v="0"/>
    <n v="40.1"/>
    <n v="0"/>
    <n v="0"/>
    <n v="0"/>
    <n v="361080.45"/>
    <n v="0"/>
    <n v="0"/>
    <n v="0"/>
    <n v="741007.5630252102"/>
    <n v="24.06"/>
    <n v="0"/>
    <n v="24.06"/>
    <n v="0"/>
    <m/>
    <n v="0"/>
    <n v="229869.24"/>
    <n v="0"/>
    <n v="0"/>
    <n v="0"/>
    <n v="444604.5378151261"/>
  </r>
  <r>
    <s v="Lhotse-Equipamiento"/>
    <x v="1"/>
    <x v="11"/>
    <x v="12"/>
    <n v="1623703690011"/>
    <x v="138"/>
    <x v="135"/>
    <x v="0"/>
    <x v="0"/>
    <n v="0.8"/>
    <x v="111"/>
    <n v="317"/>
    <m/>
    <n v="0"/>
    <n v="9491"/>
    <n v="3008647"/>
    <n v="8.699999999999999"/>
    <n v="9504.75"/>
    <n v="18478.99159663866"/>
    <n v="19319.32773109244"/>
    <s v="Shenzhen"/>
    <s v="30/70"/>
    <n v="30"/>
    <n v="500"/>
    <n v="20"/>
    <n v="0.4813620219001781"/>
    <n v="67"/>
    <n v="0.4300342555889587"/>
    <n v="154"/>
    <n v="0.4172752842326439"/>
    <n v="34"/>
    <n v="0.3534697734386282"/>
    <n v="19"/>
    <n v="0.5227257568900215"/>
    <n v="49"/>
    <n v="0.4372798578118764"/>
    <n v="46"/>
    <n v="0.39975315480719"/>
    <n v="48"/>
    <n v="0.4180159568172733"/>
    <n v="132"/>
    <n v="0.2645150847185939"/>
    <n v="3"/>
    <n v="0.3814147516480756"/>
    <n v="2"/>
    <n v="0.5087245716652"/>
    <n v="1"/>
    <s v=""/>
    <n v="0"/>
    <s v=""/>
    <n v="0"/>
    <s v=""/>
    <n v="0"/>
    <s v=""/>
    <n v="14"/>
    <n v="0.34526264244421"/>
    <n v="0.4"/>
    <n v="18"/>
    <n v="0.5711608944722131"/>
    <n v="0.9"/>
    <n v="14"/>
    <n v="0.410459480258095"/>
    <n v="0.2641509433962264"/>
    <n v="0"/>
    <n v="0.4524191025871555"/>
    <n v="0"/>
    <n v="0"/>
    <n v="2"/>
    <n v="0"/>
    <n v="0"/>
    <n v="0"/>
    <n v="0"/>
    <n v="0"/>
    <n v="18009"/>
    <n v="0"/>
    <n v="0"/>
    <n v="317"/>
    <n v="3008647"/>
    <n v="0"/>
    <n v="60"/>
    <n v="2"/>
    <n v="0"/>
    <n v="100"/>
    <n v="200"/>
    <n v="0"/>
    <n v="132874"/>
    <n v="18009"/>
    <n v="0"/>
    <n v="0"/>
    <n v="317"/>
    <n v="3008647"/>
    <n v="0"/>
    <n v="0"/>
    <n v="2"/>
    <n v="0"/>
    <n v="0"/>
    <n v="0"/>
    <n v="276946"/>
    <n v="18982"/>
    <n v="0"/>
    <n v="0"/>
    <n v="317"/>
    <n v="3008647"/>
    <n v="0"/>
    <n v="35"/>
    <n v="202"/>
    <n v="14"/>
    <n v="0"/>
    <n v="0"/>
    <n v="1818909"/>
    <n v="132874"/>
    <n v="0"/>
    <n v="0"/>
    <n v="317"/>
    <n v="3008647"/>
    <n v="258705.8823529412"/>
    <n v="20"/>
    <n v="335"/>
    <n v="16"/>
    <m/>
    <n v="0"/>
    <n v="0"/>
    <n v="3179485"/>
    <n v="144072"/>
    <n v="0"/>
    <n v="0"/>
    <n v="317"/>
    <n v="3008647"/>
    <n v="295663.8655462185"/>
    <n v="53"/>
    <n v="331"/>
    <n v="14"/>
    <m/>
    <n v="0"/>
    <n v="0"/>
    <n v="3141521"/>
    <n v="126063"/>
    <n v="0"/>
    <n v="0"/>
    <n v="331"/>
    <n v="3008647"/>
    <n v="258705.8823529412"/>
    <n v="113"/>
    <n v="317"/>
    <n v="90.40000000000001"/>
    <n v="300"/>
    <n v="300"/>
    <n v="0"/>
    <n v="3008647"/>
    <n v="814006.7999999999"/>
    <n v="2611305"/>
    <n v="0"/>
    <n v="317"/>
    <n v="3008647"/>
    <n v="1670500.840336135"/>
    <n v="100"/>
    <n v="226.6"/>
    <n v="80"/>
    <n v="0"/>
    <n v="0"/>
    <n v="0"/>
    <n v="2150660.6"/>
    <n v="720359.9999999999"/>
    <n v="0"/>
    <n v="0"/>
    <n v="226.6"/>
    <n v="2150660.6"/>
    <n v="1478319.327731093"/>
    <n v="80"/>
    <n v="146.6"/>
    <n v="64"/>
    <n v="0"/>
    <n v="0"/>
    <m/>
    <n v="1320059.7"/>
    <n v="576287.9999999999"/>
    <n v="0"/>
    <n v="0"/>
    <n v="146.6"/>
    <n v="1320059.7"/>
    <n v="1182655.462184874"/>
    <n v="100"/>
    <n v="82.59999999999999"/>
    <n v="80"/>
    <n v="0"/>
    <n v="0"/>
    <n v="0"/>
    <m/>
    <n v="743771.6999999998"/>
    <n v="720359.9999999999"/>
    <n v="0"/>
    <n v="0"/>
    <n v="82.59999999999999"/>
    <n v="743771.6999999998"/>
    <n v="1545546.218487395"/>
    <n v="80"/>
    <n v="2.599999999999994"/>
    <n v="64"/>
    <n v="0"/>
    <n v="0"/>
    <n v="23411.69999999994"/>
    <n v="576287.9999999999"/>
    <n v="0"/>
    <n v="0"/>
    <n v="2.599999999999994"/>
    <n v="23411.69999999994"/>
    <n v="1298258.823529412"/>
    <n v="120"/>
    <n v="0"/>
    <n v="96"/>
    <n v="0"/>
    <n v="0"/>
    <n v="0"/>
    <n v="864431.9999999998"/>
    <n v="0"/>
    <n v="0"/>
    <n v="0"/>
    <n v="1773983.193277311"/>
    <n v="48"/>
    <n v="0"/>
    <n v="38.40000000000001"/>
    <n v="0"/>
    <m/>
    <n v="0"/>
    <n v="364454.4000000001"/>
    <n v="0"/>
    <n v="0"/>
    <n v="0"/>
    <n v="709593.2773109246"/>
  </r>
  <r>
    <s v="Lhotse-Equipamiento"/>
    <x v="1"/>
    <x v="11"/>
    <x v="12"/>
    <s v="LHMOBI001"/>
    <x v="139"/>
    <x v="136"/>
    <x v="0"/>
    <x v="0"/>
    <n v="1"/>
    <x v="112"/>
    <n v="1"/>
    <m/>
    <n v="0"/>
    <n v="9408"/>
    <n v="9408"/>
    <n v="8.949999999999999"/>
    <n v="9777.875"/>
    <n v="21000"/>
    <n v="21000"/>
    <s v="Shenzhen"/>
    <s v="30/70"/>
    <n v="30"/>
    <n v="300"/>
    <n v="49"/>
    <n v="0.5545684153252723"/>
    <n v="21"/>
    <n v="0.5623815459847284"/>
    <n v="14"/>
    <n v="0.5667490476190475"/>
    <n v="4"/>
    <n v="0.5667490476190477"/>
    <n v="10"/>
    <n v="0.5667490476190477"/>
    <n v="21"/>
    <n v="0.5580036600111107"/>
    <n v="27"/>
    <n v="0.4135862699468085"/>
    <n v="19"/>
    <n v="0.5322684786211466"/>
    <n v="26"/>
    <n v="0.5138334820727581"/>
    <n v="77"/>
    <n v="0.4803721088908997"/>
    <n v="68"/>
    <n v="0.5185797258063786"/>
    <n v="64"/>
    <n v="0.51642829025351"/>
    <n v="4"/>
    <s v=""/>
    <n v="2"/>
    <s v=""/>
    <n v="3"/>
    <s v=""/>
    <n v="2"/>
    <s v=""/>
    <n v="0"/>
    <n v="0"/>
    <s v=""/>
    <n v="0"/>
    <n v="0"/>
    <s v=""/>
    <n v="0"/>
    <n v="0"/>
    <s v=""/>
    <n v="0"/>
    <n v="0"/>
    <n v="8"/>
    <n v="0"/>
    <n v="100"/>
    <n v="100"/>
    <n v="0"/>
    <n v="56448"/>
    <n v="74105.99999999999"/>
    <n v="0"/>
    <n v="0"/>
    <n v="1"/>
    <n v="9408"/>
    <n v="0"/>
    <n v="0"/>
    <n v="5"/>
    <n v="3"/>
    <n v="0"/>
    <n v="0"/>
    <n v="0"/>
    <n v="75264"/>
    <n v="46316.24999999999"/>
    <n v="28224"/>
    <n v="0"/>
    <n v="1"/>
    <n v="9408"/>
    <n v="52941.17647058824"/>
    <n v="0"/>
    <n v="3"/>
    <n v="3"/>
    <n v="0"/>
    <n v="0"/>
    <n v="130409.25"/>
    <n v="28224"/>
    <n v="28224"/>
    <n v="0"/>
    <n v="1"/>
    <n v="9408"/>
    <n v="63000"/>
    <n v="0"/>
    <n v="3"/>
    <n v="2"/>
    <n v="0"/>
    <n v="0"/>
    <n v="27789.74999999999"/>
    <n v="18816"/>
    <n v="0"/>
    <n v="0"/>
    <n v="1"/>
    <n v="9408"/>
    <n v="42000"/>
    <n v="9"/>
    <n v="1"/>
    <n v="9"/>
    <m/>
    <n v="0"/>
    <n v="0"/>
    <n v="9408"/>
    <n v="83369.24999999999"/>
    <n v="0"/>
    <n v="0"/>
    <n v="1"/>
    <n v="9408"/>
    <n v="189000"/>
    <n v="19"/>
    <n v="1"/>
    <n v="0"/>
    <m/>
    <n v="0"/>
    <n v="0"/>
    <n v="9408"/>
    <n v="0"/>
    <n v="0"/>
    <n v="0"/>
    <n v="1"/>
    <n v="9408"/>
    <n v="0"/>
    <n v="1"/>
    <n v="1"/>
    <n v="1"/>
    <n v="0"/>
    <n v="0"/>
    <n v="0"/>
    <n v="9408"/>
    <n v="9263.249999999998"/>
    <n v="0"/>
    <n v="0"/>
    <n v="1"/>
    <n v="9408"/>
    <n v="21000"/>
    <n v="0"/>
    <n v="0"/>
    <n v="0"/>
    <n v="0"/>
    <n v="0"/>
    <n v="0"/>
    <n v="0"/>
    <n v="0"/>
    <n v="0"/>
    <n v="0"/>
    <n v="0"/>
    <n v="0"/>
    <n v="0"/>
    <n v="0"/>
    <n v="0"/>
    <n v="0"/>
    <n v="300"/>
    <n v="300"/>
    <n v="0"/>
    <n v="0"/>
    <n v="0"/>
    <n v="2778975"/>
    <n v="0"/>
    <n v="0"/>
    <n v="0"/>
    <n v="0"/>
    <n v="40"/>
    <n v="300"/>
    <n v="40"/>
    <n v="0"/>
    <n v="0"/>
    <n v="0"/>
    <n v="300"/>
    <n v="2778975"/>
    <n v="370529.9999999999"/>
    <n v="0"/>
    <n v="2778975"/>
    <n v="300"/>
    <n v="5557949.999999999"/>
    <n v="840000"/>
    <n v="68"/>
    <n v="260"/>
    <n v="68"/>
    <n v="0"/>
    <n v="0"/>
    <n v="2408445"/>
    <n v="629900.9999999999"/>
    <n v="0"/>
    <n v="0"/>
    <n v="260"/>
    <n v="2408445"/>
    <n v="1499400"/>
    <n v="120"/>
    <n v="192"/>
    <n v="120"/>
    <n v="0"/>
    <n v="0"/>
    <n v="1778544"/>
    <n v="1111590"/>
    <n v="0"/>
    <n v="192"/>
    <n v="1778544"/>
    <n v="2520000"/>
    <n v="40.8"/>
    <n v="72"/>
    <n v="40.8"/>
    <n v="0"/>
    <m/>
    <n v="666953.9999999999"/>
    <n v="383846.4"/>
    <n v="0"/>
    <n v="72"/>
    <n v="666953.9999999999"/>
    <n v="856799.9999999999"/>
  </r>
  <r>
    <s v="Lhotse-Equipamiento"/>
    <x v="1"/>
    <x v="11"/>
    <x v="12"/>
    <s v="LHMOBROBK"/>
    <x v="140"/>
    <x v="137"/>
    <x v="0"/>
    <x v="3"/>
    <n v="1"/>
    <x v="113"/>
    <n v="8"/>
    <m/>
    <n v="0"/>
    <n v="18263"/>
    <n v="146104"/>
    <n v="20"/>
    <n v="21850"/>
    <n v="42008.40336134454"/>
    <n v="63016.80672268908"/>
    <s v="Shenzhen"/>
    <s v="30/70"/>
    <n v="45"/>
    <n v="300"/>
    <n v="0"/>
    <n v="0.4963034173361716"/>
    <n v="0"/>
    <s v=""/>
    <n v="0"/>
    <n v="0.6119966147118979"/>
    <n v="82"/>
    <n v="0.6377540678970018"/>
    <n v="16"/>
    <n v="0.619627199988806"/>
    <n v="152"/>
    <n v="0.6035531652562347"/>
    <n v="67"/>
    <n v="0.531051629880159"/>
    <n v="33"/>
    <n v="0.6047046707366662"/>
    <n v="22"/>
    <n v="0.6291460935542879"/>
    <n v="99"/>
    <n v="0.4860239560661628"/>
    <n v="11"/>
    <n v="0.6142769056416418"/>
    <n v="3"/>
    <n v="0.7426368910357471"/>
    <n v="92"/>
    <s v=""/>
    <n v="99"/>
    <s v=""/>
    <n v="174"/>
    <s v=""/>
    <n v="83"/>
    <s v=""/>
    <n v="1.383333333333333"/>
    <n v="19"/>
    <s v=""/>
    <n v="0.1637931034482759"/>
    <n v="19"/>
    <s v=""/>
    <n v="0.1266666666666667"/>
    <n v="9"/>
    <s v=""/>
    <n v="0"/>
    <n v="50"/>
    <n v="301"/>
    <n v="30"/>
    <n v="0"/>
    <n v="200"/>
    <n v="0"/>
    <n v="6437707.5"/>
    <n v="6230700"/>
    <n v="547890"/>
    <n v="0"/>
    <n v="8"/>
    <n v="146104"/>
    <n v="1059035.378857425"/>
    <n v="45"/>
    <n v="415"/>
    <n v="148.5"/>
    <n v="0"/>
    <n v="0"/>
    <n v="0"/>
    <n v="7405646.5"/>
    <n v="8590500"/>
    <n v="2712055.5"/>
    <n v="0"/>
    <n v="8"/>
    <n v="146104"/>
    <n v="5242225.125344256"/>
    <n v="120"/>
    <n v="271"/>
    <n v="174"/>
    <n v="0"/>
    <n v="0"/>
    <n v="7094791"/>
    <n v="4949273"/>
    <n v="3177762"/>
    <n v="0"/>
    <n v="8"/>
    <n v="146104"/>
    <n v="7309462.184873951"/>
    <n v="60"/>
    <n v="121"/>
    <n v="83"/>
    <n v="0"/>
    <n v="0"/>
    <n v="2504700"/>
    <n v="1515829"/>
    <n v="0"/>
    <n v="0"/>
    <n v="8"/>
    <n v="146104"/>
    <n v="3486697.478991597"/>
    <n v="116"/>
    <n v="27"/>
    <n v="116"/>
    <m/>
    <n v="0"/>
    <n v="0"/>
    <n v="493101"/>
    <n v="2401200"/>
    <n v="0"/>
    <n v="0"/>
    <n v="8"/>
    <n v="146104"/>
    <n v="4872974.789915967"/>
    <n v="150"/>
    <n v="27"/>
    <n v="19"/>
    <m/>
    <n v="0"/>
    <n v="0"/>
    <n v="493101"/>
    <n v="393300"/>
    <n v="0"/>
    <n v="0"/>
    <n v="27"/>
    <n v="146104"/>
    <n v="798159.6638655463"/>
    <n v="0"/>
    <n v="17"/>
    <n v="0"/>
    <n v="300"/>
    <n v="300"/>
    <n v="0"/>
    <n v="310471"/>
    <n v="0"/>
    <n v="6003000"/>
    <n v="0"/>
    <n v="17"/>
    <n v="146104"/>
    <n v="0"/>
    <n v="60"/>
    <n v="17"/>
    <n v="60"/>
    <n v="0"/>
    <n v="300"/>
    <n v="0"/>
    <n v="310471"/>
    <n v="1242000"/>
    <n v="0"/>
    <n v="0"/>
    <n v="317"/>
    <n v="310471"/>
    <n v="2520504.201680672"/>
    <n v="60"/>
    <n v="0"/>
    <n v="60"/>
    <n v="300"/>
    <n v="0"/>
    <n v="300"/>
    <n v="0"/>
    <n v="1242000"/>
    <n v="6210000"/>
    <n v="6210000"/>
    <n v="300"/>
    <n v="6210000"/>
    <n v="2520504.201680672"/>
    <n v="150"/>
    <n v="240"/>
    <n v="150"/>
    <n v="0"/>
    <n v="300"/>
    <n v="300"/>
    <n v="0"/>
    <n v="4968000"/>
    <n v="3105000"/>
    <n v="0"/>
    <n v="6210000"/>
    <n v="540"/>
    <n v="11178000"/>
    <n v="9452521.008403361"/>
    <n v="80"/>
    <n v="390"/>
    <n v="80"/>
    <n v="0"/>
    <n v="0"/>
    <n v="8073000"/>
    <n v="1656000"/>
    <n v="0"/>
    <n v="0"/>
    <n v="390"/>
    <n v="8073000"/>
    <n v="5293411.764705883"/>
    <n v="150"/>
    <n v="310"/>
    <n v="150"/>
    <n v="0"/>
    <n v="0"/>
    <n v="6417000"/>
    <n v="3105000"/>
    <n v="0"/>
    <n v="310"/>
    <n v="6417000"/>
    <n v="6301260.504201681"/>
    <n v="48"/>
    <n v="160"/>
    <n v="48"/>
    <n v="0"/>
    <m/>
    <n v="3312000"/>
    <n v="876624"/>
    <n v="0"/>
    <n v="160"/>
    <n v="3312000"/>
    <n v="2016403.361344538"/>
  </r>
  <r>
    <s v="Lhotse-Hidratación"/>
    <x v="1"/>
    <x v="12"/>
    <x v="28"/>
    <s v="LHBOADV"/>
    <x v="141"/>
    <x v="138"/>
    <x v="0"/>
    <x v="4"/>
    <n v="1"/>
    <x v="114"/>
    <n v="198"/>
    <m/>
    <n v="0"/>
    <n v="3002"/>
    <n v="594396"/>
    <n v="2.6"/>
    <n v="2840.5"/>
    <n v="8394.957983193277"/>
    <n v="9235.294117647059"/>
    <s v="Shenzhen"/>
    <s v="30/70"/>
    <n v="30"/>
    <n v="100"/>
    <n v="29"/>
    <n v="0.6758376762487547"/>
    <n v="31"/>
    <n v="0.6939240499285927"/>
    <n v="15"/>
    <n v="0.6986356890780266"/>
    <n v="23"/>
    <n v="0.6821408741934867"/>
    <n v="25"/>
    <n v="0.6866237538586903"/>
    <n v="30"/>
    <n v="0.6931671348539541"/>
    <n v="28"/>
    <n v="0.6469873694103025"/>
    <n v="98"/>
    <n v="0.6014214423684273"/>
    <n v="6"/>
    <n v="0.6463868063765039"/>
    <n v="47"/>
    <n v="0.5965419467316334"/>
    <n v="130"/>
    <n v="0.5740368175328979"/>
    <n v="103"/>
    <n v="0.613863824592139"/>
    <n v="29"/>
    <s v=""/>
    <n v="23"/>
    <s v=""/>
    <n v="53"/>
    <s v=""/>
    <n v="48"/>
    <s v=""/>
    <n v="1.371428571428571"/>
    <n v="21"/>
    <s v=""/>
    <n v="0.42"/>
    <n v="69"/>
    <s v=""/>
    <n v="0.5307692307692308"/>
    <n v="5"/>
    <s v=""/>
    <n v="0.1666666666666667"/>
    <n v="40"/>
    <n v="35"/>
    <n v="35"/>
    <n v="100"/>
    <n v="100"/>
    <n v="0"/>
    <n v="367745"/>
    <n v="94185"/>
    <n v="105070"/>
    <n v="0"/>
    <n v="198"/>
    <n v="594396"/>
    <n v="246910.5289174494"/>
    <n v="30"/>
    <n v="128"/>
    <n v="34.5"/>
    <n v="0"/>
    <n v="0"/>
    <n v="0"/>
    <n v="406771"/>
    <n v="344448"/>
    <n v="103569"/>
    <n v="0"/>
    <n v="198"/>
    <n v="594396"/>
    <n v="243383.2356472001"/>
    <n v="80"/>
    <n v="96"/>
    <n v="53"/>
    <n v="0"/>
    <n v="0"/>
    <n v="437752"/>
    <n v="288192"/>
    <n v="159106"/>
    <n v="0"/>
    <n v="198"/>
    <n v="594396"/>
    <n v="444932.7731092437"/>
    <n v="35"/>
    <n v="198"/>
    <n v="48"/>
    <n v="150"/>
    <n v="0"/>
    <n v="532818"/>
    <n v="144096"/>
    <n v="403650"/>
    <n v="0"/>
    <n v="198"/>
    <n v="594396"/>
    <n v="402957.9831932773"/>
    <n v="50"/>
    <n v="219"/>
    <n v="50"/>
    <m/>
    <n v="0"/>
    <n v="0"/>
    <n v="657438"/>
    <n v="134550"/>
    <n v="0"/>
    <n v="0"/>
    <n v="198"/>
    <n v="594396"/>
    <n v="419747.8991596638"/>
    <n v="130"/>
    <n v="267"/>
    <n v="69"/>
    <m/>
    <n v="0"/>
    <n v="0"/>
    <n v="801534"/>
    <n v="185679"/>
    <n v="0"/>
    <n v="0"/>
    <n v="267"/>
    <n v="594396"/>
    <n v="579252.1008403361"/>
    <n v="30"/>
    <n v="203"/>
    <n v="30"/>
    <n v="100"/>
    <n v="100"/>
    <n v="0"/>
    <n v="609406"/>
    <n v="80730"/>
    <n v="260130"/>
    <n v="0"/>
    <n v="203"/>
    <n v="594396"/>
    <n v="251848.7394957983"/>
    <n v="50"/>
    <n v="173"/>
    <n v="50"/>
    <n v="100"/>
    <n v="100"/>
    <n v="100"/>
    <n v="519346"/>
    <n v="134550"/>
    <n v="269100"/>
    <n v="269100"/>
    <n v="273"/>
    <n v="788446"/>
    <n v="419747.8991596638"/>
    <n v="40"/>
    <n v="223"/>
    <n v="40"/>
    <n v="0"/>
    <n v="0"/>
    <m/>
    <n v="600093"/>
    <n v="107640"/>
    <n v="0"/>
    <n v="0"/>
    <n v="223"/>
    <n v="600093"/>
    <n v="335798.3193277311"/>
    <n v="50"/>
    <n v="183"/>
    <n v="50"/>
    <n v="0"/>
    <n v="0"/>
    <n v="0"/>
    <m/>
    <n v="492453"/>
    <n v="134550"/>
    <n v="0"/>
    <n v="0"/>
    <n v="183"/>
    <n v="492453"/>
    <n v="461764.705882353"/>
    <n v="60"/>
    <n v="133"/>
    <n v="60"/>
    <n v="0"/>
    <n v="0"/>
    <n v="357903"/>
    <n v="161460"/>
    <n v="0"/>
    <n v="0"/>
    <n v="133"/>
    <n v="357903"/>
    <n v="581823.5294117648"/>
    <n v="90"/>
    <n v="73"/>
    <n v="90"/>
    <n v="0"/>
    <n v="0"/>
    <n v="196443"/>
    <n v="242190"/>
    <n v="0"/>
    <n v="73"/>
    <n v="196443"/>
    <n v="755546.218487395"/>
    <n v="36"/>
    <n v="0"/>
    <n v="36"/>
    <n v="0"/>
    <m/>
    <n v="0"/>
    <n v="108072"/>
    <n v="0"/>
    <n v="0"/>
    <n v="0"/>
    <n v="302218.487394958"/>
  </r>
  <r>
    <s v="Lhotse-Hidratación"/>
    <x v="1"/>
    <x v="12"/>
    <x v="28"/>
    <s v="LHBOADV"/>
    <x v="142"/>
    <x v="139"/>
    <x v="0"/>
    <x v="4"/>
    <n v="1"/>
    <x v="115"/>
    <n v="27"/>
    <m/>
    <n v="0"/>
    <n v="2964"/>
    <n v="80028"/>
    <n v="2.6"/>
    <n v="2840.5"/>
    <n v="8394.957983193277"/>
    <n v="9235.294117647059"/>
    <s v="Shenzhen"/>
    <s v="30/70"/>
    <n v="30"/>
    <n v="100"/>
    <n v="26"/>
    <n v="0.7128781736908097"/>
    <n v="3"/>
    <n v="0.7460234174342256"/>
    <n v="8"/>
    <n v="0.7038124426746605"/>
    <n v="16"/>
    <n v="0.7060939442372581"/>
    <n v="20"/>
    <n v="0.6955493836514626"/>
    <n v="15"/>
    <n v="0.7077854287769276"/>
    <n v="33"/>
    <n v="0.6067031672985083"/>
    <n v="9"/>
    <n v="0.6914129710529594"/>
    <n v="3"/>
    <n v="0.6689925608997744"/>
    <n v="22"/>
    <n v="0.6096344729717761"/>
    <n v="41"/>
    <n v="0.5770036866824908"/>
    <n v="142"/>
    <n v="0.5733382059464618"/>
    <n v="42"/>
    <s v=""/>
    <n v="48"/>
    <s v=""/>
    <n v="84"/>
    <s v=""/>
    <n v="42"/>
    <s v=""/>
    <n v="1.68"/>
    <n v="16"/>
    <s v=""/>
    <n v="0.4"/>
    <n v="20"/>
    <s v=""/>
    <n v="0.4"/>
    <n v="6"/>
    <s v=""/>
    <n v="0.1428571428571428"/>
    <n v="35"/>
    <n v="74"/>
    <n v="60"/>
    <n v="100"/>
    <n v="127"/>
    <n v="0"/>
    <n v="640224"/>
    <n v="199134"/>
    <n v="177840"/>
    <n v="0"/>
    <n v="27"/>
    <n v="80028"/>
    <n v="423275.1924299131"/>
    <n v="30"/>
    <n v="145"/>
    <n v="72"/>
    <n v="0"/>
    <n v="0"/>
    <n v="0"/>
    <n v="586872"/>
    <n v="390195"/>
    <n v="213408"/>
    <n v="0"/>
    <n v="27"/>
    <n v="80028"/>
    <n v="507930.2309158958"/>
    <n v="45"/>
    <n v="111"/>
    <n v="84"/>
    <n v="0"/>
    <n v="0"/>
    <n v="481104"/>
    <n v="329004"/>
    <n v="248976"/>
    <n v="0"/>
    <n v="27"/>
    <n v="80028"/>
    <n v="705176.4705882353"/>
    <n v="25"/>
    <n v="106"/>
    <n v="42"/>
    <n v="0"/>
    <n v="0"/>
    <n v="285246"/>
    <n v="124488"/>
    <n v="0"/>
    <n v="0"/>
    <n v="27"/>
    <n v="80028"/>
    <n v="352588.2352941177"/>
    <n v="40"/>
    <n v="43"/>
    <n v="40"/>
    <m/>
    <n v="0"/>
    <n v="0"/>
    <n v="127452"/>
    <n v="107640"/>
    <n v="0"/>
    <n v="0"/>
    <n v="27"/>
    <n v="80028"/>
    <n v="335798.3193277311"/>
    <n v="50"/>
    <n v="47"/>
    <n v="20"/>
    <m/>
    <n v="0"/>
    <n v="0"/>
    <n v="139308"/>
    <n v="53820"/>
    <n v="0"/>
    <n v="0"/>
    <n v="47"/>
    <n v="80028"/>
    <n v="167899.1596638655"/>
    <n v="42"/>
    <n v="33"/>
    <n v="42"/>
    <n v="0"/>
    <n v="0"/>
    <n v="0"/>
    <n v="97812"/>
    <n v="113022"/>
    <n v="0"/>
    <n v="0"/>
    <n v="33"/>
    <n v="80028"/>
    <n v="352588.2352941177"/>
    <n v="35"/>
    <n v="0"/>
    <n v="35"/>
    <n v="100"/>
    <n v="100"/>
    <n v="100"/>
    <n v="0"/>
    <n v="94185"/>
    <n v="269100"/>
    <n v="269100"/>
    <n v="100"/>
    <n v="269100"/>
    <n v="293823.5294117647"/>
    <n v="25"/>
    <n v="65"/>
    <n v="25"/>
    <n v="0"/>
    <n v="0"/>
    <m/>
    <n v="174915"/>
    <n v="67275"/>
    <n v="0"/>
    <n v="0"/>
    <n v="65"/>
    <n v="174915"/>
    <n v="209873.9495798319"/>
    <n v="35"/>
    <n v="40"/>
    <n v="35"/>
    <n v="0"/>
    <n v="0"/>
    <n v="0"/>
    <m/>
    <n v="107640"/>
    <n v="94185"/>
    <n v="0"/>
    <n v="0"/>
    <n v="40"/>
    <n v="107640"/>
    <n v="323235.2941176471"/>
    <n v="0"/>
    <n v="5"/>
    <n v="0"/>
    <n v="0"/>
    <n v="0"/>
    <n v="13455"/>
    <n v="0"/>
    <n v="0"/>
    <n v="0"/>
    <n v="5"/>
    <n v="13455"/>
    <n v="0"/>
    <n v="5"/>
    <n v="5"/>
    <n v="5"/>
    <n v="0"/>
    <n v="0"/>
    <n v="13455"/>
    <n v="13455"/>
    <n v="0"/>
    <n v="5"/>
    <n v="13455"/>
    <n v="41974.78991596639"/>
    <n v="0"/>
    <n v="0"/>
    <n v="0"/>
    <n v="0"/>
    <m/>
    <n v="0"/>
    <n v="0"/>
    <n v="0"/>
    <n v="0"/>
    <n v="0"/>
    <n v="0"/>
  </r>
  <r>
    <s v="Lhotse-Hidratación"/>
    <x v="1"/>
    <x v="12"/>
    <x v="28"/>
    <s v="LHBOADV"/>
    <x v="143"/>
    <x v="140"/>
    <x v="0"/>
    <x v="4"/>
    <n v="1"/>
    <x v="116"/>
    <n v="66"/>
    <m/>
    <n v="0"/>
    <n v="2975"/>
    <n v="196350"/>
    <n v="2.6"/>
    <n v="2840.5"/>
    <n v="8394.957983193277"/>
    <n v="9235.294117647059"/>
    <s v="Shenzhen"/>
    <s v="30/70"/>
    <n v="30"/>
    <n v="100"/>
    <n v="35"/>
    <n v="0.6941391645501317"/>
    <n v="29"/>
    <n v="0.6838988127817526"/>
    <n v="49"/>
    <n v="0.7088535259295331"/>
    <n v="15"/>
    <n v="0.6770439224252589"/>
    <n v="37"/>
    <n v="0.6911102206832996"/>
    <n v="22"/>
    <n v="0.7095995488867548"/>
    <n v="36"/>
    <n v="0.6154125076321417"/>
    <n v="11"/>
    <n v="0.6925913383036012"/>
    <n v="9"/>
    <n v="0.6565629447488008"/>
    <n v="26"/>
    <n v="0.6181136746795928"/>
    <n v="101"/>
    <n v="0.5933767463712175"/>
    <n v="71"/>
    <n v="0.5774281838217814"/>
    <n v="22"/>
    <s v=""/>
    <n v="17"/>
    <s v=""/>
    <n v="66"/>
    <s v=""/>
    <n v="160"/>
    <s v=""/>
    <n v="4.571428571428571"/>
    <n v="20"/>
    <s v=""/>
    <n v="0.5"/>
    <n v="14"/>
    <s v=""/>
    <n v="0.14"/>
    <n v="10"/>
    <s v=""/>
    <n v="0.4545454545454545"/>
    <n v="45"/>
    <n v="21"/>
    <n v="30"/>
    <n v="100"/>
    <n v="100"/>
    <n v="0"/>
    <n v="361462.5"/>
    <n v="56511"/>
    <n v="89250"/>
    <n v="0"/>
    <n v="66"/>
    <n v="196350"/>
    <n v="211637.5962149566"/>
    <n v="40"/>
    <n v="114"/>
    <n v="25.5"/>
    <n v="100"/>
    <n v="100"/>
    <n v="0"/>
    <n v="748212.5"/>
    <n v="306774"/>
    <n v="75862.5"/>
    <n v="0"/>
    <n v="66"/>
    <n v="196350"/>
    <n v="179891.9567827131"/>
    <n v="50"/>
    <n v="132"/>
    <n v="66"/>
    <n v="0"/>
    <n v="0"/>
    <n v="779990"/>
    <n v="392700"/>
    <n v="196350"/>
    <n v="0"/>
    <n v="66"/>
    <n v="196350"/>
    <n v="554067.2268907563"/>
    <n v="35"/>
    <n v="235"/>
    <n v="160"/>
    <n v="100"/>
    <n v="0"/>
    <n v="632385"/>
    <n v="476000"/>
    <n v="269100"/>
    <n v="0"/>
    <n v="66"/>
    <n v="196350"/>
    <n v="1343193.277310924"/>
    <n v="40"/>
    <n v="86"/>
    <n v="40"/>
    <m/>
    <n v="0"/>
    <n v="0"/>
    <n v="255850"/>
    <n v="107640"/>
    <n v="0"/>
    <n v="0"/>
    <n v="66"/>
    <n v="196350"/>
    <n v="335798.3193277311"/>
    <n v="100"/>
    <n v="80"/>
    <n v="14"/>
    <m/>
    <n v="0"/>
    <n v="0"/>
    <n v="238000"/>
    <n v="37674"/>
    <n v="0"/>
    <n v="0"/>
    <n v="80"/>
    <n v="196350"/>
    <n v="117529.4117647059"/>
    <n v="22"/>
    <n v="76"/>
    <n v="22"/>
    <n v="0"/>
    <n v="0"/>
    <n v="0"/>
    <n v="226100"/>
    <n v="59202"/>
    <n v="0"/>
    <n v="0"/>
    <n v="76"/>
    <n v="196350"/>
    <n v="184689.0756302521"/>
    <n v="20"/>
    <n v="54"/>
    <n v="20"/>
    <n v="100"/>
    <n v="100"/>
    <n v="100"/>
    <n v="160650"/>
    <n v="53820"/>
    <n v="269100"/>
    <n v="269100"/>
    <n v="154"/>
    <n v="429750"/>
    <n v="167899.1596638655"/>
    <n v="25"/>
    <n v="134"/>
    <n v="25"/>
    <n v="0"/>
    <n v="0"/>
    <m/>
    <n v="360594"/>
    <n v="67275"/>
    <n v="0"/>
    <n v="0"/>
    <n v="134"/>
    <n v="360594"/>
    <n v="209873.9495798319"/>
    <n v="50"/>
    <n v="109"/>
    <n v="50"/>
    <n v="0"/>
    <n v="0"/>
    <n v="0"/>
    <m/>
    <n v="293319"/>
    <n v="134550"/>
    <n v="0"/>
    <n v="0"/>
    <n v="109"/>
    <n v="293319"/>
    <n v="461764.705882353"/>
    <n v="31"/>
    <n v="59"/>
    <n v="31"/>
    <n v="0"/>
    <n v="0"/>
    <n v="158769"/>
    <n v="83421"/>
    <n v="0"/>
    <n v="0"/>
    <n v="59"/>
    <n v="158769"/>
    <n v="300608.8235294118"/>
    <n v="15"/>
    <n v="28"/>
    <n v="15"/>
    <n v="0"/>
    <n v="0"/>
    <n v="75348"/>
    <n v="40365"/>
    <n v="0"/>
    <n v="28"/>
    <n v="75348"/>
    <n v="125924.3697478992"/>
    <n v="18.6"/>
    <n v="13"/>
    <n v="18.6"/>
    <n v="0"/>
    <m/>
    <n v="34983"/>
    <n v="55334.99999999999"/>
    <n v="0"/>
    <n v="13"/>
    <n v="34983"/>
    <n v="156146.2184873949"/>
  </r>
  <r>
    <s v="Lhotse-Hidratación"/>
    <x v="1"/>
    <x v="12"/>
    <x v="28"/>
    <s v="LHBOADV"/>
    <x v="144"/>
    <x v="141"/>
    <x v="0"/>
    <x v="4"/>
    <n v="1"/>
    <x v="117"/>
    <n v="115"/>
    <m/>
    <n v="0"/>
    <n v="2937"/>
    <n v="337755"/>
    <n v="2.6"/>
    <n v="2840.5"/>
    <n v="8394.957983193277"/>
    <n v="9235.294117647059"/>
    <s v="Shenzhen"/>
    <s v="30/70"/>
    <n v="30"/>
    <n v="100"/>
    <n v="51"/>
    <n v="0.7166531184444279"/>
    <n v="34"/>
    <n v="0.7190720105063857"/>
    <n v="25"/>
    <n v="0.7152804815502645"/>
    <n v="59"/>
    <n v="0.6177445390114349"/>
    <n v="18"/>
    <n v="0.6913211992483589"/>
    <n v="29"/>
    <n v="0.6988692057530234"/>
    <n v="27"/>
    <n v="0.6548856186122765"/>
    <n v="14"/>
    <n v="0.7044225568759769"/>
    <n v="13"/>
    <n v="0.6924202122424531"/>
    <n v="49"/>
    <n v="0.585909695374189"/>
    <n v="153"/>
    <n v="0.579223160854177"/>
    <n v="89"/>
    <n v="0.5945409337343216"/>
    <n v="16"/>
    <s v=""/>
    <n v="30"/>
    <s v=""/>
    <n v="61"/>
    <s v=""/>
    <n v="40"/>
    <s v=""/>
    <n v="1"/>
    <n v="19"/>
    <s v=""/>
    <n v="0.5428571428571428"/>
    <n v="24"/>
    <s v=""/>
    <n v="0.2"/>
    <n v="8"/>
    <s v=""/>
    <n v="0.5333333333333333"/>
    <n v="40"/>
    <n v="1"/>
    <n v="5"/>
    <n v="100"/>
    <n v="100"/>
    <n v="0"/>
    <n v="326007"/>
    <n v="2691"/>
    <n v="14685"/>
    <n v="0"/>
    <n v="115"/>
    <n v="337755"/>
    <n v="35272.93270249276"/>
    <n v="35"/>
    <n v="111"/>
    <n v="45"/>
    <n v="0"/>
    <n v="0"/>
    <n v="0"/>
    <n v="428802"/>
    <n v="298701"/>
    <n v="132165"/>
    <n v="0"/>
    <n v="115"/>
    <n v="337755"/>
    <n v="317456.3943224348"/>
    <n v="40"/>
    <n v="71"/>
    <n v="61"/>
    <n v="0"/>
    <n v="0"/>
    <n v="390822"/>
    <n v="208527"/>
    <n v="179157"/>
    <n v="0"/>
    <n v="115"/>
    <n v="337755"/>
    <n v="512092.4369747899"/>
    <n v="40"/>
    <n v="180"/>
    <n v="40"/>
    <n v="150"/>
    <n v="0"/>
    <n v="484380"/>
    <n v="117480"/>
    <n v="403650"/>
    <n v="0"/>
    <n v="115"/>
    <n v="337755"/>
    <n v="335798.3193277311"/>
    <n v="35"/>
    <n v="134"/>
    <n v="35"/>
    <m/>
    <n v="0"/>
    <n v="0"/>
    <n v="393558"/>
    <n v="94185"/>
    <n v="0"/>
    <n v="0"/>
    <n v="115"/>
    <n v="337755"/>
    <n v="293823.5294117647"/>
    <n v="120"/>
    <n v="139"/>
    <n v="24"/>
    <m/>
    <n v="0"/>
    <n v="0"/>
    <n v="408243"/>
    <n v="64584"/>
    <n v="0"/>
    <n v="0"/>
    <n v="139"/>
    <n v="337755"/>
    <n v="201478.9915966386"/>
    <n v="15"/>
    <n v="123"/>
    <n v="15"/>
    <n v="0"/>
    <n v="0"/>
    <n v="0"/>
    <n v="361251"/>
    <n v="40365"/>
    <n v="0"/>
    <n v="0"/>
    <n v="123"/>
    <n v="337755"/>
    <n v="125924.3697478992"/>
    <n v="33"/>
    <n v="108"/>
    <n v="33"/>
    <n v="100"/>
    <n v="100"/>
    <n v="100"/>
    <n v="317196"/>
    <n v="88803"/>
    <n v="269100"/>
    <n v="269100"/>
    <n v="208"/>
    <n v="586296"/>
    <n v="277033.6134453781"/>
    <n v="35"/>
    <n v="175"/>
    <n v="35"/>
    <n v="0"/>
    <n v="0"/>
    <m/>
    <n v="470925"/>
    <n v="94185"/>
    <n v="0"/>
    <n v="0"/>
    <n v="175"/>
    <n v="470925"/>
    <n v="293823.5294117647"/>
    <n v="40"/>
    <n v="140"/>
    <n v="40"/>
    <n v="0"/>
    <n v="0"/>
    <n v="0"/>
    <m/>
    <n v="376740"/>
    <n v="107640"/>
    <n v="0"/>
    <n v="0"/>
    <n v="140"/>
    <n v="376740"/>
    <n v="369411.7647058824"/>
    <n v="56"/>
    <n v="100"/>
    <n v="56"/>
    <n v="0"/>
    <n v="0"/>
    <n v="269100"/>
    <n v="150696"/>
    <n v="0"/>
    <n v="0"/>
    <n v="100"/>
    <n v="269100"/>
    <n v="543035.2941176471"/>
    <n v="20"/>
    <n v="44"/>
    <n v="20"/>
    <n v="0"/>
    <n v="0"/>
    <n v="118404"/>
    <n v="53820"/>
    <n v="0"/>
    <n v="44"/>
    <n v="118404"/>
    <n v="167899.1596638655"/>
    <n v="33.6"/>
    <n v="24"/>
    <n v="33.6"/>
    <n v="0"/>
    <m/>
    <n v="64584"/>
    <n v="98683.2"/>
    <n v="0"/>
    <n v="24"/>
    <n v="64584"/>
    <n v="282070.5882352941"/>
  </r>
  <r>
    <s v="Lhotse-Hidratación"/>
    <x v="1"/>
    <x v="12"/>
    <x v="28"/>
    <s v="LHBOHY95"/>
    <x v="145"/>
    <x v="142"/>
    <x v="0"/>
    <x v="6"/>
    <n v="1"/>
    <x v="12"/>
    <n v="4"/>
    <m/>
    <n v="0"/>
    <n v="4684"/>
    <n v="18736"/>
    <n v="4"/>
    <n v="4370"/>
    <n v="12596.63865546219"/>
    <n v="8394.957983193277"/>
    <s v="Shenzhen"/>
    <s v="30/70"/>
    <n v="30"/>
    <n v="100"/>
    <n v="15"/>
    <n v="0.63264991711665"/>
    <n v="20"/>
    <n v="0.6661321169487799"/>
    <n v="33"/>
    <n v="0.6358081122457566"/>
    <n v="43"/>
    <n v="0.5983146405685871"/>
    <n v="25"/>
    <n v="0.6214972425291778"/>
    <n v="39"/>
    <n v="0.5571320357245796"/>
    <n v="30"/>
    <n v="0.5063337861349295"/>
    <n v="17"/>
    <n v="0.5945080717760738"/>
    <n v="18"/>
    <n v="0.5778779899279615"/>
    <n v="14"/>
    <n v="0.5295410193218428"/>
    <n v="6"/>
    <n v="0.5790545803127434"/>
    <n v="3"/>
    <n v="0.468813789975051"/>
    <n v="2"/>
    <s v=""/>
    <n v="0"/>
    <s v=""/>
    <n v="0"/>
    <s v=""/>
    <n v="0"/>
    <s v=""/>
    <n v="0"/>
    <n v="0"/>
    <s v=""/>
    <n v="0"/>
    <n v="0"/>
    <s v=""/>
    <n v="0"/>
    <n v="0"/>
    <s v=""/>
    <n v="0"/>
    <n v="0"/>
    <n v="6"/>
    <n v="0"/>
    <n v="0"/>
    <n v="0"/>
    <n v="0"/>
    <n v="0"/>
    <n v="24840"/>
    <n v="0"/>
    <n v="0"/>
    <n v="4"/>
    <n v="18736"/>
    <n v="0"/>
    <n v="0"/>
    <n v="4"/>
    <n v="0"/>
    <n v="0"/>
    <n v="0"/>
    <n v="0"/>
    <n v="0"/>
    <n v="16560"/>
    <n v="0"/>
    <n v="0"/>
    <n v="4"/>
    <n v="18736"/>
    <n v="0"/>
    <n v="0"/>
    <n v="4"/>
    <n v="0"/>
    <n v="0"/>
    <n v="0"/>
    <n v="0"/>
    <n v="18736"/>
    <n v="0"/>
    <n v="0"/>
    <n v="4"/>
    <n v="18736"/>
    <n v="0"/>
    <n v="0"/>
    <n v="4"/>
    <n v="0"/>
    <n v="0"/>
    <n v="0"/>
    <n v="16560"/>
    <n v="0"/>
    <n v="0"/>
    <n v="0"/>
    <n v="4"/>
    <n v="18736"/>
    <n v="0"/>
    <n v="0"/>
    <n v="4"/>
    <n v="0"/>
    <m/>
    <n v="0"/>
    <n v="0"/>
    <n v="18736"/>
    <n v="0"/>
    <n v="0"/>
    <n v="0"/>
    <n v="4"/>
    <n v="18736"/>
    <n v="0"/>
    <n v="0"/>
    <n v="4"/>
    <n v="0"/>
    <m/>
    <n v="0"/>
    <n v="0"/>
    <n v="18736"/>
    <n v="0"/>
    <n v="0"/>
    <n v="0"/>
    <n v="4"/>
    <n v="18736"/>
    <n v="0"/>
    <n v="0"/>
    <n v="4"/>
    <n v="0"/>
    <n v="0"/>
    <n v="0"/>
    <n v="0"/>
    <n v="18736"/>
    <n v="0"/>
    <n v="0"/>
    <n v="0"/>
    <n v="4"/>
    <n v="18736"/>
    <n v="0"/>
    <n v="0"/>
    <n v="4"/>
    <n v="0"/>
    <n v="0"/>
    <n v="0"/>
    <n v="0"/>
    <n v="18736"/>
    <n v="0"/>
    <n v="0"/>
    <n v="0"/>
    <n v="4"/>
    <n v="18736"/>
    <n v="0"/>
    <n v="0"/>
    <n v="4"/>
    <n v="0"/>
    <n v="0"/>
    <n v="0"/>
    <m/>
    <n v="16560"/>
    <n v="0"/>
    <n v="0"/>
    <n v="0"/>
    <n v="4"/>
    <n v="16560"/>
    <n v="0"/>
    <n v="0"/>
    <n v="4"/>
    <n v="0"/>
    <n v="0"/>
    <n v="0"/>
    <n v="0"/>
    <m/>
    <n v="16560"/>
    <n v="0"/>
    <n v="0"/>
    <n v="0"/>
    <n v="4"/>
    <n v="16560"/>
    <n v="0"/>
    <n v="0"/>
    <n v="4"/>
    <n v="0"/>
    <n v="0"/>
    <n v="0"/>
    <n v="16560"/>
    <n v="0"/>
    <n v="0"/>
    <n v="0"/>
    <n v="4"/>
    <n v="16560"/>
    <n v="0"/>
    <n v="0"/>
    <n v="4"/>
    <n v="0"/>
    <n v="0"/>
    <n v="0"/>
    <n v="16560"/>
    <n v="0"/>
    <n v="0"/>
    <n v="4"/>
    <n v="16560"/>
    <n v="0"/>
    <n v="0"/>
    <n v="4"/>
    <n v="0"/>
    <n v="0"/>
    <m/>
    <n v="16560"/>
    <n v="0"/>
    <n v="0"/>
    <n v="4"/>
    <n v="16560"/>
    <n v="0"/>
  </r>
  <r>
    <s v="Lhotse-Hidratación"/>
    <x v="1"/>
    <x v="12"/>
    <x v="28"/>
    <s v="LHBOHY95"/>
    <x v="146"/>
    <x v="143"/>
    <x v="0"/>
    <x v="1"/>
    <n v="1"/>
    <x v="118"/>
    <n v="0"/>
    <m/>
    <n v="0"/>
    <n v="4758"/>
    <n v="0"/>
    <n v="4"/>
    <n v="4370"/>
    <n v="11016.80672268908"/>
    <n v="9364.285714285714"/>
    <s v="Shenzhen"/>
    <s v="30/70"/>
    <n v="30"/>
    <n v="100"/>
    <n v="52"/>
    <n v="0.6122048524274374"/>
    <n v="44"/>
    <n v="0.6419228499775785"/>
    <n v="14"/>
    <n v="0.6476060360629442"/>
    <n v="0"/>
    <n v="0.6476113360323886"/>
    <n v="2"/>
    <n v="0.5897921591365238"/>
    <n v="49"/>
    <n v="0.5569171394678155"/>
    <n v="35"/>
    <n v="0.5017945031468791"/>
    <n v="15"/>
    <n v="0.588357886150728"/>
    <n v="8"/>
    <n v="0.5766840519110795"/>
    <n v="16"/>
    <n v="0.5518238653087657"/>
    <n v="16"/>
    <n v="0.5599190126596914"/>
    <n v="21"/>
    <n v="0.4931850548301657"/>
    <n v="2"/>
    <s v=""/>
    <n v="1"/>
    <s v=""/>
    <n v="0"/>
    <s v=""/>
    <n v="0"/>
    <s v=""/>
    <n v="0"/>
    <n v="0"/>
    <s v=""/>
    <n v="0"/>
    <n v="0"/>
    <s v=""/>
    <n v="0"/>
    <n v="0"/>
    <s v=""/>
    <n v="0"/>
    <n v="0"/>
    <n v="2"/>
    <n v="0"/>
    <n v="0"/>
    <n v="0"/>
    <n v="0"/>
    <n v="7137"/>
    <n v="8280"/>
    <n v="0"/>
    <n v="0"/>
    <n v="0"/>
    <n v="0"/>
    <n v="0"/>
    <n v="0"/>
    <n v="2"/>
    <n v="1.5"/>
    <n v="0"/>
    <n v="0"/>
    <n v="0"/>
    <n v="7137"/>
    <n v="8280"/>
    <n v="7137"/>
    <n v="0"/>
    <n v="0"/>
    <n v="0"/>
    <n v="13886.73116305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Hidratación"/>
    <x v="1"/>
    <x v="12"/>
    <x v="28"/>
    <s v="LHTPHY01"/>
    <x v="147"/>
    <x v="144"/>
    <x v="0"/>
    <x v="6"/>
    <n v="1"/>
    <x v="12"/>
    <n v="182"/>
    <m/>
    <n v="0"/>
    <n v="859"/>
    <n v="156338"/>
    <n v="0.5"/>
    <n v="546.25"/>
    <n v="3352.941176470588"/>
    <n v="3352.941176470588"/>
    <s v="Shenzhen"/>
    <s v="30/70"/>
    <n v="30"/>
    <n v="100"/>
    <n v="34"/>
    <n v="0.7361884879212646"/>
    <n v="21"/>
    <s v=""/>
    <n v="16"/>
    <n v="0.7361884879212646"/>
    <n v="4"/>
    <n v="0.7361884879212645"/>
    <n v="13"/>
    <n v="0.7222949533003689"/>
    <n v="30"/>
    <n v="0.5844188522210393"/>
    <n v="22"/>
    <n v="0.6963083451202262"/>
    <n v="9"/>
    <s v=""/>
    <n v="6"/>
    <s v=""/>
    <n v="8"/>
    <n v="0.7438592305398151"/>
    <n v="5"/>
    <n v="0.7267196945593382"/>
    <n v="1"/>
    <n v="0.7438115120787354"/>
    <n v="1"/>
    <s v=""/>
    <n v="2"/>
    <s v=""/>
    <n v="0"/>
    <s v=""/>
    <n v="1"/>
    <s v=""/>
    <n v="0"/>
    <n v="0"/>
    <s v=""/>
    <n v="0"/>
    <n v="0"/>
    <s v=""/>
    <n v="0"/>
    <n v="0"/>
    <s v=""/>
    <n v="0"/>
    <n v="5"/>
    <n v="174"/>
    <n v="5"/>
    <n v="0"/>
    <n v="0"/>
    <n v="0"/>
    <n v="6872"/>
    <n v="90045"/>
    <n v="4295"/>
    <n v="0"/>
    <n v="182"/>
    <n v="156338"/>
    <n v="14087.98813643105"/>
    <n v="0"/>
    <n v="185"/>
    <n v="3"/>
    <n v="0"/>
    <n v="0"/>
    <n v="0"/>
    <n v="3436"/>
    <n v="95737.5"/>
    <n v="2577"/>
    <n v="0"/>
    <n v="182"/>
    <n v="156338"/>
    <n v="8452.792881858626"/>
    <n v="0"/>
    <n v="183"/>
    <n v="0"/>
    <n v="0"/>
    <n v="0"/>
    <n v="7586.5"/>
    <n v="157197"/>
    <n v="0"/>
    <n v="0"/>
    <n v="182"/>
    <n v="156338"/>
    <n v="0"/>
    <n v="0"/>
    <n v="183"/>
    <n v="1"/>
    <n v="0"/>
    <n v="0"/>
    <n v="94702.5"/>
    <n v="859"/>
    <n v="0"/>
    <n v="0"/>
    <n v="182"/>
    <n v="156338"/>
    <n v="3352.941176470588"/>
    <n v="13"/>
    <n v="182"/>
    <n v="13"/>
    <m/>
    <n v="0"/>
    <n v="0"/>
    <n v="156338"/>
    <n v="6727.5"/>
    <n v="0"/>
    <n v="0"/>
    <n v="182"/>
    <n v="156338"/>
    <n v="43588.23529411765"/>
    <n v="30"/>
    <n v="182"/>
    <n v="0"/>
    <m/>
    <n v="0"/>
    <n v="0"/>
    <n v="156338"/>
    <n v="0"/>
    <n v="0"/>
    <n v="0"/>
    <n v="182"/>
    <n v="156338"/>
    <n v="0"/>
    <n v="22"/>
    <n v="182"/>
    <n v="22"/>
    <n v="0"/>
    <n v="0"/>
    <n v="0"/>
    <n v="156338"/>
    <n v="11385"/>
    <n v="0"/>
    <n v="0"/>
    <n v="182"/>
    <n v="156338"/>
    <n v="73764.70588235294"/>
    <n v="9"/>
    <n v="160"/>
    <n v="9"/>
    <n v="0"/>
    <n v="0"/>
    <n v="0"/>
    <n v="137440"/>
    <n v="4657.5"/>
    <n v="0"/>
    <n v="0"/>
    <n v="160"/>
    <n v="137440"/>
    <n v="30176.47058823529"/>
    <n v="6"/>
    <n v="151"/>
    <n v="6"/>
    <n v="0"/>
    <n v="0"/>
    <m/>
    <n v="78142.5"/>
    <n v="3105"/>
    <n v="0"/>
    <n v="0"/>
    <n v="151"/>
    <n v="78142.5"/>
    <n v="20117.64705882353"/>
    <n v="8"/>
    <n v="145"/>
    <n v="8"/>
    <n v="0"/>
    <n v="0"/>
    <n v="0"/>
    <m/>
    <n v="75037.5"/>
    <n v="4140"/>
    <n v="0"/>
    <n v="0"/>
    <n v="145"/>
    <n v="75037.5"/>
    <n v="26823.52941176471"/>
    <n v="8"/>
    <n v="137"/>
    <n v="8"/>
    <n v="0"/>
    <n v="0"/>
    <n v="70897.5"/>
    <n v="4140"/>
    <n v="0"/>
    <n v="0"/>
    <n v="137"/>
    <n v="70897.5"/>
    <n v="28164.70588235294"/>
    <n v="8"/>
    <n v="129"/>
    <n v="8"/>
    <n v="0"/>
    <n v="0"/>
    <n v="66757.5"/>
    <n v="4140"/>
    <n v="0"/>
    <n v="129"/>
    <n v="66757.5"/>
    <n v="26823.52941176471"/>
    <n v="4.8"/>
    <n v="121"/>
    <n v="4.8"/>
    <n v="0"/>
    <m/>
    <n v="62617.5"/>
    <n v="4123.2"/>
    <n v="0"/>
    <n v="121"/>
    <n v="62617.5"/>
    <n v="16094.11764705882"/>
  </r>
  <r>
    <s v="Lhotse-Hidratación"/>
    <x v="1"/>
    <x v="12"/>
    <x v="28"/>
    <s v="LHTRMU"/>
    <x v="148"/>
    <x v="145"/>
    <x v="0"/>
    <x v="4"/>
    <n v="1"/>
    <x v="119"/>
    <n v="28"/>
    <m/>
    <n v="0"/>
    <n v="3092"/>
    <n v="86576"/>
    <n v="2.8"/>
    <n v="3059"/>
    <n v="8394.957983193277"/>
    <n v="10915.96638655462"/>
    <s v="Shenzhen"/>
    <s v="30/70"/>
    <n v="30"/>
    <n v="100"/>
    <n v="1"/>
    <n v="0.7773068571828816"/>
    <n v="1"/>
    <n v="0.6872218396458436"/>
    <n v="25"/>
    <n v="0.7199195598891323"/>
    <n v="27"/>
    <n v="0.6788598389066207"/>
    <n v="49"/>
    <n v="0.6547592891120794"/>
    <n v="94"/>
    <n v="0.5999708279443079"/>
    <n v="1"/>
    <n v="0.6788805423231953"/>
    <n v="13"/>
    <n v="0.5385207638116425"/>
    <n v="8"/>
    <n v="0.7049439255719161"/>
    <n v="37"/>
    <n v="0.5112026101736352"/>
    <n v="33"/>
    <n v="0.6392242985488047"/>
    <n v="155"/>
    <n v="0.5970605021413333"/>
    <n v="30"/>
    <s v=""/>
    <n v="57"/>
    <s v=""/>
    <n v="93"/>
    <s v=""/>
    <n v="104"/>
    <s v=""/>
    <n v="1.3"/>
    <n v="34"/>
    <s v=""/>
    <n v="0.4722222222222222"/>
    <n v="40"/>
    <s v=""/>
    <n v="0.3007518796992481"/>
    <n v="4"/>
    <s v=""/>
    <n v="0.05063291139240506"/>
    <n v="35"/>
    <n v="97"/>
    <n v="30"/>
    <n v="100"/>
    <n v="100"/>
    <n v="0"/>
    <n v="644682"/>
    <n v="281106"/>
    <n v="92760"/>
    <n v="0"/>
    <n v="28"/>
    <n v="86576"/>
    <n v="211637.5962149566"/>
    <n v="30"/>
    <n v="182"/>
    <n v="85.5"/>
    <n v="100"/>
    <n v="0"/>
    <n v="0"/>
    <n v="873490"/>
    <n v="527436"/>
    <n v="264366"/>
    <n v="0"/>
    <n v="28"/>
    <n v="86576"/>
    <n v="603167.1492126263"/>
    <n v="45"/>
    <n v="121"/>
    <n v="93"/>
    <n v="0"/>
    <n v="0"/>
    <n v="817780"/>
    <n v="374132"/>
    <n v="287556"/>
    <n v="0"/>
    <n v="28"/>
    <n v="86576"/>
    <n v="780731.0924369748"/>
    <n v="80"/>
    <n v="218"/>
    <n v="104"/>
    <n v="100"/>
    <n v="0"/>
    <n v="631764"/>
    <n v="321568"/>
    <n v="289800"/>
    <n v="0"/>
    <n v="28"/>
    <n v="86576"/>
    <n v="873075.6302521008"/>
    <n v="72"/>
    <n v="62"/>
    <n v="72"/>
    <m/>
    <n v="0"/>
    <n v="0"/>
    <n v="191704"/>
    <n v="208656"/>
    <n v="0"/>
    <n v="0"/>
    <n v="28"/>
    <n v="86576"/>
    <n v="604436.974789916"/>
    <n v="133"/>
    <n v="68"/>
    <n v="40"/>
    <m/>
    <n v="0"/>
    <n v="0"/>
    <n v="210256"/>
    <n v="115920"/>
    <n v="0"/>
    <n v="0"/>
    <n v="68"/>
    <n v="86576"/>
    <n v="335798.3193277311"/>
    <n v="79"/>
    <n v="32"/>
    <n v="79"/>
    <n v="0"/>
    <n v="0"/>
    <n v="0"/>
    <n v="98944"/>
    <n v="228942"/>
    <n v="0"/>
    <n v="0"/>
    <n v="32"/>
    <n v="86576"/>
    <n v="663201.6806722688"/>
    <n v="35"/>
    <n v="0"/>
    <n v="35"/>
    <n v="100"/>
    <n v="100"/>
    <n v="0"/>
    <n v="0"/>
    <n v="101430"/>
    <n v="289800"/>
    <n v="0"/>
    <n v="100"/>
    <n v="0"/>
    <n v="293823.5294117647"/>
    <n v="40"/>
    <n v="0"/>
    <n v="40"/>
    <n v="0"/>
    <n v="0"/>
    <n v="100"/>
    <n v="0"/>
    <n v="115920"/>
    <n v="0"/>
    <n v="289800"/>
    <n v="100"/>
    <n v="289800"/>
    <n v="335798.3193277311"/>
    <n v="60"/>
    <n v="60"/>
    <n v="60"/>
    <n v="200"/>
    <n v="200"/>
    <n v="200"/>
    <n v="0"/>
    <n v="173880"/>
    <n v="173880"/>
    <n v="579600"/>
    <n v="579600"/>
    <n v="260"/>
    <n v="753480"/>
    <n v="654957.9831932774"/>
    <n v="40"/>
    <n v="200"/>
    <n v="40"/>
    <n v="0"/>
    <n v="0"/>
    <n v="579600"/>
    <n v="115920"/>
    <n v="0"/>
    <n v="0"/>
    <n v="200"/>
    <n v="579600"/>
    <n v="458470.5882352942"/>
    <n v="80"/>
    <n v="160"/>
    <n v="80"/>
    <n v="0"/>
    <n v="0"/>
    <n v="463680"/>
    <n v="231840"/>
    <n v="0"/>
    <n v="160"/>
    <n v="463680"/>
    <n v="671596.6386554622"/>
    <n v="24"/>
    <n v="80"/>
    <n v="24"/>
    <n v="0"/>
    <m/>
    <n v="231840"/>
    <n v="74208"/>
    <n v="0"/>
    <n v="80"/>
    <n v="231840"/>
    <n v="201478.9915966386"/>
  </r>
  <r>
    <s v="Lhotse-Hidratación"/>
    <x v="1"/>
    <x v="12"/>
    <x v="28"/>
    <s v="LHTRMU"/>
    <x v="149"/>
    <x v="146"/>
    <x v="0"/>
    <x v="4"/>
    <n v="1"/>
    <x v="120"/>
    <n v="109"/>
    <m/>
    <n v="0"/>
    <n v="3221"/>
    <n v="351089"/>
    <n v="2.8"/>
    <n v="3059"/>
    <n v="8394.957983193277"/>
    <n v="10915.96638655462"/>
    <s v="Shenzhen"/>
    <s v="30/70"/>
    <n v="30"/>
    <n v="100"/>
    <n v="29"/>
    <n v="0.7501112046860131"/>
    <n v="41"/>
    <n v="0.7252319955455326"/>
    <n v="47"/>
    <n v="0.7215015889315992"/>
    <n v="26"/>
    <n v="0.6780205699230371"/>
    <n v="30"/>
    <n v="0.694593280912629"/>
    <n v="26"/>
    <n v="0.6256856402236548"/>
    <n v="10"/>
    <n v="0.7357053852644097"/>
    <n v="14"/>
    <n v="0.5772518395768759"/>
    <n v="6"/>
    <n v="0.6940817047099038"/>
    <n v="17"/>
    <n v="0.6350095879186536"/>
    <n v="17"/>
    <n v="0.6418991952147994"/>
    <n v="25"/>
    <n v="0.6252089986533577"/>
    <n v="41"/>
    <s v=""/>
    <n v="23"/>
    <s v=""/>
    <n v="48"/>
    <s v=""/>
    <n v="30"/>
    <s v=""/>
    <n v="1"/>
    <n v="10"/>
    <s v=""/>
    <n v="0.4545454545454545"/>
    <n v="33"/>
    <s v=""/>
    <n v="1.32"/>
    <n v="0"/>
    <s v=""/>
    <n v="0"/>
    <n v="35"/>
    <n v="228"/>
    <n v="30"/>
    <n v="100"/>
    <n v="100"/>
    <n v="0"/>
    <n v="362362.5"/>
    <n v="660744"/>
    <n v="96630"/>
    <n v="0"/>
    <n v="109"/>
    <n v="351089"/>
    <n v="211637.5962149566"/>
    <n v="35"/>
    <n v="276"/>
    <n v="34.5"/>
    <n v="0"/>
    <n v="0"/>
    <n v="0"/>
    <n v="362362.5"/>
    <n v="799848"/>
    <n v="111124.5"/>
    <n v="0"/>
    <n v="109"/>
    <n v="351089"/>
    <n v="243383.2356472001"/>
    <n v="45"/>
    <n v="248"/>
    <n v="48"/>
    <n v="0"/>
    <n v="0"/>
    <n v="314994"/>
    <n v="798808"/>
    <n v="154608"/>
    <n v="0"/>
    <n v="109"/>
    <n v="351089"/>
    <n v="402957.9831932773"/>
    <n v="30"/>
    <n v="196"/>
    <n v="30"/>
    <n v="0"/>
    <n v="0"/>
    <n v="568008"/>
    <n v="96630"/>
    <n v="0"/>
    <n v="0"/>
    <n v="109"/>
    <n v="351089"/>
    <n v="251848.7394957983"/>
    <n v="22"/>
    <n v="119"/>
    <n v="22"/>
    <m/>
    <n v="0"/>
    <n v="0"/>
    <n v="383299"/>
    <n v="63756"/>
    <n v="0"/>
    <n v="0"/>
    <n v="109"/>
    <n v="351089"/>
    <n v="184689.0756302521"/>
    <n v="25"/>
    <n v="142"/>
    <n v="33"/>
    <m/>
    <n v="0"/>
    <n v="0"/>
    <n v="457382"/>
    <n v="95634"/>
    <n v="0"/>
    <n v="0"/>
    <n v="142"/>
    <n v="351089"/>
    <n v="277033.6134453781"/>
    <n v="20"/>
    <n v="109"/>
    <n v="20"/>
    <n v="0"/>
    <n v="0"/>
    <n v="0"/>
    <n v="351089"/>
    <n v="57960"/>
    <n v="0"/>
    <n v="0"/>
    <n v="109"/>
    <n v="351089"/>
    <n v="167899.1596638655"/>
    <n v="15"/>
    <n v="89"/>
    <n v="15"/>
    <n v="0"/>
    <n v="0"/>
    <n v="0"/>
    <n v="286669"/>
    <n v="43470"/>
    <n v="0"/>
    <n v="0"/>
    <n v="89"/>
    <n v="286669"/>
    <n v="125924.3697478992"/>
    <n v="15"/>
    <n v="74"/>
    <n v="15"/>
    <n v="0"/>
    <n v="0"/>
    <m/>
    <n v="214452"/>
    <n v="43470"/>
    <n v="0"/>
    <n v="0"/>
    <n v="74"/>
    <n v="214452"/>
    <n v="125924.3697478992"/>
    <n v="25"/>
    <n v="59"/>
    <n v="25"/>
    <n v="0"/>
    <n v="0"/>
    <n v="0"/>
    <m/>
    <n v="170982"/>
    <n v="72450"/>
    <n v="0"/>
    <n v="0"/>
    <n v="59"/>
    <n v="170982"/>
    <n v="272899.1596638656"/>
    <n v="17"/>
    <n v="34"/>
    <n v="17"/>
    <n v="0"/>
    <n v="0"/>
    <n v="98532"/>
    <n v="49266"/>
    <n v="0"/>
    <n v="0"/>
    <n v="34"/>
    <n v="98532"/>
    <n v="194850"/>
    <n v="30"/>
    <n v="17"/>
    <n v="30"/>
    <n v="0"/>
    <n v="0"/>
    <n v="49266"/>
    <n v="86940"/>
    <n v="0"/>
    <n v="17"/>
    <n v="49266"/>
    <n v="251848.7394957983"/>
    <n v="10.2"/>
    <n v="0"/>
    <n v="10.2"/>
    <n v="0"/>
    <m/>
    <n v="0"/>
    <n v="32854.2"/>
    <n v="0"/>
    <n v="0"/>
    <n v="0"/>
    <n v="85628.57142857142"/>
  </r>
  <r>
    <s v="Lhotse-Hidratación"/>
    <x v="1"/>
    <x v="12"/>
    <x v="28"/>
    <s v="LHTRMU"/>
    <x v="150"/>
    <x v="147"/>
    <x v="0"/>
    <x v="4"/>
    <n v="1"/>
    <x v="121"/>
    <n v="42"/>
    <m/>
    <n v="0"/>
    <n v="3118"/>
    <n v="130956"/>
    <n v="2.8"/>
    <n v="3059"/>
    <n v="8394.957983193277"/>
    <n v="10915.96638655462"/>
    <s v="Shenzhen"/>
    <s v="30/70"/>
    <n v="30"/>
    <n v="100"/>
    <n v="14"/>
    <n v="0.7774894762830503"/>
    <n v="0"/>
    <n v="0.7478113836627769"/>
    <n v="17"/>
    <n v="0.7247721679765025"/>
    <n v="33"/>
    <n v="0.674843506502964"/>
    <n v="43"/>
    <n v="0.6699094099903123"/>
    <n v="93"/>
    <n v="0.5971811740385301"/>
    <n v="11"/>
    <n v="0.5893036544383687"/>
    <n v="18"/>
    <n v="0.5920866359446014"/>
    <n v="9"/>
    <n v="0.6970074655074655"/>
    <n v="29"/>
    <n v="0.6113952659419755"/>
    <n v="39"/>
    <n v="0.6509731543580923"/>
    <n v="64"/>
    <n v="0.6358265807908856"/>
    <n v="39"/>
    <s v=""/>
    <n v="51"/>
    <s v=""/>
    <n v="72"/>
    <s v=""/>
    <n v="65"/>
    <s v=""/>
    <n v="1.857142857142857"/>
    <n v="29"/>
    <s v=""/>
    <n v="0.4603174603174603"/>
    <n v="6"/>
    <s v=""/>
    <n v="0.04615384615384616"/>
    <n v="5"/>
    <s v=""/>
    <n v="0.0625"/>
    <n v="30"/>
    <n v="142"/>
    <n v="30"/>
    <n v="100"/>
    <n v="100"/>
    <n v="0"/>
    <n v="556563"/>
    <n v="411516"/>
    <n v="93540"/>
    <n v="0"/>
    <n v="42"/>
    <n v="130956"/>
    <n v="211637.5962149566"/>
    <n v="30"/>
    <n v="205"/>
    <n v="76.5"/>
    <n v="0"/>
    <n v="0"/>
    <n v="0"/>
    <n v="665693"/>
    <n v="594090"/>
    <n v="238527"/>
    <n v="0"/>
    <n v="42"/>
    <n v="130956"/>
    <n v="539675.8703481393"/>
    <n v="50"/>
    <n v="136"/>
    <n v="72"/>
    <n v="0"/>
    <n v="0"/>
    <n v="609740"/>
    <n v="424048"/>
    <n v="224496"/>
    <n v="0"/>
    <n v="42"/>
    <n v="130956"/>
    <n v="604436.974789916"/>
    <n v="35"/>
    <n v="169"/>
    <n v="65"/>
    <n v="100"/>
    <n v="0"/>
    <n v="489762"/>
    <n v="202670"/>
    <n v="289800"/>
    <n v="0"/>
    <n v="42"/>
    <n v="130956"/>
    <n v="545672.2689075629"/>
    <n v="63"/>
    <n v="71"/>
    <n v="63"/>
    <m/>
    <n v="0"/>
    <n v="0"/>
    <n v="221378"/>
    <n v="182574"/>
    <n v="0"/>
    <n v="0"/>
    <n v="42"/>
    <n v="130956"/>
    <n v="528882.3529411765"/>
    <n v="130"/>
    <n v="48"/>
    <n v="6"/>
    <m/>
    <n v="0"/>
    <n v="0"/>
    <n v="149664"/>
    <n v="17388"/>
    <n v="0"/>
    <n v="0"/>
    <n v="48"/>
    <n v="130956"/>
    <n v="50369.74789915966"/>
    <n v="80"/>
    <n v="47"/>
    <n v="80"/>
    <n v="0"/>
    <n v="0"/>
    <n v="0"/>
    <n v="146546"/>
    <n v="231840"/>
    <n v="0"/>
    <n v="0"/>
    <n v="47"/>
    <n v="130956"/>
    <n v="671596.6386554622"/>
    <n v="29"/>
    <n v="0"/>
    <n v="29"/>
    <n v="100"/>
    <n v="100"/>
    <n v="0"/>
    <n v="0"/>
    <n v="84042"/>
    <n v="289800"/>
    <n v="0"/>
    <n v="100"/>
    <n v="0"/>
    <n v="243453.781512605"/>
    <n v="37"/>
    <n v="0"/>
    <n v="37"/>
    <n v="0"/>
    <n v="0"/>
    <n v="100"/>
    <n v="0"/>
    <n v="107226"/>
    <n v="0"/>
    <n v="289800"/>
    <n v="100"/>
    <n v="289800"/>
    <n v="310613.4453781513"/>
    <n v="35"/>
    <n v="63"/>
    <n v="35"/>
    <n v="0"/>
    <n v="0"/>
    <n v="0"/>
    <m/>
    <n v="182574"/>
    <n v="101430"/>
    <n v="0"/>
    <n v="0"/>
    <n v="63"/>
    <n v="182574"/>
    <n v="382058.8235294118"/>
    <n v="30"/>
    <n v="28"/>
    <n v="30"/>
    <n v="0"/>
    <n v="0"/>
    <n v="81144"/>
    <n v="86940"/>
    <n v="0"/>
    <n v="0"/>
    <n v="28"/>
    <n v="81144"/>
    <n v="343852.9411764707"/>
    <n v="50"/>
    <n v="0"/>
    <n v="50"/>
    <n v="0"/>
    <n v="0"/>
    <n v="0"/>
    <n v="144900"/>
    <n v="0"/>
    <n v="0"/>
    <n v="0"/>
    <n v="419747.8991596638"/>
    <n v="18"/>
    <n v="0"/>
    <n v="18"/>
    <n v="0"/>
    <m/>
    <n v="0"/>
    <n v="56124"/>
    <n v="0"/>
    <n v="0"/>
    <n v="0"/>
    <n v="151109.243697479"/>
  </r>
  <r>
    <s v="Lhotse-Hidratación"/>
    <x v="1"/>
    <x v="12"/>
    <x v="28"/>
    <s v="LHTRMU"/>
    <x v="151"/>
    <x v="148"/>
    <x v="0"/>
    <x v="4"/>
    <n v="1"/>
    <x v="122"/>
    <n v="103"/>
    <m/>
    <n v="0"/>
    <n v="3148"/>
    <n v="324244"/>
    <n v="2.8"/>
    <n v="3059"/>
    <n v="8394.957983193277"/>
    <n v="10915.96638655462"/>
    <s v="Shenzhen"/>
    <s v="30/70"/>
    <n v="30"/>
    <n v="100"/>
    <n v="24"/>
    <n v="0.7633472652046743"/>
    <n v="19"/>
    <n v="0.753846815992506"/>
    <n v="19"/>
    <n v="0.7237297744432212"/>
    <n v="64"/>
    <n v="0.6303859600744536"/>
    <n v="20"/>
    <n v="0.6432662637704791"/>
    <n v="81"/>
    <n v="0.6187427508222059"/>
    <n v="11"/>
    <n v="0.6863439118881245"/>
    <n v="18"/>
    <n v="0.5765628671043126"/>
    <n v="9"/>
    <n v="0.6999372281646523"/>
    <n v="27"/>
    <n v="0.6135355308427267"/>
    <n v="29"/>
    <n v="0.6148716319101408"/>
    <n v="67"/>
    <n v="0.6395807116286146"/>
    <n v="35"/>
    <s v=""/>
    <n v="49"/>
    <s v=""/>
    <n v="78"/>
    <s v=""/>
    <n v="64"/>
    <s v=""/>
    <n v="1.066666666666667"/>
    <n v="16"/>
    <s v=""/>
    <n v="0.1538461538461539"/>
    <n v="93"/>
    <s v=""/>
    <n v="0.8157894736842105"/>
    <n v="3"/>
    <s v=""/>
    <n v="0.0410958904109589"/>
    <n v="45"/>
    <n v="165"/>
    <n v="25"/>
    <n v="100"/>
    <n v="100"/>
    <n v="0"/>
    <n v="555622"/>
    <n v="478170"/>
    <n v="78700"/>
    <n v="0"/>
    <n v="103"/>
    <n v="324244"/>
    <n v="176364.6635124638"/>
    <n v="40"/>
    <n v="224"/>
    <n v="73.5"/>
    <n v="100"/>
    <n v="0"/>
    <n v="0"/>
    <n v="678394"/>
    <n v="649152"/>
    <n v="231378"/>
    <n v="0"/>
    <n v="103"/>
    <n v="324244"/>
    <n v="518512.1107266436"/>
    <n v="50"/>
    <n v="181"/>
    <n v="78"/>
    <n v="0"/>
    <n v="0"/>
    <n v="748408"/>
    <n v="569788"/>
    <n v="245544"/>
    <n v="0"/>
    <n v="103"/>
    <n v="324244"/>
    <n v="654806.7226890756"/>
    <n v="60"/>
    <n v="292"/>
    <n v="64"/>
    <n v="100"/>
    <n v="0"/>
    <n v="846216"/>
    <n v="201472"/>
    <n v="289800"/>
    <n v="0"/>
    <n v="103"/>
    <n v="324244"/>
    <n v="537277.3109243697"/>
    <n v="104"/>
    <n v="119"/>
    <n v="104"/>
    <m/>
    <n v="0"/>
    <n v="0"/>
    <n v="374612"/>
    <n v="301392"/>
    <n v="0"/>
    <n v="0"/>
    <n v="103"/>
    <n v="324244"/>
    <n v="873075.6302521008"/>
    <n v="114"/>
    <n v="196"/>
    <n v="93"/>
    <m/>
    <n v="0"/>
    <n v="0"/>
    <n v="617008"/>
    <n v="269514"/>
    <n v="0"/>
    <n v="0"/>
    <n v="196"/>
    <n v="324244"/>
    <n v="780731.0924369748"/>
    <n v="73"/>
    <n v="106"/>
    <n v="73"/>
    <n v="0"/>
    <n v="0"/>
    <n v="0"/>
    <n v="333688"/>
    <n v="211554"/>
    <n v="0"/>
    <n v="0"/>
    <n v="106"/>
    <n v="324244"/>
    <n v="612831.9327731092"/>
    <n v="29"/>
    <n v="33"/>
    <n v="29"/>
    <n v="100"/>
    <n v="100"/>
    <n v="0"/>
    <n v="103884"/>
    <n v="84042"/>
    <n v="289800"/>
    <n v="0"/>
    <n v="133"/>
    <n v="103884"/>
    <n v="243453.781512605"/>
    <n v="17"/>
    <n v="4"/>
    <n v="17"/>
    <n v="0"/>
    <n v="0"/>
    <n v="100"/>
    <n v="11592"/>
    <n v="49266"/>
    <n v="0"/>
    <n v="289800"/>
    <n v="104"/>
    <n v="301392"/>
    <n v="142714.2857142857"/>
    <n v="35"/>
    <n v="87"/>
    <n v="35"/>
    <n v="0"/>
    <n v="0"/>
    <n v="0"/>
    <m/>
    <n v="252126"/>
    <n v="101430"/>
    <n v="0"/>
    <n v="0"/>
    <n v="87"/>
    <n v="252126"/>
    <n v="382058.8235294118"/>
    <n v="30"/>
    <n v="52"/>
    <n v="30"/>
    <n v="0"/>
    <n v="0"/>
    <n v="150696"/>
    <n v="86940"/>
    <n v="0"/>
    <n v="0"/>
    <n v="52"/>
    <n v="150696"/>
    <n v="343852.9411764707"/>
    <n v="70"/>
    <n v="22"/>
    <n v="70"/>
    <n v="0"/>
    <n v="0"/>
    <n v="63756"/>
    <n v="202860"/>
    <n v="0"/>
    <n v="22"/>
    <n v="63756"/>
    <n v="587647.0588235294"/>
    <n v="18"/>
    <n v="0"/>
    <n v="18"/>
    <n v="0"/>
    <m/>
    <n v="0"/>
    <n v="56664"/>
    <n v="0"/>
    <n v="0"/>
    <n v="0"/>
    <n v="151109.243697479"/>
  </r>
  <r>
    <s v="Lhotse-Hidratación"/>
    <x v="1"/>
    <x v="12"/>
    <x v="28"/>
    <s v="LHTRMU"/>
    <x v="152"/>
    <x v="149"/>
    <x v="0"/>
    <x v="4"/>
    <n v="1"/>
    <x v="123"/>
    <n v="30"/>
    <m/>
    <n v="0"/>
    <n v="3481"/>
    <n v="104430"/>
    <n v="2.8"/>
    <n v="3059"/>
    <n v="8394.957983193277"/>
    <n v="10915.96638655462"/>
    <s v="Shenzhen"/>
    <s v="30/70"/>
    <n v="30"/>
    <n v="200"/>
    <n v="1"/>
    <n v="0.7777467255025565"/>
    <n v="0"/>
    <s v=""/>
    <n v="18"/>
    <n v="0.6622519264035226"/>
    <n v="23"/>
    <n v="0.6537925141757822"/>
    <n v="39"/>
    <n v="0.6513957140962603"/>
    <n v="85"/>
    <n v="0.6120158230354579"/>
    <n v="23"/>
    <n v="0.6630652952644368"/>
    <n v="3"/>
    <n v="0.4709182305630026"/>
    <n v="4"/>
    <n v="0.6973424610936303"/>
    <n v="24"/>
    <n v="0.6071910218179267"/>
    <n v="24"/>
    <n v="0.6301125132219128"/>
    <n v="49"/>
    <n v="0.6360654061706312"/>
    <n v="8"/>
    <s v=""/>
    <n v="25"/>
    <s v=""/>
    <n v="47"/>
    <s v=""/>
    <n v="20"/>
    <s v=""/>
    <n v="0.8"/>
    <n v="8"/>
    <s v=""/>
    <n v="0.1454545454545454"/>
    <n v="206"/>
    <s v=""/>
    <n v="1.760683760683761"/>
    <n v="2"/>
    <s v=""/>
    <n v="0.06060606060606061"/>
    <n v="30"/>
    <n v="132"/>
    <n v="20"/>
    <n v="0"/>
    <n v="0"/>
    <n v="0"/>
    <n v="363764.5"/>
    <n v="382536"/>
    <n v="69620"/>
    <n v="0"/>
    <n v="30"/>
    <n v="104430"/>
    <n v="141091.730809971"/>
    <n v="25"/>
    <n v="140"/>
    <n v="37.5"/>
    <n v="100"/>
    <n v="100"/>
    <n v="0"/>
    <n v="363764.5"/>
    <n v="405720"/>
    <n v="130537.5"/>
    <n v="0"/>
    <n v="30"/>
    <n v="104430"/>
    <n v="264546.9952686957"/>
    <n v="24"/>
    <n v="77"/>
    <n v="47"/>
    <n v="0"/>
    <n v="0"/>
    <n v="392617"/>
    <n v="268037"/>
    <n v="163607"/>
    <n v="0"/>
    <n v="30"/>
    <n v="104430"/>
    <n v="394563.025210084"/>
    <n v="25"/>
    <n v="263"/>
    <n v="20"/>
    <n v="100"/>
    <n v="0"/>
    <n v="762174"/>
    <n v="69620"/>
    <n v="289800"/>
    <n v="0"/>
    <n v="30"/>
    <n v="104430"/>
    <n v="167899.1596638655"/>
    <n v="55"/>
    <n v="38"/>
    <n v="55"/>
    <m/>
    <n v="0"/>
    <n v="0"/>
    <n v="132278"/>
    <n v="159390"/>
    <n v="0"/>
    <n v="0"/>
    <n v="30"/>
    <n v="104430"/>
    <n v="461722.6890756302"/>
    <n v="117"/>
    <n v="236"/>
    <n v="206"/>
    <m/>
    <n v="0"/>
    <n v="0"/>
    <n v="821516"/>
    <n v="596988"/>
    <n v="0"/>
    <n v="0"/>
    <n v="236"/>
    <n v="104430"/>
    <n v="1729361.344537815"/>
    <n v="33"/>
    <n v="32"/>
    <n v="33"/>
    <n v="0"/>
    <n v="0"/>
    <n v="0"/>
    <n v="111392"/>
    <n v="95634"/>
    <n v="0"/>
    <n v="0"/>
    <n v="32"/>
    <n v="104430"/>
    <n v="277033.6134453781"/>
    <n v="21"/>
    <n v="0"/>
    <n v="21"/>
    <n v="0"/>
    <n v="0"/>
    <n v="0"/>
    <n v="0"/>
    <n v="60858"/>
    <n v="0"/>
    <n v="0"/>
    <n v="0"/>
    <n v="0"/>
    <n v="176294.1176470588"/>
    <n v="28"/>
    <n v="0"/>
    <n v="28"/>
    <n v="0"/>
    <n v="0"/>
    <m/>
    <n v="0"/>
    <n v="81144"/>
    <n v="0"/>
    <n v="0"/>
    <n v="0"/>
    <n v="0"/>
    <n v="235058.8235294117"/>
    <n v="35"/>
    <n v="0"/>
    <n v="0"/>
    <n v="0"/>
    <n v="0"/>
    <n v="0"/>
    <m/>
    <n v="0"/>
    <n v="0"/>
    <n v="0"/>
    <n v="0"/>
    <n v="0"/>
    <n v="0"/>
    <n v="0"/>
    <n v="30"/>
    <n v="0"/>
    <n v="30"/>
    <n v="0"/>
    <n v="0"/>
    <n v="0"/>
    <n v="86940"/>
    <n v="0"/>
    <n v="0"/>
    <n v="0"/>
    <n v="0"/>
    <n v="343852.9411764707"/>
    <n v="50"/>
    <n v="0"/>
    <n v="50"/>
    <n v="0"/>
    <n v="0"/>
    <n v="0"/>
    <n v="144900"/>
    <n v="0"/>
    <n v="0"/>
    <n v="0"/>
    <n v="419747.8991596638"/>
    <n v="18"/>
    <n v="0"/>
    <n v="18"/>
    <n v="0"/>
    <m/>
    <n v="0"/>
    <n v="62658"/>
    <n v="0"/>
    <n v="0"/>
    <n v="0"/>
    <n v="151109.243697479"/>
  </r>
  <r>
    <s v="Lhotse-Hidratación"/>
    <x v="1"/>
    <x v="12"/>
    <x v="28"/>
    <s v="LHBOIND"/>
    <x v="153"/>
    <x v="150"/>
    <x v="0"/>
    <x v="6"/>
    <n v="0.6"/>
    <x v="12"/>
    <n v="3"/>
    <m/>
    <n v="0"/>
    <n v="3794"/>
    <n v="11382"/>
    <n v="3.4"/>
    <n v="3714.5"/>
    <n v="8394.957983193277"/>
    <n v="8394.957983193277"/>
    <s v="Shenzhen"/>
    <s v="30/70"/>
    <n v="30"/>
    <n v="200"/>
    <n v="15"/>
    <n v="0.6291194512807378"/>
    <n v="29"/>
    <n v="0.5976361395469455"/>
    <n v="44"/>
    <n v="0.631459758156747"/>
    <n v="30"/>
    <n v="0.5674919227935372"/>
    <n v="38"/>
    <n v="0.5493302071686604"/>
    <n v="155"/>
    <n v="0.5127759922624889"/>
    <n v="237"/>
    <n v="0.476892811490267"/>
    <n v="379"/>
    <n v="0.4480831054132014"/>
    <n v="40"/>
    <n v="0.4711510838366716"/>
    <n v="113"/>
    <n v="0.5077360757982576"/>
    <n v="228"/>
    <n v="0.4721850161292386"/>
    <n v="247"/>
    <n v="0.4685988484109609"/>
    <n v="250"/>
    <s v=""/>
    <n v="147"/>
    <s v=""/>
    <n v="59"/>
    <s v=""/>
    <n v="33"/>
    <s v=""/>
    <n v="0.33"/>
    <n v="1"/>
    <s v=""/>
    <n v="0.04"/>
    <n v="1"/>
    <s v=""/>
    <n v="0"/>
    <n v="0"/>
    <s v=""/>
    <n v="0"/>
    <n v="100"/>
    <n v="293"/>
    <n v="100"/>
    <n v="0"/>
    <n v="0"/>
    <n v="0"/>
    <n v="1439823"/>
    <n v="1031067"/>
    <n v="379400"/>
    <n v="0"/>
    <n v="3"/>
    <n v="11382"/>
    <n v="705458.6540498552"/>
    <n v="100"/>
    <n v="251"/>
    <n v="220.5"/>
    <n v="0"/>
    <n v="0"/>
    <n v="0"/>
    <n v="1185625"/>
    <n v="883268.9999999999"/>
    <n v="836577"/>
    <n v="0"/>
    <n v="3"/>
    <n v="11382"/>
    <n v="1555536.332179931"/>
    <n v="100"/>
    <n v="87"/>
    <n v="59"/>
    <n v="0"/>
    <n v="0"/>
    <n v="401833"/>
    <n v="330078"/>
    <n v="223846"/>
    <n v="0"/>
    <n v="3"/>
    <n v="11382"/>
    <n v="495302.5210084033"/>
    <n v="100"/>
    <n v="38"/>
    <n v="33"/>
    <n v="0"/>
    <n v="0"/>
    <n v="133722"/>
    <n v="125202"/>
    <n v="0"/>
    <n v="0"/>
    <n v="3"/>
    <n v="11382"/>
    <n v="277033.6134453781"/>
    <n v="25"/>
    <n v="4"/>
    <n v="15"/>
    <m/>
    <n v="0"/>
    <n v="0"/>
    <n v="15176"/>
    <n v="52784.99999999999"/>
    <n v="0"/>
    <n v="0"/>
    <n v="3"/>
    <n v="11382"/>
    <n v="125924.3697478992"/>
    <n v="0"/>
    <n v="4"/>
    <n v="1"/>
    <m/>
    <n v="0"/>
    <n v="0"/>
    <n v="15176"/>
    <n v="3519"/>
    <n v="0"/>
    <n v="0"/>
    <n v="4"/>
    <n v="11382"/>
    <n v="8394.957983193277"/>
    <n v="0"/>
    <n v="3"/>
    <n v="0"/>
    <n v="0"/>
    <n v="0"/>
    <n v="0"/>
    <n v="11382"/>
    <n v="0"/>
    <n v="0"/>
    <n v="0"/>
    <n v="3"/>
    <n v="11382"/>
    <n v="0"/>
    <n v="0"/>
    <n v="3"/>
    <n v="0"/>
    <n v="0"/>
    <n v="0"/>
    <n v="0"/>
    <n v="11382"/>
    <n v="0"/>
    <n v="0"/>
    <n v="0"/>
    <n v="3"/>
    <n v="11382"/>
    <n v="0"/>
    <n v="0"/>
    <n v="3"/>
    <n v="0"/>
    <n v="0"/>
    <n v="0"/>
    <m/>
    <n v="10557"/>
    <n v="0"/>
    <n v="0"/>
    <n v="0"/>
    <n v="3"/>
    <n v="10557"/>
    <n v="0"/>
    <n v="0"/>
    <n v="3"/>
    <n v="0"/>
    <n v="0"/>
    <n v="0"/>
    <n v="0"/>
    <m/>
    <n v="10557"/>
    <n v="0"/>
    <n v="0"/>
    <n v="0"/>
    <n v="3"/>
    <n v="10557"/>
    <n v="0"/>
    <n v="0"/>
    <n v="3"/>
    <n v="0"/>
    <n v="0"/>
    <n v="0"/>
    <n v="10557"/>
    <n v="0"/>
    <n v="0"/>
    <n v="0"/>
    <n v="3"/>
    <n v="10557"/>
    <n v="0"/>
    <n v="0"/>
    <n v="3"/>
    <n v="0"/>
    <n v="0"/>
    <n v="0"/>
    <n v="10557"/>
    <n v="0"/>
    <n v="0"/>
    <n v="3"/>
    <n v="10557"/>
    <n v="0"/>
    <n v="0"/>
    <n v="3"/>
    <n v="0"/>
    <n v="0"/>
    <m/>
    <n v="10557"/>
    <n v="0"/>
    <n v="0"/>
    <n v="3"/>
    <n v="10557"/>
    <n v="0"/>
  </r>
  <r>
    <s v="Lhotse-Hidratación"/>
    <x v="1"/>
    <x v="12"/>
    <x v="28"/>
    <s v="LHBOIND"/>
    <x v="154"/>
    <x v="151"/>
    <x v="0"/>
    <x v="6"/>
    <n v="1"/>
    <x v="12"/>
    <n v="3"/>
    <m/>
    <n v="0"/>
    <n v="3794"/>
    <n v="11382"/>
    <n v="3.4"/>
    <n v="3714.5"/>
    <n v="10915.96638655462"/>
    <n v="10915.96638655462"/>
    <s v="Shenzhen"/>
    <s v="30/70"/>
    <n v="30"/>
    <n v="200"/>
    <n v="3"/>
    <n v="0.5897339965397924"/>
    <n v="6"/>
    <n v="0.5526874557887291"/>
    <n v="8"/>
    <n v="0.64359426631411"/>
    <n v="8"/>
    <n v="0.6366692381767315"/>
    <n v="9"/>
    <n v="0.5458476638870048"/>
    <n v="85"/>
    <n v="0.5098916191489818"/>
    <n v="14"/>
    <n v="0.5404021313870834"/>
    <n v="17"/>
    <n v="0.543206116060679"/>
    <n v="6"/>
    <n v="0.5750713979056613"/>
    <n v="5"/>
    <n v="0.575117424041382"/>
    <n v="-1"/>
    <n v="0.5480512209648599"/>
    <n v="0"/>
    <s v=""/>
    <n v="2"/>
    <s v=""/>
    <n v="1"/>
    <s v=""/>
    <n v="0"/>
    <s v=""/>
    <n v="0"/>
    <s v=""/>
    <n v="0"/>
    <n v="0"/>
    <s v=""/>
    <n v="0"/>
    <n v="0"/>
    <s v=""/>
    <n v="0"/>
    <n v="0"/>
    <s v=""/>
    <n v="0"/>
    <n v="0"/>
    <n v="4"/>
    <n v="0"/>
    <n v="0"/>
    <n v="0"/>
    <n v="0"/>
    <n v="5691"/>
    <n v="14076"/>
    <n v="0"/>
    <n v="0"/>
    <n v="3"/>
    <n v="11382"/>
    <n v="0"/>
    <n v="0"/>
    <n v="4"/>
    <n v="1.5"/>
    <n v="0"/>
    <n v="0"/>
    <n v="0"/>
    <n v="5691"/>
    <n v="14076"/>
    <n v="5691"/>
    <n v="0"/>
    <n v="3"/>
    <n v="11382"/>
    <n v="13759.62149565709"/>
    <n v="0"/>
    <n v="3"/>
    <n v="0"/>
    <n v="0"/>
    <n v="0"/>
    <n v="0"/>
    <n v="11382"/>
    <n v="0"/>
    <n v="0"/>
    <n v="3"/>
    <n v="11382"/>
    <n v="0"/>
    <n v="0"/>
    <n v="3"/>
    <n v="0"/>
    <n v="0"/>
    <n v="0"/>
    <n v="10557"/>
    <n v="0"/>
    <n v="0"/>
    <n v="0"/>
    <n v="3"/>
    <n v="11382"/>
    <n v="0"/>
    <n v="0"/>
    <n v="3"/>
    <n v="0"/>
    <m/>
    <n v="0"/>
    <n v="0"/>
    <n v="11382"/>
    <n v="0"/>
    <n v="0"/>
    <n v="0"/>
    <n v="3"/>
    <n v="11382"/>
    <n v="0"/>
    <n v="0"/>
    <n v="3"/>
    <n v="0"/>
    <m/>
    <n v="0"/>
    <n v="0"/>
    <n v="11382"/>
    <n v="0"/>
    <n v="0"/>
    <n v="0"/>
    <n v="3"/>
    <n v="11382"/>
    <n v="0"/>
    <n v="0"/>
    <n v="3"/>
    <n v="0"/>
    <n v="0"/>
    <n v="0"/>
    <n v="0"/>
    <n v="11382"/>
    <n v="0"/>
    <n v="0"/>
    <n v="0"/>
    <n v="3"/>
    <n v="11382"/>
    <n v="0"/>
    <n v="0"/>
    <n v="3"/>
    <n v="0"/>
    <n v="0"/>
    <n v="0"/>
    <n v="0"/>
    <n v="11382"/>
    <n v="0"/>
    <n v="0"/>
    <n v="0"/>
    <n v="3"/>
    <n v="11382"/>
    <n v="0"/>
    <n v="0"/>
    <n v="3"/>
    <n v="0"/>
    <n v="0"/>
    <n v="0"/>
    <m/>
    <n v="10557"/>
    <n v="0"/>
    <n v="0"/>
    <n v="0"/>
    <n v="3"/>
    <n v="10557"/>
    <n v="0"/>
    <n v="0"/>
    <n v="3"/>
    <n v="0"/>
    <n v="0"/>
    <n v="0"/>
    <n v="0"/>
    <m/>
    <n v="10557"/>
    <n v="0"/>
    <n v="0"/>
    <n v="0"/>
    <n v="3"/>
    <n v="10557"/>
    <n v="0"/>
    <n v="0"/>
    <n v="3"/>
    <n v="0"/>
    <n v="0"/>
    <n v="0"/>
    <n v="10557"/>
    <n v="0"/>
    <n v="0"/>
    <n v="0"/>
    <n v="3"/>
    <n v="10557"/>
    <n v="0"/>
    <n v="0"/>
    <n v="3"/>
    <n v="0"/>
    <n v="0"/>
    <n v="0"/>
    <n v="10557"/>
    <n v="0"/>
    <n v="0"/>
    <n v="3"/>
    <n v="10557"/>
    <n v="0"/>
    <n v="0"/>
    <n v="3"/>
    <n v="0"/>
    <n v="0"/>
    <m/>
    <n v="10557"/>
    <n v="0"/>
    <n v="0"/>
    <n v="3"/>
    <n v="10557"/>
    <n v="0"/>
  </r>
  <r>
    <s v="Lhotse-Hidratación"/>
    <x v="1"/>
    <x v="12"/>
    <x v="28"/>
    <s v="LHBOIND"/>
    <x v="155"/>
    <x v="152"/>
    <x v="0"/>
    <x v="6"/>
    <n v="1"/>
    <x v="12"/>
    <n v="2"/>
    <m/>
    <n v="0"/>
    <n v="3794"/>
    <n v="7588"/>
    <n v="3.4"/>
    <n v="3714.5"/>
    <n v="10915.96638655462"/>
    <n v="10915.96638655462"/>
    <s v="Shenzhen"/>
    <s v="30/70"/>
    <n v="30"/>
    <n v="200"/>
    <n v="8"/>
    <n v="0.6057945349387577"/>
    <n v="9"/>
    <n v="0.6426464925161596"/>
    <n v="5"/>
    <n v="0.6488143060774914"/>
    <n v="3"/>
    <n v="0.6524239648222793"/>
    <n v="3"/>
    <n v="0.5342899226709219"/>
    <n v="7"/>
    <n v="0.5480476474091721"/>
    <n v="24"/>
    <n v="0.4703713576822454"/>
    <n v="17"/>
    <n v="0.5263870539276323"/>
    <n v="6"/>
    <n v="0.4754509062505203"/>
    <n v="7"/>
    <n v="0.4925030095733094"/>
    <n v="27"/>
    <n v="0.5324109787882799"/>
    <n v="19"/>
    <n v="0.5480640859044675"/>
    <n v="12"/>
    <s v=""/>
    <n v="8"/>
    <s v=""/>
    <n v="2"/>
    <s v=""/>
    <n v="3"/>
    <s v=""/>
    <n v="0"/>
    <n v="0"/>
    <s v=""/>
    <n v="0"/>
    <n v="0"/>
    <s v=""/>
    <n v="0"/>
    <n v="1"/>
    <s v=""/>
    <n v="0"/>
    <n v="10"/>
    <n v="28"/>
    <n v="10"/>
    <n v="0"/>
    <n v="0"/>
    <n v="0"/>
    <n v="91056"/>
    <n v="98531.99999999999"/>
    <n v="37940"/>
    <n v="0"/>
    <n v="2"/>
    <n v="7588"/>
    <n v="91730.80997104726"/>
    <n v="0"/>
    <n v="15"/>
    <n v="12"/>
    <n v="0"/>
    <n v="0"/>
    <n v="0"/>
    <n v="64498"/>
    <n v="52784.99999999999"/>
    <n v="45528"/>
    <n v="0"/>
    <n v="2"/>
    <n v="7588"/>
    <n v="110076.9719652567"/>
    <n v="0"/>
    <n v="7"/>
    <n v="2"/>
    <n v="0"/>
    <n v="0"/>
    <n v="29527"/>
    <n v="26558"/>
    <n v="7588"/>
    <n v="0"/>
    <n v="2"/>
    <n v="7588"/>
    <n v="21831.93277310925"/>
    <n v="0"/>
    <n v="6"/>
    <n v="3"/>
    <n v="0"/>
    <n v="0"/>
    <n v="21114"/>
    <n v="11382"/>
    <n v="0"/>
    <n v="0"/>
    <n v="2"/>
    <n v="7588"/>
    <n v="32747.89915966387"/>
    <n v="3"/>
    <n v="2"/>
    <n v="3"/>
    <m/>
    <n v="0"/>
    <n v="0"/>
    <n v="7588"/>
    <n v="10557"/>
    <n v="0"/>
    <n v="0"/>
    <n v="2"/>
    <n v="7588"/>
    <n v="32747.89915966387"/>
    <n v="0"/>
    <n v="2"/>
    <n v="0"/>
    <m/>
    <n v="0"/>
    <n v="0"/>
    <n v="7588"/>
    <n v="0"/>
    <n v="0"/>
    <n v="0"/>
    <n v="2"/>
    <n v="7588"/>
    <n v="0"/>
    <n v="0"/>
    <n v="3"/>
    <n v="0"/>
    <n v="0"/>
    <n v="0"/>
    <n v="0"/>
    <n v="11382"/>
    <n v="0"/>
    <n v="0"/>
    <n v="0"/>
    <n v="3"/>
    <n v="7588"/>
    <n v="0"/>
    <n v="0"/>
    <n v="3"/>
    <n v="0"/>
    <n v="0"/>
    <n v="0"/>
    <n v="0"/>
    <n v="11382"/>
    <n v="0"/>
    <n v="0"/>
    <n v="0"/>
    <n v="3"/>
    <n v="11382"/>
    <n v="0"/>
    <n v="0"/>
    <n v="3"/>
    <n v="0"/>
    <n v="0"/>
    <n v="0"/>
    <m/>
    <n v="10557"/>
    <n v="0"/>
    <n v="0"/>
    <n v="0"/>
    <n v="3"/>
    <n v="10557"/>
    <n v="0"/>
    <n v="0"/>
    <n v="3"/>
    <n v="0"/>
    <n v="0"/>
    <n v="0"/>
    <n v="0"/>
    <m/>
    <n v="10557"/>
    <n v="0"/>
    <n v="0"/>
    <n v="0"/>
    <n v="3"/>
    <n v="10557"/>
    <n v="0"/>
    <n v="0"/>
    <n v="3"/>
    <n v="0"/>
    <n v="0"/>
    <n v="0"/>
    <n v="10557"/>
    <n v="0"/>
    <n v="0"/>
    <n v="0"/>
    <n v="3"/>
    <n v="10557"/>
    <n v="0"/>
    <n v="0"/>
    <n v="3"/>
    <n v="0"/>
    <n v="0"/>
    <n v="0"/>
    <n v="10557"/>
    <n v="0"/>
    <n v="0"/>
    <n v="3"/>
    <n v="10557"/>
    <n v="0"/>
    <n v="0"/>
    <n v="3"/>
    <n v="0"/>
    <n v="0"/>
    <m/>
    <n v="10557"/>
    <n v="0"/>
    <n v="0"/>
    <n v="3"/>
    <n v="10557"/>
    <n v="0"/>
  </r>
  <r>
    <m/>
    <x v="1"/>
    <x v="12"/>
    <x v="28"/>
    <s v="LHBOHYCO"/>
    <x v="156"/>
    <x v="153"/>
    <x v="0"/>
    <x v="3"/>
    <n v="1"/>
    <x v="124"/>
    <n v="425"/>
    <m/>
    <n v="0"/>
    <n v="4899"/>
    <n v="2082075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5"/>
    <n v="0.4752588986773558"/>
    <n v="143"/>
    <n v="0.4024617199255532"/>
    <n v="24"/>
    <s v=""/>
    <n v="25"/>
    <s v=""/>
    <n v="173"/>
    <s v=""/>
    <n v="16"/>
    <s v=""/>
    <n v="0.32"/>
    <n v="2"/>
    <s v=""/>
    <n v="0.02"/>
    <n v="53"/>
    <s v=""/>
    <n v="0.3533333333333333"/>
    <n v="20"/>
    <s v=""/>
    <n v="0.25"/>
    <n v="40"/>
    <n v="39"/>
    <n v="35"/>
    <n v="0"/>
    <n v="200"/>
    <n v="0"/>
    <n v="1202704.5"/>
    <n v="207879.75"/>
    <n v="171465"/>
    <n v="0"/>
    <n v="425"/>
    <n v="2082075"/>
    <n v="370489.3722194761"/>
    <n v="40"/>
    <n v="215"/>
    <n v="37.5"/>
    <n v="0"/>
    <n v="0"/>
    <n v="0"/>
    <n v="1109623.5"/>
    <n v="1146003.75"/>
    <n v="183712.5"/>
    <n v="0"/>
    <n v="425"/>
    <n v="2082075"/>
    <n v="396952.8988065815"/>
    <n v="80"/>
    <n v="165"/>
    <n v="173"/>
    <n v="0"/>
    <n v="0"/>
    <n v="1458936"/>
    <n v="808335"/>
    <n v="847527"/>
    <n v="0"/>
    <n v="425"/>
    <n v="2082075"/>
    <n v="2179218.487394958"/>
    <n v="50"/>
    <n v="19"/>
    <n v="16"/>
    <n v="0"/>
    <n v="0"/>
    <n v="101274.75"/>
    <n v="78384"/>
    <n v="0"/>
    <n v="0"/>
    <n v="425"/>
    <n v="2082075"/>
    <n v="201546.218487395"/>
    <n v="100"/>
    <n v="427"/>
    <n v="100"/>
    <m/>
    <n v="0"/>
    <n v="0"/>
    <n v="2091873"/>
    <n v="533025"/>
    <n v="0"/>
    <n v="0"/>
    <n v="425"/>
    <n v="2082075"/>
    <n v="1259663.865546219"/>
    <n v="150"/>
    <n v="478"/>
    <n v="53"/>
    <m/>
    <n v="0"/>
    <n v="0"/>
    <n v="2341722"/>
    <n v="282503.25"/>
    <n v="0"/>
    <n v="0"/>
    <n v="478"/>
    <n v="2082075"/>
    <n v="667621.8487394959"/>
    <n v="80"/>
    <n v="445"/>
    <n v="80"/>
    <n v="500"/>
    <n v="500"/>
    <n v="0"/>
    <n v="2180055"/>
    <n v="426420"/>
    <n v="2576287.5"/>
    <n v="0"/>
    <n v="445"/>
    <n v="2082075"/>
    <n v="1007731.092436975"/>
    <n v="80"/>
    <n v="365"/>
    <n v="80"/>
    <n v="0"/>
    <n v="0"/>
    <n v="0"/>
    <n v="1788135"/>
    <n v="426420"/>
    <n v="0"/>
    <n v="0"/>
    <n v="365"/>
    <n v="1788135"/>
    <n v="1007731.092436975"/>
    <n v="80"/>
    <n v="285"/>
    <n v="80"/>
    <n v="0"/>
    <n v="0"/>
    <m/>
    <n v="1519121.25"/>
    <n v="426420"/>
    <n v="0"/>
    <n v="0"/>
    <n v="285"/>
    <n v="1519121.25"/>
    <n v="1007731.092436975"/>
    <n v="120"/>
    <n v="205"/>
    <n v="120"/>
    <n v="0"/>
    <n v="0"/>
    <n v="0"/>
    <m/>
    <n v="1092701.25"/>
    <n v="639630"/>
    <n v="0"/>
    <n v="0"/>
    <n v="205"/>
    <n v="1092701.25"/>
    <n v="1511596.638655462"/>
    <n v="80"/>
    <n v="85"/>
    <n v="80"/>
    <n v="0"/>
    <n v="0"/>
    <n v="453071.25"/>
    <n v="426420"/>
    <n v="0"/>
    <n v="0"/>
    <n v="85"/>
    <n v="453071.25"/>
    <n v="1058117.647058824"/>
    <n v="150"/>
    <n v="5"/>
    <n v="150"/>
    <n v="0"/>
    <n v="0"/>
    <n v="26651.25"/>
    <n v="799537.5"/>
    <n v="0"/>
    <n v="5"/>
    <n v="26651.25"/>
    <n v="1889495.798319328"/>
    <n v="48"/>
    <n v="0"/>
    <n v="48"/>
    <n v="0"/>
    <m/>
    <n v="0"/>
    <n v="235152"/>
    <n v="0"/>
    <n v="0"/>
    <n v="0"/>
    <n v="604638.6554621849"/>
  </r>
  <r>
    <m/>
    <x v="1"/>
    <x v="12"/>
    <x v="28"/>
    <s v="LHBOHYCO"/>
    <x v="157"/>
    <x v="154"/>
    <x v="0"/>
    <x v="3"/>
    <n v="1"/>
    <x v="125"/>
    <n v="8"/>
    <m/>
    <n v="0"/>
    <n v="5127"/>
    <n v="41016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5016913157232153"/>
    <n v="111"/>
    <n v="0.3571354413707604"/>
    <n v="28"/>
    <s v=""/>
    <n v="28"/>
    <s v=""/>
    <n v="64"/>
    <s v=""/>
    <n v="35"/>
    <s v=""/>
    <n v="0.7"/>
    <n v="44"/>
    <s v=""/>
    <n v="0.88"/>
    <n v="24"/>
    <s v=""/>
    <n v="0.24"/>
    <n v="5"/>
    <s v=""/>
    <n v="0.125"/>
    <n v="30"/>
    <n v="64"/>
    <n v="20"/>
    <n v="0"/>
    <n v="200"/>
    <n v="0"/>
    <n v="646002"/>
    <n v="341136"/>
    <n v="102540"/>
    <n v="0"/>
    <n v="8"/>
    <n v="41016"/>
    <n v="211708.2126968435"/>
    <n v="30"/>
    <n v="310"/>
    <n v="42"/>
    <n v="0"/>
    <n v="0"/>
    <n v="0"/>
    <n v="722907"/>
    <n v="1652377.5"/>
    <n v="215334"/>
    <n v="0"/>
    <n v="8"/>
    <n v="41016"/>
    <n v="444587.2466633713"/>
    <n v="90"/>
    <n v="271"/>
    <n v="64"/>
    <n v="0"/>
    <n v="0"/>
    <n v="774085.5"/>
    <n v="1389417"/>
    <n v="328128"/>
    <n v="0"/>
    <n v="8"/>
    <n v="41016"/>
    <n v="806184.8739495799"/>
    <n v="50"/>
    <n v="118"/>
    <n v="35"/>
    <n v="0"/>
    <n v="0"/>
    <n v="628969.5"/>
    <n v="179445"/>
    <n v="0"/>
    <n v="0"/>
    <n v="8"/>
    <n v="41016"/>
    <n v="440882.3529411765"/>
    <n v="50"/>
    <n v="52"/>
    <n v="50"/>
    <m/>
    <n v="0"/>
    <n v="0"/>
    <n v="266604"/>
    <n v="266512.5"/>
    <n v="0"/>
    <n v="0"/>
    <n v="8"/>
    <n v="41016"/>
    <n v="629831.9327731093"/>
    <n v="100"/>
    <n v="32"/>
    <n v="24"/>
    <m/>
    <n v="0"/>
    <n v="0"/>
    <n v="164064"/>
    <n v="127926"/>
    <n v="0"/>
    <n v="0"/>
    <n v="32"/>
    <n v="41016"/>
    <n v="302319.3277310925"/>
    <n v="40"/>
    <n v="13"/>
    <n v="40"/>
    <n v="0"/>
    <n v="0"/>
    <n v="0"/>
    <n v="66651"/>
    <n v="213210"/>
    <n v="0"/>
    <n v="0"/>
    <n v="13"/>
    <n v="41016"/>
    <n v="503865.5462184874"/>
    <n v="40"/>
    <n v="0"/>
    <n v="40"/>
    <n v="0"/>
    <n v="0"/>
    <n v="0"/>
    <n v="0"/>
    <n v="213210"/>
    <n v="0"/>
    <n v="0"/>
    <n v="0"/>
    <n v="0"/>
    <n v="503865.5462184874"/>
    <n v="40"/>
    <n v="0"/>
    <n v="40"/>
    <n v="0"/>
    <n v="0"/>
    <m/>
    <n v="0"/>
    <n v="213210"/>
    <n v="0"/>
    <n v="0"/>
    <n v="0"/>
    <n v="0"/>
    <n v="503865.5462184874"/>
    <n v="70"/>
    <n v="0"/>
    <n v="0"/>
    <n v="500"/>
    <n v="500"/>
    <n v="500"/>
    <n v="0"/>
    <n v="0"/>
    <n v="0"/>
    <n v="2665125"/>
    <n v="2665125"/>
    <n v="500"/>
    <n v="2665125"/>
    <n v="0"/>
    <n v="60"/>
    <n v="500"/>
    <n v="60"/>
    <n v="0"/>
    <n v="0"/>
    <n v="2665125"/>
    <n v="319815"/>
    <n v="0"/>
    <n v="0"/>
    <n v="500"/>
    <n v="2665125"/>
    <n v="793588.2352941177"/>
    <n v="100"/>
    <n v="440"/>
    <n v="100"/>
    <n v="0"/>
    <n v="0"/>
    <n v="2345310"/>
    <n v="533025"/>
    <n v="0"/>
    <n v="440"/>
    <n v="2345310"/>
    <n v="1259663.865546219"/>
    <n v="36"/>
    <n v="340"/>
    <n v="36"/>
    <n v="0"/>
    <m/>
    <n v="1812285"/>
    <n v="184572"/>
    <n v="0"/>
    <n v="340"/>
    <n v="1812285"/>
    <n v="453478.9915966387"/>
  </r>
  <r>
    <m/>
    <x v="1"/>
    <x v="12"/>
    <x v="28"/>
    <s v="LHBOHYCO"/>
    <x v="158"/>
    <x v="155"/>
    <x v="0"/>
    <x v="3"/>
    <n v="1.2"/>
    <x v="126"/>
    <n v="488"/>
    <m/>
    <n v="0"/>
    <n v="5092"/>
    <n v="2484896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3"/>
    <n v="0.4927109723930568"/>
    <n v="48"/>
    <n v="0.505347748829619"/>
    <n v="29"/>
    <s v=""/>
    <n v="63"/>
    <s v=""/>
    <n v="141"/>
    <s v=""/>
    <n v="56"/>
    <s v=""/>
    <n v="1.4"/>
    <n v="39"/>
    <s v=""/>
    <n v="0.325"/>
    <n v="11"/>
    <s v=""/>
    <n v="0.06875000000000001"/>
    <n v="4"/>
    <s v=""/>
    <n v="0.04"/>
    <n v="30"/>
    <n v="143"/>
    <n v="30"/>
    <n v="0"/>
    <n v="200"/>
    <n v="0"/>
    <n v="1351926"/>
    <n v="762225.75"/>
    <n v="152760"/>
    <n v="0"/>
    <n v="488"/>
    <n v="2484896"/>
    <n v="317562.3190452652"/>
    <n v="30"/>
    <n v="306"/>
    <n v="94.5"/>
    <n v="0"/>
    <n v="0"/>
    <n v="0"/>
    <n v="1484318"/>
    <n v="1631056.5"/>
    <n v="481194"/>
    <n v="0"/>
    <n v="488"/>
    <n v="2484896"/>
    <n v="1000321.304992585"/>
    <n v="120"/>
    <n v="233"/>
    <n v="141"/>
    <n v="0"/>
    <n v="0"/>
    <n v="1770680"/>
    <n v="1186436"/>
    <n v="717972"/>
    <n v="0"/>
    <n v="488"/>
    <n v="2484896"/>
    <n v="1776126.050420168"/>
    <n v="40"/>
    <n v="85"/>
    <n v="56"/>
    <n v="0"/>
    <n v="0"/>
    <n v="453071.25"/>
    <n v="285152"/>
    <n v="0"/>
    <n v="0"/>
    <n v="488"/>
    <n v="2484896"/>
    <n v="705411.7647058824"/>
    <n v="120"/>
    <n v="527"/>
    <n v="144"/>
    <m/>
    <n v="0"/>
    <n v="0"/>
    <n v="2683484"/>
    <n v="767556"/>
    <n v="0"/>
    <n v="0"/>
    <n v="488"/>
    <n v="2484896"/>
    <n v="1813915.966386555"/>
    <n v="160"/>
    <n v="499"/>
    <n v="11"/>
    <m/>
    <n v="0"/>
    <n v="0"/>
    <n v="2540908"/>
    <n v="58632.75"/>
    <n v="0"/>
    <n v="0"/>
    <n v="499"/>
    <n v="2484896"/>
    <n v="138563.025210084"/>
    <n v="100"/>
    <n v="492"/>
    <n v="120"/>
    <n v="500"/>
    <n v="500"/>
    <n v="0"/>
    <n v="2505264"/>
    <n v="639630"/>
    <n v="2576287.5"/>
    <n v="0"/>
    <n v="492"/>
    <n v="2484896"/>
    <n v="1511596.638655462"/>
    <n v="100"/>
    <n v="372"/>
    <n v="120"/>
    <n v="0"/>
    <n v="0"/>
    <n v="0"/>
    <n v="1894224"/>
    <n v="639630"/>
    <n v="0"/>
    <n v="0"/>
    <n v="372"/>
    <n v="1894224"/>
    <n v="1511596.638655462"/>
    <n v="100"/>
    <n v="252"/>
    <n v="120"/>
    <n v="0"/>
    <n v="0"/>
    <m/>
    <n v="1343223"/>
    <n v="639630"/>
    <n v="0"/>
    <n v="0"/>
    <n v="252"/>
    <n v="1343223"/>
    <n v="1511596.638655462"/>
    <n v="120"/>
    <n v="132"/>
    <n v="132"/>
    <n v="500"/>
    <n v="500"/>
    <n v="500"/>
    <n v="0"/>
    <n v="703593"/>
    <n v="703593"/>
    <n v="2665125"/>
    <n v="2665125"/>
    <n v="632"/>
    <n v="3368718"/>
    <n v="1662756.302521009"/>
    <n v="80"/>
    <n v="500"/>
    <n v="96"/>
    <n v="0"/>
    <n v="0"/>
    <n v="2665125"/>
    <n v="511704"/>
    <n v="0"/>
    <n v="0"/>
    <n v="500"/>
    <n v="2665125"/>
    <n v="1269741.176470588"/>
    <n v="150"/>
    <n v="404"/>
    <n v="180"/>
    <n v="0"/>
    <n v="0"/>
    <n v="2153421"/>
    <n v="959445"/>
    <n v="0"/>
    <n v="404"/>
    <n v="2153421"/>
    <n v="2267394.957983193"/>
    <n v="48"/>
    <n v="224"/>
    <n v="57.59999999999999"/>
    <n v="0"/>
    <m/>
    <n v="1193976"/>
    <n v="293299.2"/>
    <n v="0"/>
    <n v="224"/>
    <n v="1193976"/>
    <n v="725566.3865546219"/>
  </r>
  <r>
    <m/>
    <x v="1"/>
    <x v="12"/>
    <x v="28"/>
    <s v="LHBOHYCO"/>
    <x v="159"/>
    <x v="156"/>
    <x v="0"/>
    <x v="3"/>
    <n v="1"/>
    <x v="127"/>
    <n v="3"/>
    <m/>
    <n v="0"/>
    <n v="5127"/>
    <n v="15381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5203212829403803"/>
    <n v="95"/>
    <n v="0.3862772320101321"/>
    <n v="34"/>
    <s v=""/>
    <n v="44"/>
    <s v=""/>
    <n v="197"/>
    <s v=""/>
    <n v="28"/>
    <s v=""/>
    <n v="0.9333333333333333"/>
    <n v="16"/>
    <s v=""/>
    <n v="0.2666666666666667"/>
    <n v="3"/>
    <s v=""/>
    <n v="0.03333333333333333"/>
    <n v="0"/>
    <s v=""/>
    <n v="0"/>
    <n v="20"/>
    <n v="95"/>
    <n v="15"/>
    <n v="0"/>
    <n v="200"/>
    <n v="0"/>
    <n v="1425306"/>
    <n v="506373.75"/>
    <n v="76905"/>
    <n v="0"/>
    <n v="3"/>
    <n v="15381"/>
    <n v="158781.1595226326"/>
    <n v="25"/>
    <n v="321"/>
    <n v="66"/>
    <n v="0"/>
    <n v="0"/>
    <n v="0"/>
    <n v="1491957"/>
    <n v="1711010.25"/>
    <n v="338382"/>
    <n v="0"/>
    <n v="3"/>
    <n v="15381"/>
    <n v="698637.1018995835"/>
    <n v="63"/>
    <n v="274"/>
    <n v="197"/>
    <n v="0"/>
    <n v="0"/>
    <n v="1473390"/>
    <n v="1404798"/>
    <n v="1010019"/>
    <n v="0"/>
    <n v="3"/>
    <n v="15381"/>
    <n v="2481537.815126051"/>
    <n v="30"/>
    <n v="34"/>
    <n v="28"/>
    <n v="0"/>
    <n v="0"/>
    <n v="181228.5"/>
    <n v="143556"/>
    <n v="0"/>
    <n v="0"/>
    <n v="3"/>
    <n v="15381"/>
    <n v="352705.8823529412"/>
    <n v="60"/>
    <n v="19"/>
    <n v="60"/>
    <m/>
    <n v="0"/>
    <n v="0"/>
    <n v="97413"/>
    <n v="319815"/>
    <n v="0"/>
    <n v="0"/>
    <n v="3"/>
    <n v="15381"/>
    <n v="755798.3193277312"/>
    <n v="90"/>
    <n v="6"/>
    <n v="3"/>
    <m/>
    <n v="0"/>
    <n v="0"/>
    <n v="30762"/>
    <n v="15990.75"/>
    <n v="0"/>
    <n v="0"/>
    <n v="6"/>
    <n v="15381"/>
    <n v="37789.91596638656"/>
    <n v="40"/>
    <n v="3"/>
    <n v="40"/>
    <n v="0"/>
    <n v="0"/>
    <n v="0"/>
    <n v="15381"/>
    <n v="213210"/>
    <n v="0"/>
    <n v="0"/>
    <n v="3"/>
    <n v="15381"/>
    <n v="503865.5462184874"/>
    <n v="40"/>
    <n v="0"/>
    <n v="40"/>
    <n v="0"/>
    <n v="0"/>
    <n v="0"/>
    <n v="0"/>
    <n v="213210"/>
    <n v="0"/>
    <n v="0"/>
    <n v="0"/>
    <n v="0"/>
    <n v="503865.5462184874"/>
    <n v="40"/>
    <n v="0"/>
    <n v="40"/>
    <n v="0"/>
    <n v="0"/>
    <m/>
    <n v="0"/>
    <n v="213210"/>
    <n v="0"/>
    <n v="0"/>
    <n v="0"/>
    <n v="0"/>
    <n v="503865.5462184874"/>
    <n v="70"/>
    <n v="0"/>
    <n v="0"/>
    <n v="500"/>
    <n v="500"/>
    <n v="500"/>
    <n v="0"/>
    <n v="0"/>
    <n v="0"/>
    <n v="2665125"/>
    <n v="2665125"/>
    <n v="500"/>
    <n v="2665125"/>
    <n v="0"/>
    <n v="50"/>
    <n v="500"/>
    <n v="50"/>
    <n v="0"/>
    <n v="0"/>
    <n v="2665125"/>
    <n v="266512.5"/>
    <n v="0"/>
    <n v="0"/>
    <n v="500"/>
    <n v="2665125"/>
    <n v="661323.5294117648"/>
    <n v="100"/>
    <n v="450"/>
    <n v="100"/>
    <n v="0"/>
    <n v="0"/>
    <n v="2398612.5"/>
    <n v="533025"/>
    <n v="0"/>
    <n v="450"/>
    <n v="2398612.5"/>
    <n v="1259663.865546219"/>
    <n v="30"/>
    <n v="350"/>
    <n v="30"/>
    <n v="0"/>
    <m/>
    <n v="1865587.5"/>
    <n v="153810"/>
    <n v="0"/>
    <n v="350"/>
    <n v="1865587.5"/>
    <n v="377899.1596638656"/>
  </r>
  <r>
    <m/>
    <x v="1"/>
    <x v="12"/>
    <x v="28"/>
    <s v="LHBOHYCO"/>
    <x v="160"/>
    <x v="157"/>
    <x v="0"/>
    <x v="3"/>
    <n v="1.2"/>
    <x v="128"/>
    <n v="96"/>
    <m/>
    <n v="0"/>
    <n v="5184"/>
    <n v="497664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2895137726943536"/>
    <n v="37"/>
    <n v="0.4840358527456072"/>
    <n v="19"/>
    <s v=""/>
    <n v="19"/>
    <s v=""/>
    <n v="44"/>
    <s v=""/>
    <n v="93"/>
    <s v=""/>
    <n v="3.1"/>
    <n v="14"/>
    <s v=""/>
    <n v="0.5600000000000001"/>
    <n v="44"/>
    <s v=""/>
    <n v="0.88"/>
    <n v="12"/>
    <s v=""/>
    <n v="0.4"/>
    <n v="30"/>
    <n v="155"/>
    <n v="25"/>
    <n v="0"/>
    <n v="100"/>
    <n v="0"/>
    <n v="505440"/>
    <n v="826188.75"/>
    <n v="129600"/>
    <n v="0"/>
    <n v="96"/>
    <n v="497664"/>
    <n v="264635.2658710543"/>
    <n v="25"/>
    <n v="248"/>
    <n v="28.5"/>
    <n v="0"/>
    <n v="0"/>
    <n v="0"/>
    <n v="857952"/>
    <n v="1321902"/>
    <n v="147744"/>
    <n v="0"/>
    <n v="96"/>
    <n v="497664"/>
    <n v="301684.203093002"/>
    <n v="50"/>
    <n v="227"/>
    <n v="44"/>
    <n v="0"/>
    <n v="0"/>
    <n v="870115.5"/>
    <n v="1176768"/>
    <n v="228096"/>
    <n v="0"/>
    <n v="96"/>
    <n v="497664"/>
    <n v="554252.1008403362"/>
    <n v="30"/>
    <n v="178"/>
    <n v="93"/>
    <n v="0"/>
    <n v="0"/>
    <n v="948784.5"/>
    <n v="482112"/>
    <n v="0"/>
    <n v="0"/>
    <n v="96"/>
    <n v="497664"/>
    <n v="1171487.394957983"/>
    <n v="25"/>
    <n v="110"/>
    <n v="30"/>
    <m/>
    <n v="0"/>
    <n v="0"/>
    <n v="570240"/>
    <n v="159907.5"/>
    <n v="0"/>
    <n v="0"/>
    <n v="96"/>
    <n v="497664"/>
    <n v="377899.1596638656"/>
    <n v="50"/>
    <n v="140"/>
    <n v="44"/>
    <m/>
    <n v="0"/>
    <n v="0"/>
    <n v="725760"/>
    <n v="234531"/>
    <n v="0"/>
    <n v="0"/>
    <n v="140"/>
    <n v="497664"/>
    <n v="554252.1008403362"/>
    <n v="30"/>
    <n v="108"/>
    <n v="36"/>
    <n v="0"/>
    <n v="0"/>
    <n v="0"/>
    <n v="559872"/>
    <n v="191889"/>
    <n v="0"/>
    <n v="0"/>
    <n v="108"/>
    <n v="497664"/>
    <n v="453478.9915966387"/>
    <n v="30"/>
    <n v="72"/>
    <n v="36"/>
    <n v="0"/>
    <n v="0"/>
    <n v="0"/>
    <n v="373248"/>
    <n v="191889"/>
    <n v="0"/>
    <n v="0"/>
    <n v="72"/>
    <n v="373248"/>
    <n v="453478.9915966387"/>
    <n v="30"/>
    <n v="36"/>
    <n v="36"/>
    <n v="0"/>
    <n v="0"/>
    <m/>
    <n v="191889"/>
    <n v="191889"/>
    <n v="0"/>
    <n v="0"/>
    <n v="36"/>
    <n v="191889"/>
    <n v="453478.9915966387"/>
    <n v="2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2"/>
    <x v="28"/>
    <s v="LHSHNUCO"/>
    <x v="161"/>
    <x v="158"/>
    <x v="0"/>
    <x v="3"/>
    <n v="1"/>
    <x v="129"/>
    <n v="253"/>
    <m/>
    <n v="0"/>
    <n v="3509"/>
    <n v="887777"/>
    <n v="3.69"/>
    <n v="4031.325"/>
    <n v="10915.96638655462"/>
    <n v="10915.96638655462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7"/>
    <n v="0.5555336694062437"/>
    <n v="120"/>
    <n v="0.6016740062860557"/>
    <n v="0"/>
    <s v=""/>
    <n v="32"/>
    <s v=""/>
    <n v="151"/>
    <s v=""/>
    <n v="57"/>
    <s v=""/>
    <n v="0.57"/>
    <n v="72"/>
    <s v=""/>
    <n v="0.72"/>
    <n v="118"/>
    <s v=""/>
    <n v="0.7866666666666666"/>
    <n v="53"/>
    <s v=""/>
    <n v="0.6625"/>
    <n v="5"/>
    <n v="3"/>
    <n v="5"/>
    <n v="0"/>
    <n v="240"/>
    <n v="0"/>
    <n v="715836"/>
    <n v="11457.45"/>
    <n v="17545"/>
    <n v="0"/>
    <n v="253"/>
    <n v="887777"/>
    <n v="45865.40498552363"/>
    <n v="60"/>
    <n v="240"/>
    <n v="48"/>
    <n v="0"/>
    <n v="0"/>
    <n v="0"/>
    <n v="898304"/>
    <n v="916595.9999999999"/>
    <n v="168432"/>
    <n v="0"/>
    <n v="253"/>
    <n v="887777"/>
    <n v="440307.8878610268"/>
    <n v="120"/>
    <n v="168"/>
    <n v="151"/>
    <n v="0"/>
    <n v="0"/>
    <n v="1111787"/>
    <n v="589512"/>
    <n v="529859"/>
    <n v="0"/>
    <n v="253"/>
    <n v="887777"/>
    <n v="1648310.924369748"/>
    <n v="100"/>
    <n v="52"/>
    <n v="57"/>
    <n v="300"/>
    <n v="0"/>
    <n v="198595.8"/>
    <n v="200013"/>
    <n v="1145745"/>
    <n v="0"/>
    <n v="253"/>
    <n v="887777"/>
    <n v="622210.0840336134"/>
    <n v="100"/>
    <n v="325"/>
    <n v="100"/>
    <m/>
    <n v="0"/>
    <n v="0"/>
    <n v="1140425"/>
    <n v="381914.9999999999"/>
    <n v="0"/>
    <n v="0"/>
    <n v="253"/>
    <n v="887777"/>
    <n v="1091596.638655462"/>
    <n v="150"/>
    <n v="371"/>
    <n v="118"/>
    <m/>
    <n v="0"/>
    <n v="0"/>
    <n v="1301839"/>
    <n v="450659.7"/>
    <n v="0"/>
    <n v="0"/>
    <n v="371"/>
    <n v="887777"/>
    <n v="1288084.033613445"/>
    <n v="80"/>
    <n v="306"/>
    <n v="80"/>
    <n v="0"/>
    <n v="0"/>
    <n v="0"/>
    <n v="1073754"/>
    <n v="305532"/>
    <n v="0"/>
    <n v="0"/>
    <n v="306"/>
    <n v="887777"/>
    <n v="873277.3109243698"/>
    <n v="80"/>
    <n v="226"/>
    <n v="80"/>
    <n v="500"/>
    <n v="500"/>
    <n v="500"/>
    <n v="793034"/>
    <n v="305532"/>
    <n v="1909575"/>
    <n v="1909575"/>
    <n v="726"/>
    <n v="2702609"/>
    <n v="873277.3109243698"/>
    <n v="80"/>
    <n v="646"/>
    <n v="80"/>
    <n v="0"/>
    <n v="0"/>
    <n v="500"/>
    <n v="2467170.9"/>
    <n v="305532"/>
    <n v="0"/>
    <n v="1909575"/>
    <n v="1146"/>
    <n v="4376745.899999999"/>
    <n v="873277.3109243698"/>
    <n v="150"/>
    <n v="1066"/>
    <n v="150"/>
    <n v="0"/>
    <n v="0"/>
    <n v="0"/>
    <m/>
    <n v="4071213.899999999"/>
    <n v="572872.5"/>
    <n v="0"/>
    <n v="0"/>
    <n v="1066"/>
    <n v="4071213.899999999"/>
    <n v="1637394.957983193"/>
    <n v="120"/>
    <n v="916"/>
    <n v="120"/>
    <n v="0"/>
    <n v="0"/>
    <n v="3498341.399999999"/>
    <n v="458297.9999999999"/>
    <n v="0"/>
    <n v="0"/>
    <n v="916"/>
    <n v="3498341.399999999"/>
    <n v="1375411.764705883"/>
    <n v="200"/>
    <n v="796"/>
    <n v="200"/>
    <n v="0"/>
    <n v="0"/>
    <n v="3040043.4"/>
    <n v="763829.9999999999"/>
    <n v="0"/>
    <n v="796"/>
    <n v="3040043.4"/>
    <n v="2183193.277310925"/>
    <n v="72"/>
    <n v="596"/>
    <n v="72"/>
    <n v="0"/>
    <m/>
    <n v="2276213.4"/>
    <n v="252648"/>
    <n v="0"/>
    <n v="596"/>
    <n v="2276213.4"/>
    <n v="785949.5798319328"/>
  </r>
  <r>
    <m/>
    <x v="1"/>
    <x v="12"/>
    <x v="28"/>
    <s v="LHSHNUCO"/>
    <x v="162"/>
    <x v="159"/>
    <x v="0"/>
    <x v="3"/>
    <n v="1"/>
    <x v="130"/>
    <n v="208"/>
    <m/>
    <n v="0"/>
    <n v="3501"/>
    <n v="728208"/>
    <n v="3.69"/>
    <n v="4031.325"/>
    <n v="10915.96638655462"/>
    <n v="10915.96638655462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4"/>
    <n v="0.5195981108770747"/>
    <n v="125"/>
    <n v="0.5893528951380602"/>
    <n v="0"/>
    <s v=""/>
    <n v="25"/>
    <s v=""/>
    <n v="164"/>
    <s v=""/>
    <n v="55"/>
    <s v=""/>
    <n v="0.55"/>
    <n v="86"/>
    <s v=""/>
    <n v="0.86"/>
    <n v="128"/>
    <s v=""/>
    <n v="0.8533333333333334"/>
    <n v="68"/>
    <s v=""/>
    <n v="0.85"/>
    <n v="5"/>
    <n v="2"/>
    <n v="5"/>
    <n v="0"/>
    <n v="240"/>
    <n v="0"/>
    <n v="722956.5"/>
    <n v="7638.299999999999"/>
    <n v="17505"/>
    <n v="0"/>
    <n v="208"/>
    <n v="728208"/>
    <n v="45865.40498552363"/>
    <n v="60"/>
    <n v="240"/>
    <n v="37.5"/>
    <n v="0"/>
    <n v="0"/>
    <n v="0"/>
    <n v="898006.5"/>
    <n v="916595.9999999999"/>
    <n v="131287.5"/>
    <n v="0"/>
    <n v="208"/>
    <n v="728208"/>
    <n v="343990.5373914272"/>
    <n v="120"/>
    <n v="186"/>
    <n v="164"/>
    <n v="0"/>
    <n v="0"/>
    <n v="1148634"/>
    <n v="651186"/>
    <n v="574164"/>
    <n v="0"/>
    <n v="208"/>
    <n v="728208"/>
    <n v="1790218.487394958"/>
    <n v="100"/>
    <n v="54"/>
    <n v="55"/>
    <n v="300"/>
    <n v="0"/>
    <n v="206234.1"/>
    <n v="192555"/>
    <n v="1145745"/>
    <n v="0"/>
    <n v="208"/>
    <n v="728208"/>
    <n v="600378.1512605043"/>
    <n v="100"/>
    <n v="294"/>
    <n v="100"/>
    <m/>
    <n v="0"/>
    <n v="0"/>
    <n v="1029294"/>
    <n v="381914.9999999999"/>
    <n v="0"/>
    <n v="0"/>
    <n v="208"/>
    <n v="728208"/>
    <n v="1091596.638655462"/>
    <n v="150"/>
    <n v="336"/>
    <n v="128"/>
    <m/>
    <n v="0"/>
    <n v="0"/>
    <n v="1176336"/>
    <n v="488851.2"/>
    <n v="0"/>
    <n v="0"/>
    <n v="336"/>
    <n v="728208"/>
    <n v="1397243.697478992"/>
    <n v="80"/>
    <n v="276"/>
    <n v="80"/>
    <n v="0"/>
    <n v="0"/>
    <n v="0"/>
    <n v="966276"/>
    <n v="305532"/>
    <n v="0"/>
    <n v="0"/>
    <n v="276"/>
    <n v="728208"/>
    <n v="873277.3109243698"/>
    <n v="80"/>
    <n v="196"/>
    <n v="80"/>
    <n v="500"/>
    <n v="500"/>
    <n v="500"/>
    <n v="686196"/>
    <n v="305532"/>
    <n v="1909575"/>
    <n v="1909575"/>
    <n v="696"/>
    <n v="2595771"/>
    <n v="873277.3109243698"/>
    <n v="80"/>
    <n v="616"/>
    <n v="80"/>
    <n v="0"/>
    <n v="0"/>
    <n v="500"/>
    <n v="2352596.4"/>
    <n v="305532"/>
    <n v="0"/>
    <n v="1909575"/>
    <n v="1116"/>
    <n v="4262171.399999999"/>
    <n v="873277.3109243698"/>
    <n v="150"/>
    <n v="1036"/>
    <n v="150"/>
    <n v="0"/>
    <n v="0"/>
    <n v="0"/>
    <m/>
    <n v="3956639.399999999"/>
    <n v="572872.5"/>
    <n v="0"/>
    <n v="0"/>
    <n v="1036"/>
    <n v="3956639.399999999"/>
    <n v="1637394.957983193"/>
    <n v="120"/>
    <n v="886"/>
    <n v="120"/>
    <n v="0"/>
    <n v="0"/>
    <n v="3383766.9"/>
    <n v="458297.9999999999"/>
    <n v="0"/>
    <n v="0"/>
    <n v="886"/>
    <n v="3383766.9"/>
    <n v="1375411.764705883"/>
    <n v="200"/>
    <n v="766"/>
    <n v="200"/>
    <n v="0"/>
    <n v="0"/>
    <n v="2925468.9"/>
    <n v="763829.9999999999"/>
    <n v="0"/>
    <n v="766"/>
    <n v="2925468.9"/>
    <n v="2183193.277310925"/>
    <n v="72"/>
    <n v="566"/>
    <n v="72"/>
    <n v="0"/>
    <m/>
    <n v="2161638.9"/>
    <n v="252072"/>
    <n v="0"/>
    <n v="566"/>
    <n v="2161638.9"/>
    <n v="785949.5798319328"/>
  </r>
  <r>
    <m/>
    <x v="1"/>
    <x v="12"/>
    <x v="28"/>
    <s v="LHSHNUCO"/>
    <x v="163"/>
    <x v="160"/>
    <x v="0"/>
    <x v="3"/>
    <n v="1.1"/>
    <x v="131"/>
    <n v="20"/>
    <m/>
    <n v="0"/>
    <n v="3509"/>
    <n v="70180"/>
    <n v="3.69"/>
    <n v="4031.325"/>
    <n v="10915.96638655462"/>
    <n v="10915.96638655462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8"/>
    <n v="0.4976349152405694"/>
    <n v="102"/>
    <n v="0.5787878822027318"/>
    <n v="27"/>
    <s v=""/>
    <n v="10"/>
    <s v=""/>
    <n v="47"/>
    <s v=""/>
    <n v="64"/>
    <s v=""/>
    <n v="1.28"/>
    <n v="38"/>
    <s v=""/>
    <n v="1.266666666666667"/>
    <n v="52"/>
    <s v=""/>
    <n v="1.04"/>
    <n v="14"/>
    <s v=""/>
    <n v="0.4666666666666667"/>
    <n v="30"/>
    <n v="37"/>
    <n v="37"/>
    <n v="0"/>
    <n v="240"/>
    <n v="0"/>
    <n v="347391"/>
    <n v="141308.55"/>
    <n v="129833"/>
    <n v="0"/>
    <n v="20"/>
    <n v="70180"/>
    <n v="339403.9968928748"/>
    <n v="40"/>
    <n v="242"/>
    <n v="15"/>
    <n v="0"/>
    <n v="0"/>
    <n v="0"/>
    <n v="442134"/>
    <n v="924234.2999999999"/>
    <n v="52635"/>
    <n v="0"/>
    <n v="20"/>
    <n v="70180"/>
    <n v="137596.2149565709"/>
    <n v="60"/>
    <n v="205"/>
    <n v="47"/>
    <n v="0"/>
    <n v="0"/>
    <n v="515530.95"/>
    <n v="719345"/>
    <n v="164923"/>
    <n v="0"/>
    <n v="20"/>
    <n v="70180"/>
    <n v="513050.4201680673"/>
    <n v="50"/>
    <n v="188"/>
    <n v="64"/>
    <n v="0"/>
    <n v="0"/>
    <n v="718000.2"/>
    <n v="224576"/>
    <n v="0"/>
    <n v="0"/>
    <n v="20"/>
    <n v="70180"/>
    <n v="698621.8487394959"/>
    <n v="30"/>
    <n v="58"/>
    <n v="33"/>
    <m/>
    <n v="0"/>
    <n v="0"/>
    <n v="203522"/>
    <n v="126031.95"/>
    <n v="0"/>
    <n v="0"/>
    <n v="20"/>
    <n v="70180"/>
    <n v="360226.8907563026"/>
    <n v="50"/>
    <n v="72"/>
    <n v="52"/>
    <m/>
    <n v="0"/>
    <n v="0"/>
    <n v="252648"/>
    <n v="198595.8"/>
    <n v="0"/>
    <n v="0"/>
    <n v="72"/>
    <n v="70180"/>
    <n v="567630.2521008403"/>
    <n v="30"/>
    <n v="34"/>
    <n v="33"/>
    <n v="0"/>
    <n v="0"/>
    <n v="0"/>
    <n v="119306"/>
    <n v="126031.95"/>
    <n v="0"/>
    <n v="0"/>
    <n v="34"/>
    <n v="70180"/>
    <n v="360226.8907563026"/>
    <n v="30"/>
    <n v="1"/>
    <n v="33"/>
    <n v="0"/>
    <n v="0"/>
    <n v="0"/>
    <n v="3509"/>
    <n v="126031.95"/>
    <n v="0"/>
    <n v="0"/>
    <n v="1"/>
    <n v="3509"/>
    <n v="360226.8907563026"/>
    <n v="25"/>
    <n v="0"/>
    <n v="27.5"/>
    <n v="0"/>
    <n v="0"/>
    <m/>
    <n v="0"/>
    <n v="105026.625"/>
    <n v="0"/>
    <n v="0"/>
    <n v="0"/>
    <n v="0"/>
    <n v="300189.0756302521"/>
    <n v="60"/>
    <n v="0"/>
    <n v="0"/>
    <n v="0"/>
    <n v="0"/>
    <n v="0"/>
    <m/>
    <n v="0"/>
    <n v="0"/>
    <n v="0"/>
    <n v="0"/>
    <n v="0"/>
    <n v="0"/>
    <n v="0"/>
    <n v="50"/>
    <n v="0"/>
    <n v="55.00000000000001"/>
    <n v="0"/>
    <n v="0"/>
    <n v="0"/>
    <n v="210053.25"/>
    <n v="0"/>
    <n v="0"/>
    <n v="0"/>
    <n v="0"/>
    <n v="630397.0588235295"/>
    <n v="100"/>
    <n v="0"/>
    <n v="110"/>
    <n v="0"/>
    <n v="0"/>
    <n v="0"/>
    <n v="420106.5"/>
    <n v="0"/>
    <n v="0"/>
    <n v="0"/>
    <n v="1200756.302521009"/>
    <n v="30"/>
    <n v="0"/>
    <n v="33"/>
    <n v="0"/>
    <m/>
    <n v="0"/>
    <n v="115797"/>
    <n v="0"/>
    <n v="0"/>
    <n v="0"/>
    <n v="360226.8907563026"/>
  </r>
  <r>
    <m/>
    <x v="1"/>
    <x v="12"/>
    <x v="28"/>
    <s v="LHSHNUCO"/>
    <x v="164"/>
    <x v="161"/>
    <x v="0"/>
    <x v="3"/>
    <n v="1"/>
    <x v="12"/>
    <n v="0"/>
    <m/>
    <n v="0"/>
    <n v="4031.325"/>
    <n v="0"/>
    <n v="3.69"/>
    <n v="4031.325"/>
    <n v="10163.00420168067"/>
    <n v="8638.553571428571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30"/>
    <n v="37"/>
    <n v="37"/>
    <n v="0"/>
    <n v="240"/>
    <n v="0"/>
    <n v="149159.025"/>
    <n v="141308.55"/>
    <n v="149159.025"/>
    <n v="0"/>
    <n v="0"/>
    <n v="0"/>
    <n v="315992.5676152814"/>
    <n v="40"/>
    <n v="242"/>
    <n v="0"/>
    <n v="0"/>
    <n v="0"/>
    <n v="0"/>
    <n v="0"/>
    <n v="924234.2999999999"/>
    <n v="0"/>
    <n v="0"/>
    <n v="0"/>
    <n v="0"/>
    <n v="0"/>
    <n v="60"/>
    <n v="205"/>
    <n v="0"/>
    <n v="0"/>
    <n v="0"/>
    <n v="0"/>
    <n v="826421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500"/>
    <n v="500"/>
    <n v="500"/>
    <n v="0"/>
    <n v="190957.5"/>
    <n v="1909575"/>
    <n v="1909575"/>
    <n v="500"/>
    <n v="1909575"/>
    <n v="508150.2100840335"/>
    <n v="80"/>
    <n v="450"/>
    <n v="80"/>
    <n v="0"/>
    <n v="0"/>
    <n v="0"/>
    <m/>
    <n v="1718617.5"/>
    <n v="305532"/>
    <n v="0"/>
    <n v="0"/>
    <n v="450"/>
    <n v="1718617.5"/>
    <n v="691084.2857142857"/>
    <n v="70"/>
    <n v="370"/>
    <n v="70"/>
    <n v="0"/>
    <n v="0"/>
    <n v="1413085.5"/>
    <n v="267340.5"/>
    <n v="0"/>
    <n v="0"/>
    <n v="370"/>
    <n v="1413085.5"/>
    <n v="634933.6875"/>
    <n v="100"/>
    <n v="300"/>
    <n v="100"/>
    <n v="0"/>
    <n v="0"/>
    <n v="1145745"/>
    <n v="381914.9999999999"/>
    <n v="0"/>
    <n v="300"/>
    <n v="1145745"/>
    <n v="1016300.420168067"/>
    <n v="42"/>
    <n v="200"/>
    <n v="42"/>
    <n v="0"/>
    <m/>
    <n v="763829.9999999999"/>
    <n v="169315.65"/>
    <n v="0"/>
    <n v="200"/>
    <n v="763829.9999999999"/>
    <n v="426846.1764705882"/>
  </r>
  <r>
    <m/>
    <x v="1"/>
    <x v="12"/>
    <x v="28"/>
    <s v="LHSHNUCO"/>
    <x v="165"/>
    <x v="162"/>
    <x v="0"/>
    <x v="3"/>
    <n v="1"/>
    <x v="12"/>
    <n v="0"/>
    <m/>
    <n v="0"/>
    <n v="4031.325"/>
    <n v="0"/>
    <n v="3.69"/>
    <n v="4031.325"/>
    <n v="10163.00420168067"/>
    <n v="8638.553571428571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30"/>
    <n v="37"/>
    <n v="37"/>
    <n v="0"/>
    <n v="240"/>
    <n v="0"/>
    <n v="149159.025"/>
    <n v="141308.55"/>
    <n v="149159.025"/>
    <n v="0"/>
    <n v="0"/>
    <n v="0"/>
    <n v="315992.5676152814"/>
    <n v="40"/>
    <n v="242"/>
    <n v="0"/>
    <n v="0"/>
    <n v="0"/>
    <n v="0"/>
    <n v="0"/>
    <n v="924234.2999999999"/>
    <n v="0"/>
    <n v="0"/>
    <n v="0"/>
    <n v="0"/>
    <n v="0"/>
    <n v="60"/>
    <n v="205"/>
    <n v="0"/>
    <n v="0"/>
    <n v="0"/>
    <n v="0"/>
    <n v="826421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500"/>
    <n v="500"/>
    <n v="500"/>
    <n v="0"/>
    <n v="190957.5"/>
    <n v="1909575"/>
    <n v="1909575"/>
    <n v="500"/>
    <n v="1909575"/>
    <n v="508150.2100840335"/>
    <n v="80"/>
    <n v="450"/>
    <n v="80"/>
    <n v="0"/>
    <n v="0"/>
    <n v="0"/>
    <m/>
    <n v="1718617.5"/>
    <n v="305532"/>
    <n v="0"/>
    <n v="0"/>
    <n v="450"/>
    <n v="1718617.5"/>
    <n v="691084.2857142857"/>
    <n v="70"/>
    <n v="370"/>
    <n v="70"/>
    <n v="0"/>
    <n v="0"/>
    <n v="1413085.5"/>
    <n v="267340.5"/>
    <n v="0"/>
    <n v="0"/>
    <n v="370"/>
    <n v="1413085.5"/>
    <n v="634933.6875"/>
    <n v="100"/>
    <n v="300"/>
    <n v="100"/>
    <n v="0"/>
    <n v="0"/>
    <n v="1145745"/>
    <n v="381914.9999999999"/>
    <n v="0"/>
    <n v="300"/>
    <n v="1145745"/>
    <n v="1016300.420168067"/>
    <n v="42"/>
    <n v="200"/>
    <n v="42"/>
    <n v="0"/>
    <m/>
    <n v="763829.9999999999"/>
    <n v="169315.65"/>
    <n v="0"/>
    <n v="200"/>
    <n v="763829.9999999999"/>
    <n v="426846.1764705882"/>
  </r>
  <r>
    <s v="Lhotse-Hidratación"/>
    <x v="1"/>
    <x v="12"/>
    <x v="28"/>
    <s v="LHBIGMU-BL"/>
    <x v="166"/>
    <x v="163"/>
    <x v="0"/>
    <x v="6"/>
    <n v="1"/>
    <x v="12"/>
    <n v="4"/>
    <m/>
    <n v="0"/>
    <n v="3942"/>
    <n v="15768"/>
    <n v="4"/>
    <n v="4370"/>
    <n v="16798.31932773109"/>
    <n v="16798.31932773109"/>
    <s v="Shenzhen"/>
    <s v="30/70"/>
    <n v="30"/>
    <n v="100"/>
    <n v="22"/>
    <n v="0.7226012781197343"/>
    <n v="14"/>
    <n v="0.7168875247202364"/>
    <n v="23"/>
    <n v="0.6790551962486354"/>
    <n v="247"/>
    <n v="0.4644908544688515"/>
    <n v="8"/>
    <n v="0.6742960799092983"/>
    <n v="24"/>
    <n v="0.7032189499120606"/>
    <n v="32"/>
    <n v="0.5929409665887672"/>
    <n v="6"/>
    <n v="0.7082909988968826"/>
    <n v="4"/>
    <n v="0.7468550601306979"/>
    <n v="22"/>
    <n v="0.5383810357204576"/>
    <n v="14"/>
    <n v="0.5637553653157533"/>
    <n v="144"/>
    <n v="0.5053509188906097"/>
    <n v="36"/>
    <s v=""/>
    <n v="0"/>
    <s v=""/>
    <n v="0"/>
    <s v=""/>
    <n v="0"/>
    <s v=""/>
    <n v="0"/>
    <n v="0"/>
    <s v=""/>
    <n v="0"/>
    <n v="0"/>
    <s v=""/>
    <n v="0"/>
    <n v="0"/>
    <s v=""/>
    <n v="0"/>
    <n v="25"/>
    <n v="20"/>
    <n v="25"/>
    <n v="0"/>
    <n v="0"/>
    <n v="0"/>
    <n v="98550"/>
    <n v="82800"/>
    <n v="98550"/>
    <n v="0"/>
    <n v="4"/>
    <n v="15768"/>
    <n v="352905.8682296448"/>
    <n v="25"/>
    <n v="0"/>
    <n v="0"/>
    <n v="0"/>
    <n v="0"/>
    <n v="0"/>
    <n v="0"/>
    <n v="0"/>
    <n v="0"/>
    <n v="0"/>
    <n v="4"/>
    <n v="15768"/>
    <n v="0"/>
    <n v="0"/>
    <n v="-1"/>
    <n v="0"/>
    <n v="0"/>
    <n v="0"/>
    <n v="0"/>
    <n v="-3942"/>
    <n v="0"/>
    <n v="0"/>
    <n v="4"/>
    <n v="15768"/>
    <n v="0"/>
    <n v="0"/>
    <n v="4"/>
    <n v="0"/>
    <n v="0"/>
    <n v="0"/>
    <n v="16560"/>
    <n v="0"/>
    <n v="0"/>
    <n v="0"/>
    <n v="4"/>
    <n v="15768"/>
    <n v="0"/>
    <n v="0"/>
    <n v="4"/>
    <n v="0"/>
    <m/>
    <n v="0"/>
    <n v="0"/>
    <n v="15768"/>
    <n v="0"/>
    <n v="0"/>
    <n v="0"/>
    <n v="4"/>
    <n v="15768"/>
    <n v="0"/>
    <n v="0"/>
    <n v="4"/>
    <n v="0"/>
    <m/>
    <n v="0"/>
    <n v="0"/>
    <n v="15768"/>
    <n v="0"/>
    <n v="0"/>
    <n v="0"/>
    <n v="4"/>
    <n v="15768"/>
    <n v="0"/>
    <n v="0"/>
    <n v="4"/>
    <n v="0"/>
    <n v="0"/>
    <n v="0"/>
    <n v="0"/>
    <n v="15768"/>
    <n v="0"/>
    <n v="0"/>
    <n v="0"/>
    <n v="4"/>
    <n v="15768"/>
    <n v="0"/>
    <n v="0"/>
    <n v="4"/>
    <n v="0"/>
    <n v="0"/>
    <n v="0"/>
    <n v="0"/>
    <n v="15768"/>
    <n v="0"/>
    <n v="0"/>
    <n v="0"/>
    <n v="4"/>
    <n v="15768"/>
    <n v="0"/>
    <n v="0"/>
    <n v="4"/>
    <n v="0"/>
    <n v="0"/>
    <n v="0"/>
    <m/>
    <n v="16560"/>
    <n v="0"/>
    <n v="0"/>
    <n v="0"/>
    <n v="4"/>
    <n v="16560"/>
    <n v="0"/>
    <n v="0"/>
    <n v="4"/>
    <n v="0"/>
    <n v="0"/>
    <n v="0"/>
    <n v="0"/>
    <m/>
    <n v="16560"/>
    <n v="0"/>
    <n v="0"/>
    <n v="0"/>
    <n v="4"/>
    <n v="16560"/>
    <n v="0"/>
    <n v="0"/>
    <n v="4"/>
    <n v="0"/>
    <n v="0"/>
    <n v="0"/>
    <n v="16560"/>
    <n v="0"/>
    <n v="0"/>
    <n v="0"/>
    <n v="4"/>
    <n v="16560"/>
    <n v="0"/>
    <n v="0"/>
    <n v="4"/>
    <n v="0"/>
    <n v="0"/>
    <n v="0"/>
    <n v="16560"/>
    <n v="0"/>
    <n v="0"/>
    <n v="4"/>
    <n v="16560"/>
    <n v="0"/>
    <n v="0"/>
    <n v="4"/>
    <n v="0"/>
    <n v="0"/>
    <m/>
    <n v="16560"/>
    <n v="0"/>
    <n v="0"/>
    <n v="4"/>
    <n v="16560"/>
    <n v="0"/>
  </r>
  <r>
    <s v="Lhotse-Hidratación"/>
    <x v="1"/>
    <x v="12"/>
    <x v="28"/>
    <s v="LHBIGMU-CR"/>
    <x v="167"/>
    <x v="164"/>
    <x v="0"/>
    <x v="6"/>
    <n v="1"/>
    <x v="12"/>
    <n v="2"/>
    <m/>
    <n v="0"/>
    <n v="4038"/>
    <n v="8076"/>
    <n v="4"/>
    <n v="4370"/>
    <n v="7554.621848739496"/>
    <n v="7554.621848739496"/>
    <s v="Shenzhen"/>
    <s v="30/70"/>
    <n v="30"/>
    <n v="100"/>
    <n v="29"/>
    <n v="0.6939534558308079"/>
    <n v="9"/>
    <n v="0.7070825501512848"/>
    <n v="19"/>
    <n v="0.659900047791386"/>
    <n v="68"/>
    <n v="0.5740320740500646"/>
    <n v="18"/>
    <n v="0.6882130008842181"/>
    <n v="130"/>
    <n v="0.614408246024561"/>
    <n v="19"/>
    <n v="0.5884129367164745"/>
    <n v="36"/>
    <n v="0.6857943317227387"/>
    <n v="6"/>
    <n v="0.702639831052595"/>
    <n v="12"/>
    <n v="0.6411966171714405"/>
    <n v="15"/>
    <n v="0.6157870676676339"/>
    <n v="3"/>
    <n v="0.5628135262910967"/>
    <n v="2"/>
    <s v=""/>
    <n v="0"/>
    <s v=""/>
    <n v="0"/>
    <s v=""/>
    <n v="2"/>
    <s v=""/>
    <n v="0"/>
    <n v="0"/>
    <s v=""/>
    <n v="0"/>
    <n v="0"/>
    <s v=""/>
    <n v="0"/>
    <n v="0"/>
    <s v=""/>
    <n v="0"/>
    <n v="10"/>
    <n v="3"/>
    <n v="10"/>
    <n v="0"/>
    <n v="0"/>
    <n v="0"/>
    <n v="40380"/>
    <n v="12420"/>
    <n v="40380"/>
    <n v="0"/>
    <n v="2"/>
    <n v="8076"/>
    <n v="63484.21721629829"/>
    <n v="10"/>
    <n v="1"/>
    <n v="0"/>
    <n v="0"/>
    <n v="0"/>
    <n v="0"/>
    <n v="8076"/>
    <n v="4140"/>
    <n v="0"/>
    <n v="0"/>
    <n v="2"/>
    <n v="8076"/>
    <n v="0"/>
    <n v="0"/>
    <n v="1"/>
    <n v="0"/>
    <n v="0"/>
    <n v="0"/>
    <n v="8076"/>
    <n v="4038"/>
    <n v="0"/>
    <n v="0"/>
    <n v="2"/>
    <n v="8076"/>
    <n v="0"/>
    <n v="0"/>
    <n v="4"/>
    <n v="2"/>
    <n v="0"/>
    <n v="0"/>
    <n v="16560"/>
    <n v="8076"/>
    <n v="0"/>
    <n v="0"/>
    <n v="2"/>
    <n v="8076"/>
    <n v="15109.24369747899"/>
    <n v="0"/>
    <n v="2"/>
    <n v="0"/>
    <m/>
    <n v="0"/>
    <n v="0"/>
    <n v="8076"/>
    <n v="0"/>
    <n v="0"/>
    <n v="0"/>
    <n v="2"/>
    <n v="8076"/>
    <n v="0"/>
    <n v="0"/>
    <n v="2"/>
    <n v="0"/>
    <m/>
    <n v="0"/>
    <n v="0"/>
    <n v="8076"/>
    <n v="0"/>
    <n v="0"/>
    <n v="0"/>
    <n v="2"/>
    <n v="8076"/>
    <n v="0"/>
    <n v="0"/>
    <n v="2"/>
    <n v="0"/>
    <n v="0"/>
    <n v="0"/>
    <n v="0"/>
    <n v="8076"/>
    <n v="0"/>
    <n v="0"/>
    <n v="0"/>
    <n v="2"/>
    <n v="8076"/>
    <n v="0"/>
    <n v="0"/>
    <n v="2"/>
    <n v="0"/>
    <n v="0"/>
    <n v="0"/>
    <n v="0"/>
    <n v="8076"/>
    <n v="0"/>
    <n v="0"/>
    <n v="0"/>
    <n v="2"/>
    <n v="8076"/>
    <n v="0"/>
    <n v="0"/>
    <n v="2"/>
    <n v="0"/>
    <n v="0"/>
    <n v="0"/>
    <m/>
    <n v="8280"/>
    <n v="0"/>
    <n v="0"/>
    <n v="0"/>
    <n v="2"/>
    <n v="8280"/>
    <n v="0"/>
    <n v="0"/>
    <n v="2"/>
    <n v="0"/>
    <n v="0"/>
    <n v="0"/>
    <n v="0"/>
    <m/>
    <n v="8280"/>
    <n v="0"/>
    <n v="0"/>
    <n v="0"/>
    <n v="2"/>
    <n v="8280"/>
    <n v="0"/>
    <n v="0"/>
    <n v="2"/>
    <n v="0"/>
    <n v="0"/>
    <n v="0"/>
    <n v="8280"/>
    <n v="0"/>
    <n v="0"/>
    <n v="0"/>
    <n v="2"/>
    <n v="8280"/>
    <n v="0"/>
    <n v="0"/>
    <n v="2"/>
    <n v="0"/>
    <n v="0"/>
    <n v="0"/>
    <n v="8280"/>
    <n v="0"/>
    <n v="0"/>
    <n v="2"/>
    <n v="8280"/>
    <n v="0"/>
    <n v="0"/>
    <n v="2"/>
    <n v="0"/>
    <n v="0"/>
    <m/>
    <n v="8280"/>
    <n v="0"/>
    <n v="0"/>
    <n v="2"/>
    <n v="8280"/>
    <n v="0"/>
  </r>
  <r>
    <s v="Lhotse-Hidratación"/>
    <x v="1"/>
    <x v="12"/>
    <x v="28"/>
    <s v="LHBIGMU-PK"/>
    <x v="168"/>
    <x v="165"/>
    <x v="0"/>
    <x v="6"/>
    <n v="1"/>
    <x v="12"/>
    <n v="2"/>
    <m/>
    <n v="0"/>
    <n v="4034"/>
    <n v="8068"/>
    <n v="4"/>
    <n v="4370"/>
    <n v="16798.31932773109"/>
    <n v="16798.31932773109"/>
    <s v="Shenzhen"/>
    <s v="30/70"/>
    <n v="30"/>
    <n v="100"/>
    <n v="51"/>
    <n v="0.7564724811019125"/>
    <n v="67"/>
    <n v="0.7103074500731874"/>
    <n v="65"/>
    <n v="0.6740307641863043"/>
    <n v="158"/>
    <n v="0.5002746627519288"/>
    <n v="45"/>
    <n v="0.710932739442516"/>
    <n v="83"/>
    <n v="0.6827798682460469"/>
    <n v="43"/>
    <n v="0.6371002162218442"/>
    <n v="17"/>
    <n v="0.7585940890664743"/>
    <n v="9"/>
    <n v="0.7261993337478396"/>
    <n v="29"/>
    <n v="0.572968198363334"/>
    <n v="1"/>
    <n v="0.6569436176545624"/>
    <n v="3"/>
    <n v="0.6398214285714285"/>
    <n v="2"/>
    <s v=""/>
    <n v="0"/>
    <s v=""/>
    <n v="1"/>
    <s v=""/>
    <n v="1"/>
    <s v=""/>
    <n v="0"/>
    <n v="0"/>
    <s v=""/>
    <n v="0"/>
    <n v="0"/>
    <s v=""/>
    <n v="0"/>
    <n v="0"/>
    <s v=""/>
    <n v="0"/>
    <n v="10"/>
    <n v="11"/>
    <n v="10"/>
    <n v="0"/>
    <n v="0"/>
    <n v="0"/>
    <n v="44374"/>
    <n v="45540"/>
    <n v="40340"/>
    <n v="0"/>
    <n v="2"/>
    <n v="8068"/>
    <n v="141162.3472918579"/>
    <n v="10"/>
    <n v="7"/>
    <n v="0"/>
    <n v="0"/>
    <n v="0"/>
    <n v="0"/>
    <n v="8068"/>
    <n v="28980"/>
    <n v="0"/>
    <n v="0"/>
    <n v="2"/>
    <n v="8068"/>
    <n v="0"/>
    <n v="0"/>
    <n v="6"/>
    <n v="1"/>
    <n v="0"/>
    <n v="0"/>
    <n v="8068"/>
    <n v="24204"/>
    <n v="4034"/>
    <n v="0"/>
    <n v="2"/>
    <n v="8068"/>
    <n v="16798.31932773109"/>
    <n v="0"/>
    <n v="8"/>
    <n v="1"/>
    <n v="0"/>
    <n v="0"/>
    <n v="33120"/>
    <n v="4034"/>
    <n v="0"/>
    <n v="0"/>
    <n v="2"/>
    <n v="8068"/>
    <n v="16798.31932773109"/>
    <n v="0"/>
    <n v="2"/>
    <n v="0"/>
    <m/>
    <n v="0"/>
    <n v="0"/>
    <n v="8068"/>
    <n v="0"/>
    <n v="0"/>
    <n v="0"/>
    <n v="2"/>
    <n v="8068"/>
    <n v="0"/>
    <n v="0"/>
    <n v="2"/>
    <n v="0"/>
    <m/>
    <n v="0"/>
    <n v="0"/>
    <n v="8068"/>
    <n v="0"/>
    <n v="0"/>
    <n v="0"/>
    <n v="2"/>
    <n v="8068"/>
    <n v="0"/>
    <n v="0"/>
    <n v="2"/>
    <n v="0"/>
    <n v="0"/>
    <n v="0"/>
    <n v="0"/>
    <n v="8068"/>
    <n v="0"/>
    <n v="0"/>
    <n v="0"/>
    <n v="2"/>
    <n v="8068"/>
    <n v="0"/>
    <n v="0"/>
    <n v="2"/>
    <n v="0"/>
    <n v="0"/>
    <n v="0"/>
    <n v="0"/>
    <n v="8068"/>
    <n v="0"/>
    <n v="0"/>
    <n v="0"/>
    <n v="2"/>
    <n v="8068"/>
    <n v="0"/>
    <n v="0"/>
    <n v="2"/>
    <n v="0"/>
    <n v="0"/>
    <n v="0"/>
    <m/>
    <n v="8280"/>
    <n v="0"/>
    <n v="0"/>
    <n v="0"/>
    <n v="2"/>
    <n v="8280"/>
    <n v="0"/>
    <n v="0"/>
    <n v="2"/>
    <n v="0"/>
    <n v="0"/>
    <n v="0"/>
    <n v="0"/>
    <m/>
    <n v="8280"/>
    <n v="0"/>
    <n v="0"/>
    <n v="0"/>
    <n v="2"/>
    <n v="8280"/>
    <n v="0"/>
    <n v="0"/>
    <n v="2"/>
    <n v="0"/>
    <n v="0"/>
    <n v="0"/>
    <n v="8280"/>
    <n v="0"/>
    <n v="0"/>
    <n v="0"/>
    <n v="2"/>
    <n v="8280"/>
    <n v="0"/>
    <n v="0"/>
    <n v="2"/>
    <n v="0"/>
    <n v="0"/>
    <n v="0"/>
    <n v="8280"/>
    <n v="0"/>
    <n v="0"/>
    <n v="2"/>
    <n v="8280"/>
    <n v="0"/>
    <n v="0"/>
    <n v="2"/>
    <n v="0"/>
    <n v="0"/>
    <m/>
    <n v="8280"/>
    <n v="0"/>
    <n v="0"/>
    <n v="2"/>
    <n v="8280"/>
    <n v="0"/>
  </r>
  <r>
    <m/>
    <x v="1"/>
    <x v="12"/>
    <x v="28"/>
    <s v="LHBIGMUN"/>
    <x v="169"/>
    <x v="166"/>
    <x v="0"/>
    <x v="4"/>
    <n v="1.2"/>
    <x v="132"/>
    <n v="216"/>
    <m/>
    <n v="0"/>
    <n v="4181"/>
    <n v="903096"/>
    <n v="3.6"/>
    <n v="3933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m/>
    <m/>
    <n v="2"/>
    <n v="0.5043376056416858"/>
    <n v="4"/>
    <n v="0.6299592604199311"/>
    <n v="39"/>
    <n v="0.6101642601761261"/>
    <n v="147"/>
    <n v="0.5334783547327585"/>
    <n v="83"/>
    <s v=""/>
    <n v="17"/>
    <s v=""/>
    <n v="27"/>
    <s v=""/>
    <n v="23"/>
    <s v=""/>
    <n v="0.575"/>
    <n v="7"/>
    <s v=""/>
    <n v="0.175"/>
    <n v="86"/>
    <s v=""/>
    <n v="1.075"/>
    <n v="4"/>
    <s v=""/>
    <n v="0.1"/>
    <n v="50"/>
    <n v="351"/>
    <n v="40"/>
    <n v="100"/>
    <n v="100"/>
    <n v="0"/>
    <n v="386742.5"/>
    <n v="1307826"/>
    <n v="167240"/>
    <n v="0"/>
    <n v="216"/>
    <n v="903096"/>
    <n v="366923.239884189"/>
    <n v="40"/>
    <n v="389"/>
    <n v="25.5"/>
    <n v="0"/>
    <n v="0"/>
    <n v="0"/>
    <n v="315665.5"/>
    <n v="1449414"/>
    <n v="106615.5"/>
    <n v="0"/>
    <n v="216"/>
    <n v="903096"/>
    <n v="233913.5654261705"/>
    <n v="56"/>
    <n v="371"/>
    <n v="27"/>
    <n v="0"/>
    <n v="0"/>
    <n v="387898"/>
    <n v="1551151"/>
    <n v="112887"/>
    <n v="0"/>
    <n v="216"/>
    <n v="903096"/>
    <n v="294731.0924369748"/>
    <n v="40"/>
    <n v="344"/>
    <n v="23"/>
    <n v="0"/>
    <n v="0"/>
    <n v="1281744"/>
    <n v="96163"/>
    <n v="0"/>
    <n v="0"/>
    <n v="216"/>
    <n v="903096"/>
    <n v="251067.2268907563"/>
    <n v="40"/>
    <n v="223"/>
    <n v="48"/>
    <m/>
    <n v="0"/>
    <n v="0"/>
    <n v="932363"/>
    <n v="178848"/>
    <n v="0"/>
    <n v="0"/>
    <n v="216"/>
    <n v="903096"/>
    <n v="523966.3865546219"/>
    <n v="80"/>
    <n v="302"/>
    <n v="86"/>
    <m/>
    <n v="0"/>
    <n v="0"/>
    <n v="1262662"/>
    <n v="320435.9999999999"/>
    <n v="0"/>
    <n v="0"/>
    <n v="302"/>
    <n v="903096"/>
    <n v="938773.1092436976"/>
    <n v="40"/>
    <n v="220"/>
    <n v="48"/>
    <n v="0"/>
    <n v="0"/>
    <n v="0"/>
    <n v="919820"/>
    <n v="178848"/>
    <n v="0"/>
    <n v="0"/>
    <n v="220"/>
    <n v="903096"/>
    <n v="523966.3865546219"/>
    <n v="32"/>
    <n v="172"/>
    <n v="38.4"/>
    <n v="0"/>
    <n v="0"/>
    <n v="0"/>
    <n v="719132"/>
    <n v="143078.4"/>
    <n v="0"/>
    <n v="0"/>
    <n v="172"/>
    <n v="719132"/>
    <n v="419173.1092436975"/>
    <n v="28.8"/>
    <n v="133.6"/>
    <n v="34.56"/>
    <n v="0"/>
    <n v="0"/>
    <m/>
    <n v="497793.5999999999"/>
    <n v="128770.56"/>
    <n v="0"/>
    <n v="0"/>
    <n v="133.6"/>
    <n v="497793.5999999999"/>
    <n v="377255.7983193278"/>
    <n v="80"/>
    <n v="99.03999999999999"/>
    <n v="96"/>
    <n v="100"/>
    <n v="100"/>
    <n v="100"/>
    <n v="0"/>
    <n v="369023.0399999999"/>
    <n v="357695.9999999999"/>
    <n v="372599.9999999999"/>
    <n v="372599.9999999999"/>
    <n v="199.04"/>
    <n v="741623.0399999998"/>
    <n v="1047932.773109244"/>
    <n v="70"/>
    <n v="103.04"/>
    <n v="84"/>
    <n v="0"/>
    <n v="0"/>
    <n v="383927.0399999999"/>
    <n v="312983.9999999999"/>
    <n v="0"/>
    <n v="0"/>
    <n v="103.04"/>
    <n v="383927.0399999999"/>
    <n v="962788.2352941178"/>
    <n v="120"/>
    <n v="19.03999999999999"/>
    <n v="144"/>
    <n v="0"/>
    <n v="0"/>
    <n v="70943.03999999996"/>
    <n v="536543.9999999999"/>
    <n v="0"/>
    <n v="19.03999999999999"/>
    <n v="70943.03999999996"/>
    <n v="1571899.159663866"/>
    <n v="42"/>
    <n v="0"/>
    <n v="50.4"/>
    <n v="0"/>
    <m/>
    <n v="0"/>
    <n v="210722.4"/>
    <n v="0"/>
    <n v="0"/>
    <n v="0"/>
    <n v="550164.705882353"/>
  </r>
  <r>
    <m/>
    <x v="1"/>
    <x v="12"/>
    <x v="28"/>
    <s v="LHBIGMUN"/>
    <x v="170"/>
    <x v="167"/>
    <x v="0"/>
    <x v="4"/>
    <n v="1"/>
    <x v="133"/>
    <n v="432"/>
    <m/>
    <n v="0"/>
    <n v="4213"/>
    <n v="1820016"/>
    <n v="3.6"/>
    <n v="3933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0"/>
    <s v=""/>
    <n v="10"/>
    <n v="0.6345841207489871"/>
    <n v="20"/>
    <n v="0.5619490788732004"/>
    <n v="168"/>
    <n v="0.5305515193373448"/>
    <n v="84"/>
    <s v=""/>
    <n v="18"/>
    <s v=""/>
    <n v="33"/>
    <s v=""/>
    <n v="23"/>
    <s v=""/>
    <n v="0.5111111111111111"/>
    <n v="6"/>
    <s v=""/>
    <n v="0.15"/>
    <n v="66"/>
    <s v=""/>
    <n v="0.66"/>
    <n v="4"/>
    <s v=""/>
    <n v="0.05"/>
    <n v="50"/>
    <n v="448"/>
    <n v="40"/>
    <n v="200"/>
    <n v="200"/>
    <n v="0"/>
    <n v="421300"/>
    <n v="1669248"/>
    <n v="168520"/>
    <n v="0"/>
    <n v="432"/>
    <n v="1820016"/>
    <n v="366923.239884189"/>
    <n v="50"/>
    <n v="590"/>
    <n v="27"/>
    <n v="0"/>
    <n v="0"/>
    <n v="0"/>
    <n v="349679"/>
    <n v="2198340"/>
    <n v="113751"/>
    <n v="0"/>
    <n v="432"/>
    <n v="1820016"/>
    <n v="247673.1869218276"/>
    <n v="80"/>
    <n v="570"/>
    <n v="33"/>
    <n v="0"/>
    <n v="0"/>
    <n v="384968"/>
    <n v="2401410"/>
    <n v="139029"/>
    <n v="0"/>
    <n v="432"/>
    <n v="1820016"/>
    <n v="360226.8907563026"/>
    <n v="45"/>
    <n v="536"/>
    <n v="23"/>
    <n v="0"/>
    <n v="0"/>
    <n v="1997136"/>
    <n v="96899"/>
    <n v="0"/>
    <n v="0"/>
    <n v="432"/>
    <n v="1820016"/>
    <n v="251067.2268907563"/>
    <n v="40"/>
    <n v="438"/>
    <n v="40"/>
    <m/>
    <n v="0"/>
    <n v="0"/>
    <n v="1845294"/>
    <n v="149040"/>
    <n v="0"/>
    <n v="0"/>
    <n v="432"/>
    <n v="1820016"/>
    <n v="436638.6554621849"/>
    <n v="100"/>
    <n v="498"/>
    <n v="66"/>
    <m/>
    <n v="0"/>
    <n v="0"/>
    <n v="2098074"/>
    <n v="245916"/>
    <n v="0"/>
    <n v="0"/>
    <n v="498"/>
    <n v="1820016"/>
    <n v="720453.7815126051"/>
    <n v="80"/>
    <n v="436"/>
    <n v="80"/>
    <n v="0"/>
    <n v="0"/>
    <n v="0"/>
    <n v="1836868"/>
    <n v="298079.9999999999"/>
    <n v="0"/>
    <n v="0"/>
    <n v="436"/>
    <n v="1820016"/>
    <n v="873277.3109243698"/>
    <n v="32"/>
    <n v="356"/>
    <n v="32"/>
    <n v="0"/>
    <n v="0"/>
    <n v="0"/>
    <n v="1499828"/>
    <n v="119232"/>
    <n v="0"/>
    <n v="0"/>
    <n v="356"/>
    <n v="1499828"/>
    <n v="349310.9243697479"/>
    <n v="28.8"/>
    <n v="324"/>
    <n v="28.8"/>
    <n v="0"/>
    <n v="0"/>
    <m/>
    <n v="1207224"/>
    <n v="107308.8"/>
    <n v="0"/>
    <n v="0"/>
    <n v="324"/>
    <n v="1207224"/>
    <n v="314379.8319327731"/>
    <n v="120"/>
    <n v="295.2"/>
    <n v="120"/>
    <n v="0"/>
    <n v="0"/>
    <n v="0"/>
    <m/>
    <n v="1099915.2"/>
    <n v="447119.9999999999"/>
    <n v="0"/>
    <n v="0"/>
    <n v="295.2"/>
    <n v="1099915.2"/>
    <n v="1309915.966386555"/>
    <n v="100"/>
    <n v="175.2"/>
    <n v="100"/>
    <n v="0"/>
    <n v="0"/>
    <n v="652795.1999999998"/>
    <n v="372599.9999999999"/>
    <n v="0"/>
    <n v="0"/>
    <n v="175.2"/>
    <n v="652795.1999999998"/>
    <n v="1146176.470588235"/>
    <n v="150"/>
    <n v="75.19999999999999"/>
    <n v="150"/>
    <n v="0"/>
    <n v="0"/>
    <n v="280195.1999999999"/>
    <n v="558899.9999999999"/>
    <n v="0"/>
    <n v="75.19999999999999"/>
    <n v="280195.1999999999"/>
    <n v="1637394.957983193"/>
    <n v="60"/>
    <n v="0"/>
    <n v="60"/>
    <n v="0"/>
    <m/>
    <n v="0"/>
    <n v="252780"/>
    <n v="0"/>
    <n v="0"/>
    <n v="0"/>
    <n v="654957.9831932774"/>
  </r>
  <r>
    <m/>
    <x v="1"/>
    <x v="12"/>
    <x v="28"/>
    <s v="LHBIGMUN"/>
    <x v="171"/>
    <x v="168"/>
    <x v="0"/>
    <x v="4"/>
    <n v="1"/>
    <x v="134"/>
    <n v="165"/>
    <m/>
    <n v="0"/>
    <n v="4319"/>
    <n v="712635"/>
    <n v="3.3"/>
    <n v="3605.25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2"/>
    <n v="0.7070476568442636"/>
    <n v="12"/>
    <n v="0.6220639217147489"/>
    <n v="27"/>
    <n v="0.5529099550038653"/>
    <n v="193"/>
    <n v="0.5215948376126445"/>
    <n v="62"/>
    <s v=""/>
    <n v="26"/>
    <s v=""/>
    <n v="63"/>
    <s v=""/>
    <n v="20"/>
    <s v=""/>
    <n v="0.6666666666666666"/>
    <n v="7"/>
    <s v=""/>
    <n v="0.2333333333333333"/>
    <n v="29"/>
    <s v=""/>
    <n v="0.4142857142857143"/>
    <n v="4"/>
    <s v=""/>
    <n v="0.1333333333333333"/>
    <n v="50"/>
    <n v="98"/>
    <n v="60"/>
    <n v="100"/>
    <n v="100"/>
    <n v="0"/>
    <n v="699678"/>
    <n v="334718.9999999999"/>
    <n v="259140"/>
    <n v="0"/>
    <n v="165"/>
    <n v="712635"/>
    <n v="550384.8598262835"/>
    <n v="45"/>
    <n v="169"/>
    <n v="39"/>
    <n v="0"/>
    <n v="0"/>
    <n v="0"/>
    <n v="526918"/>
    <n v="577219.4999999999"/>
    <n v="168441"/>
    <n v="0"/>
    <n v="165"/>
    <n v="712635"/>
    <n v="357750.1588870843"/>
    <n v="72"/>
    <n v="135"/>
    <n v="63"/>
    <n v="0"/>
    <n v="0"/>
    <n v="460942"/>
    <n v="583065"/>
    <n v="272097"/>
    <n v="0"/>
    <n v="165"/>
    <n v="712635"/>
    <n v="687705.8823529412"/>
    <n v="30"/>
    <n v="77"/>
    <n v="20"/>
    <n v="0"/>
    <n v="0"/>
    <n v="262993.4999999999"/>
    <n v="86380"/>
    <n v="0"/>
    <n v="0"/>
    <n v="165"/>
    <n v="712635"/>
    <n v="218319.3277310925"/>
    <n v="30"/>
    <n v="172"/>
    <n v="30"/>
    <m/>
    <n v="0"/>
    <n v="0"/>
    <n v="742868"/>
    <n v="102465"/>
    <n v="0"/>
    <n v="0"/>
    <n v="165"/>
    <n v="712635"/>
    <n v="327478.9915966387"/>
    <n v="70"/>
    <n v="194"/>
    <n v="29"/>
    <m/>
    <n v="0"/>
    <n v="0"/>
    <n v="837886"/>
    <n v="99049.49999999999"/>
    <n v="0"/>
    <n v="0"/>
    <n v="194"/>
    <n v="712635"/>
    <n v="316563.025210084"/>
    <n v="30"/>
    <n v="169"/>
    <n v="30"/>
    <n v="150"/>
    <n v="150"/>
    <n v="0"/>
    <n v="729911"/>
    <n v="102465"/>
    <n v="495247.4999999999"/>
    <n v="0"/>
    <n v="169"/>
    <n v="712635"/>
    <n v="327478.9915966387"/>
    <n v="48"/>
    <n v="139"/>
    <n v="48"/>
    <n v="0"/>
    <n v="0"/>
    <n v="0"/>
    <n v="600341"/>
    <n v="163944"/>
    <n v="0"/>
    <n v="0"/>
    <n v="139"/>
    <n v="600341"/>
    <n v="523966.3865546219"/>
    <n v="43.2"/>
    <n v="91"/>
    <n v="43.2"/>
    <n v="0"/>
    <n v="0"/>
    <n v="100"/>
    <n v="310810.4999999999"/>
    <n v="147549.6"/>
    <n v="0"/>
    <n v="341549.9999999999"/>
    <n v="191"/>
    <n v="652360.4999999999"/>
    <n v="471569.7478991597"/>
    <n v="70"/>
    <n v="147.8"/>
    <n v="70"/>
    <n v="200"/>
    <n v="200"/>
    <n v="200"/>
    <n v="0"/>
    <n v="504810.9"/>
    <n v="239085"/>
    <n v="683099.9999999999"/>
    <n v="683099.9999999999"/>
    <n v="347.8"/>
    <n v="1187910.9"/>
    <n v="764117.6470588236"/>
    <n v="60"/>
    <n v="277.8"/>
    <n v="60"/>
    <n v="0"/>
    <n v="0"/>
    <n v="948825.8999999999"/>
    <n v="204930"/>
    <n v="0"/>
    <n v="0"/>
    <n v="277.8"/>
    <n v="948825.8999999999"/>
    <n v="687705.8823529413"/>
    <n v="150"/>
    <n v="217.8"/>
    <n v="150"/>
    <n v="0"/>
    <n v="0"/>
    <n v="743895.8999999999"/>
    <n v="512324.9999999999"/>
    <n v="0"/>
    <n v="217.8"/>
    <n v="743895.8999999999"/>
    <n v="1637394.957983193"/>
    <n v="36"/>
    <n v="67.80000000000001"/>
    <n v="36"/>
    <n v="0"/>
    <m/>
    <n v="231570.9"/>
    <n v="155484"/>
    <n v="0"/>
    <n v="67.80000000000001"/>
    <n v="231570.9"/>
    <n v="392974.7899159664"/>
  </r>
  <r>
    <m/>
    <x v="1"/>
    <x v="12"/>
    <x v="28"/>
    <s v="LHBIGMUN"/>
    <x v="172"/>
    <x v="169"/>
    <x v="0"/>
    <x v="4"/>
    <n v="1"/>
    <x v="135"/>
    <n v="206"/>
    <m/>
    <n v="0"/>
    <n v="4292"/>
    <n v="884152"/>
    <n v="3.6"/>
    <n v="3933"/>
    <n v="12596.63865546219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1"/>
    <n v="0.6987755102040817"/>
    <n v="7"/>
    <n v="0.5922163827473722"/>
    <n v="19"/>
    <n v="0.5719807793896542"/>
    <n v="98"/>
    <n v="0.5279909082092333"/>
    <n v="66"/>
    <s v=""/>
    <n v="11"/>
    <s v=""/>
    <n v="20"/>
    <s v=""/>
    <n v="15"/>
    <s v=""/>
    <n v="0.5"/>
    <n v="9"/>
    <s v=""/>
    <n v="0.3"/>
    <n v="41"/>
    <s v=""/>
    <n v="0.82"/>
    <n v="1"/>
    <s v=""/>
    <n v="0.03333333333333333"/>
    <n v="40"/>
    <n v="370"/>
    <n v="30"/>
    <n v="0"/>
    <n v="0"/>
    <n v="0"/>
    <n v="285418"/>
    <n v="1378620"/>
    <n v="128760"/>
    <n v="0"/>
    <n v="206"/>
    <n v="884152"/>
    <n v="317562.3190452652"/>
    <n v="40"/>
    <n v="311"/>
    <n v="16.5"/>
    <n v="0"/>
    <n v="0"/>
    <n v="0"/>
    <n v="221038"/>
    <n v="1158786"/>
    <n v="70818"/>
    <n v="0"/>
    <n v="206"/>
    <n v="884152"/>
    <n v="174659.2754748959"/>
    <n v="48"/>
    <n v="299"/>
    <n v="20"/>
    <n v="0"/>
    <n v="0"/>
    <n v="262000"/>
    <n v="1283308"/>
    <n v="85840"/>
    <n v="0"/>
    <n v="206"/>
    <n v="884152"/>
    <n v="251932.7731092437"/>
    <n v="30"/>
    <n v="279"/>
    <n v="15"/>
    <n v="0"/>
    <n v="0"/>
    <n v="1039554"/>
    <n v="64380"/>
    <n v="0"/>
    <n v="0"/>
    <n v="206"/>
    <n v="884152"/>
    <n v="188949.5798319328"/>
    <n v="30"/>
    <n v="215"/>
    <n v="30"/>
    <m/>
    <n v="0"/>
    <n v="0"/>
    <n v="922780"/>
    <n v="111780"/>
    <n v="0"/>
    <n v="0"/>
    <n v="206"/>
    <n v="884152"/>
    <n v="377899.1596638656"/>
    <n v="50"/>
    <n v="247"/>
    <n v="41"/>
    <m/>
    <n v="0"/>
    <n v="0"/>
    <n v="1060124"/>
    <n v="152766"/>
    <n v="0"/>
    <n v="0"/>
    <n v="247"/>
    <n v="884152"/>
    <n v="516462.1848739496"/>
    <n v="30"/>
    <n v="207"/>
    <n v="30"/>
    <n v="0"/>
    <n v="0"/>
    <n v="0"/>
    <n v="888444"/>
    <n v="111780"/>
    <n v="0"/>
    <n v="0"/>
    <n v="207"/>
    <n v="884152"/>
    <n v="377899.1596638656"/>
    <n v="24"/>
    <n v="177"/>
    <n v="24"/>
    <n v="0"/>
    <n v="0"/>
    <n v="0"/>
    <n v="759684"/>
    <n v="89423.99999999999"/>
    <n v="0"/>
    <n v="0"/>
    <n v="177"/>
    <n v="759684"/>
    <n v="302319.3277310925"/>
    <n v="21.6"/>
    <n v="153"/>
    <n v="21.6"/>
    <n v="0"/>
    <n v="0"/>
    <m/>
    <n v="570077.9999999999"/>
    <n v="80481.59999999999"/>
    <n v="0"/>
    <n v="0"/>
    <n v="153"/>
    <n v="570077.9999999999"/>
    <n v="272087.3949579832"/>
    <n v="50"/>
    <n v="131.4"/>
    <n v="50"/>
    <n v="0"/>
    <n v="0"/>
    <n v="0"/>
    <m/>
    <n v="489596.4"/>
    <n v="186300"/>
    <n v="0"/>
    <n v="0"/>
    <n v="131.4"/>
    <n v="489596.4"/>
    <n v="545798.3193277312"/>
    <n v="45"/>
    <n v="81.40000000000001"/>
    <n v="45"/>
    <n v="0"/>
    <n v="0"/>
    <n v="303296.4"/>
    <n v="167670"/>
    <n v="0"/>
    <n v="0"/>
    <n v="81.40000000000001"/>
    <n v="303296.4"/>
    <n v="515779.411764706"/>
    <n v="80"/>
    <n v="36.40000000000001"/>
    <n v="80"/>
    <n v="0"/>
    <n v="0"/>
    <n v="135626.4"/>
    <n v="298079.9999999999"/>
    <n v="0"/>
    <n v="36.40000000000001"/>
    <n v="135626.4"/>
    <n v="1007731.092436975"/>
    <n v="27"/>
    <n v="0"/>
    <n v="27"/>
    <n v="0"/>
    <m/>
    <n v="0"/>
    <n v="115884"/>
    <n v="0"/>
    <n v="0"/>
    <n v="0"/>
    <n v="340109.243697479"/>
  </r>
  <r>
    <m/>
    <x v="1"/>
    <x v="12"/>
    <x v="28"/>
    <s v="LHBIGMUN"/>
    <x v="173"/>
    <x v="170"/>
    <x v="0"/>
    <x v="4"/>
    <n v="1"/>
    <x v="136"/>
    <n v="170"/>
    <m/>
    <n v="0"/>
    <n v="4294"/>
    <n v="729980"/>
    <n v="3.6"/>
    <n v="3933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0"/>
    <s v=""/>
    <n v="5"/>
    <n v="0.6045541723332287"/>
    <n v="29"/>
    <n v="0.5451128348300621"/>
    <n v="166"/>
    <n v="0.5132003166364095"/>
    <n v="92"/>
    <s v=""/>
    <n v="39"/>
    <s v=""/>
    <n v="149"/>
    <s v=""/>
    <n v="35"/>
    <s v=""/>
    <n v="0.7"/>
    <n v="7"/>
    <s v=""/>
    <n v="0.1555555555555556"/>
    <n v="52"/>
    <s v=""/>
    <n v="0.65"/>
    <n v="6"/>
    <s v=""/>
    <n v="0.1"/>
    <n v="40"/>
    <n v="217"/>
    <n v="60"/>
    <n v="100"/>
    <n v="100"/>
    <n v="0"/>
    <n v="1148645"/>
    <n v="808541.9999999999"/>
    <n v="257640"/>
    <n v="0"/>
    <n v="170"/>
    <n v="729980"/>
    <n v="550384.8598262835"/>
    <n v="50"/>
    <n v="303"/>
    <n v="58.5"/>
    <n v="0"/>
    <n v="0"/>
    <n v="0"/>
    <n v="1041295"/>
    <n v="1128978"/>
    <n v="251199"/>
    <n v="0"/>
    <n v="170"/>
    <n v="729980"/>
    <n v="536625.2383306264"/>
    <n v="56"/>
    <n v="259"/>
    <n v="149"/>
    <n v="0"/>
    <n v="0"/>
    <n v="957766"/>
    <n v="1112146"/>
    <n v="639806"/>
    <n v="0"/>
    <n v="170"/>
    <n v="729980"/>
    <n v="1626478.991596639"/>
    <n v="50"/>
    <n v="118"/>
    <n v="35"/>
    <n v="0"/>
    <n v="0"/>
    <n v="439667.9999999999"/>
    <n v="150290"/>
    <n v="0"/>
    <n v="0"/>
    <n v="170"/>
    <n v="729980"/>
    <n v="382058.8235294118"/>
    <n v="45"/>
    <n v="177"/>
    <n v="45"/>
    <m/>
    <n v="0"/>
    <n v="0"/>
    <n v="760038"/>
    <n v="167670"/>
    <n v="0"/>
    <n v="0"/>
    <n v="170"/>
    <n v="729980"/>
    <n v="491218.487394958"/>
    <n v="80"/>
    <n v="222"/>
    <n v="52"/>
    <m/>
    <n v="0"/>
    <n v="0"/>
    <n v="953268"/>
    <n v="193752"/>
    <n v="0"/>
    <n v="0"/>
    <n v="222"/>
    <n v="729980"/>
    <n v="567630.2521008403"/>
    <n v="60"/>
    <n v="176"/>
    <n v="60"/>
    <n v="150"/>
    <n v="150"/>
    <n v="0"/>
    <n v="755744"/>
    <n v="223560"/>
    <n v="540270"/>
    <n v="0"/>
    <n v="176"/>
    <n v="729980"/>
    <n v="654957.9831932774"/>
    <n v="48"/>
    <n v="116"/>
    <n v="48"/>
    <n v="0"/>
    <n v="0"/>
    <n v="0"/>
    <n v="498104"/>
    <n v="178848"/>
    <n v="0"/>
    <n v="0"/>
    <n v="116"/>
    <n v="498104"/>
    <n v="523966.3865546219"/>
    <n v="43.2"/>
    <n v="68"/>
    <n v="43.2"/>
    <n v="0"/>
    <n v="0"/>
    <n v="100"/>
    <n v="253368"/>
    <n v="160963.2"/>
    <n v="0"/>
    <n v="372599.9999999999"/>
    <n v="168"/>
    <n v="625967.9999999999"/>
    <n v="471569.7478991597"/>
    <n v="70"/>
    <n v="124.8"/>
    <n v="70"/>
    <n v="200"/>
    <n v="200"/>
    <n v="200"/>
    <n v="0"/>
    <n v="465004.7999999999"/>
    <n v="260820"/>
    <n v="745199.9999999999"/>
    <n v="745199.9999999999"/>
    <n v="324.8"/>
    <n v="1210204.8"/>
    <n v="764117.6470588236"/>
    <n v="65"/>
    <n v="254.8"/>
    <n v="65"/>
    <n v="0"/>
    <n v="0"/>
    <n v="949384.7999999999"/>
    <n v="242190"/>
    <n v="0"/>
    <n v="0"/>
    <n v="254.8"/>
    <n v="949384.7999999999"/>
    <n v="745014.705882353"/>
    <n v="150"/>
    <n v="189.8"/>
    <n v="150"/>
    <n v="0"/>
    <n v="0"/>
    <n v="707194.7999999999"/>
    <n v="558899.9999999999"/>
    <n v="0"/>
    <n v="189.8"/>
    <n v="707194.7999999999"/>
    <n v="1637394.957983193"/>
    <n v="39"/>
    <n v="39.80000000000001"/>
    <n v="39"/>
    <n v="0"/>
    <m/>
    <n v="148294.8"/>
    <n v="167466"/>
    <n v="0"/>
    <n v="39.80000000000001"/>
    <n v="148294.8"/>
    <n v="425722.6890756303"/>
  </r>
  <r>
    <m/>
    <x v="1"/>
    <x v="12"/>
    <x v="28"/>
    <s v="LHBIGMUN"/>
    <x v="174"/>
    <x v="171"/>
    <x v="0"/>
    <x v="4"/>
    <n v="1.2"/>
    <x v="137"/>
    <n v="102"/>
    <m/>
    <n v="0"/>
    <n v="4226"/>
    <n v="431052"/>
    <n v="3.6"/>
    <n v="3933"/>
    <n v="10915.96638655462"/>
    <n v="10915.96638655462"/>
    <s v="Ningbo"/>
    <s v="30/70"/>
    <n v="30"/>
    <n v="200"/>
    <n v="0"/>
    <m/>
    <n v="0"/>
    <m/>
    <n v="0"/>
    <m/>
    <n v="0"/>
    <m/>
    <n v="0"/>
    <m/>
    <n v="0"/>
    <m/>
    <n v="0"/>
    <m/>
    <n v="0"/>
    <m/>
    <n v="0"/>
    <s v=""/>
    <n v="7"/>
    <n v="0.6202633996937212"/>
    <n v="14"/>
    <n v="0.5217244174424919"/>
    <n v="111"/>
    <n v="0.5309118300554139"/>
    <n v="43"/>
    <s v=""/>
    <n v="9"/>
    <s v=""/>
    <n v="45"/>
    <s v=""/>
    <n v="21"/>
    <s v=""/>
    <n v="1.05"/>
    <n v="12"/>
    <s v=""/>
    <n v="0.6"/>
    <n v="47"/>
    <s v=""/>
    <n v="0.9399999999999999"/>
    <n v="1"/>
    <s v=""/>
    <n v="0.02"/>
    <n v="30"/>
    <n v="138"/>
    <n v="30"/>
    <n v="150"/>
    <n v="150"/>
    <n v="0"/>
    <n v="374001"/>
    <n v="514187.9999999999"/>
    <n v="126780"/>
    <n v="0"/>
    <n v="102"/>
    <n v="431052"/>
    <n v="275192.4299131418"/>
    <n v="30"/>
    <n v="244"/>
    <n v="13.5"/>
    <n v="0"/>
    <n v="0"/>
    <n v="0"/>
    <n v="335967"/>
    <n v="909143.9999999999"/>
    <n v="57051"/>
    <n v="0"/>
    <n v="102"/>
    <n v="431052"/>
    <n v="123836.5934609138"/>
    <n v="40"/>
    <n v="235"/>
    <n v="45"/>
    <n v="0"/>
    <n v="0"/>
    <n v="368340"/>
    <n v="993110"/>
    <n v="190170"/>
    <n v="0"/>
    <n v="102"/>
    <n v="431052"/>
    <n v="491218.487394958"/>
    <n v="20"/>
    <n v="185"/>
    <n v="21"/>
    <n v="0"/>
    <n v="0"/>
    <n v="689309.9999999999"/>
    <n v="88746"/>
    <n v="0"/>
    <n v="0"/>
    <n v="102"/>
    <n v="431052"/>
    <n v="229235.2941176471"/>
    <n v="20"/>
    <n v="114"/>
    <n v="24"/>
    <m/>
    <n v="0"/>
    <n v="0"/>
    <n v="481764"/>
    <n v="89423.99999999999"/>
    <n v="0"/>
    <n v="0"/>
    <n v="102"/>
    <n v="431052"/>
    <n v="261983.1932773109"/>
    <n v="50"/>
    <n v="149"/>
    <n v="47"/>
    <m/>
    <n v="0"/>
    <n v="0"/>
    <n v="629674"/>
    <n v="175122"/>
    <n v="0"/>
    <n v="0"/>
    <n v="149"/>
    <n v="431052"/>
    <n v="513050.4201680673"/>
    <n v="50"/>
    <n v="103"/>
    <n v="60"/>
    <n v="0"/>
    <n v="0"/>
    <n v="0"/>
    <n v="435278"/>
    <n v="223560"/>
    <n v="0"/>
    <n v="0"/>
    <n v="103"/>
    <n v="431052"/>
    <n v="654957.9831932774"/>
    <n v="24"/>
    <n v="43"/>
    <n v="28.8"/>
    <n v="0"/>
    <n v="0"/>
    <n v="0"/>
    <n v="181718"/>
    <n v="107308.8"/>
    <n v="0"/>
    <n v="0"/>
    <n v="43"/>
    <n v="181718"/>
    <n v="314379.8319327731"/>
    <n v="21.6"/>
    <n v="14.2"/>
    <n v="25.92"/>
    <n v="0"/>
    <n v="0"/>
    <m/>
    <n v="52909.2"/>
    <n v="96577.92"/>
    <n v="0"/>
    <n v="0"/>
    <n v="14.2"/>
    <n v="52909.2"/>
    <n v="282941.8487394959"/>
    <n v="40"/>
    <n v="0"/>
    <n v="0"/>
    <n v="150"/>
    <n v="150"/>
    <n v="150"/>
    <n v="0"/>
    <n v="0"/>
    <n v="0"/>
    <n v="558899.9999999999"/>
    <n v="558899.9999999999"/>
    <n v="150"/>
    <n v="558899.9999999999"/>
    <n v="0"/>
    <n v="35"/>
    <n v="150"/>
    <n v="42"/>
    <n v="0"/>
    <n v="0"/>
    <n v="558899.9999999999"/>
    <n v="156492"/>
    <n v="0"/>
    <n v="0"/>
    <n v="150"/>
    <n v="558899.9999999999"/>
    <n v="481394.1176470589"/>
    <n v="100"/>
    <n v="108"/>
    <n v="120"/>
    <n v="0"/>
    <n v="0"/>
    <n v="402407.9999999999"/>
    <n v="447119.9999999999"/>
    <n v="0"/>
    <n v="108"/>
    <n v="402407.9999999999"/>
    <n v="1309915.966386555"/>
    <n v="21"/>
    <n v="0"/>
    <n v="25.2"/>
    <n v="0"/>
    <m/>
    <n v="0"/>
    <n v="106495.2"/>
    <n v="0"/>
    <n v="0"/>
    <n v="0"/>
    <n v="275082.3529411765"/>
  </r>
  <r>
    <m/>
    <x v="1"/>
    <x v="12"/>
    <x v="28"/>
    <s v="LHBOHYTK750"/>
    <x v="175"/>
    <x v="172"/>
    <x v="0"/>
    <x v="2"/>
    <n v="1"/>
    <x v="12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500"/>
    <n v="0"/>
    <n v="441397.0588235294"/>
    <n v="50"/>
    <n v="0"/>
    <n v="50"/>
    <n v="0"/>
    <n v="0"/>
    <n v="500"/>
    <n v="0"/>
    <n v="181125"/>
    <n v="0"/>
    <n v="1811250"/>
    <n v="500"/>
    <n v="1811250"/>
    <n v="441397.0588235294"/>
    <n v="100"/>
    <n v="450"/>
    <n v="100"/>
    <n v="0"/>
    <n v="0"/>
    <n v="0"/>
    <m/>
    <n v="1630125"/>
    <n v="362249.9999999999"/>
    <n v="0"/>
    <n v="0"/>
    <n v="450"/>
    <n v="1630125"/>
    <n v="750374.9999999999"/>
    <n v="80"/>
    <n v="350"/>
    <n v="80"/>
    <n v="0"/>
    <n v="0"/>
    <n v="1267875"/>
    <n v="289799.9999999999"/>
    <n v="0"/>
    <n v="0"/>
    <n v="350"/>
    <n v="1267875"/>
    <n v="630314.9999999999"/>
    <n v="150"/>
    <n v="270"/>
    <n v="150"/>
    <n v="0"/>
    <n v="0"/>
    <n v="978074.9999999999"/>
    <n v="543374.9999999999"/>
    <n v="0"/>
    <n v="270"/>
    <n v="978074.9999999999"/>
    <n v="1324191.176470588"/>
    <n v="48"/>
    <n v="120"/>
    <n v="48"/>
    <n v="0"/>
    <m/>
    <n v="434699.9999999999"/>
    <n v="168084"/>
    <n v="0"/>
    <n v="120"/>
    <n v="434699.9999999999"/>
    <n v="423741.1764705882"/>
  </r>
  <r>
    <m/>
    <x v="1"/>
    <x v="12"/>
    <x v="28"/>
    <s v="LHBOHYTK750"/>
    <x v="176"/>
    <x v="173"/>
    <x v="0"/>
    <x v="2"/>
    <n v="1"/>
    <x v="12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500"/>
    <n v="0"/>
    <n v="441397.0588235294"/>
    <n v="50"/>
    <n v="0"/>
    <n v="50"/>
    <n v="0"/>
    <n v="0"/>
    <n v="500"/>
    <n v="0"/>
    <n v="181125"/>
    <n v="0"/>
    <n v="1811250"/>
    <n v="500"/>
    <n v="1811250"/>
    <n v="441397.0588235294"/>
    <n v="100"/>
    <n v="450"/>
    <n v="100"/>
    <n v="0"/>
    <n v="0"/>
    <n v="0"/>
    <m/>
    <n v="1630125"/>
    <n v="362249.9999999999"/>
    <n v="0"/>
    <n v="0"/>
    <n v="450"/>
    <n v="1630125"/>
    <n v="750374.9999999999"/>
    <n v="80"/>
    <n v="350"/>
    <n v="80"/>
    <n v="0"/>
    <n v="0"/>
    <n v="1267875"/>
    <n v="289799.9999999999"/>
    <n v="0"/>
    <n v="0"/>
    <n v="350"/>
    <n v="1267875"/>
    <n v="630314.9999999999"/>
    <n v="150"/>
    <n v="270"/>
    <n v="150"/>
    <n v="0"/>
    <n v="0"/>
    <n v="978074.9999999999"/>
    <n v="543374.9999999999"/>
    <n v="0"/>
    <n v="270"/>
    <n v="978074.9999999999"/>
    <n v="1324191.176470588"/>
    <n v="48"/>
    <n v="120"/>
    <n v="48"/>
    <n v="0"/>
    <m/>
    <n v="434699.9999999999"/>
    <n v="168084"/>
    <n v="0"/>
    <n v="120"/>
    <n v="434699.9999999999"/>
    <n v="423741.1764705882"/>
  </r>
  <r>
    <m/>
    <x v="1"/>
    <x v="12"/>
    <x v="28"/>
    <s v="LHBOHYTK750"/>
    <x v="177"/>
    <x v="174"/>
    <x v="0"/>
    <x v="2"/>
    <n v="1"/>
    <x v="12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500"/>
    <n v="0"/>
    <n v="264838.2352941176"/>
    <n v="30"/>
    <n v="0"/>
    <n v="30"/>
    <n v="0"/>
    <n v="0"/>
    <n v="500"/>
    <n v="0"/>
    <n v="108675"/>
    <n v="0"/>
    <n v="1811250"/>
    <n v="500"/>
    <n v="1811250"/>
    <n v="264838.2352941176"/>
    <n v="60"/>
    <n v="470"/>
    <n v="60"/>
    <n v="0"/>
    <n v="0"/>
    <n v="0"/>
    <m/>
    <n v="1702575"/>
    <n v="217350"/>
    <n v="0"/>
    <n v="0"/>
    <n v="470"/>
    <n v="1702575"/>
    <n v="450224.9999999999"/>
    <n v="40"/>
    <n v="410"/>
    <n v="40"/>
    <n v="0"/>
    <n v="0"/>
    <n v="1485225"/>
    <n v="144900"/>
    <n v="0"/>
    <n v="0"/>
    <n v="410"/>
    <n v="1485225"/>
    <n v="315157.4999999999"/>
    <n v="90"/>
    <n v="370"/>
    <n v="90"/>
    <n v="0"/>
    <n v="0"/>
    <n v="1340325"/>
    <n v="326024.9999999999"/>
    <n v="0"/>
    <n v="370"/>
    <n v="1340325"/>
    <n v="794514.7058823529"/>
    <n v="24"/>
    <n v="280"/>
    <n v="24"/>
    <n v="0"/>
    <m/>
    <n v="1014300"/>
    <n v="84041.99999999999"/>
    <n v="0"/>
    <n v="280"/>
    <n v="1014300"/>
    <n v="211870.5882352941"/>
  </r>
  <r>
    <m/>
    <x v="1"/>
    <x v="12"/>
    <x v="28"/>
    <s v="LHBOHYTK750"/>
    <x v="178"/>
    <x v="175"/>
    <x v="0"/>
    <x v="2"/>
    <n v="1"/>
    <x v="12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500"/>
    <n v="0"/>
    <n v="264838.2352941176"/>
    <n v="30"/>
    <n v="0"/>
    <n v="30"/>
    <n v="0"/>
    <n v="0"/>
    <n v="500"/>
    <n v="0"/>
    <n v="108675"/>
    <n v="0"/>
    <n v="1811250"/>
    <n v="500"/>
    <n v="1811250"/>
    <n v="264838.2352941176"/>
    <n v="60"/>
    <n v="470"/>
    <n v="60"/>
    <n v="0"/>
    <n v="0"/>
    <n v="0"/>
    <m/>
    <n v="1702575"/>
    <n v="217350"/>
    <n v="0"/>
    <n v="0"/>
    <n v="470"/>
    <n v="1702575"/>
    <n v="450224.9999999999"/>
    <n v="40"/>
    <n v="410"/>
    <n v="40"/>
    <n v="0"/>
    <n v="0"/>
    <n v="1485225"/>
    <n v="144900"/>
    <n v="0"/>
    <n v="0"/>
    <n v="410"/>
    <n v="1485225"/>
    <n v="315157.4999999999"/>
    <n v="90"/>
    <n v="370"/>
    <n v="90"/>
    <n v="0"/>
    <n v="0"/>
    <n v="1340325"/>
    <n v="326024.9999999999"/>
    <n v="0"/>
    <n v="370"/>
    <n v="1340325"/>
    <n v="794514.7058823529"/>
    <n v="24"/>
    <n v="280"/>
    <n v="24"/>
    <n v="0"/>
    <m/>
    <n v="1014300"/>
    <n v="84041.99999999999"/>
    <n v="0"/>
    <n v="280"/>
    <n v="1014300"/>
    <n v="211870.5882352941"/>
  </r>
  <r>
    <m/>
    <x v="1"/>
    <x v="12"/>
    <x v="28"/>
    <s v="LHBOHYTK750"/>
    <x v="179"/>
    <x v="176"/>
    <x v="0"/>
    <x v="2"/>
    <n v="1"/>
    <x v="12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500"/>
    <n v="0"/>
    <n v="264838.2352941176"/>
    <n v="30"/>
    <n v="0"/>
    <n v="30"/>
    <n v="0"/>
    <n v="0"/>
    <n v="500"/>
    <n v="0"/>
    <n v="108675"/>
    <n v="0"/>
    <n v="1811250"/>
    <n v="500"/>
    <n v="1811250"/>
    <n v="264838.2352941176"/>
    <n v="60"/>
    <n v="470"/>
    <n v="60"/>
    <n v="0"/>
    <n v="0"/>
    <n v="0"/>
    <m/>
    <n v="1702575"/>
    <n v="217350"/>
    <n v="0"/>
    <n v="0"/>
    <n v="470"/>
    <n v="1702575"/>
    <n v="450224.9999999999"/>
    <n v="40"/>
    <n v="410"/>
    <n v="40"/>
    <n v="0"/>
    <n v="0"/>
    <n v="1485225"/>
    <n v="144900"/>
    <n v="0"/>
    <n v="0"/>
    <n v="410"/>
    <n v="1485225"/>
    <n v="315157.4999999999"/>
    <n v="90"/>
    <n v="370"/>
    <n v="90"/>
    <n v="0"/>
    <n v="0"/>
    <n v="1340325"/>
    <n v="326024.9999999999"/>
    <n v="0"/>
    <n v="370"/>
    <n v="1340325"/>
    <n v="794514.7058823529"/>
    <n v="24"/>
    <n v="280"/>
    <n v="24"/>
    <n v="0"/>
    <m/>
    <n v="1014300"/>
    <n v="84041.99999999999"/>
    <n v="0"/>
    <n v="280"/>
    <n v="1014300"/>
    <n v="211870.5882352941"/>
  </r>
  <r>
    <m/>
    <x v="1"/>
    <x v="12"/>
    <x v="28"/>
    <s v="LHMUTER590"/>
    <x v="180"/>
    <x v="177"/>
    <x v="0"/>
    <x v="2"/>
    <n v="1"/>
    <x v="12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500"/>
    <n v="0"/>
    <n v="441397.0588235294"/>
    <n v="50"/>
    <n v="0"/>
    <n v="50"/>
    <n v="0"/>
    <n v="0"/>
    <n v="500"/>
    <n v="0"/>
    <n v="181125"/>
    <n v="0"/>
    <n v="1811250"/>
    <n v="500"/>
    <n v="1811250"/>
    <n v="441397.0588235294"/>
    <n v="80"/>
    <n v="450"/>
    <n v="80"/>
    <n v="0"/>
    <n v="0"/>
    <n v="0"/>
    <m/>
    <n v="1630125"/>
    <n v="289799.9999999999"/>
    <n v="0"/>
    <n v="0"/>
    <n v="450"/>
    <n v="1630125"/>
    <n v="600299.9999999999"/>
    <n v="60"/>
    <n v="370"/>
    <n v="60"/>
    <n v="0"/>
    <n v="0"/>
    <n v="1340325"/>
    <n v="217350"/>
    <n v="0"/>
    <n v="0"/>
    <n v="370"/>
    <n v="1340325"/>
    <n v="472736.2499999999"/>
    <n v="100"/>
    <n v="310"/>
    <n v="100"/>
    <n v="0"/>
    <n v="0"/>
    <n v="1122975"/>
    <n v="362249.9999999999"/>
    <n v="0"/>
    <n v="310"/>
    <n v="1122975"/>
    <n v="882794.1176470588"/>
    <n v="36"/>
    <n v="210"/>
    <n v="36"/>
    <n v="0"/>
    <m/>
    <n v="760724.9999999999"/>
    <n v="126063"/>
    <n v="0"/>
    <n v="210"/>
    <n v="760724.9999999999"/>
    <n v="317805.8823529411"/>
  </r>
  <r>
    <m/>
    <x v="1"/>
    <x v="12"/>
    <x v="28"/>
    <s v="LHMUTER590"/>
    <x v="181"/>
    <x v="178"/>
    <x v="0"/>
    <x v="2"/>
    <n v="1"/>
    <x v="12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500"/>
    <n v="0"/>
    <n v="441397.0588235294"/>
    <n v="50"/>
    <n v="0"/>
    <n v="50"/>
    <n v="0"/>
    <n v="0"/>
    <n v="500"/>
    <n v="0"/>
    <n v="181125"/>
    <n v="0"/>
    <n v="1811250"/>
    <n v="500"/>
    <n v="1811250"/>
    <n v="441397.0588235294"/>
    <n v="80"/>
    <n v="450"/>
    <n v="80"/>
    <n v="0"/>
    <n v="0"/>
    <n v="0"/>
    <m/>
    <n v="1630125"/>
    <n v="289799.9999999999"/>
    <n v="0"/>
    <n v="0"/>
    <n v="450"/>
    <n v="1630125"/>
    <n v="600299.9999999999"/>
    <n v="60"/>
    <n v="370"/>
    <n v="60"/>
    <n v="0"/>
    <n v="0"/>
    <n v="1340325"/>
    <n v="217350"/>
    <n v="0"/>
    <n v="0"/>
    <n v="370"/>
    <n v="1340325"/>
    <n v="472736.2499999999"/>
    <n v="100"/>
    <n v="310"/>
    <n v="100"/>
    <n v="0"/>
    <n v="0"/>
    <n v="1122975"/>
    <n v="362249.9999999999"/>
    <n v="0"/>
    <n v="310"/>
    <n v="1122975"/>
    <n v="882794.1176470588"/>
    <n v="36"/>
    <n v="210"/>
    <n v="36"/>
    <n v="0"/>
    <m/>
    <n v="760724.9999999999"/>
    <n v="126063"/>
    <n v="0"/>
    <n v="210"/>
    <n v="760724.9999999999"/>
    <n v="317805.8823529411"/>
  </r>
  <r>
    <m/>
    <x v="1"/>
    <x v="12"/>
    <x v="28"/>
    <s v="LHMUTER590"/>
    <x v="182"/>
    <x v="179"/>
    <x v="0"/>
    <x v="2"/>
    <n v="1"/>
    <x v="12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500"/>
    <n v="0"/>
    <n v="264838.2352941176"/>
    <n v="30"/>
    <n v="0"/>
    <n v="30"/>
    <n v="0"/>
    <n v="0"/>
    <n v="500"/>
    <n v="0"/>
    <n v="108675"/>
    <n v="0"/>
    <n v="1811250"/>
    <n v="500"/>
    <n v="1811250"/>
    <n v="264838.2352941176"/>
    <n v="40"/>
    <n v="470"/>
    <n v="40"/>
    <n v="0"/>
    <n v="0"/>
    <n v="0"/>
    <m/>
    <n v="1702575"/>
    <n v="144900"/>
    <n v="0"/>
    <n v="0"/>
    <n v="470"/>
    <n v="1702575"/>
    <n v="300149.9999999999"/>
    <n v="40"/>
    <n v="430"/>
    <n v="40"/>
    <n v="0"/>
    <n v="0"/>
    <n v="1557675"/>
    <n v="144900"/>
    <n v="0"/>
    <n v="0"/>
    <n v="430"/>
    <n v="1557675"/>
    <n v="315157.4999999999"/>
    <n v="80"/>
    <n v="390"/>
    <n v="80"/>
    <n v="0"/>
    <n v="0"/>
    <n v="1412775"/>
    <n v="289799.9999999999"/>
    <n v="0"/>
    <n v="390"/>
    <n v="1412775"/>
    <n v="706235.294117647"/>
    <n v="24"/>
    <n v="310"/>
    <n v="24"/>
    <n v="0"/>
    <m/>
    <n v="1122975"/>
    <n v="84041.99999999999"/>
    <n v="0"/>
    <n v="310"/>
    <n v="1122975"/>
    <n v="211870.5882352941"/>
  </r>
  <r>
    <m/>
    <x v="1"/>
    <x v="12"/>
    <x v="28"/>
    <s v="LHMUTER590"/>
    <x v="183"/>
    <x v="180"/>
    <x v="0"/>
    <x v="2"/>
    <n v="1"/>
    <x v="12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500"/>
    <n v="0"/>
    <n v="264838.2352941176"/>
    <n v="30"/>
    <n v="0"/>
    <n v="30"/>
    <n v="0"/>
    <n v="0"/>
    <n v="500"/>
    <n v="0"/>
    <n v="108675"/>
    <n v="0"/>
    <n v="1811250"/>
    <n v="500"/>
    <n v="1811250"/>
    <n v="264838.2352941176"/>
    <n v="40"/>
    <n v="470"/>
    <n v="40"/>
    <n v="0"/>
    <n v="0"/>
    <n v="0"/>
    <m/>
    <n v="1702575"/>
    <n v="144900"/>
    <n v="0"/>
    <n v="0"/>
    <n v="470"/>
    <n v="1702575"/>
    <n v="300149.9999999999"/>
    <n v="40"/>
    <n v="430"/>
    <n v="40"/>
    <n v="0"/>
    <n v="0"/>
    <n v="1557675"/>
    <n v="144900"/>
    <n v="0"/>
    <n v="0"/>
    <n v="430"/>
    <n v="1557675"/>
    <n v="315157.4999999999"/>
    <n v="80"/>
    <n v="390"/>
    <n v="80"/>
    <n v="0"/>
    <n v="0"/>
    <n v="1412775"/>
    <n v="289799.9999999999"/>
    <n v="0"/>
    <n v="390"/>
    <n v="1412775"/>
    <n v="706235.294117647"/>
    <n v="24"/>
    <n v="310"/>
    <n v="24"/>
    <n v="0"/>
    <m/>
    <n v="1122975"/>
    <n v="84041.99999999999"/>
    <n v="0"/>
    <n v="310"/>
    <n v="1122975"/>
    <n v="211870.5882352941"/>
  </r>
  <r>
    <m/>
    <x v="1"/>
    <x v="12"/>
    <x v="28"/>
    <s v="LHMUTER590"/>
    <x v="184"/>
    <x v="181"/>
    <x v="0"/>
    <x v="2"/>
    <n v="1"/>
    <x v="12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500"/>
    <n v="0"/>
    <n v="264838.2352941176"/>
    <n v="30"/>
    <n v="0"/>
    <n v="30"/>
    <n v="0"/>
    <n v="0"/>
    <n v="500"/>
    <n v="0"/>
    <n v="108675"/>
    <n v="0"/>
    <n v="1811250"/>
    <n v="500"/>
    <n v="1811250"/>
    <n v="264838.2352941176"/>
    <n v="40"/>
    <n v="470"/>
    <n v="40"/>
    <n v="0"/>
    <n v="0"/>
    <n v="0"/>
    <m/>
    <n v="1702575"/>
    <n v="144900"/>
    <n v="0"/>
    <n v="0"/>
    <n v="470"/>
    <n v="1702575"/>
    <n v="300149.9999999999"/>
    <n v="40"/>
    <n v="430"/>
    <n v="40"/>
    <n v="0"/>
    <n v="0"/>
    <n v="1557675"/>
    <n v="144900"/>
    <n v="0"/>
    <n v="0"/>
    <n v="430"/>
    <n v="1557675"/>
    <n v="315157.4999999999"/>
    <n v="80"/>
    <n v="390"/>
    <n v="80"/>
    <n v="0"/>
    <n v="0"/>
    <n v="1412775"/>
    <n v="289799.9999999999"/>
    <n v="0"/>
    <n v="390"/>
    <n v="1412775"/>
    <n v="706235.294117647"/>
    <n v="24"/>
    <n v="310"/>
    <n v="24"/>
    <n v="0"/>
    <m/>
    <n v="1122975"/>
    <n v="84041.99999999999"/>
    <n v="0"/>
    <n v="310"/>
    <n v="1122975"/>
    <n v="211870.5882352941"/>
  </r>
  <r>
    <s v="Lhotse-Hidratación"/>
    <x v="1"/>
    <x v="12"/>
    <x v="29"/>
    <s v="LHTHCLA"/>
    <x v="185"/>
    <x v="182"/>
    <x v="0"/>
    <x v="4"/>
    <n v="1"/>
    <x v="138"/>
    <n v="314"/>
    <m/>
    <n v="0"/>
    <n v="7187"/>
    <n v="2256718"/>
    <n v="6.3"/>
    <n v="6882.749999999999"/>
    <n v="16798.31932773109"/>
    <n v="15117.64705882353"/>
    <s v="Shenzhen"/>
    <s v="30/70"/>
    <n v="30"/>
    <n v="100"/>
    <n v="2"/>
    <n v="0.5981714082041021"/>
    <n v="0"/>
    <s v=""/>
    <n v="5"/>
    <s v=""/>
    <n v="63"/>
    <n v="0.5760060898718677"/>
    <n v="19"/>
    <n v="0.5471246159512051"/>
    <n v="110"/>
    <n v="0.5371204589955214"/>
    <n v="48"/>
    <n v="0.4825717814801149"/>
    <n v="0"/>
    <n v="0.7688224862273089"/>
    <n v="12"/>
    <n v="0.5893159457413985"/>
    <n v="59"/>
    <n v="0.502227397666414"/>
    <n v="43"/>
    <n v="0.4711788087572337"/>
    <n v="75"/>
    <n v="0.5087318378977823"/>
    <n v="30"/>
    <s v=""/>
    <n v="59"/>
    <s v=""/>
    <n v="91"/>
    <s v=""/>
    <n v="47"/>
    <s v=""/>
    <n v="0.7230769230769231"/>
    <n v="65"/>
    <s v=""/>
    <n v="1.3"/>
    <n v="52"/>
    <s v=""/>
    <n v="0.3466666666666667"/>
    <n v="48"/>
    <s v=""/>
    <n v="0.4"/>
    <n v="50"/>
    <n v="232"/>
    <n v="50"/>
    <n v="0"/>
    <n v="0"/>
    <n v="0"/>
    <n v="1649416.5"/>
    <n v="1512756"/>
    <n v="359350"/>
    <n v="0"/>
    <n v="314"/>
    <n v="2256718"/>
    <n v="705811.7364592897"/>
    <n v="35"/>
    <n v="179"/>
    <n v="88.5"/>
    <n v="0"/>
    <n v="0"/>
    <n v="0"/>
    <n v="1627855.5"/>
    <n v="1167169.5"/>
    <n v="636049.5"/>
    <n v="0"/>
    <n v="314"/>
    <n v="2256718"/>
    <n v="1249286.773532943"/>
    <n v="60"/>
    <n v="147"/>
    <n v="91"/>
    <n v="0"/>
    <n v="0"/>
    <n v="1317831"/>
    <n v="1056489"/>
    <n v="654017"/>
    <n v="0"/>
    <n v="314"/>
    <n v="2256718"/>
    <n v="1528647.058823529"/>
    <n v="65"/>
    <n v="335"/>
    <n v="47"/>
    <n v="200"/>
    <n v="0"/>
    <n v="2184367.5"/>
    <n v="337789"/>
    <n v="1304100"/>
    <n v="0"/>
    <n v="314"/>
    <n v="2256718"/>
    <n v="789521.0084033613"/>
    <n v="50"/>
    <n v="379"/>
    <n v="50"/>
    <m/>
    <n v="0"/>
    <n v="0"/>
    <n v="2723873"/>
    <n v="326024.9999999999"/>
    <n v="0"/>
    <n v="0"/>
    <n v="314"/>
    <n v="2256718"/>
    <n v="839915.9663865546"/>
    <n v="150"/>
    <n v="366"/>
    <n v="52"/>
    <m/>
    <n v="0"/>
    <n v="0"/>
    <n v="2630442"/>
    <n v="339065.9999999999"/>
    <n v="0"/>
    <n v="0"/>
    <n v="366"/>
    <n v="2256718"/>
    <n v="873512.6050420168"/>
    <n v="120"/>
    <n v="362"/>
    <n v="120"/>
    <n v="200"/>
    <n v="200"/>
    <n v="0"/>
    <n v="2601694"/>
    <n v="782459.9999999999"/>
    <n v="1260630"/>
    <n v="0"/>
    <n v="362"/>
    <n v="2256718"/>
    <n v="2015798.319327731"/>
    <n v="50"/>
    <n v="242"/>
    <n v="50"/>
    <n v="200"/>
    <n v="200"/>
    <n v="0"/>
    <n v="1739254"/>
    <n v="326024.9999999999"/>
    <n v="1304100"/>
    <n v="0"/>
    <n v="442"/>
    <n v="1739254"/>
    <n v="839915.9663865546"/>
    <n v="48"/>
    <n v="192"/>
    <n v="48"/>
    <n v="0"/>
    <n v="0"/>
    <n v="200"/>
    <n v="1251936"/>
    <n v="312983.9999999999"/>
    <n v="0"/>
    <n v="1304100"/>
    <n v="392"/>
    <n v="2556036"/>
    <n v="806319.3277310925"/>
    <n v="100"/>
    <n v="344"/>
    <n v="100"/>
    <n v="0"/>
    <n v="0"/>
    <n v="0"/>
    <m/>
    <n v="2243052"/>
    <n v="652049.9999999999"/>
    <n v="0"/>
    <n v="0"/>
    <n v="344"/>
    <n v="2243052"/>
    <n v="1511764.705882353"/>
    <n v="80"/>
    <n v="244"/>
    <n v="80"/>
    <n v="0"/>
    <n v="0"/>
    <n v="1591002"/>
    <n v="521639.9999999999"/>
    <n v="0"/>
    <n v="0"/>
    <n v="244"/>
    <n v="1591002"/>
    <n v="1269882.352941177"/>
    <n v="100"/>
    <n v="164"/>
    <n v="100"/>
    <n v="0"/>
    <n v="0"/>
    <n v="1069362"/>
    <n v="652049.9999999999"/>
    <n v="0"/>
    <n v="164"/>
    <n v="1069362"/>
    <n v="1679831.932773109"/>
    <n v="48"/>
    <n v="64"/>
    <n v="48"/>
    <n v="0"/>
    <m/>
    <n v="417311.9999999999"/>
    <n v="344976"/>
    <n v="0"/>
    <n v="64"/>
    <n v="417311.9999999999"/>
    <n v="806319.3277310925"/>
  </r>
  <r>
    <s v="Lhotse-Hidratación"/>
    <x v="1"/>
    <x v="12"/>
    <x v="29"/>
    <s v="LHTHCLA"/>
    <x v="186"/>
    <x v="183"/>
    <x v="0"/>
    <x v="4"/>
    <n v="1"/>
    <x v="139"/>
    <n v="182"/>
    <m/>
    <n v="0"/>
    <n v="7339"/>
    <n v="1335698"/>
    <n v="6.3"/>
    <n v="6882.749999999999"/>
    <n v="16798.31932773109"/>
    <n v="15117.64705882353"/>
    <s v="Shenzhen"/>
    <s v="30/70"/>
    <n v="30"/>
    <n v="100"/>
    <n v="1"/>
    <n v="0.580496004408928"/>
    <n v="0"/>
    <n v="0.5685108553936851"/>
    <n v="1"/>
    <n v="0.5417535388278872"/>
    <n v="28"/>
    <n v="0.5741945199080504"/>
    <n v="34"/>
    <n v="0.542616499924778"/>
    <n v="107"/>
    <n v="0.564934451693072"/>
    <n v="31"/>
    <n v="0.4853870182339196"/>
    <n v="4"/>
    <n v="0.6078075453516644"/>
    <n v="5"/>
    <n v="0.613098023397448"/>
    <n v="30"/>
    <n v="0.5135665468072456"/>
    <n v="16"/>
    <n v="0.546600437155103"/>
    <n v="32"/>
    <n v="0.5274690562515059"/>
    <n v="60"/>
    <s v=""/>
    <n v="20"/>
    <s v=""/>
    <n v="15"/>
    <s v=""/>
    <n v="27"/>
    <s v=""/>
    <n v="0.7714285714285715"/>
    <n v="31"/>
    <s v=""/>
    <n v="0.8857142857142857"/>
    <n v="55"/>
    <s v=""/>
    <n v="0.5"/>
    <n v="21"/>
    <s v=""/>
    <n v="0.1909090909090909"/>
    <n v="20"/>
    <n v="223"/>
    <n v="20"/>
    <n v="0"/>
    <n v="0"/>
    <n v="0"/>
    <n v="477035"/>
    <n v="1454071.5"/>
    <n v="146780"/>
    <n v="0"/>
    <n v="182"/>
    <n v="1335698"/>
    <n v="282324.6945837159"/>
    <n v="60"/>
    <n v="154"/>
    <n v="30"/>
    <n v="0"/>
    <n v="0"/>
    <n v="0"/>
    <n v="528408"/>
    <n v="1004157"/>
    <n v="220170"/>
    <n v="0"/>
    <n v="182"/>
    <n v="1335698"/>
    <n v="423487.0418755738"/>
    <n v="28"/>
    <n v="141"/>
    <n v="15"/>
    <n v="0"/>
    <n v="0"/>
    <n v="536455.5"/>
    <n v="1034799"/>
    <n v="110085"/>
    <n v="0"/>
    <n v="182"/>
    <n v="1335698"/>
    <n v="251974.7899159664"/>
    <n v="35"/>
    <n v="111"/>
    <n v="27"/>
    <n v="0"/>
    <n v="0"/>
    <n v="723775.4999999999"/>
    <n v="198153"/>
    <n v="0"/>
    <n v="0"/>
    <n v="182"/>
    <n v="1335698"/>
    <n v="453554.6218487395"/>
    <n v="35"/>
    <n v="213"/>
    <n v="35"/>
    <m/>
    <n v="0"/>
    <n v="0"/>
    <n v="1563207"/>
    <n v="228217.5"/>
    <n v="0"/>
    <n v="0"/>
    <n v="182"/>
    <n v="1335698"/>
    <n v="587941.1764705882"/>
    <n v="110"/>
    <n v="237"/>
    <n v="55"/>
    <m/>
    <n v="0"/>
    <n v="0"/>
    <n v="1739343"/>
    <n v="358627.4999999999"/>
    <n v="0"/>
    <n v="0"/>
    <n v="237"/>
    <n v="1335698"/>
    <n v="923907.5630252101"/>
    <n v="110"/>
    <n v="203"/>
    <n v="110"/>
    <n v="200"/>
    <n v="200"/>
    <n v="0"/>
    <n v="1489817"/>
    <n v="717254.9999999999"/>
    <n v="1260630"/>
    <n v="0"/>
    <n v="203"/>
    <n v="1335698"/>
    <n v="1847815.12605042"/>
    <n v="35"/>
    <n v="93"/>
    <n v="35"/>
    <n v="100"/>
    <n v="100"/>
    <n v="0"/>
    <n v="682527"/>
    <n v="228217.5"/>
    <n v="652049.9999999999"/>
    <n v="0"/>
    <n v="193"/>
    <n v="682527"/>
    <n v="587941.1764705882"/>
    <n v="34"/>
    <n v="58"/>
    <n v="34"/>
    <n v="0"/>
    <n v="0"/>
    <n v="100"/>
    <n v="378188.9999999999"/>
    <n v="221697"/>
    <n v="0"/>
    <n v="652049.9999999999"/>
    <n v="158"/>
    <n v="1030239"/>
    <n v="571142.8571428572"/>
    <n v="80"/>
    <n v="124"/>
    <n v="80"/>
    <n v="100"/>
    <n v="100"/>
    <n v="100"/>
    <n v="0"/>
    <n v="808541.9999999999"/>
    <n v="521639.9999999999"/>
    <n v="652049.9999999999"/>
    <n v="652049.9999999999"/>
    <n v="224"/>
    <n v="1460592"/>
    <n v="1209411.764705882"/>
    <n v="60"/>
    <n v="144"/>
    <n v="60"/>
    <n v="0"/>
    <n v="0"/>
    <n v="938951.9999999999"/>
    <n v="391229.9999999999"/>
    <n v="0"/>
    <n v="0"/>
    <n v="144"/>
    <n v="938951.9999999999"/>
    <n v="952411.7647058824"/>
    <n v="80"/>
    <n v="84"/>
    <n v="80"/>
    <n v="0"/>
    <n v="0"/>
    <n v="547721.9999999999"/>
    <n v="521639.9999999999"/>
    <n v="0"/>
    <n v="84"/>
    <n v="547721.9999999999"/>
    <n v="1343865.546218487"/>
    <n v="36"/>
    <n v="4"/>
    <n v="36"/>
    <n v="0"/>
    <m/>
    <n v="26082"/>
    <n v="264204"/>
    <n v="0"/>
    <n v="4"/>
    <n v="26082"/>
    <n v="604739.4957983193"/>
  </r>
  <r>
    <s v="Lhotse-Hidratación"/>
    <x v="1"/>
    <x v="12"/>
    <x v="29"/>
    <s v="LHTHCLA"/>
    <x v="187"/>
    <x v="184"/>
    <x v="0"/>
    <x v="4"/>
    <n v="1"/>
    <x v="140"/>
    <n v="217"/>
    <m/>
    <n v="0"/>
    <n v="7179"/>
    <n v="1557843"/>
    <n v="6.3"/>
    <n v="6882.749999999999"/>
    <n v="16798.31932773109"/>
    <n v="15117.64705882353"/>
    <s v="Shenzhen"/>
    <s v="30/70"/>
    <n v="30"/>
    <n v="100"/>
    <n v="42"/>
    <n v="0.563799740603786"/>
    <n v="35"/>
    <n v="0.5353558600720133"/>
    <n v="22"/>
    <n v="0.5688779903295098"/>
    <n v="60"/>
    <n v="0.5725581182360753"/>
    <n v="27"/>
    <n v="0.5285517575561792"/>
    <n v="33"/>
    <n v="0.529971150428589"/>
    <n v="53"/>
    <n v="0.4904087754446957"/>
    <n v="9"/>
    <n v="0.5439614783793032"/>
    <n v="6"/>
    <n v="0.6320700739835773"/>
    <n v="24"/>
    <n v="0.5671722209404417"/>
    <n v="17"/>
    <n v="0.5850917870510578"/>
    <n v="64"/>
    <n v="0.3954113277239175"/>
    <n v="32"/>
    <s v=""/>
    <n v="29"/>
    <s v=""/>
    <n v="36"/>
    <s v=""/>
    <n v="40"/>
    <s v=""/>
    <n v="0.6666666666666666"/>
    <n v="51"/>
    <s v=""/>
    <n v="1.7"/>
    <n v="21"/>
    <s v=""/>
    <n v="0.35"/>
    <n v="22"/>
    <s v=""/>
    <n v="0.22"/>
    <n v="50"/>
    <n v="344"/>
    <n v="50"/>
    <n v="0"/>
    <n v="0"/>
    <n v="0"/>
    <n v="929680.5"/>
    <n v="2243052"/>
    <n v="358950"/>
    <n v="0"/>
    <n v="217"/>
    <n v="1557843"/>
    <n v="705811.7364592897"/>
    <n v="25"/>
    <n v="321"/>
    <n v="43.5"/>
    <n v="0"/>
    <n v="0"/>
    <n v="0"/>
    <n v="857890.5"/>
    <n v="2093080.5"/>
    <n v="312286.5"/>
    <n v="0"/>
    <n v="217"/>
    <n v="1557843"/>
    <n v="614056.210719582"/>
    <n v="50"/>
    <n v="309"/>
    <n v="36"/>
    <n v="0"/>
    <n v="0"/>
    <n v="741219"/>
    <n v="2218311"/>
    <n v="258444"/>
    <n v="0"/>
    <n v="217"/>
    <n v="1557843"/>
    <n v="604739.4957983193"/>
    <n v="60"/>
    <n v="254"/>
    <n v="40"/>
    <n v="0"/>
    <n v="0"/>
    <n v="1656207"/>
    <n v="287160"/>
    <n v="0"/>
    <n v="0"/>
    <n v="217"/>
    <n v="1557843"/>
    <n v="671932.7731092437"/>
    <n v="30"/>
    <n v="268"/>
    <n v="30"/>
    <m/>
    <n v="0"/>
    <n v="0"/>
    <n v="1923972"/>
    <n v="195615"/>
    <n v="0"/>
    <n v="0"/>
    <n v="217"/>
    <n v="1557843"/>
    <n v="503949.5798319328"/>
    <n v="60"/>
    <n v="238"/>
    <n v="21"/>
    <m/>
    <n v="0"/>
    <n v="0"/>
    <n v="1708602"/>
    <n v="136930.5"/>
    <n v="0"/>
    <n v="0"/>
    <n v="238"/>
    <n v="1557843"/>
    <n v="352764.705882353"/>
    <n v="100"/>
    <n v="239"/>
    <n v="100"/>
    <n v="0"/>
    <n v="0"/>
    <n v="0"/>
    <n v="1715781"/>
    <n v="652049.9999999999"/>
    <n v="0"/>
    <n v="0"/>
    <n v="239"/>
    <n v="1557843"/>
    <n v="1679831.932773109"/>
    <n v="50"/>
    <n v="139"/>
    <n v="50"/>
    <n v="100"/>
    <n v="100"/>
    <n v="0"/>
    <n v="997881"/>
    <n v="326024.9999999999"/>
    <n v="652049.9999999999"/>
    <n v="0"/>
    <n v="239"/>
    <n v="997881"/>
    <n v="839915.9663865546"/>
    <n v="45"/>
    <n v="89"/>
    <n v="45"/>
    <n v="0"/>
    <n v="0"/>
    <n v="100"/>
    <n v="580324.4999999999"/>
    <n v="293422.4999999999"/>
    <n v="0"/>
    <n v="652049.9999999999"/>
    <n v="189"/>
    <n v="1232374.5"/>
    <n v="755924.3697478992"/>
    <n v="60"/>
    <n v="144"/>
    <n v="60"/>
    <n v="0"/>
    <n v="0"/>
    <n v="0"/>
    <m/>
    <n v="938951.9999999999"/>
    <n v="391229.9999999999"/>
    <n v="0"/>
    <n v="0"/>
    <n v="144"/>
    <n v="938951.9999999999"/>
    <n v="907058.8235294118"/>
    <n v="50"/>
    <n v="84"/>
    <n v="50"/>
    <n v="0"/>
    <n v="0"/>
    <n v="547721.9999999999"/>
    <n v="326024.9999999999"/>
    <n v="0"/>
    <n v="0"/>
    <n v="84"/>
    <n v="547721.9999999999"/>
    <n v="793676.4705882354"/>
    <n v="70"/>
    <n v="34"/>
    <n v="70"/>
    <n v="0"/>
    <n v="0"/>
    <n v="221697"/>
    <n v="456434.9999999999"/>
    <n v="0"/>
    <n v="34"/>
    <n v="221697"/>
    <n v="1175882.352941176"/>
    <n v="30"/>
    <n v="0"/>
    <n v="30"/>
    <n v="0"/>
    <m/>
    <n v="0"/>
    <n v="215370"/>
    <n v="0"/>
    <n v="0"/>
    <n v="0"/>
    <n v="503949.5798319328"/>
  </r>
  <r>
    <s v="Lhotse-Hidratación"/>
    <x v="1"/>
    <x v="12"/>
    <x v="29"/>
    <s v="LHTHCLA"/>
    <x v="188"/>
    <x v="185"/>
    <x v="0"/>
    <x v="4"/>
    <n v="0.6"/>
    <x v="141"/>
    <n v="341"/>
    <m/>
    <n v="0"/>
    <n v="7194"/>
    <n v="2453154"/>
    <n v="6.3"/>
    <n v="6882.749999999999"/>
    <n v="16798.31932773109"/>
    <n v="15117.64705882353"/>
    <s v="Shenzhen"/>
    <s v="30/70"/>
    <n v="30"/>
    <n v="100"/>
    <n v="1"/>
    <n v="0.5661507322300274"/>
    <n v="0"/>
    <s v=""/>
    <n v="6"/>
    <n v="0.5433939674560126"/>
    <n v="35"/>
    <n v="0.5806826465156963"/>
    <n v="54"/>
    <n v="0.5297488744831789"/>
    <n v="76"/>
    <n v="0.53706982765153"/>
    <n v="37"/>
    <n v="0.4809199608498673"/>
    <n v="1"/>
    <n v="0.3723718606414774"/>
    <n v="4"/>
    <n v="0.5739602772458439"/>
    <n v="16"/>
    <n v="0.4901804269890426"/>
    <n v="8"/>
    <n v="0.5599528330687509"/>
    <n v="59"/>
    <n v="0.4003130859882676"/>
    <n v="17"/>
    <s v=""/>
    <n v="21"/>
    <s v=""/>
    <n v="10"/>
    <s v=""/>
    <n v="12"/>
    <s v=""/>
    <n v="0.2"/>
    <n v="19"/>
    <s v=""/>
    <n v="0.3518518518518519"/>
    <n v="8"/>
    <s v=""/>
    <n v="0.1"/>
    <n v="12"/>
    <s v=""/>
    <n v="0.12"/>
    <n v="45"/>
    <n v="316"/>
    <n v="45"/>
    <n v="0"/>
    <n v="0"/>
    <n v="0"/>
    <n v="622281"/>
    <n v="2060478"/>
    <n v="323730"/>
    <n v="0"/>
    <n v="341"/>
    <n v="2453154"/>
    <n v="635230.5628133607"/>
    <n v="35"/>
    <n v="305"/>
    <n v="31.5"/>
    <n v="0"/>
    <n v="0"/>
    <n v="0"/>
    <n v="384879"/>
    <n v="1988752.5"/>
    <n v="226611"/>
    <n v="0"/>
    <n v="341"/>
    <n v="2453154"/>
    <n v="444661.3939693525"/>
    <n v="35"/>
    <n v="297"/>
    <n v="10"/>
    <n v="0"/>
    <n v="0"/>
    <n v="369532.2"/>
    <n v="2136618"/>
    <n v="71940"/>
    <n v="0"/>
    <n v="341"/>
    <n v="2453154"/>
    <n v="167983.1932773109"/>
    <n v="60"/>
    <n v="275"/>
    <n v="12"/>
    <n v="100"/>
    <n v="0"/>
    <n v="1793137.5"/>
    <n v="86328"/>
    <n v="652049.9999999999"/>
    <n v="0"/>
    <n v="341"/>
    <n v="2453154"/>
    <n v="201579.8319327731"/>
    <n v="54"/>
    <n v="360"/>
    <n v="32.4"/>
    <m/>
    <n v="0"/>
    <n v="0"/>
    <n v="2589840"/>
    <n v="211264.2"/>
    <n v="0"/>
    <n v="0"/>
    <n v="341"/>
    <n v="2453154"/>
    <n v="544265.5462184874"/>
    <n v="80"/>
    <n v="349"/>
    <n v="8"/>
    <m/>
    <n v="0"/>
    <n v="0"/>
    <n v="2510706"/>
    <n v="52163.99999999999"/>
    <n v="0"/>
    <n v="0"/>
    <n v="349"/>
    <n v="2453154"/>
    <n v="134386.5546218487"/>
    <n v="100"/>
    <n v="353"/>
    <n v="60"/>
    <n v="200"/>
    <n v="200"/>
    <n v="0"/>
    <n v="2539482"/>
    <n v="391229.9999999999"/>
    <n v="1260630"/>
    <n v="0"/>
    <n v="353"/>
    <n v="2453154"/>
    <n v="1007899.159663866"/>
    <n v="45"/>
    <n v="293"/>
    <n v="27"/>
    <n v="0"/>
    <n v="0"/>
    <n v="0"/>
    <n v="2107842"/>
    <n v="176053.5"/>
    <n v="0"/>
    <n v="0"/>
    <n v="293"/>
    <n v="2107842"/>
    <n v="453554.6218487395"/>
    <n v="30"/>
    <n v="266"/>
    <n v="18"/>
    <n v="0"/>
    <n v="0"/>
    <m/>
    <n v="1734453"/>
    <n v="117369"/>
    <n v="0"/>
    <n v="0"/>
    <n v="266"/>
    <n v="1734453"/>
    <n v="302369.7478991597"/>
    <n v="60"/>
    <n v="248"/>
    <n v="36"/>
    <n v="0"/>
    <n v="0"/>
    <n v="0"/>
    <m/>
    <n v="1617084"/>
    <n v="234738"/>
    <n v="0"/>
    <n v="0"/>
    <n v="248"/>
    <n v="1617084"/>
    <n v="544235.2941176471"/>
    <n v="50"/>
    <n v="212"/>
    <n v="30"/>
    <n v="0"/>
    <n v="0"/>
    <n v="1382346"/>
    <n v="195615"/>
    <n v="0"/>
    <n v="0"/>
    <n v="212"/>
    <n v="1382346"/>
    <n v="476205.8823529412"/>
    <n v="70"/>
    <n v="182"/>
    <n v="42"/>
    <n v="0"/>
    <n v="0"/>
    <n v="1186731"/>
    <n v="273860.9999999999"/>
    <n v="0"/>
    <n v="182"/>
    <n v="1186731"/>
    <n v="705529.4117647059"/>
    <n v="30"/>
    <n v="140"/>
    <n v="18"/>
    <n v="0"/>
    <m/>
    <n v="912869.9999999999"/>
    <n v="129492"/>
    <n v="0"/>
    <n v="140"/>
    <n v="912869.9999999999"/>
    <n v="302369.7478991597"/>
  </r>
  <r>
    <s v="Lhotse-Hidratación"/>
    <x v="1"/>
    <x v="12"/>
    <x v="30"/>
    <s v="LHVACAM"/>
    <x v="189"/>
    <x v="186"/>
    <x v="0"/>
    <x v="6"/>
    <n v="1"/>
    <x v="12"/>
    <n v="0"/>
    <m/>
    <n v="0"/>
    <n v="2867"/>
    <n v="0"/>
    <n v="2.4"/>
    <n v="2622"/>
    <n v="7554.621848739496"/>
    <n v="6714.285714285715"/>
    <s v="Shenzhen"/>
    <s v="30/70"/>
    <n v="30"/>
    <n v="500"/>
    <n v="5"/>
    <n v="0.6458396126195124"/>
    <n v="4"/>
    <n v="0.5981339887767004"/>
    <n v="17"/>
    <n v="0.4374103096886038"/>
    <n v="12"/>
    <n v="0.4329464506452623"/>
    <n v="5"/>
    <n v="0.5096511031298101"/>
    <n v="29"/>
    <n v="0.4438735163121731"/>
    <n v="32"/>
    <n v="0.3510867496448239"/>
    <n v="16"/>
    <n v="0.4660934681755828"/>
    <n v="15"/>
    <n v="0.2774757832432975"/>
    <n v="0"/>
    <s v=""/>
    <n v="7"/>
    <n v="0.4852776108645969"/>
    <n v="2"/>
    <n v="0.6204972191323693"/>
    <n v="1"/>
    <s v=""/>
    <n v="0"/>
    <s v=""/>
    <n v="0"/>
    <s v=""/>
    <n v="0"/>
    <s v=""/>
    <n v="0"/>
    <n v="1"/>
    <s v=""/>
    <n v="0"/>
    <n v="1"/>
    <s v=""/>
    <n v="0"/>
    <n v="0"/>
    <s v=""/>
    <n v="0"/>
    <n v="0"/>
    <n v="2"/>
    <n v="0"/>
    <n v="0"/>
    <n v="0"/>
    <n v="0"/>
    <n v="0"/>
    <n v="4968"/>
    <n v="0"/>
    <n v="0"/>
    <n v="0"/>
    <n v="0"/>
    <n v="0"/>
    <n v="0"/>
    <n v="1"/>
    <n v="0"/>
    <n v="0"/>
    <n v="0"/>
    <n v="0"/>
    <n v="0"/>
    <n v="2484"/>
    <n v="0"/>
    <n v="0"/>
    <n v="0"/>
    <n v="0"/>
    <n v="0"/>
    <n v="0"/>
    <n v="1"/>
    <n v="0"/>
    <n v="0"/>
    <n v="0"/>
    <n v="0"/>
    <n v="2867"/>
    <n v="0"/>
    <n v="0"/>
    <n v="0"/>
    <n v="0"/>
    <n v="0"/>
    <n v="12"/>
    <n v="3"/>
    <n v="0"/>
    <n v="0"/>
    <n v="0"/>
    <n v="7452"/>
    <n v="0"/>
    <n v="0"/>
    <n v="0"/>
    <n v="0"/>
    <n v="0"/>
    <n v="0"/>
    <n v="0"/>
    <n v="1"/>
    <n v="0"/>
    <m/>
    <n v="0"/>
    <n v="0"/>
    <n v="2867"/>
    <n v="0"/>
    <n v="0"/>
    <n v="0"/>
    <n v="0"/>
    <n v="0"/>
    <n v="0"/>
    <n v="0"/>
    <n v="1"/>
    <n v="1"/>
    <m/>
    <n v="0"/>
    <n v="0"/>
    <n v="2867"/>
    <n v="2484"/>
    <n v="0"/>
    <n v="0"/>
    <n v="1"/>
    <n v="0"/>
    <n v="7554.6218487394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Hidratación"/>
    <x v="1"/>
    <x v="12"/>
    <x v="30"/>
    <s v="LHVACAM"/>
    <x v="190"/>
    <x v="187"/>
    <x v="0"/>
    <x v="6"/>
    <n v="1"/>
    <x v="12"/>
    <n v="29"/>
    <m/>
    <n v="0"/>
    <n v="2872"/>
    <n v="83288"/>
    <n v="2.4"/>
    <n v="2622"/>
    <n v="7554.621848739496"/>
    <n v="6714.285714285715"/>
    <s v="Shenzhen"/>
    <s v="30/70"/>
    <n v="30"/>
    <n v="500"/>
    <n v="2"/>
    <n v="0.5470499171989591"/>
    <n v="2"/>
    <n v="0.5722475424486149"/>
    <n v="12"/>
    <n v="0.4711369077130108"/>
    <n v="4"/>
    <n v="0.5902364901016586"/>
    <n v="2"/>
    <n v="0.5777401489903939"/>
    <n v="4"/>
    <n v="0.4294795391338895"/>
    <n v="23"/>
    <n v="0.3397664097873999"/>
    <n v="8"/>
    <n v="0.4522875941642033"/>
    <n v="10"/>
    <n v="0.4729334989671023"/>
    <n v="4"/>
    <n v="0.4453056494447127"/>
    <n v="2"/>
    <n v="0.4734140080674734"/>
    <n v="4"/>
    <n v="0.5225667026847312"/>
    <n v="8"/>
    <s v=""/>
    <n v="6"/>
    <s v=""/>
    <n v="2"/>
    <s v=""/>
    <n v="1"/>
    <s v=""/>
    <n v="0.2"/>
    <n v="9"/>
    <s v=""/>
    <n v="4.5"/>
    <n v="7"/>
    <s v=""/>
    <n v="0.5384615384615384"/>
    <n v="2"/>
    <s v=""/>
    <n v="0.08695652173913043"/>
    <n v="3"/>
    <n v="96"/>
    <n v="3"/>
    <n v="0"/>
    <n v="0"/>
    <n v="0"/>
    <n v="40208"/>
    <n v="238464"/>
    <n v="8616"/>
    <n v="0"/>
    <n v="29"/>
    <n v="83288"/>
    <n v="19045.26516488949"/>
    <n v="3"/>
    <n v="54"/>
    <n v="9"/>
    <n v="0"/>
    <n v="0"/>
    <n v="0"/>
    <n v="34464"/>
    <n v="134136"/>
    <n v="25848"/>
    <n v="0"/>
    <n v="29"/>
    <n v="83288"/>
    <n v="57135.79549466846"/>
    <n v="12"/>
    <n v="49"/>
    <n v="2"/>
    <n v="0"/>
    <n v="0"/>
    <n v="13584"/>
    <n v="140728"/>
    <n v="5744"/>
    <n v="0"/>
    <n v="29"/>
    <n v="83288"/>
    <n v="15109.24369747899"/>
    <n v="5"/>
    <n v="46"/>
    <n v="1"/>
    <n v="0"/>
    <n v="0"/>
    <n v="114264"/>
    <n v="2872"/>
    <n v="0"/>
    <n v="0"/>
    <n v="29"/>
    <n v="83288"/>
    <n v="7554.621848739496"/>
    <n v="2"/>
    <n v="38"/>
    <n v="2"/>
    <m/>
    <n v="0"/>
    <n v="0"/>
    <n v="109136"/>
    <n v="4968"/>
    <n v="0"/>
    <n v="0"/>
    <n v="29"/>
    <n v="83288"/>
    <n v="15109.24369747899"/>
    <n v="13"/>
    <n v="36"/>
    <n v="7"/>
    <m/>
    <n v="0"/>
    <n v="0"/>
    <n v="103392"/>
    <n v="17388"/>
    <n v="0"/>
    <n v="0"/>
    <n v="36"/>
    <n v="83288"/>
    <n v="52882.35294117648"/>
    <n v="23"/>
    <n v="31"/>
    <n v="23"/>
    <n v="0"/>
    <n v="0"/>
    <n v="0"/>
    <n v="89032"/>
    <n v="57132"/>
    <n v="0"/>
    <n v="0"/>
    <n v="31"/>
    <n v="83288"/>
    <n v="173756.3025210084"/>
    <n v="5"/>
    <n v="8"/>
    <n v="5"/>
    <n v="0"/>
    <n v="0"/>
    <n v="0"/>
    <n v="22976"/>
    <n v="12420"/>
    <n v="0"/>
    <n v="0"/>
    <n v="8"/>
    <n v="22976"/>
    <n v="37773.10924369748"/>
    <n v="0"/>
    <n v="3"/>
    <n v="0"/>
    <n v="0"/>
    <n v="0"/>
    <m/>
    <n v="7452"/>
    <n v="0"/>
    <n v="0"/>
    <n v="0"/>
    <n v="3"/>
    <n v="7452"/>
    <n v="0"/>
    <n v="0"/>
    <n v="3"/>
    <n v="0"/>
    <n v="0"/>
    <n v="0"/>
    <n v="0"/>
    <m/>
    <n v="7452"/>
    <n v="0"/>
    <n v="0"/>
    <n v="0"/>
    <n v="3"/>
    <n v="7452"/>
    <n v="0"/>
    <n v="0"/>
    <n v="3"/>
    <n v="0"/>
    <n v="0"/>
    <n v="0"/>
    <n v="7452"/>
    <n v="0"/>
    <n v="0"/>
    <n v="0"/>
    <n v="3"/>
    <n v="7452"/>
    <n v="0"/>
    <n v="0"/>
    <n v="3"/>
    <n v="0"/>
    <n v="0"/>
    <n v="0"/>
    <n v="7452"/>
    <n v="0"/>
    <n v="0"/>
    <n v="3"/>
    <n v="7452"/>
    <n v="0"/>
    <n v="0"/>
    <n v="3"/>
    <n v="0"/>
    <n v="0"/>
    <m/>
    <n v="7452"/>
    <n v="0"/>
    <n v="0"/>
    <n v="3"/>
    <n v="7452"/>
    <n v="0"/>
  </r>
  <r>
    <s v="Lhotse-Hidratación"/>
    <x v="1"/>
    <x v="12"/>
    <x v="30"/>
    <s v="LHVACAM"/>
    <x v="191"/>
    <x v="188"/>
    <x v="0"/>
    <x v="6"/>
    <n v="1"/>
    <x v="12"/>
    <n v="3"/>
    <m/>
    <n v="0"/>
    <n v="2849"/>
    <n v="8547"/>
    <n v="2.4"/>
    <n v="2622"/>
    <n v="7554.621848739496"/>
    <n v="6714.285714285715"/>
    <s v="Shenzhen"/>
    <s v="30/70"/>
    <n v="30"/>
    <n v="500"/>
    <n v="5"/>
    <n v="0.6708991372638941"/>
    <n v="1"/>
    <n v="0.5724605302353292"/>
    <n v="10"/>
    <n v="0.4779787392332236"/>
    <n v="8"/>
    <n v="0.4203059524410562"/>
    <n v="8"/>
    <n v="0.5275985781054572"/>
    <n v="3"/>
    <s v=""/>
    <n v="28"/>
    <n v="0.349440694154404"/>
    <n v="4"/>
    <s v=""/>
    <n v="8"/>
    <n v="0.3583314979033833"/>
    <n v="6"/>
    <n v="0.3987852131113205"/>
    <n v="80"/>
    <n v="0.4571671709531014"/>
    <n v="14"/>
    <n v="0.5110100002433149"/>
    <n v="0"/>
    <s v=""/>
    <n v="2"/>
    <s v=""/>
    <n v="0"/>
    <s v=""/>
    <n v="0"/>
    <s v=""/>
    <n v="0"/>
    <n v="0"/>
    <s v=""/>
    <n v="0"/>
    <n v="0"/>
    <s v=""/>
    <n v="0"/>
    <n v="0"/>
    <s v=""/>
    <n v="0"/>
    <n v="0"/>
    <n v="2"/>
    <n v="0"/>
    <n v="0"/>
    <n v="0"/>
    <n v="0"/>
    <n v="8547"/>
    <n v="4968"/>
    <n v="0"/>
    <n v="0"/>
    <n v="3"/>
    <n v="8547"/>
    <n v="0"/>
    <n v="0"/>
    <n v="4"/>
    <n v="3"/>
    <n v="0"/>
    <n v="0"/>
    <n v="0"/>
    <n v="8547"/>
    <n v="9936"/>
    <n v="8547"/>
    <n v="0"/>
    <n v="3"/>
    <n v="8547"/>
    <n v="19045.26516488949"/>
    <n v="10"/>
    <n v="2"/>
    <n v="0"/>
    <n v="0"/>
    <n v="0"/>
    <n v="0"/>
    <n v="5698"/>
    <n v="0"/>
    <n v="0"/>
    <n v="3"/>
    <n v="8547"/>
    <n v="0"/>
    <n v="5"/>
    <n v="2"/>
    <n v="0"/>
    <n v="0"/>
    <n v="0"/>
    <n v="4968"/>
    <n v="0"/>
    <n v="0"/>
    <n v="0"/>
    <n v="3"/>
    <n v="8547"/>
    <n v="0"/>
    <n v="0"/>
    <n v="3"/>
    <n v="0"/>
    <m/>
    <n v="0"/>
    <n v="0"/>
    <n v="8547"/>
    <n v="0"/>
    <n v="0"/>
    <n v="0"/>
    <n v="3"/>
    <n v="8547"/>
    <n v="0"/>
    <n v="0"/>
    <n v="3"/>
    <n v="0"/>
    <m/>
    <n v="0"/>
    <n v="0"/>
    <n v="8547"/>
    <n v="0"/>
    <n v="0"/>
    <n v="0"/>
    <n v="3"/>
    <n v="8547"/>
    <n v="0"/>
    <n v="0"/>
    <n v="3"/>
    <n v="0"/>
    <n v="0"/>
    <n v="0"/>
    <n v="0"/>
    <n v="8547"/>
    <n v="0"/>
    <n v="0"/>
    <n v="0"/>
    <n v="3"/>
    <n v="8547"/>
    <n v="0"/>
    <n v="0"/>
    <n v="3"/>
    <n v="0"/>
    <n v="0"/>
    <n v="0"/>
    <n v="0"/>
    <n v="8547"/>
    <n v="0"/>
    <n v="0"/>
    <n v="0"/>
    <n v="3"/>
    <n v="8547"/>
    <n v="0"/>
    <n v="0"/>
    <n v="3"/>
    <n v="0"/>
    <n v="0"/>
    <n v="0"/>
    <m/>
    <n v="7452"/>
    <n v="0"/>
    <n v="0"/>
    <n v="0"/>
    <n v="3"/>
    <n v="7452"/>
    <n v="0"/>
    <n v="0"/>
    <n v="3"/>
    <n v="0"/>
    <n v="0"/>
    <n v="0"/>
    <n v="0"/>
    <m/>
    <n v="7452"/>
    <n v="0"/>
    <n v="0"/>
    <n v="0"/>
    <n v="3"/>
    <n v="7452"/>
    <n v="0"/>
    <n v="0"/>
    <n v="3"/>
    <n v="0"/>
    <n v="0"/>
    <n v="0"/>
    <n v="7452"/>
    <n v="0"/>
    <n v="0"/>
    <n v="0"/>
    <n v="3"/>
    <n v="7452"/>
    <n v="0"/>
    <n v="0"/>
    <n v="3"/>
    <n v="0"/>
    <n v="0"/>
    <n v="0"/>
    <n v="7452"/>
    <n v="0"/>
    <n v="0"/>
    <n v="3"/>
    <n v="7452"/>
    <n v="0"/>
    <n v="0"/>
    <n v="3"/>
    <n v="0"/>
    <n v="0"/>
    <m/>
    <n v="7452"/>
    <n v="0"/>
    <n v="0"/>
    <n v="3"/>
    <n v="7452"/>
    <n v="0"/>
  </r>
  <r>
    <s v="Lhotse-Hidratación"/>
    <x v="1"/>
    <x v="12"/>
    <x v="30"/>
    <s v="LHVACAM"/>
    <x v="192"/>
    <x v="189"/>
    <x v="0"/>
    <x v="6"/>
    <n v="1"/>
    <x v="12"/>
    <n v="0"/>
    <m/>
    <n v="0"/>
    <n v="2873"/>
    <n v="0"/>
    <n v="2.4"/>
    <n v="2622"/>
    <n v="4825.361344537816"/>
    <n v="6714.285714285715"/>
    <s v="Shenzhen"/>
    <s v="30/70"/>
    <n v="30"/>
    <n v="500"/>
    <n v="0"/>
    <n v="0.5202404408081482"/>
    <n v="2"/>
    <n v="0.6560593727555661"/>
    <n v="16"/>
    <n v="0.3942408581899399"/>
    <n v="6"/>
    <n v="0.4017531318319047"/>
    <n v="7"/>
    <n v="0.5450431478109413"/>
    <n v="4"/>
    <n v="0.388663829787234"/>
    <n v="25"/>
    <n v="0.3219330727627481"/>
    <n v="6"/>
    <n v="0.4458476374156219"/>
    <n v="21"/>
    <n v="0.3102709128735054"/>
    <n v="11"/>
    <n v="0.5956492036077529"/>
    <n v="71"/>
    <n v="0.4599026249950359"/>
    <n v="7"/>
    <n v="0.5535452648403854"/>
    <n v="1"/>
    <s v=""/>
    <n v="1"/>
    <s v=""/>
    <n v="0"/>
    <s v=""/>
    <n v="0"/>
    <s v=""/>
    <n v="0"/>
    <n v="1"/>
    <s v=""/>
    <n v="0"/>
    <n v="0"/>
    <s v=""/>
    <n v="0"/>
    <n v="0"/>
    <s v=""/>
    <n v="0"/>
    <n v="0"/>
    <n v="1"/>
    <n v="0"/>
    <n v="0"/>
    <n v="0"/>
    <n v="0"/>
    <n v="4309.5"/>
    <n v="2484"/>
    <n v="0"/>
    <n v="0"/>
    <n v="0"/>
    <n v="0"/>
    <n v="0"/>
    <n v="0"/>
    <n v="1"/>
    <n v="1.5"/>
    <n v="0"/>
    <n v="0"/>
    <n v="0"/>
    <n v="4309.5"/>
    <n v="2484"/>
    <n v="4309.5"/>
    <n v="0"/>
    <n v="0"/>
    <n v="0"/>
    <n v="6082.388249417415"/>
    <n v="16"/>
    <n v="0"/>
    <n v="0"/>
    <n v="0"/>
    <n v="0"/>
    <n v="0"/>
    <n v="0"/>
    <n v="0"/>
    <n v="0"/>
    <n v="0"/>
    <n v="0"/>
    <n v="0"/>
    <n v="5"/>
    <n v="2"/>
    <n v="0"/>
    <n v="0"/>
    <n v="0"/>
    <n v="4968"/>
    <n v="0"/>
    <n v="0"/>
    <n v="0"/>
    <n v="0"/>
    <n v="0"/>
    <n v="0"/>
    <n v="0"/>
    <n v="1"/>
    <n v="0"/>
    <m/>
    <n v="0"/>
    <n v="0"/>
    <n v="2873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Hidratación"/>
    <x v="1"/>
    <x v="12"/>
    <x v="30"/>
    <s v="LHMAMU"/>
    <x v="193"/>
    <x v="190"/>
    <x v="0"/>
    <x v="4"/>
    <n v="1"/>
    <x v="142"/>
    <n v="131"/>
    <m/>
    <n v="0"/>
    <n v="2630"/>
    <n v="344530"/>
    <n v="2.3"/>
    <n v="2512.75"/>
    <n v="8394.957983193277"/>
    <n v="7554.621848739496"/>
    <s v="Shenzhen"/>
    <s v="30/70"/>
    <n v="30"/>
    <n v="100"/>
    <n v="17"/>
    <n v="0.6741726633595844"/>
    <n v="31"/>
    <n v="0.6782062372711508"/>
    <n v="34"/>
    <n v="0.6572816378750099"/>
    <n v="85"/>
    <n v="0.6507573881605475"/>
    <n v="14"/>
    <n v="0.5882568717891025"/>
    <n v="73"/>
    <n v="0.611981358453148"/>
    <n v="10"/>
    <n v="0.6427111975911828"/>
    <n v="-3"/>
    <n v="0.2048040638606677"/>
    <n v="8"/>
    <n v="0.5857319038609767"/>
    <n v="50"/>
    <n v="0.6387454767939865"/>
    <n v="104"/>
    <n v="0.6655401513114942"/>
    <n v="80"/>
    <n v="0.6137708483490143"/>
    <n v="24"/>
    <s v=""/>
    <n v="47"/>
    <s v=""/>
    <n v="104"/>
    <s v=""/>
    <n v="96"/>
    <s v=""/>
    <n v="1.129411764705882"/>
    <n v="93"/>
    <s v=""/>
    <n v="2.657142857142857"/>
    <n v="6"/>
    <s v=""/>
    <n v="0.05"/>
    <n v="35"/>
    <s v=""/>
    <n v="0.2916666666666667"/>
    <n v="40"/>
    <n v="19"/>
    <n v="40"/>
    <n v="100"/>
    <n v="100"/>
    <n v="0"/>
    <n v="564135"/>
    <n v="45229.5"/>
    <n v="105200"/>
    <n v="0"/>
    <n v="131"/>
    <n v="344530"/>
    <n v="282183.4616199421"/>
    <n v="25"/>
    <n v="144"/>
    <n v="70.5"/>
    <n v="100"/>
    <n v="100"/>
    <n v="0"/>
    <n v="711415"/>
    <n v="342792"/>
    <n v="185415"/>
    <n v="0"/>
    <n v="131"/>
    <n v="344530"/>
    <n v="497348.351105148"/>
    <n v="40"/>
    <n v="211"/>
    <n v="104"/>
    <n v="0"/>
    <n v="0"/>
    <n v="609317.5"/>
    <n v="554930"/>
    <n v="273520"/>
    <n v="0"/>
    <n v="131"/>
    <n v="344530"/>
    <n v="873075.6302521008"/>
    <n v="85"/>
    <n v="201"/>
    <n v="96"/>
    <n v="160"/>
    <n v="0"/>
    <n v="478480.5"/>
    <n v="252480"/>
    <n v="380880"/>
    <n v="0"/>
    <n v="131"/>
    <n v="344530"/>
    <n v="805915.9663865545"/>
    <n v="35"/>
    <n v="224"/>
    <n v="35"/>
    <m/>
    <n v="0"/>
    <n v="0"/>
    <n v="589120"/>
    <n v="83317.5"/>
    <n v="0"/>
    <n v="0"/>
    <n v="131"/>
    <n v="344530"/>
    <n v="293823.5294117647"/>
    <n v="120"/>
    <n v="137"/>
    <n v="6"/>
    <m/>
    <n v="0"/>
    <n v="0"/>
    <n v="360310"/>
    <n v="14283"/>
    <n v="0"/>
    <n v="0"/>
    <n v="137"/>
    <n v="344530"/>
    <n v="50369.74789915966"/>
    <n v="120"/>
    <n v="166"/>
    <n v="120"/>
    <n v="150"/>
    <n v="150"/>
    <n v="0"/>
    <n v="436580"/>
    <n v="285660"/>
    <n v="345172.4999999999"/>
    <n v="0"/>
    <n v="166"/>
    <n v="344530"/>
    <n v="1007394.957983193"/>
    <n v="40"/>
    <n v="46"/>
    <n v="40"/>
    <n v="150"/>
    <n v="150"/>
    <n v="120"/>
    <n v="120980"/>
    <n v="95220"/>
    <n v="357075"/>
    <n v="285660"/>
    <n v="196"/>
    <n v="406640"/>
    <n v="335798.3193277311"/>
    <n v="36"/>
    <n v="126"/>
    <n v="36"/>
    <n v="0"/>
    <n v="0"/>
    <m/>
    <n v="299943"/>
    <n v="85698"/>
    <n v="0"/>
    <n v="0"/>
    <n v="126"/>
    <n v="299943"/>
    <n v="302218.487394958"/>
    <n v="100"/>
    <n v="90"/>
    <n v="90"/>
    <n v="200"/>
    <n v="200"/>
    <n v="200"/>
    <n v="0"/>
    <n v="214245"/>
    <n v="214245"/>
    <n v="476100"/>
    <n v="476100"/>
    <n v="290"/>
    <n v="690345"/>
    <n v="679915.9663865546"/>
    <n v="80"/>
    <n v="200"/>
    <n v="80"/>
    <n v="0"/>
    <n v="0"/>
    <n v="476100"/>
    <n v="190440"/>
    <n v="0"/>
    <n v="0"/>
    <n v="200"/>
    <n v="476100"/>
    <n v="634588.2352941177"/>
    <n v="100"/>
    <n v="120"/>
    <n v="100"/>
    <n v="0"/>
    <n v="0"/>
    <n v="285660"/>
    <n v="238050"/>
    <n v="0"/>
    <n v="120"/>
    <n v="285660"/>
    <n v="839495.7983193276"/>
    <n v="48"/>
    <n v="20"/>
    <n v="48"/>
    <n v="0"/>
    <m/>
    <n v="47610"/>
    <n v="126240"/>
    <n v="0"/>
    <n v="20"/>
    <n v="47610"/>
    <n v="402957.9831932773"/>
  </r>
  <r>
    <s v="Lhotse-Hidratación"/>
    <x v="1"/>
    <x v="12"/>
    <x v="30"/>
    <s v="LHMAMU"/>
    <x v="194"/>
    <x v="191"/>
    <x v="0"/>
    <x v="4"/>
    <n v="0.8"/>
    <x v="143"/>
    <n v="210"/>
    <m/>
    <n v="0"/>
    <n v="2934"/>
    <n v="616140"/>
    <n v="2.3"/>
    <n v="2512.75"/>
    <n v="8394.957983193277"/>
    <n v="7554.621848739496"/>
    <s v="Shenzhen"/>
    <s v="30/70"/>
    <n v="30"/>
    <n v="100"/>
    <n v="9"/>
    <n v="0.6536976582044868"/>
    <n v="20"/>
    <n v="0.6578257672555291"/>
    <n v="13"/>
    <n v="0.6690739193758707"/>
    <n v="56"/>
    <n v="0.5955277258174666"/>
    <n v="33"/>
    <n v="0.6340217167293526"/>
    <n v="108"/>
    <n v="0.6466036657678006"/>
    <n v="12"/>
    <n v="0.6151608169390165"/>
    <n v="1"/>
    <n v="0.700212265384012"/>
    <n v="6"/>
    <n v="0.637328171530673"/>
    <n v="22"/>
    <n v="0.6280535081646781"/>
    <n v="75"/>
    <n v="0.6661615153878754"/>
    <n v="45"/>
    <n v="0.5565585757079967"/>
    <n v="39"/>
    <s v=""/>
    <n v="18"/>
    <s v=""/>
    <n v="23"/>
    <s v=""/>
    <n v="27"/>
    <s v=""/>
    <n v="0.4909090909090909"/>
    <n v="58"/>
    <s v=""/>
    <n v="1.657142857142857"/>
    <n v="79"/>
    <s v=""/>
    <n v="0.7181818181818181"/>
    <n v="19"/>
    <s v=""/>
    <n v="0.1583333333333333"/>
    <n v="20"/>
    <n v="56"/>
    <n v="20"/>
    <n v="0"/>
    <n v="0"/>
    <n v="0"/>
    <n v="205380"/>
    <n v="133308"/>
    <n v="58680"/>
    <n v="0"/>
    <n v="210"/>
    <n v="616140"/>
    <n v="141091.730809971"/>
    <n v="50"/>
    <n v="18"/>
    <n v="27"/>
    <n v="100"/>
    <n v="100"/>
    <n v="0"/>
    <n v="225918"/>
    <n v="42849"/>
    <n v="79218"/>
    <n v="0"/>
    <n v="210"/>
    <n v="616140"/>
    <n v="190473.8365934609"/>
    <n v="25"/>
    <n v="109"/>
    <n v="23"/>
    <n v="0"/>
    <n v="0"/>
    <n v="213354"/>
    <n v="319806"/>
    <n v="67482"/>
    <n v="0"/>
    <n v="210"/>
    <n v="616140"/>
    <n v="193084.0336134454"/>
    <n v="55"/>
    <n v="185"/>
    <n v="27"/>
    <n v="120"/>
    <n v="0"/>
    <n v="440392.5"/>
    <n v="79218"/>
    <n v="285660"/>
    <n v="0"/>
    <n v="210"/>
    <n v="616140"/>
    <n v="226663.8655462185"/>
    <n v="35"/>
    <n v="268"/>
    <n v="28"/>
    <m/>
    <n v="0"/>
    <n v="0"/>
    <n v="786312"/>
    <n v="66654"/>
    <n v="0"/>
    <n v="0"/>
    <n v="210"/>
    <n v="616140"/>
    <n v="235058.8235294117"/>
    <n v="110"/>
    <n v="289"/>
    <n v="79"/>
    <m/>
    <n v="0"/>
    <n v="0"/>
    <n v="847926"/>
    <n v="188059.5"/>
    <n v="0"/>
    <n v="0"/>
    <n v="289"/>
    <n v="616140"/>
    <n v="663201.6806722688"/>
    <n v="120"/>
    <n v="229"/>
    <n v="96"/>
    <n v="180"/>
    <n v="180"/>
    <n v="0"/>
    <n v="671886"/>
    <n v="228528"/>
    <n v="414206.9999999999"/>
    <n v="0"/>
    <n v="229"/>
    <n v="616140"/>
    <n v="805915.9663865545"/>
    <n v="35.8"/>
    <n v="133"/>
    <n v="28.64"/>
    <n v="150"/>
    <n v="150"/>
    <n v="150"/>
    <n v="390222"/>
    <n v="68177.52"/>
    <n v="357075"/>
    <n v="357075"/>
    <n v="283"/>
    <n v="747297"/>
    <n v="240431.5966386555"/>
    <n v="37.8"/>
    <n v="254.36"/>
    <n v="30.24"/>
    <n v="0"/>
    <n v="0"/>
    <m/>
    <n v="605503.98"/>
    <n v="71986.31999999999"/>
    <n v="0"/>
    <n v="0"/>
    <n v="254.36"/>
    <n v="605503.98"/>
    <n v="253863.5294117647"/>
    <n v="100"/>
    <n v="224.12"/>
    <n v="80"/>
    <n v="0"/>
    <n v="0"/>
    <n v="0"/>
    <m/>
    <n v="533517.66"/>
    <n v="190440"/>
    <n v="0"/>
    <n v="0"/>
    <n v="224.12"/>
    <n v="533517.66"/>
    <n v="604369.7478991597"/>
    <n v="80"/>
    <n v="144.12"/>
    <n v="64"/>
    <n v="0"/>
    <n v="0"/>
    <n v="343077.66"/>
    <n v="152352"/>
    <n v="0"/>
    <n v="0"/>
    <n v="144.12"/>
    <n v="343077.66"/>
    <n v="507670.5882352942"/>
    <n v="110"/>
    <n v="80.12"/>
    <n v="88"/>
    <n v="0"/>
    <n v="0"/>
    <n v="190725.66"/>
    <n v="209484"/>
    <n v="0"/>
    <n v="80.12"/>
    <n v="190725.66"/>
    <n v="738756.3025210084"/>
    <n v="48"/>
    <n v="0"/>
    <n v="38.40000000000001"/>
    <n v="0"/>
    <m/>
    <n v="0"/>
    <n v="112665.6"/>
    <n v="0"/>
    <n v="0"/>
    <n v="0"/>
    <n v="322366.3865546219"/>
  </r>
  <r>
    <s v="Lhotse-Hidratación"/>
    <x v="1"/>
    <x v="12"/>
    <x v="30"/>
    <s v="LHMAMU"/>
    <x v="195"/>
    <x v="192"/>
    <x v="0"/>
    <x v="4"/>
    <n v="1"/>
    <x v="144"/>
    <n v="42"/>
    <m/>
    <n v="0"/>
    <n v="2625"/>
    <n v="110250"/>
    <n v="2.3"/>
    <n v="2512.75"/>
    <n v="8394.957983193277"/>
    <n v="7554.621848739496"/>
    <s v="Shenzhen"/>
    <s v="30/70"/>
    <n v="30"/>
    <n v="100"/>
    <n v="37"/>
    <n v="0.6655603428863101"/>
    <n v="47"/>
    <n v="0.658680908328951"/>
    <n v="15"/>
    <n v="0.7543516231474947"/>
    <n v="69"/>
    <n v="0.6621631712142305"/>
    <n v="27"/>
    <n v="0.621859161508817"/>
    <n v="5"/>
    <n v="0.6785765336509827"/>
    <n v="9"/>
    <n v="0.702951074905248"/>
    <n v="1"/>
    <n v="0.5498361408882082"/>
    <n v="11"/>
    <n v="0.6929878041797881"/>
    <n v="21"/>
    <n v="0.6764854169117747"/>
    <n v="105"/>
    <n v="0.6585765497619253"/>
    <n v="37"/>
    <n v="0.6911223429268796"/>
    <n v="10"/>
    <s v=""/>
    <n v="65"/>
    <s v=""/>
    <n v="53"/>
    <s v=""/>
    <n v="65"/>
    <s v=""/>
    <n v="1.083333333333333"/>
    <n v="116"/>
    <s v=""/>
    <n v="3.314285714285715"/>
    <n v="18"/>
    <s v=""/>
    <n v="0.225"/>
    <n v="15"/>
    <s v=""/>
    <n v="0.3"/>
    <n v="40"/>
    <n v="12"/>
    <n v="20"/>
    <n v="100"/>
    <n v="100"/>
    <n v="0"/>
    <n v="447562.5"/>
    <n v="28566"/>
    <n v="52500"/>
    <n v="0"/>
    <n v="42"/>
    <n v="110250"/>
    <n v="141091.730809971"/>
    <n v="20"/>
    <n v="128"/>
    <n v="97.5"/>
    <n v="100"/>
    <n v="100"/>
    <n v="0"/>
    <n v="565687.5"/>
    <n v="304704"/>
    <n v="255937.5"/>
    <n v="0"/>
    <n v="42"/>
    <n v="110250"/>
    <n v="687822.1876986088"/>
    <n v="35"/>
    <n v="163"/>
    <n v="53"/>
    <n v="0"/>
    <n v="0"/>
    <n v="393067.5"/>
    <n v="427875"/>
    <n v="139125"/>
    <n v="0"/>
    <n v="42"/>
    <n v="110250"/>
    <n v="444932.7731092437"/>
    <n v="60"/>
    <n v="228"/>
    <n v="65"/>
    <n v="120"/>
    <n v="0"/>
    <n v="542754"/>
    <n v="170625"/>
    <n v="285660"/>
    <n v="0"/>
    <n v="42"/>
    <n v="110250"/>
    <n v="545672.2689075629"/>
    <n v="35"/>
    <n v="158"/>
    <n v="35"/>
    <m/>
    <n v="0"/>
    <n v="0"/>
    <n v="414750"/>
    <n v="83317.5"/>
    <n v="0"/>
    <n v="0"/>
    <n v="42"/>
    <n v="110250"/>
    <n v="293823.5294117647"/>
    <n v="80"/>
    <n v="60"/>
    <n v="18"/>
    <m/>
    <n v="0"/>
    <n v="0"/>
    <n v="157500"/>
    <n v="42849"/>
    <n v="0"/>
    <n v="0"/>
    <n v="60"/>
    <n v="110250"/>
    <n v="151109.243697479"/>
    <n v="50"/>
    <n v="57"/>
    <n v="50"/>
    <n v="0"/>
    <n v="0"/>
    <n v="0"/>
    <n v="149625"/>
    <n v="119025"/>
    <n v="0"/>
    <n v="0"/>
    <n v="57"/>
    <n v="110250"/>
    <n v="419747.8991596638"/>
    <n v="25"/>
    <n v="7"/>
    <n v="25"/>
    <n v="150"/>
    <n v="150"/>
    <n v="150"/>
    <n v="18375"/>
    <n v="59512.5"/>
    <n v="357075"/>
    <n v="357075"/>
    <n v="157"/>
    <n v="375450"/>
    <n v="209873.9495798319"/>
    <n v="28.4"/>
    <n v="132"/>
    <n v="28.4"/>
    <n v="0"/>
    <n v="0"/>
    <m/>
    <n v="314226"/>
    <n v="67606.2"/>
    <n v="0"/>
    <n v="0"/>
    <n v="132"/>
    <n v="314226"/>
    <n v="238416.806722689"/>
    <n v="60"/>
    <n v="103.6"/>
    <n v="60"/>
    <n v="150"/>
    <n v="150"/>
    <n v="150"/>
    <n v="0"/>
    <n v="246619.8"/>
    <n v="142830"/>
    <n v="357075"/>
    <n v="357075"/>
    <n v="253.6"/>
    <n v="603694.8"/>
    <n v="453277.3109243698"/>
    <n v="80"/>
    <n v="193.6"/>
    <n v="80"/>
    <n v="0"/>
    <n v="0"/>
    <n v="460864.8"/>
    <n v="190440"/>
    <n v="0"/>
    <n v="0"/>
    <n v="193.6"/>
    <n v="460864.8"/>
    <n v="634588.2352941177"/>
    <n v="80"/>
    <n v="113.6"/>
    <n v="80"/>
    <n v="0"/>
    <n v="0"/>
    <n v="270424.8"/>
    <n v="190440"/>
    <n v="0"/>
    <n v="113.6"/>
    <n v="270424.8"/>
    <n v="671596.6386554622"/>
    <n v="48"/>
    <n v="33.59999999999999"/>
    <n v="48"/>
    <n v="0"/>
    <m/>
    <n v="79984.79999999999"/>
    <n v="126000"/>
    <n v="0"/>
    <n v="33.59999999999999"/>
    <n v="79984.79999999999"/>
    <n v="402957.9831932773"/>
  </r>
  <r>
    <s v="Lhotse-Hidratación"/>
    <x v="1"/>
    <x v="12"/>
    <x v="30"/>
    <s v="LHMAMU"/>
    <x v="196"/>
    <x v="193"/>
    <x v="0"/>
    <x v="4"/>
    <n v="1"/>
    <x v="145"/>
    <n v="128"/>
    <m/>
    <n v="0"/>
    <n v="2569"/>
    <n v="328832"/>
    <n v="2.3"/>
    <n v="2512.75"/>
    <n v="8394.957983193277"/>
    <n v="7554.621848739496"/>
    <s v="Shenzhen"/>
    <s v="30/70"/>
    <n v="30"/>
    <n v="100"/>
    <n v="2"/>
    <n v="0.5817524828113063"/>
    <n v="10"/>
    <n v="0.6742519672178551"/>
    <n v="10"/>
    <n v="0.6501239775051124"/>
    <n v="18"/>
    <n v="0.5683799929922916"/>
    <n v="35"/>
    <n v="0.6374183739558483"/>
    <n v="77"/>
    <n v="0.6494717247979968"/>
    <n v="94"/>
    <n v="0.4961206790374931"/>
    <n v="14"/>
    <n v="0.5784225247289674"/>
    <n v="13"/>
    <n v="0.5617249606722967"/>
    <n v="5"/>
    <n v="0.7283152131872045"/>
    <n v="17"/>
    <n v="0.6524475229125312"/>
    <n v="41"/>
    <n v="0.6298119013769161"/>
    <n v="47"/>
    <s v=""/>
    <n v="15"/>
    <s v=""/>
    <n v="14"/>
    <s v=""/>
    <n v="36"/>
    <s v=""/>
    <n v="1.2"/>
    <n v="89"/>
    <s v=""/>
    <n v="2.542857142857143"/>
    <n v="22"/>
    <s v=""/>
    <n v="0.2933333333333333"/>
    <n v="18"/>
    <s v=""/>
    <n v="0.1662049861495845"/>
    <n v="20"/>
    <n v="55"/>
    <n v="35"/>
    <n v="100"/>
    <n v="100"/>
    <n v="0"/>
    <n v="183683.5"/>
    <n v="130927.5"/>
    <n v="89915"/>
    <n v="0"/>
    <n v="128"/>
    <n v="328832"/>
    <n v="246910.5289174494"/>
    <n v="35"/>
    <n v="110"/>
    <n v="22.5"/>
    <n v="0"/>
    <n v="0"/>
    <n v="0"/>
    <n v="186252.5"/>
    <n v="261855"/>
    <n v="57802.5"/>
    <n v="0"/>
    <n v="128"/>
    <n v="328832"/>
    <n v="158728.1971612174"/>
    <n v="30"/>
    <n v="92"/>
    <n v="14"/>
    <n v="0"/>
    <n v="0"/>
    <n v="211767.5"/>
    <n v="236348"/>
    <n v="35966"/>
    <n v="0"/>
    <n v="128"/>
    <n v="328832"/>
    <n v="117529.4117647059"/>
    <n v="30"/>
    <n v="154"/>
    <n v="36"/>
    <n v="60"/>
    <n v="0"/>
    <n v="366597"/>
    <n v="92484"/>
    <n v="142830"/>
    <n v="0"/>
    <n v="128"/>
    <n v="328832"/>
    <n v="302218.487394958"/>
    <n v="35"/>
    <n v="217"/>
    <n v="35"/>
    <m/>
    <n v="0"/>
    <n v="0"/>
    <n v="557473"/>
    <n v="83317.5"/>
    <n v="0"/>
    <n v="0"/>
    <n v="128"/>
    <n v="328832"/>
    <n v="293823.5294117647"/>
    <n v="75"/>
    <n v="150"/>
    <n v="22"/>
    <m/>
    <n v="0"/>
    <n v="0"/>
    <n v="385350"/>
    <n v="52371"/>
    <n v="0"/>
    <n v="0"/>
    <n v="150"/>
    <n v="328832"/>
    <n v="184689.0756302521"/>
    <n v="108.3"/>
    <n v="146"/>
    <n v="108.3"/>
    <n v="150"/>
    <n v="150"/>
    <n v="0"/>
    <n v="375074"/>
    <n v="257808.15"/>
    <n v="345172.4999999999"/>
    <n v="0"/>
    <n v="146"/>
    <n v="328832"/>
    <n v="909173.9495798319"/>
    <n v="35"/>
    <n v="37.7"/>
    <n v="35"/>
    <n v="100"/>
    <n v="100"/>
    <n v="40"/>
    <n v="96851.3"/>
    <n v="83317.5"/>
    <n v="238050"/>
    <n v="95220"/>
    <n v="137.7"/>
    <n v="192071.3"/>
    <n v="293823.5294117647"/>
    <n v="30"/>
    <n v="42.7"/>
    <n v="30"/>
    <n v="0"/>
    <n v="0"/>
    <m/>
    <n v="101647.35"/>
    <n v="71415"/>
    <n v="0"/>
    <n v="0"/>
    <n v="42.7"/>
    <n v="101647.35"/>
    <n v="251848.7394957983"/>
    <n v="50"/>
    <n v="12.7"/>
    <n v="12.7"/>
    <n v="100"/>
    <n v="100"/>
    <n v="100"/>
    <n v="0"/>
    <n v="30232.35000000001"/>
    <n v="30232.35000000001"/>
    <n v="238050"/>
    <n v="238050"/>
    <n v="112.7"/>
    <n v="268282.35"/>
    <n v="95943.69747899163"/>
    <n v="40"/>
    <n v="100"/>
    <n v="40"/>
    <n v="0"/>
    <n v="0"/>
    <n v="238050"/>
    <n v="95220"/>
    <n v="0"/>
    <n v="0"/>
    <n v="100"/>
    <n v="238050"/>
    <n v="317294.1176470589"/>
    <n v="45"/>
    <n v="60"/>
    <n v="45"/>
    <n v="0"/>
    <n v="0"/>
    <n v="142830"/>
    <n v="107122.5"/>
    <n v="0"/>
    <n v="60"/>
    <n v="142830"/>
    <n v="377773.1092436975"/>
    <n v="24"/>
    <n v="15"/>
    <n v="24"/>
    <n v="0"/>
    <m/>
    <n v="35707.5"/>
    <n v="61656"/>
    <n v="0"/>
    <n v="15"/>
    <n v="35707.5"/>
    <n v="201478.9915966386"/>
  </r>
  <r>
    <s v="Lhotse-Hidratación"/>
    <x v="1"/>
    <x v="12"/>
    <x v="30"/>
    <s v="LHMAMU"/>
    <x v="197"/>
    <x v="194"/>
    <x v="0"/>
    <x v="4"/>
    <n v="1"/>
    <x v="146"/>
    <n v="239"/>
    <m/>
    <n v="0"/>
    <n v="2709"/>
    <n v="647451"/>
    <n v="2.3"/>
    <n v="2512.75"/>
    <n v="8394.957983193277"/>
    <n v="7554.621848739496"/>
    <s v="Shenzhen"/>
    <s v="30/70"/>
    <n v="30"/>
    <n v="100"/>
    <n v="3"/>
    <n v="0.6372053191158815"/>
    <n v="22"/>
    <n v="0.6710938072133956"/>
    <n v="21"/>
    <n v="0.6456338134742113"/>
    <n v="38"/>
    <n v="0.6434438537338341"/>
    <n v="63"/>
    <n v="0.5905144715874319"/>
    <n v="98"/>
    <n v="0.6437581558617809"/>
    <n v="36"/>
    <n v="0.5633926465865994"/>
    <n v="1"/>
    <n v="0.7718764442961975"/>
    <n v="2"/>
    <n v="0.6381465157832042"/>
    <n v="14"/>
    <n v="0.6545931087924846"/>
    <n v="84"/>
    <n v="0.6562906442382728"/>
    <n v="30"/>
    <n v="0.5736085061600047"/>
    <n v="15"/>
    <s v=""/>
    <n v="16"/>
    <s v=""/>
    <n v="13"/>
    <s v=""/>
    <n v="24"/>
    <s v=""/>
    <n v="0.6857142857142857"/>
    <n v="56"/>
    <s v=""/>
    <n v="0.8888888888888888"/>
    <n v="6"/>
    <s v=""/>
    <n v="0.06"/>
    <n v="23"/>
    <s v=""/>
    <n v="0.23"/>
    <n v="25"/>
    <n v="27"/>
    <n v="30"/>
    <n v="0"/>
    <n v="0"/>
    <n v="0"/>
    <n v="181503"/>
    <n v="64273.5"/>
    <n v="81270"/>
    <n v="0"/>
    <n v="239"/>
    <n v="647451"/>
    <n v="211637.5962149566"/>
    <n v="30"/>
    <n v="24"/>
    <n v="24"/>
    <n v="100"/>
    <n v="100"/>
    <n v="0"/>
    <n v="165249"/>
    <n v="57132"/>
    <n v="65016"/>
    <n v="0"/>
    <n v="239"/>
    <n v="647451"/>
    <n v="169310.0769719653"/>
    <n v="35"/>
    <n v="114"/>
    <n v="13"/>
    <n v="0"/>
    <n v="0"/>
    <n v="250204.5"/>
    <n v="308826"/>
    <n v="35217"/>
    <n v="0"/>
    <n v="239"/>
    <n v="647451"/>
    <n v="109134.4537815126"/>
    <n v="35"/>
    <n v="94"/>
    <n v="24"/>
    <n v="150"/>
    <n v="0"/>
    <n v="223767"/>
    <n v="65016"/>
    <n v="357075"/>
    <n v="0"/>
    <n v="239"/>
    <n v="647451"/>
    <n v="201478.9915966386"/>
    <n v="63"/>
    <n v="295"/>
    <n v="63"/>
    <m/>
    <n v="0"/>
    <n v="0"/>
    <n v="799155"/>
    <n v="149971.5"/>
    <n v="0"/>
    <n v="0"/>
    <n v="239"/>
    <n v="647451"/>
    <n v="528882.3529411765"/>
    <n v="100"/>
    <n v="245"/>
    <n v="6"/>
    <m/>
    <n v="150"/>
    <n v="0"/>
    <n v="663705"/>
    <n v="14283"/>
    <n v="0"/>
    <n v="0"/>
    <n v="245"/>
    <n v="647451"/>
    <n v="50369.74789915966"/>
    <n v="100"/>
    <n v="262"/>
    <n v="100"/>
    <n v="220"/>
    <n v="220"/>
    <n v="0"/>
    <n v="709758"/>
    <n v="238050"/>
    <n v="506252.9999999999"/>
    <n v="0"/>
    <n v="262"/>
    <n v="647451"/>
    <n v="839495.7983193276"/>
    <n v="60"/>
    <n v="162"/>
    <n v="60"/>
    <n v="0"/>
    <n v="0"/>
    <n v="0"/>
    <n v="438858"/>
    <n v="142830"/>
    <n v="0"/>
    <n v="0"/>
    <n v="162"/>
    <n v="438858"/>
    <n v="503697.4789915966"/>
    <n v="55"/>
    <n v="102"/>
    <n v="55"/>
    <n v="0"/>
    <n v="0"/>
    <m/>
    <n v="242811"/>
    <n v="130927.5"/>
    <n v="0"/>
    <n v="0"/>
    <n v="102"/>
    <n v="242811"/>
    <n v="461722.6890756302"/>
    <n v="70"/>
    <n v="47"/>
    <n v="47"/>
    <n v="200"/>
    <n v="200"/>
    <n v="200"/>
    <n v="0"/>
    <n v="111883.5"/>
    <n v="111883.5"/>
    <n v="476100"/>
    <n v="476100"/>
    <n v="247"/>
    <n v="587983.5"/>
    <n v="355067.2268907563"/>
    <n v="60"/>
    <n v="200"/>
    <n v="60"/>
    <n v="0"/>
    <n v="0"/>
    <n v="476100"/>
    <n v="142830"/>
    <n v="0"/>
    <n v="0"/>
    <n v="200"/>
    <n v="476100"/>
    <n v="475941.1764705883"/>
    <n v="90"/>
    <n v="140"/>
    <n v="90"/>
    <n v="0"/>
    <n v="0"/>
    <n v="333270"/>
    <n v="214245"/>
    <n v="0"/>
    <n v="140"/>
    <n v="333270"/>
    <n v="755546.218487395"/>
    <n v="36"/>
    <n v="50"/>
    <n v="36"/>
    <n v="0"/>
    <m/>
    <n v="119025"/>
    <n v="97524"/>
    <n v="0"/>
    <n v="50"/>
    <n v="119025"/>
    <n v="302218.487394958"/>
  </r>
  <r>
    <s v="Lhotse-Hidratación"/>
    <x v="1"/>
    <x v="12"/>
    <x v="30"/>
    <s v="LHMAMU"/>
    <x v="198"/>
    <x v="195"/>
    <x v="0"/>
    <x v="4"/>
    <n v="1.4"/>
    <x v="147"/>
    <n v="90"/>
    <m/>
    <n v="0"/>
    <n v="2825"/>
    <n v="254250"/>
    <n v="2.6"/>
    <n v="2840.5"/>
    <n v="8394.957983193277"/>
    <n v="7554.621848739496"/>
    <s v="Shenzhen"/>
    <s v="30/70"/>
    <n v="30"/>
    <n v="100"/>
    <n v="10"/>
    <n v="0.654653130118523"/>
    <n v="9"/>
    <n v="0.6654804690470338"/>
    <n v="10"/>
    <n v="0.6504936894791397"/>
    <n v="22"/>
    <n v="0.6493342106021087"/>
    <n v="15"/>
    <n v="0.6859999265985933"/>
    <n v="51"/>
    <n v="0.6691708732872732"/>
    <n v="55"/>
    <n v="0.5910712909921063"/>
    <n v="9"/>
    <n v="0.5380492860879167"/>
    <n v="2"/>
    <n v="0.5491065350578626"/>
    <n v="5"/>
    <n v="0.6653322967098098"/>
    <n v="10"/>
    <n v="0.6301531213191991"/>
    <n v="34"/>
    <n v="0.6617329880093562"/>
    <n v="32"/>
    <s v=""/>
    <n v="29"/>
    <s v=""/>
    <n v="14"/>
    <s v=""/>
    <n v="36"/>
    <s v=""/>
    <n v="1.8"/>
    <n v="5"/>
    <s v=""/>
    <n v="0.3333333333333333"/>
    <n v="4"/>
    <s v=""/>
    <n v="0.08"/>
    <n v="16"/>
    <s v=""/>
    <n v="0.2523659305993691"/>
    <n v="15"/>
    <n v="101"/>
    <n v="15"/>
    <n v="0"/>
    <n v="0"/>
    <n v="0"/>
    <n v="204812.5"/>
    <n v="271791"/>
    <n v="42375"/>
    <n v="0"/>
    <n v="90"/>
    <n v="254250"/>
    <n v="105818.7981074783"/>
    <n v="10"/>
    <n v="57"/>
    <n v="43.5"/>
    <n v="0"/>
    <n v="0"/>
    <n v="0"/>
    <n v="264137.5"/>
    <n v="153387"/>
    <n v="122887.5"/>
    <n v="0"/>
    <n v="90"/>
    <n v="254250"/>
    <n v="306874.514511687"/>
    <n v="55"/>
    <n v="27"/>
    <n v="14"/>
    <n v="0"/>
    <n v="0"/>
    <n v="197761"/>
    <n v="76275"/>
    <n v="39550"/>
    <n v="0"/>
    <n v="90"/>
    <n v="254250"/>
    <n v="117529.4117647059"/>
    <n v="20"/>
    <n v="54"/>
    <n v="36"/>
    <n v="40"/>
    <n v="0"/>
    <n v="145314"/>
    <n v="101700"/>
    <n v="107640"/>
    <n v="0"/>
    <n v="90"/>
    <n v="254250"/>
    <n v="302218.487394958"/>
    <n v="15"/>
    <n v="95"/>
    <n v="21"/>
    <m/>
    <n v="0"/>
    <n v="0"/>
    <n v="268375"/>
    <n v="56511"/>
    <n v="0"/>
    <n v="0"/>
    <n v="90"/>
    <n v="254250"/>
    <n v="176294.1176470588"/>
    <n v="50"/>
    <n v="94"/>
    <n v="4"/>
    <m/>
    <n v="0"/>
    <n v="0"/>
    <n v="265550"/>
    <n v="10764"/>
    <n v="0"/>
    <n v="0"/>
    <n v="94"/>
    <n v="254250"/>
    <n v="33579.83193277311"/>
    <n v="63.4"/>
    <n v="106"/>
    <n v="88.75999999999999"/>
    <n v="100"/>
    <n v="100"/>
    <n v="0"/>
    <n v="299450"/>
    <n v="238853.16"/>
    <n v="260130"/>
    <n v="0"/>
    <n v="106"/>
    <n v="254250"/>
    <n v="745136.4705882352"/>
    <n v="20"/>
    <n v="17.24000000000001"/>
    <n v="28"/>
    <n v="100"/>
    <n v="100"/>
    <n v="100"/>
    <n v="48703.00000000003"/>
    <n v="75348"/>
    <n v="269100"/>
    <n v="269100"/>
    <n v="117.24"/>
    <n v="317803"/>
    <n v="235058.8235294117"/>
    <n v="18"/>
    <n v="89.24000000000001"/>
    <n v="25.2"/>
    <n v="0"/>
    <n v="0"/>
    <m/>
    <n v="240144.84"/>
    <n v="67813.2"/>
    <n v="0"/>
    <n v="0"/>
    <n v="89.24000000000001"/>
    <n v="240144.84"/>
    <n v="211552.9411764706"/>
    <n v="35"/>
    <n v="64.04000000000001"/>
    <n v="49"/>
    <n v="100"/>
    <n v="100"/>
    <n v="100"/>
    <n v="0"/>
    <n v="172331.64"/>
    <n v="131859"/>
    <n v="269100"/>
    <n v="269100"/>
    <n v="164.04"/>
    <n v="441431.64"/>
    <n v="370176.4705882353"/>
    <n v="35"/>
    <n v="115.04"/>
    <n v="49"/>
    <n v="0"/>
    <n v="0"/>
    <n v="309572.64"/>
    <n v="131859"/>
    <n v="0"/>
    <n v="0"/>
    <n v="115.04"/>
    <n v="309572.64"/>
    <n v="388685.2941176471"/>
    <n v="50"/>
    <n v="66.04000000000001"/>
    <n v="70"/>
    <n v="0"/>
    <n v="0"/>
    <n v="177713.64"/>
    <n v="188370"/>
    <n v="0"/>
    <n v="66.04000000000001"/>
    <n v="177713.64"/>
    <n v="587647.0588235294"/>
    <n v="21"/>
    <n v="0"/>
    <n v="29.4"/>
    <n v="0"/>
    <m/>
    <n v="0"/>
    <n v="83055"/>
    <n v="0"/>
    <n v="0"/>
    <n v="0"/>
    <n v="246811.7647058823"/>
  </r>
  <r>
    <s v="Lhotse-Hidratación"/>
    <x v="1"/>
    <x v="12"/>
    <x v="30"/>
    <s v="LHCAMU"/>
    <x v="199"/>
    <x v="196"/>
    <x v="0"/>
    <x v="0"/>
    <n v="0.7"/>
    <x v="148"/>
    <n v="158"/>
    <m/>
    <n v="0"/>
    <n v="3053"/>
    <n v="482374"/>
    <n v="2.5"/>
    <n v="2731.25"/>
    <n v="8394.957983193277"/>
    <n v="7554.621848739496"/>
    <s v="Shenzhen"/>
    <s v="30/70"/>
    <n v="30"/>
    <n v="50"/>
    <n v="21"/>
    <n v="0.5636203541647217"/>
    <n v="37"/>
    <n v="0.5850669901092361"/>
    <n v="25"/>
    <n v="0.5309084853111494"/>
    <n v="3"/>
    <n v="0.5415177241584749"/>
    <n v="0"/>
    <s v=""/>
    <n v="48"/>
    <n v="0.6191376013318437"/>
    <n v="38"/>
    <n v="0.4502246661953444"/>
    <n v="19"/>
    <n v="0.6194494641859586"/>
    <n v="21"/>
    <n v="0.6230346982101453"/>
    <n v="25"/>
    <n v="0.5347934445537297"/>
    <n v="123"/>
    <n v="0.6087109908615529"/>
    <n v="37"/>
    <n v="0.5712733857791269"/>
    <n v="3"/>
    <s v=""/>
    <n v="0"/>
    <s v=""/>
    <n v="0"/>
    <s v=""/>
    <n v="8"/>
    <s v=""/>
    <n v="0.4"/>
    <n v="141"/>
    <s v=""/>
    <n v="7.05"/>
    <n v="27"/>
    <s v=""/>
    <n v="0.54"/>
    <n v="15"/>
    <s v=""/>
    <n v="0.6"/>
    <n v="20"/>
    <n v="6"/>
    <n v="10"/>
    <n v="100"/>
    <n v="100"/>
    <n v="0"/>
    <n v="30530"/>
    <n v="15525"/>
    <n v="30530"/>
    <n v="0"/>
    <n v="158"/>
    <n v="482374"/>
    <n v="70545.86540498552"/>
    <n v="35"/>
    <n v="4"/>
    <n v="0"/>
    <n v="0"/>
    <n v="0"/>
    <n v="0"/>
    <n v="24424"/>
    <n v="10350"/>
    <n v="0"/>
    <n v="0"/>
    <n v="158"/>
    <n v="482374"/>
    <n v="0"/>
    <n v="30"/>
    <n v="3"/>
    <n v="0"/>
    <n v="0"/>
    <n v="0"/>
    <n v="60649"/>
    <n v="9159"/>
    <n v="0"/>
    <n v="0"/>
    <n v="158"/>
    <n v="482374"/>
    <n v="0"/>
    <n v="20"/>
    <n v="110"/>
    <n v="8"/>
    <n v="100"/>
    <n v="0"/>
    <n v="284625"/>
    <n v="24424"/>
    <n v="258750"/>
    <n v="0"/>
    <n v="158"/>
    <n v="482374"/>
    <n v="67159.66386554622"/>
    <n v="20"/>
    <n v="299"/>
    <n v="14"/>
    <m/>
    <n v="0"/>
    <n v="0"/>
    <n v="912847"/>
    <n v="36225"/>
    <n v="0"/>
    <n v="0"/>
    <n v="158"/>
    <n v="482374"/>
    <n v="117529.4117647059"/>
    <n v="50"/>
    <n v="185"/>
    <n v="27"/>
    <m/>
    <n v="0"/>
    <n v="0"/>
    <n v="564805"/>
    <n v="69862.5"/>
    <n v="0"/>
    <n v="0"/>
    <n v="185"/>
    <n v="482374"/>
    <n v="226663.8655462185"/>
    <n v="25"/>
    <n v="173"/>
    <n v="17.5"/>
    <n v="100"/>
    <n v="100"/>
    <n v="0"/>
    <n v="528169"/>
    <n v="45281.25"/>
    <n v="250125"/>
    <n v="0"/>
    <n v="173"/>
    <n v="482374"/>
    <n v="146911.7647058823"/>
    <n v="25"/>
    <n v="155.5"/>
    <n v="17.5"/>
    <n v="100"/>
    <n v="100"/>
    <n v="100"/>
    <n v="474741.5"/>
    <n v="45281.25"/>
    <n v="258750"/>
    <n v="258750"/>
    <n v="255.5"/>
    <n v="733491.5"/>
    <n v="146911.7647058823"/>
    <n v="25"/>
    <n v="238"/>
    <n v="17.5"/>
    <n v="0"/>
    <n v="0"/>
    <m/>
    <n v="615825"/>
    <n v="45281.25"/>
    <n v="0"/>
    <n v="0"/>
    <n v="238"/>
    <n v="615825"/>
    <n v="146911.7647058823"/>
    <n v="50"/>
    <n v="220.5"/>
    <n v="35"/>
    <n v="0"/>
    <n v="0"/>
    <n v="0"/>
    <m/>
    <n v="570543.75"/>
    <n v="90562.5"/>
    <n v="0"/>
    <n v="0"/>
    <n v="220.5"/>
    <n v="570543.75"/>
    <n v="264411.7647058823"/>
    <n v="40"/>
    <n v="185.5"/>
    <n v="28"/>
    <n v="0"/>
    <n v="0"/>
    <n v="479981.25"/>
    <n v="72450"/>
    <n v="0"/>
    <n v="0"/>
    <n v="185.5"/>
    <n v="479981.25"/>
    <n v="222105.8823529412"/>
    <n v="50"/>
    <n v="157.5"/>
    <n v="35"/>
    <n v="0"/>
    <n v="0"/>
    <n v="407531.25"/>
    <n v="90562.5"/>
    <n v="0"/>
    <n v="157.5"/>
    <n v="407531.25"/>
    <n v="293823.5294117647"/>
    <n v="24"/>
    <n v="122.5"/>
    <n v="16.8"/>
    <n v="0"/>
    <m/>
    <n v="316968.75"/>
    <n v="51290.39999999999"/>
    <n v="0"/>
    <n v="122.5"/>
    <n v="316968.75"/>
    <n v="141035.294117647"/>
  </r>
  <r>
    <s v="Lhotse-Hidratación"/>
    <x v="1"/>
    <x v="12"/>
    <x v="30"/>
    <s v="LHCAMU"/>
    <x v="200"/>
    <x v="197"/>
    <x v="0"/>
    <x v="0"/>
    <n v="1"/>
    <x v="149"/>
    <n v="13"/>
    <m/>
    <n v="0"/>
    <n v="2873"/>
    <n v="37349"/>
    <n v="2.5"/>
    <n v="2731.25"/>
    <n v="8394.957983193277"/>
    <n v="7554.621848739496"/>
    <s v="Shenzhen"/>
    <s v="30/70"/>
    <n v="30"/>
    <n v="50"/>
    <n v="17"/>
    <n v="0.6209137052837812"/>
    <n v="15"/>
    <n v="0.578964371666245"/>
    <n v="21"/>
    <n v="0.5032739732091063"/>
    <n v="8"/>
    <n v="0.5490661038266489"/>
    <n v="3"/>
    <n v="0.6562733991544906"/>
    <n v="14"/>
    <n v="1.476775244299675"/>
    <n v="1"/>
    <n v="0.6562739726027398"/>
    <n v="3"/>
    <n v="1.501919477046501"/>
    <n v="3"/>
    <n v="0.5154952818027123"/>
    <n v="6"/>
    <n v="0.5628706167997385"/>
    <n v="73"/>
    <n v="0.5981509395318421"/>
    <n v="15"/>
    <n v="0.5504439879761991"/>
    <n v="23"/>
    <s v=""/>
    <n v="6"/>
    <s v=""/>
    <n v="25"/>
    <s v=""/>
    <n v="11"/>
    <s v=""/>
    <n v="0.7333333333333333"/>
    <n v="16"/>
    <s v=""/>
    <n v="1.066666666666667"/>
    <n v="17"/>
    <s v=""/>
    <n v="0.68"/>
    <n v="13"/>
    <s v=""/>
    <n v="1.214953271028038"/>
    <n v="20"/>
    <n v="98"/>
    <n v="20"/>
    <n v="0"/>
    <n v="0"/>
    <n v="0"/>
    <n v="155142"/>
    <n v="253575"/>
    <n v="57460"/>
    <n v="0"/>
    <n v="13"/>
    <n v="37349"/>
    <n v="141091.730809971"/>
    <n v="20"/>
    <n v="180"/>
    <n v="9"/>
    <n v="0"/>
    <n v="0"/>
    <n v="0"/>
    <n v="129285"/>
    <n v="465750"/>
    <n v="25857"/>
    <n v="0"/>
    <n v="13"/>
    <n v="37349"/>
    <n v="63491.27886448697"/>
    <n v="25"/>
    <n v="174"/>
    <n v="25"/>
    <n v="0"/>
    <n v="0"/>
    <n v="142240.5"/>
    <n v="499902"/>
    <n v="71825"/>
    <n v="0"/>
    <n v="13"/>
    <n v="37349"/>
    <n v="209873.9495798319"/>
    <n v="15"/>
    <n v="149"/>
    <n v="11"/>
    <n v="0"/>
    <n v="0"/>
    <n v="385537.5"/>
    <n v="31603"/>
    <n v="0"/>
    <n v="0"/>
    <n v="13"/>
    <n v="37349"/>
    <n v="92344.53781512605"/>
    <n v="15"/>
    <n v="29"/>
    <n v="15"/>
    <m/>
    <n v="0"/>
    <n v="0"/>
    <n v="83317"/>
    <n v="38812.5"/>
    <n v="0"/>
    <n v="0"/>
    <n v="13"/>
    <n v="37349"/>
    <n v="125924.3697478992"/>
    <n v="25"/>
    <n v="30"/>
    <n v="17"/>
    <m/>
    <n v="0"/>
    <n v="0"/>
    <n v="86190"/>
    <n v="43987.5"/>
    <n v="0"/>
    <n v="0"/>
    <n v="30"/>
    <n v="37349"/>
    <n v="142714.2857142857"/>
    <n v="10.7"/>
    <n v="26"/>
    <n v="10.7"/>
    <n v="0"/>
    <n v="0"/>
    <n v="0"/>
    <n v="74698"/>
    <n v="27686.25"/>
    <n v="0"/>
    <n v="0"/>
    <n v="26"/>
    <n v="37349"/>
    <n v="89826.05042016806"/>
    <n v="12.6"/>
    <n v="15.3"/>
    <n v="12.6"/>
    <n v="0"/>
    <n v="0"/>
    <n v="0"/>
    <n v="43956.9"/>
    <n v="32602.5"/>
    <n v="0"/>
    <n v="0"/>
    <n v="15.3"/>
    <n v="43956.9"/>
    <n v="105776.4705882353"/>
    <n v="13"/>
    <n v="2.700000000000001"/>
    <n v="13"/>
    <n v="0"/>
    <n v="0"/>
    <m/>
    <n v="6986.250000000003"/>
    <n v="33637.5"/>
    <n v="0"/>
    <n v="0"/>
    <n v="2.700000000000001"/>
    <n v="6986.250000000003"/>
    <n v="109134.45378151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Hidratación"/>
    <x v="1"/>
    <x v="12"/>
    <x v="30"/>
    <s v="LHCAMU"/>
    <x v="201"/>
    <x v="198"/>
    <x v="0"/>
    <x v="0"/>
    <n v="1"/>
    <x v="150"/>
    <n v="177"/>
    <m/>
    <n v="0"/>
    <n v="3047"/>
    <n v="539319"/>
    <n v="2.5"/>
    <n v="2731.25"/>
    <n v="8394.957983193277"/>
    <n v="7554.621848739496"/>
    <s v="Shenzhen"/>
    <s v="30/70"/>
    <n v="30"/>
    <n v="50"/>
    <n v="11"/>
    <n v="0.5327596776883893"/>
    <n v="15"/>
    <n v="0.6055298793775512"/>
    <n v="28"/>
    <n v="0.5021365747359909"/>
    <n v="35"/>
    <n v="0.449113778861337"/>
    <n v="19"/>
    <n v="0.5860987376014427"/>
    <n v="38"/>
    <n v="0.6317881972297983"/>
    <n v="3"/>
    <n v="0.6771518497678998"/>
    <n v="8"/>
    <n v="0.650850684130033"/>
    <n v="4"/>
    <n v="0.5500172736432992"/>
    <n v="11"/>
    <n v="0.5995511419794757"/>
    <n v="175"/>
    <n v="0.59803823756439"/>
    <n v="12"/>
    <n v="0.5698057161207452"/>
    <n v="2"/>
    <s v=""/>
    <n v="0"/>
    <s v=""/>
    <n v="0"/>
    <s v=""/>
    <n v="9"/>
    <s v=""/>
    <n v="0"/>
    <n v="9"/>
    <s v=""/>
    <n v="0.45"/>
    <n v="19"/>
    <s v=""/>
    <n v="0.475"/>
    <n v="13"/>
    <s v=""/>
    <n v="0.325"/>
    <n v="15"/>
    <n v="6"/>
    <n v="6"/>
    <n v="0"/>
    <n v="0"/>
    <n v="0"/>
    <n v="18282"/>
    <n v="15525"/>
    <n v="18282"/>
    <n v="0"/>
    <n v="177"/>
    <n v="539319"/>
    <n v="42327.51924299131"/>
    <n v="0"/>
    <n v="5"/>
    <n v="0"/>
    <n v="0"/>
    <n v="0"/>
    <n v="0"/>
    <n v="27423"/>
    <n v="12937.5"/>
    <n v="0"/>
    <n v="0"/>
    <n v="177"/>
    <n v="539319"/>
    <n v="0"/>
    <n v="0"/>
    <n v="4"/>
    <n v="0"/>
    <n v="0"/>
    <n v="0"/>
    <n v="79173"/>
    <n v="12188"/>
    <n v="0"/>
    <n v="0"/>
    <n v="177"/>
    <n v="539319"/>
    <n v="0"/>
    <n v="0"/>
    <n v="103"/>
    <n v="9"/>
    <n v="100"/>
    <n v="0"/>
    <n v="266512.5"/>
    <n v="27423"/>
    <n v="258750"/>
    <n v="0"/>
    <n v="177"/>
    <n v="539319"/>
    <n v="75554.62184873949"/>
    <n v="20"/>
    <n v="186"/>
    <n v="20"/>
    <m/>
    <n v="0"/>
    <n v="0"/>
    <n v="566742"/>
    <n v="51750"/>
    <n v="0"/>
    <n v="0"/>
    <n v="177"/>
    <n v="539319"/>
    <n v="167899.1596638655"/>
    <n v="40"/>
    <n v="196"/>
    <n v="19"/>
    <m/>
    <n v="0"/>
    <n v="0"/>
    <n v="597212"/>
    <n v="49162.5"/>
    <n v="0"/>
    <n v="0"/>
    <n v="196"/>
    <n v="539319"/>
    <n v="159504.2016806723"/>
    <n v="40"/>
    <n v="190"/>
    <n v="40"/>
    <n v="100"/>
    <n v="100"/>
    <n v="0"/>
    <n v="578930"/>
    <n v="103500"/>
    <n v="250125"/>
    <n v="0"/>
    <n v="190"/>
    <n v="539319"/>
    <n v="335798.3193277311"/>
    <n v="23.6"/>
    <n v="150"/>
    <n v="23.6"/>
    <n v="0"/>
    <n v="0"/>
    <n v="0"/>
    <n v="457050"/>
    <n v="61065.00000000001"/>
    <n v="0"/>
    <n v="0"/>
    <n v="150"/>
    <n v="457050"/>
    <n v="198121.0084033613"/>
    <n v="20"/>
    <n v="126.4"/>
    <n v="20"/>
    <n v="0"/>
    <n v="0"/>
    <m/>
    <n v="327060"/>
    <n v="51750"/>
    <n v="0"/>
    <n v="0"/>
    <n v="126.4"/>
    <n v="327060"/>
    <n v="167899.1596638655"/>
    <n v="20"/>
    <n v="106.4"/>
    <n v="20"/>
    <n v="0"/>
    <n v="0"/>
    <n v="0"/>
    <m/>
    <n v="275310"/>
    <n v="51750"/>
    <n v="0"/>
    <n v="0"/>
    <n v="106.4"/>
    <n v="275310"/>
    <n v="151092.4369747899"/>
    <n v="40"/>
    <n v="86.40000000000001"/>
    <n v="40"/>
    <n v="0"/>
    <n v="0"/>
    <n v="223560"/>
    <n v="103500"/>
    <n v="0"/>
    <n v="0"/>
    <n v="86.40000000000001"/>
    <n v="223560"/>
    <n v="317294.1176470589"/>
    <n v="40"/>
    <n v="46.40000000000001"/>
    <n v="40"/>
    <n v="0"/>
    <n v="0"/>
    <n v="120060"/>
    <n v="103500"/>
    <n v="0"/>
    <n v="46.40000000000001"/>
    <n v="120060"/>
    <n v="335798.3193277311"/>
    <n v="24"/>
    <n v="6.400000000000006"/>
    <n v="24"/>
    <n v="0"/>
    <m/>
    <n v="16560.00000000001"/>
    <n v="73128"/>
    <n v="0"/>
    <n v="6.400000000000006"/>
    <n v="16560.00000000001"/>
    <n v="201478.9915966386"/>
  </r>
  <r>
    <s v="Lhotse-Hidratación"/>
    <x v="1"/>
    <x v="12"/>
    <x v="30"/>
    <s v="LHCAMU"/>
    <x v="202"/>
    <x v="199"/>
    <x v="0"/>
    <x v="0"/>
    <n v="0.8"/>
    <x v="151"/>
    <n v="243"/>
    <m/>
    <n v="0"/>
    <n v="3043"/>
    <n v="739449"/>
    <n v="2.5"/>
    <n v="2731.25"/>
    <n v="8394.957983193277"/>
    <n v="7554.621848739496"/>
    <s v="Shenzhen"/>
    <s v="30/70"/>
    <n v="30"/>
    <n v="50"/>
    <n v="7"/>
    <n v="0.5583807195747105"/>
    <n v="15"/>
    <n v="0.6189195664954686"/>
    <n v="27"/>
    <n v="0.4879997984086407"/>
    <n v="65"/>
    <n v="0.5432077945031962"/>
    <n v="3"/>
    <n v="0.6589898749255507"/>
    <n v="14"/>
    <n v="1"/>
    <n v="2"/>
    <n v="0.6210497054735588"/>
    <n v="6"/>
    <n v="0.6569571382654894"/>
    <n v="6"/>
    <n v="0.5936324963459062"/>
    <n v="11"/>
    <n v="0.5655167938931296"/>
    <n v="78"/>
    <n v="0.6034138369348102"/>
    <n v="11"/>
    <n v="0.6297086677098293"/>
    <n v="23"/>
    <s v=""/>
    <n v="13"/>
    <s v=""/>
    <n v="7"/>
    <s v=""/>
    <n v="8"/>
    <s v=""/>
    <n v="0.2285714285714286"/>
    <n v="16"/>
    <s v=""/>
    <n v="0.8"/>
    <n v="23"/>
    <s v=""/>
    <n v="0.7666666666666667"/>
    <n v="10"/>
    <s v=""/>
    <n v="0.3333333333333333"/>
    <n v="20"/>
    <n v="25"/>
    <n v="18"/>
    <n v="0"/>
    <n v="0"/>
    <n v="0"/>
    <n v="135413.5"/>
    <n v="64687.5"/>
    <n v="54774"/>
    <n v="0"/>
    <n v="243"/>
    <n v="739449"/>
    <n v="126982.5577289739"/>
    <n v="20"/>
    <n v="15"/>
    <n v="19.5"/>
    <n v="0"/>
    <n v="0"/>
    <n v="0"/>
    <n v="104983.5"/>
    <n v="38812.5"/>
    <n v="59338.5"/>
    <n v="0"/>
    <n v="243"/>
    <n v="739449"/>
    <n v="137564.4375397218"/>
    <n v="30"/>
    <n v="3"/>
    <n v="7"/>
    <n v="0"/>
    <n v="0"/>
    <n v="87045"/>
    <n v="9129"/>
    <n v="21301"/>
    <n v="0"/>
    <n v="243"/>
    <n v="739449"/>
    <n v="58764.70588235294"/>
    <n v="35"/>
    <n v="173"/>
    <n v="8"/>
    <n v="100"/>
    <n v="0"/>
    <n v="447637.5"/>
    <n v="24344"/>
    <n v="258750"/>
    <n v="0"/>
    <n v="243"/>
    <n v="739449"/>
    <n v="67159.66386554622"/>
    <n v="20"/>
    <n v="259"/>
    <n v="16"/>
    <m/>
    <n v="0"/>
    <n v="0"/>
    <n v="788137"/>
    <n v="41400"/>
    <n v="0"/>
    <n v="0"/>
    <n v="243"/>
    <n v="739449"/>
    <n v="134319.3277310924"/>
    <n v="30"/>
    <n v="266"/>
    <n v="23"/>
    <m/>
    <n v="0"/>
    <n v="0"/>
    <n v="809438"/>
    <n v="59512.5"/>
    <n v="0"/>
    <n v="0"/>
    <n v="266"/>
    <n v="739449"/>
    <n v="193084.0336134454"/>
    <n v="30"/>
    <n v="253"/>
    <n v="24"/>
    <n v="100"/>
    <n v="100"/>
    <n v="0"/>
    <n v="769879"/>
    <n v="62100"/>
    <n v="250125"/>
    <n v="0"/>
    <n v="253"/>
    <n v="739449"/>
    <n v="201478.9915966386"/>
    <n v="20.4"/>
    <n v="229"/>
    <n v="16.32"/>
    <n v="0"/>
    <n v="0"/>
    <n v="0"/>
    <n v="696847"/>
    <n v="42228"/>
    <n v="0"/>
    <n v="0"/>
    <n v="229"/>
    <n v="696847"/>
    <n v="137005.7142857143"/>
    <n v="20.1"/>
    <n v="212.68"/>
    <n v="16.08"/>
    <n v="0"/>
    <n v="0"/>
    <m/>
    <n v="550309.5"/>
    <n v="41607.00000000001"/>
    <n v="0"/>
    <n v="0"/>
    <n v="212.68"/>
    <n v="550309.5"/>
    <n v="134990.9243697479"/>
    <n v="20"/>
    <n v="196.6"/>
    <n v="16"/>
    <n v="0"/>
    <n v="0"/>
    <n v="0"/>
    <m/>
    <n v="508702.5"/>
    <n v="41400"/>
    <n v="0"/>
    <n v="0"/>
    <n v="196.6"/>
    <n v="508702.5"/>
    <n v="120873.9495798319"/>
    <n v="35"/>
    <n v="180.6"/>
    <n v="28"/>
    <n v="0"/>
    <n v="0"/>
    <n v="467302.5"/>
    <n v="72450"/>
    <n v="0"/>
    <n v="0"/>
    <n v="180.6"/>
    <n v="467302.5"/>
    <n v="222105.8823529412"/>
    <n v="35"/>
    <n v="152.6"/>
    <n v="28"/>
    <n v="0"/>
    <n v="0"/>
    <n v="394852.5"/>
    <n v="72450"/>
    <n v="0"/>
    <n v="152.6"/>
    <n v="394852.5"/>
    <n v="235058.8235294117"/>
    <n v="21"/>
    <n v="124.6"/>
    <n v="16.8"/>
    <n v="0"/>
    <m/>
    <n v="322402.5"/>
    <n v="51122.4"/>
    <n v="0"/>
    <n v="124.6"/>
    <n v="322402.5"/>
    <n v="141035.294117647"/>
  </r>
  <r>
    <s v="Lhotse-Video"/>
    <x v="1"/>
    <x v="13"/>
    <x v="31"/>
    <s v="LHCAMACXPL"/>
    <x v="203"/>
    <x v="200"/>
    <x v="0"/>
    <x v="3"/>
    <n v="1"/>
    <x v="152"/>
    <n v="404"/>
    <m/>
    <n v="0"/>
    <n v="22771"/>
    <n v="9199484"/>
    <n v="21.75"/>
    <n v="23761.875"/>
    <n v="50411.76470588236"/>
    <n v="42008.40336134454"/>
    <s v="Shenzhen"/>
    <s v="30/70"/>
    <n v="50"/>
    <n v="500"/>
    <n v="7"/>
    <n v="0.5848449110851753"/>
    <n v="21"/>
    <n v="0.5925253950322443"/>
    <n v="27"/>
    <n v="0.5701051028279437"/>
    <n v="31"/>
    <n v="0.5980966541010646"/>
    <n v="23"/>
    <n v="0.6160942178685059"/>
    <n v="86"/>
    <n v="0.5268258716640422"/>
    <n v="48"/>
    <n v="0.582921395438514"/>
    <n v="36"/>
    <n v="0.6065133880803877"/>
    <n v="14"/>
    <n v="0.6522703180475682"/>
    <n v="42"/>
    <n v="0.5813282507500815"/>
    <n v="50"/>
    <n v="0.5156662243533038"/>
    <n v="214"/>
    <n v="0.5066994936327929"/>
    <n v="4"/>
    <s v=""/>
    <n v="21"/>
    <s v=""/>
    <n v="34"/>
    <s v=""/>
    <n v="65"/>
    <s v=""/>
    <n v="1.857142857142857"/>
    <n v="52"/>
    <s v=""/>
    <n v="1.733333333333333"/>
    <n v="85"/>
    <s v=""/>
    <n v="1.0625"/>
    <n v="46"/>
    <s v=""/>
    <n v="0.6571428571428571"/>
    <n v="50"/>
    <n v="43"/>
    <n v="43"/>
    <n v="0"/>
    <n v="0"/>
    <n v="0"/>
    <n v="2470653.5"/>
    <n v="967983.75"/>
    <n v="979153"/>
    <n v="0"/>
    <n v="404"/>
    <n v="9199484"/>
    <n v="1821601.581809195"/>
    <n v="0"/>
    <n v="25"/>
    <n v="31.5"/>
    <n v="0"/>
    <n v="0"/>
    <n v="0"/>
    <n v="2971615.5"/>
    <n v="562781.25"/>
    <n v="717286.5"/>
    <n v="0"/>
    <n v="404"/>
    <n v="9199484"/>
    <n v="1334429.065743945"/>
    <n v="35"/>
    <n v="188"/>
    <n v="34"/>
    <n v="0"/>
    <n v="0"/>
    <n v="2929666.5"/>
    <n v="4280948"/>
    <n v="774214"/>
    <n v="0"/>
    <n v="404"/>
    <n v="9199484"/>
    <n v="1714000"/>
    <n v="35"/>
    <n v="165"/>
    <n v="65"/>
    <n v="500"/>
    <n v="0"/>
    <n v="3714356.25"/>
    <n v="1480115"/>
    <n v="11255625"/>
    <n v="0"/>
    <n v="404"/>
    <n v="9199484"/>
    <n v="3276764.705882353"/>
    <n v="30"/>
    <n v="456"/>
    <n v="30"/>
    <m/>
    <n v="0"/>
    <n v="0"/>
    <n v="10383576"/>
    <n v="675337.5"/>
    <n v="0"/>
    <n v="0"/>
    <n v="404"/>
    <n v="9199484"/>
    <n v="1512352.941176471"/>
    <n v="80"/>
    <n v="489"/>
    <n v="85"/>
    <m/>
    <n v="500"/>
    <n v="0"/>
    <n v="11135019"/>
    <n v="1913456.25"/>
    <n v="0"/>
    <n v="0"/>
    <n v="489"/>
    <n v="9199484"/>
    <n v="4285000"/>
    <n v="70"/>
    <n v="450"/>
    <n v="70"/>
    <n v="0"/>
    <n v="0"/>
    <n v="0"/>
    <n v="10246950"/>
    <n v="1575787.5"/>
    <n v="0"/>
    <n v="0"/>
    <n v="450"/>
    <n v="9199484"/>
    <n v="3528823.529411765"/>
    <n v="80"/>
    <n v="380"/>
    <n v="80"/>
    <n v="0"/>
    <n v="0"/>
    <n v="0"/>
    <n v="8652980"/>
    <n v="1800900"/>
    <n v="0"/>
    <n v="0"/>
    <n v="380"/>
    <n v="8652980"/>
    <n v="4032941.176470588"/>
    <n v="40"/>
    <n v="300"/>
    <n v="40"/>
    <n v="0"/>
    <n v="0"/>
    <m/>
    <n v="6753375"/>
    <n v="900450"/>
    <n v="0"/>
    <n v="0"/>
    <n v="300"/>
    <n v="6753375"/>
    <n v="2016470.588235294"/>
    <n v="120"/>
    <n v="260"/>
    <n v="120"/>
    <n v="0"/>
    <n v="0"/>
    <n v="0"/>
    <m/>
    <n v="5852925"/>
    <n v="2701350"/>
    <n v="0"/>
    <n v="0"/>
    <n v="260"/>
    <n v="5852925"/>
    <n v="5041008.403361345"/>
    <n v="70"/>
    <n v="140"/>
    <n v="70"/>
    <n v="0"/>
    <n v="0"/>
    <n v="3151575"/>
    <n v="1575787.5"/>
    <n v="0"/>
    <n v="0"/>
    <n v="140"/>
    <n v="3151575"/>
    <n v="3087617.647058824"/>
    <n v="250"/>
    <n v="70"/>
    <n v="250"/>
    <n v="500"/>
    <n v="500"/>
    <n v="1575787.5"/>
    <n v="5627812.5"/>
    <n v="11255625"/>
    <n v="570"/>
    <n v="12831412.5"/>
    <n v="12602941.17647059"/>
    <n v="42"/>
    <n v="320"/>
    <n v="42"/>
    <n v="0"/>
    <m/>
    <n v="7203600"/>
    <n v="956382"/>
    <n v="0"/>
    <n v="320"/>
    <n v="7203600"/>
    <n v="2117294.117647059"/>
  </r>
  <r>
    <m/>
    <x v="1"/>
    <x v="13"/>
    <x v="31"/>
    <s v="LHCAMACSUM"/>
    <x v="204"/>
    <x v="201"/>
    <x v="0"/>
    <x v="2"/>
    <n v="1"/>
    <x v="153"/>
    <n v="76"/>
    <m/>
    <n v="0"/>
    <n v="52240"/>
    <n v="3970240"/>
    <n v="58.3"/>
    <n v="52240"/>
    <n v="142848.7394957983"/>
    <n v="109235.2941176471"/>
    <s v="Shenzhen"/>
    <s v="30/70"/>
    <n v="30"/>
    <n v="100"/>
    <n v="3"/>
    <n v="1.37781074757113"/>
    <n v="7"/>
    <n v="1.52284508711696"/>
    <n v="7"/>
    <n v="1.51083397629826"/>
    <n v="6"/>
    <n v="1.4463139681163"/>
    <n v="12"/>
    <n v="1.54861943682452"/>
    <n v="42"/>
    <n v="1.399625236501"/>
    <n v="14"/>
    <n v="1.45705944041454"/>
    <n v="15"/>
    <n v="1.50481205438357"/>
    <n v="0"/>
    <s v=""/>
    <n v="0"/>
    <s v=""/>
    <n v="0"/>
    <s v=""/>
    <n v="0"/>
    <s v=""/>
    <n v="0"/>
    <s v=""/>
    <n v="0"/>
    <s v=""/>
    <n v="0"/>
    <s v=""/>
    <n v="2"/>
    <s v=""/>
    <n v="0.4"/>
    <n v="9"/>
    <s v=""/>
    <n v="1.8"/>
    <n v="9"/>
    <s v=""/>
    <n v="0.6"/>
    <n v="5"/>
    <s v=""/>
    <n v="0.5"/>
    <n v="0"/>
    <n v="0"/>
    <n v="0"/>
    <n v="0"/>
    <n v="0"/>
    <n v="0"/>
    <n v="0"/>
    <n v="0"/>
    <n v="0"/>
    <n v="0"/>
    <n v="76"/>
    <n v="3970240"/>
    <n v="0"/>
    <n v="0"/>
    <n v="1"/>
    <n v="0"/>
    <m/>
    <n v="100"/>
    <n v="0"/>
    <n v="104480"/>
    <n v="60340.49999999999"/>
    <n v="0"/>
    <n v="0"/>
    <n v="76"/>
    <n v="3970240"/>
    <n v="0"/>
    <n v="15"/>
    <n v="76"/>
    <n v="0"/>
    <n v="0"/>
    <n v="0"/>
    <n v="406182.4999999999"/>
    <n v="3970240"/>
    <n v="0"/>
    <n v="0"/>
    <n v="76"/>
    <n v="3970240"/>
    <n v="0"/>
    <n v="5"/>
    <n v="100"/>
    <n v="2"/>
    <n v="0"/>
    <n v="0"/>
    <n v="6034049.999999999"/>
    <n v="104480"/>
    <n v="0"/>
    <n v="0"/>
    <n v="76"/>
    <n v="3970240"/>
    <n v="285697.4789915967"/>
    <n v="5"/>
    <n v="85"/>
    <n v="5"/>
    <m/>
    <n v="0"/>
    <n v="0"/>
    <n v="4440400"/>
    <n v="301702.4999999999"/>
    <n v="0"/>
    <n v="0"/>
    <n v="76"/>
    <n v="3970240"/>
    <n v="714243.6974789917"/>
    <n v="15"/>
    <n v="85"/>
    <n v="9"/>
    <m/>
    <n v="0"/>
    <n v="0"/>
    <n v="4440400"/>
    <n v="543064.4999999999"/>
    <n v="0"/>
    <n v="0"/>
    <n v="85"/>
    <n v="3970240"/>
    <n v="1285638.655462185"/>
    <n v="10"/>
    <n v="81"/>
    <n v="10"/>
    <n v="0"/>
    <n v="0"/>
    <n v="0"/>
    <n v="4231440"/>
    <n v="603404.9999999999"/>
    <n v="0"/>
    <n v="0"/>
    <n v="81"/>
    <n v="3970240"/>
    <n v="1428487.394957983"/>
    <n v="12"/>
    <n v="71"/>
    <n v="12"/>
    <n v="50"/>
    <n v="50"/>
    <n v="50"/>
    <n v="3709040"/>
    <n v="724085.9999999999"/>
    <n v="3017025"/>
    <n v="3017025"/>
    <n v="121"/>
    <n v="6726065"/>
    <n v="1714184.87394958"/>
    <n v="12"/>
    <n v="109"/>
    <n v="12"/>
    <n v="0"/>
    <n v="0"/>
    <m/>
    <n v="6577114.499999999"/>
    <n v="724085.9999999999"/>
    <n v="0"/>
    <n v="0"/>
    <n v="109"/>
    <n v="6577114.499999999"/>
    <n v="1714184.87394958"/>
    <n v="20"/>
    <n v="97"/>
    <n v="20"/>
    <n v="0"/>
    <n v="0"/>
    <n v="0"/>
    <m/>
    <n v="5853028.499999999"/>
    <n v="1206810"/>
    <n v="0"/>
    <n v="0"/>
    <n v="97"/>
    <n v="5853028.499999999"/>
    <n v="2184705.882352941"/>
    <n v="15"/>
    <n v="77"/>
    <n v="15"/>
    <n v="0"/>
    <n v="0"/>
    <n v="4646218.499999999"/>
    <n v="905107.4999999999"/>
    <n v="0"/>
    <n v="0"/>
    <n v="77"/>
    <n v="4646218.499999999"/>
    <n v="1720455.882352941"/>
    <n v="30"/>
    <n v="62"/>
    <n v="30"/>
    <m/>
    <n v="0"/>
    <n v="3741111"/>
    <n v="1810215"/>
    <n v="0"/>
    <n v="62"/>
    <n v="3741111"/>
    <n v="4285462.18487395"/>
    <n v="9"/>
    <n v="32"/>
    <n v="9"/>
    <n v="0"/>
    <m/>
    <n v="1930896"/>
    <n v="470160"/>
    <n v="0"/>
    <n v="32"/>
    <n v="1930896"/>
    <n v="1285638.655462185"/>
  </r>
  <r>
    <s v="Lhotse-Smartwatch"/>
    <x v="1"/>
    <x v="14"/>
    <x v="32"/>
    <s v="LHSWFLO"/>
    <x v="205"/>
    <x v="202"/>
    <x v="0"/>
    <x v="6"/>
    <n v="1"/>
    <x v="12"/>
    <n v="11"/>
    <m/>
    <n v="0"/>
    <n v="13582"/>
    <n v="149402"/>
    <n v="12.65"/>
    <n v="13820.125"/>
    <n v="21000"/>
    <n v="18478.99159663866"/>
    <s v="Shenzhen"/>
    <s v="20/80"/>
    <n v="45"/>
    <n v="100"/>
    <n v="11"/>
    <n v="0.5685325594869186"/>
    <n v="20"/>
    <n v="0.5332121040563985"/>
    <n v="29"/>
    <n v="0.474508333104778"/>
    <n v="23"/>
    <n v="0.5468454226303181"/>
    <n v="13"/>
    <n v="0.4302132101940426"/>
    <n v="15"/>
    <n v="0.3956178876005488"/>
    <n v="8"/>
    <n v="0.4213515217402096"/>
    <n v="9"/>
    <n v="0.4809104324820186"/>
    <n v="7"/>
    <n v="0.5310331566265309"/>
    <n v="37"/>
    <n v="0.4702998578506217"/>
    <n v="31"/>
    <n v="0.4370952891164152"/>
    <n v="49"/>
    <n v="0.4368063914433626"/>
    <n v="27"/>
    <s v=""/>
    <n v="32"/>
    <s v=""/>
    <n v="28"/>
    <s v=""/>
    <n v="21"/>
    <s v=""/>
    <n v="1.05"/>
    <n v="12"/>
    <s v=""/>
    <n v="0.8"/>
    <n v="24"/>
    <s v=""/>
    <n v="1.2"/>
    <n v="1"/>
    <s v=""/>
    <n v="0.05"/>
    <n v="20"/>
    <n v="58"/>
    <n v="30"/>
    <n v="100"/>
    <n v="50"/>
    <n v="0"/>
    <n v="1439692"/>
    <n v="759379.4999999999"/>
    <n v="407460"/>
    <n v="0"/>
    <n v="11"/>
    <n v="149402"/>
    <n v="529411.7647058824"/>
    <n v="20"/>
    <n v="238"/>
    <n v="48"/>
    <n v="0"/>
    <n v="0"/>
    <n v="0"/>
    <n v="1317454"/>
    <n v="3116074.5"/>
    <n v="651936"/>
    <n v="0"/>
    <n v="11"/>
    <n v="149402"/>
    <n v="847058.8235294118"/>
    <n v="39"/>
    <n v="202"/>
    <n v="28"/>
    <n v="0"/>
    <n v="0"/>
    <n v="861909.25"/>
    <n v="2743564"/>
    <n v="380296"/>
    <n v="0"/>
    <n v="11"/>
    <n v="149402"/>
    <n v="588000"/>
    <n v="20"/>
    <n v="176"/>
    <n v="21"/>
    <n v="0"/>
    <n v="0"/>
    <n v="2304324"/>
    <n v="285222"/>
    <n v="0"/>
    <n v="0"/>
    <n v="11"/>
    <n v="149402"/>
    <n v="441000"/>
    <n v="15"/>
    <n v="23"/>
    <n v="15"/>
    <m/>
    <n v="0"/>
    <n v="0"/>
    <n v="312386"/>
    <n v="196391.25"/>
    <n v="0"/>
    <n v="0"/>
    <n v="11"/>
    <n v="149402"/>
    <n v="315000"/>
    <n v="20"/>
    <n v="35"/>
    <n v="24"/>
    <m/>
    <n v="0"/>
    <n v="0"/>
    <n v="475370"/>
    <n v="314225.9999999999"/>
    <n v="0"/>
    <n v="0"/>
    <n v="35"/>
    <n v="149402"/>
    <n v="504000"/>
    <n v="20"/>
    <n v="12"/>
    <n v="20"/>
    <n v="0"/>
    <n v="0"/>
    <n v="0"/>
    <n v="162984"/>
    <n v="261855"/>
    <n v="0"/>
    <n v="0"/>
    <n v="12"/>
    <n v="149402"/>
    <n v="420000"/>
    <n v="20"/>
    <n v="0"/>
    <n v="20"/>
    <n v="0"/>
    <n v="0"/>
    <n v="0"/>
    <n v="0"/>
    <n v="261855"/>
    <n v="0"/>
    <n v="0"/>
    <n v="0"/>
    <n v="0"/>
    <n v="420000"/>
    <n v="15"/>
    <n v="0"/>
    <n v="15"/>
    <n v="0"/>
    <n v="0"/>
    <m/>
    <n v="0"/>
    <n v="196391.25"/>
    <n v="0"/>
    <n v="0"/>
    <n v="0"/>
    <n v="0"/>
    <n v="315000"/>
    <n v="42.1"/>
    <n v="0"/>
    <n v="0"/>
    <n v="0"/>
    <n v="0"/>
    <n v="0"/>
    <m/>
    <n v="0"/>
    <n v="0"/>
    <n v="0"/>
    <n v="0"/>
    <n v="0"/>
    <n v="0"/>
    <n v="0"/>
    <n v="28"/>
    <n v="0"/>
    <n v="28"/>
    <n v="0"/>
    <n v="0"/>
    <n v="0"/>
    <n v="366596.9999999999"/>
    <n v="0"/>
    <n v="0"/>
    <n v="0"/>
    <n v="0"/>
    <n v="543282.3529411765"/>
    <n v="0"/>
    <n v="0"/>
    <n v="0"/>
    <n v="0"/>
    <n v="0"/>
    <n v="0"/>
    <n v="0"/>
    <n v="0"/>
    <n v="0"/>
    <n v="0"/>
    <n v="0"/>
    <n v="16.8"/>
    <n v="0"/>
    <n v="16.8"/>
    <n v="0"/>
    <m/>
    <n v="0"/>
    <n v="228177.6"/>
    <n v="0"/>
    <n v="0"/>
    <n v="0"/>
    <n v="352800"/>
  </r>
  <r>
    <s v="Lhotse-Smartwatch"/>
    <x v="1"/>
    <x v="14"/>
    <x v="32"/>
    <s v="LHSWFLO"/>
    <x v="206"/>
    <x v="202"/>
    <x v="0"/>
    <x v="6"/>
    <n v="1.8"/>
    <x v="12"/>
    <n v="64"/>
    <m/>
    <n v="0"/>
    <n v="13074"/>
    <n v="836736"/>
    <n v="12.65"/>
    <n v="13820.125"/>
    <n v="21000"/>
    <n v="18478.99159663866"/>
    <s v="Shenzhen"/>
    <s v="20/80"/>
    <n v="45"/>
    <n v="100"/>
    <n v="28"/>
    <n v="0.6097073282098924"/>
    <n v="18"/>
    <n v="0.5753897160068512"/>
    <n v="28"/>
    <n v="0.5252227097651341"/>
    <n v="3"/>
    <n v="0.4975050800052195"/>
    <n v="0"/>
    <s v=""/>
    <n v="6"/>
    <n v="0.4804076692101408"/>
    <n v="15"/>
    <n v="0.464132492920935"/>
    <n v="5"/>
    <n v="0.5073671509320895"/>
    <n v="5"/>
    <n v="0.4235323790862983"/>
    <n v="38"/>
    <n v="0.4245840792189477"/>
    <n v="20"/>
    <n v="0.370354078206134"/>
    <n v="44"/>
    <n v="0.4532372453294436"/>
    <n v="27"/>
    <s v=""/>
    <n v="21"/>
    <s v=""/>
    <n v="20"/>
    <s v=""/>
    <n v="16"/>
    <s v=""/>
    <n v="2.666666666666667"/>
    <n v="10"/>
    <s v=""/>
    <n v="0.5"/>
    <n v="5"/>
    <s v=""/>
    <n v="0.25"/>
    <n v="5"/>
    <s v=""/>
    <n v="0.1851851851851852"/>
    <n v="24.66666666666667"/>
    <n v="66"/>
    <n v="20"/>
    <n v="100"/>
    <n v="50"/>
    <n v="0"/>
    <n v="934791"/>
    <n v="864121.4999999999"/>
    <n v="261480"/>
    <n v="0"/>
    <n v="64"/>
    <n v="836736"/>
    <n v="352941.1764705883"/>
    <n v="20"/>
    <n v="46"/>
    <n v="31.5"/>
    <n v="0"/>
    <n v="0"/>
    <n v="0"/>
    <n v="882495"/>
    <n v="602266.4999999999"/>
    <n v="411831"/>
    <n v="0"/>
    <n v="64"/>
    <n v="836736"/>
    <n v="555882.3529411765"/>
    <n v="32"/>
    <n v="25"/>
    <n v="20"/>
    <n v="0"/>
    <n v="0"/>
    <n v="942003"/>
    <n v="326850"/>
    <n v="261480"/>
    <n v="0"/>
    <n v="64"/>
    <n v="836736"/>
    <n v="420000"/>
    <n v="6"/>
    <n v="37"/>
    <n v="16"/>
    <n v="0"/>
    <n v="0"/>
    <n v="484431.7499999999"/>
    <n v="209184"/>
    <n v="0"/>
    <n v="0"/>
    <n v="64"/>
    <n v="836736"/>
    <n v="336000"/>
    <n v="20"/>
    <n v="74"/>
    <n v="36"/>
    <m/>
    <n v="0"/>
    <n v="0"/>
    <n v="967476"/>
    <n v="471338.9999999999"/>
    <n v="0"/>
    <n v="0"/>
    <n v="64"/>
    <n v="836736"/>
    <n v="756000"/>
    <n v="20"/>
    <n v="69"/>
    <n v="5"/>
    <m/>
    <n v="0"/>
    <n v="0"/>
    <n v="902106"/>
    <n v="65463.74999999999"/>
    <n v="0"/>
    <n v="0"/>
    <n v="69"/>
    <n v="836736"/>
    <n v="105000"/>
    <n v="27"/>
    <n v="69"/>
    <n v="48.6"/>
    <n v="0"/>
    <n v="0"/>
    <n v="0"/>
    <n v="902106"/>
    <n v="636307.6499999999"/>
    <n v="0"/>
    <n v="0"/>
    <n v="69"/>
    <n v="836736"/>
    <n v="1020600"/>
    <n v="18.2"/>
    <n v="20.4"/>
    <n v="32.76"/>
    <n v="0"/>
    <n v="0"/>
    <n v="0"/>
    <n v="266709.6"/>
    <n v="428918.4899999999"/>
    <n v="0"/>
    <n v="0"/>
    <n v="20.4"/>
    <n v="266709.6"/>
    <n v="687960"/>
    <n v="16.3"/>
    <n v="0"/>
    <n v="29.34"/>
    <n v="0"/>
    <n v="0"/>
    <m/>
    <n v="0"/>
    <n v="384141.285"/>
    <n v="0"/>
    <n v="0"/>
    <n v="0"/>
    <n v="0"/>
    <n v="616140.000000000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Smartwatch"/>
    <x v="1"/>
    <x v="14"/>
    <x v="33"/>
    <n v="1652824924113"/>
    <x v="207"/>
    <x v="203"/>
    <x v="0"/>
    <x v="6"/>
    <n v="1"/>
    <x v="12"/>
    <n v="3"/>
    <m/>
    <n v="0"/>
    <n v="20635"/>
    <n v="61905"/>
    <n v="20.6"/>
    <n v="22505.5"/>
    <n v="42008.40336134454"/>
    <n v="25201.68067226891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1"/>
    <n v="0.5277059348607265"/>
    <n v="0"/>
    <s v=""/>
    <n v="3"/>
    <n v="0.55914713611212"/>
    <n v="2"/>
    <n v="0.5365101675319082"/>
    <n v="2"/>
    <n v="0.3988177945832669"/>
    <n v="0"/>
    <s v=""/>
    <n v="1"/>
    <n v="0.5614426701528493"/>
    <n v="0"/>
    <s v=""/>
    <n v="0"/>
    <s v=""/>
    <n v="0"/>
    <n v="0"/>
    <s v=""/>
    <n v="0"/>
    <n v="0"/>
    <s v=""/>
    <n v="0"/>
    <n v="0"/>
    <n v="0.5614426701528493"/>
    <n v="0"/>
    <n v="0"/>
    <n v="7"/>
    <n v="0"/>
    <n v="0"/>
    <n v="0"/>
    <n v="0"/>
    <n v="30952.5"/>
    <n v="149247"/>
    <n v="0"/>
    <n v="0"/>
    <n v="3"/>
    <n v="61905"/>
    <n v="0"/>
    <n v="0"/>
    <n v="5"/>
    <n v="1.5"/>
    <n v="0"/>
    <n v="0"/>
    <n v="0"/>
    <n v="30952.5"/>
    <n v="106605"/>
    <n v="30952.5"/>
    <n v="0"/>
    <n v="3"/>
    <n v="61905"/>
    <n v="52951.76894287128"/>
    <n v="0"/>
    <n v="4"/>
    <n v="0"/>
    <n v="0"/>
    <n v="0"/>
    <n v="42642"/>
    <n v="82540"/>
    <n v="0"/>
    <n v="0"/>
    <n v="3"/>
    <n v="61905"/>
    <n v="0"/>
    <n v="0"/>
    <n v="3"/>
    <n v="0"/>
    <n v="0"/>
    <n v="0"/>
    <n v="63963"/>
    <n v="0"/>
    <n v="0"/>
    <n v="0"/>
    <n v="3"/>
    <n v="61905"/>
    <n v="0"/>
    <n v="2"/>
    <n v="3"/>
    <n v="2"/>
    <m/>
    <n v="0"/>
    <n v="0"/>
    <n v="61905"/>
    <n v="42642"/>
    <n v="0"/>
    <n v="0"/>
    <n v="3"/>
    <n v="61905"/>
    <n v="84016.80672268909"/>
    <n v="0"/>
    <n v="3"/>
    <n v="0"/>
    <m/>
    <n v="0"/>
    <n v="0"/>
    <n v="61905"/>
    <n v="0"/>
    <n v="0"/>
    <n v="0"/>
    <n v="3"/>
    <n v="61905"/>
    <n v="0"/>
    <n v="0"/>
    <n v="3"/>
    <n v="0"/>
    <n v="0"/>
    <n v="0"/>
    <n v="0"/>
    <n v="61905"/>
    <n v="0"/>
    <n v="0"/>
    <n v="0"/>
    <n v="3"/>
    <n v="61905"/>
    <n v="0"/>
    <n v="0"/>
    <n v="3"/>
    <n v="0"/>
    <n v="0"/>
    <n v="0"/>
    <n v="0"/>
    <n v="61905"/>
    <n v="0"/>
    <n v="0"/>
    <n v="0"/>
    <n v="3"/>
    <n v="61905"/>
    <n v="0"/>
    <n v="0"/>
    <n v="3"/>
    <n v="0"/>
    <n v="0"/>
    <n v="0"/>
    <m/>
    <n v="63963"/>
    <n v="0"/>
    <n v="0"/>
    <n v="0"/>
    <n v="3"/>
    <n v="63963"/>
    <n v="0"/>
    <n v="0"/>
    <n v="3"/>
    <n v="0"/>
    <n v="0"/>
    <n v="0"/>
    <n v="0"/>
    <m/>
    <n v="63963"/>
    <n v="0"/>
    <n v="0"/>
    <n v="0"/>
    <n v="3"/>
    <n v="63963"/>
    <n v="0"/>
    <n v="0"/>
    <n v="3"/>
    <n v="0"/>
    <n v="0"/>
    <n v="0"/>
    <n v="63963"/>
    <n v="0"/>
    <n v="0"/>
    <n v="0"/>
    <n v="3"/>
    <n v="63963"/>
    <n v="0"/>
    <n v="0"/>
    <n v="3"/>
    <n v="0"/>
    <n v="0"/>
    <n v="0"/>
    <n v="63963"/>
    <n v="0"/>
    <n v="0"/>
    <n v="3"/>
    <n v="63963"/>
    <n v="0"/>
    <n v="0"/>
    <n v="3"/>
    <n v="0"/>
    <n v="0"/>
    <m/>
    <n v="63963"/>
    <n v="0"/>
    <n v="0"/>
    <n v="3"/>
    <n v="63963"/>
    <n v="0"/>
  </r>
  <r>
    <s v="Lhotse-Smartwatch"/>
    <x v="1"/>
    <x v="14"/>
    <x v="33"/>
    <n v="1639085706913"/>
    <x v="208"/>
    <x v="204"/>
    <x v="0"/>
    <x v="6"/>
    <n v="1"/>
    <x v="12"/>
    <n v="2"/>
    <m/>
    <n v="0"/>
    <n v="21290"/>
    <n v="42580"/>
    <n v="20.95"/>
    <n v="22887.875"/>
    <n v="50411.76470588236"/>
    <n v="27722.68907563025"/>
    <s v="Shenzhen"/>
    <s v="20/80"/>
    <n v="45"/>
    <n v="100"/>
    <n v="0"/>
    <n v="0.4344227193029063"/>
    <n v="1"/>
    <s v=""/>
    <n v="4"/>
    <n v="0.55285203206497"/>
    <n v="0"/>
    <s v=""/>
    <n v="0"/>
    <s v=""/>
    <n v="0"/>
    <s v=""/>
    <n v="5"/>
    <n v="0.5600987684932639"/>
    <n v="3"/>
    <n v="0.5680950255619572"/>
    <n v="3"/>
    <n v="0.5307659868343717"/>
    <n v="3"/>
    <n v="0.5776906292152661"/>
    <n v="3"/>
    <n v="0.5490763137271514"/>
    <n v="2"/>
    <n v="0.5776906292152663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2"/>
    <n v="0"/>
    <n v="0"/>
    <n v="0"/>
    <n v="0"/>
    <n v="0"/>
    <n v="43366.5"/>
    <n v="0"/>
    <n v="0"/>
    <n v="2"/>
    <n v="42580"/>
    <n v="0"/>
    <n v="0"/>
    <n v="2"/>
    <n v="0"/>
    <n v="0"/>
    <n v="0"/>
    <n v="0"/>
    <n v="0"/>
    <n v="43366.5"/>
    <n v="0"/>
    <n v="0"/>
    <n v="2"/>
    <n v="42580"/>
    <n v="0"/>
    <n v="0"/>
    <n v="2"/>
    <n v="0"/>
    <n v="0"/>
    <n v="0"/>
    <n v="0"/>
    <n v="42580"/>
    <n v="0"/>
    <n v="0"/>
    <n v="2"/>
    <n v="42580"/>
    <n v="0"/>
    <n v="0"/>
    <n v="2"/>
    <n v="0"/>
    <n v="0"/>
    <n v="0"/>
    <n v="43366.5"/>
    <n v="0"/>
    <n v="0"/>
    <n v="0"/>
    <n v="2"/>
    <n v="42580"/>
    <n v="0"/>
    <n v="0"/>
    <n v="2"/>
    <n v="0"/>
    <m/>
    <n v="0"/>
    <n v="0"/>
    <n v="42580"/>
    <n v="0"/>
    <n v="0"/>
    <n v="0"/>
    <n v="2"/>
    <n v="42580"/>
    <n v="0"/>
    <n v="0"/>
    <n v="2"/>
    <n v="0"/>
    <m/>
    <n v="0"/>
    <n v="0"/>
    <n v="42580"/>
    <n v="0"/>
    <n v="0"/>
    <n v="0"/>
    <n v="2"/>
    <n v="42580"/>
    <n v="0"/>
    <n v="0"/>
    <n v="2"/>
    <n v="0"/>
    <n v="0"/>
    <n v="0"/>
    <n v="0"/>
    <n v="42580"/>
    <n v="0"/>
    <n v="0"/>
    <n v="0"/>
    <n v="2"/>
    <n v="42580"/>
    <n v="0"/>
    <n v="0"/>
    <n v="2"/>
    <n v="0"/>
    <n v="0"/>
    <n v="0"/>
    <n v="0"/>
    <n v="42580"/>
    <n v="0"/>
    <n v="0"/>
    <n v="0"/>
    <n v="2"/>
    <n v="42580"/>
    <n v="0"/>
    <n v="0"/>
    <n v="2"/>
    <n v="0"/>
    <n v="0"/>
    <n v="0"/>
    <m/>
    <n v="43366.5"/>
    <n v="0"/>
    <n v="0"/>
    <n v="0"/>
    <n v="2"/>
    <n v="43366.5"/>
    <n v="0"/>
    <n v="0"/>
    <n v="2"/>
    <n v="0"/>
    <n v="0"/>
    <n v="0"/>
    <n v="0"/>
    <m/>
    <n v="43366.5"/>
    <n v="0"/>
    <n v="0"/>
    <n v="0"/>
    <n v="2"/>
    <n v="43366.5"/>
    <n v="0"/>
    <n v="0"/>
    <n v="2"/>
    <n v="0"/>
    <n v="0"/>
    <n v="0"/>
    <n v="43366.5"/>
    <n v="0"/>
    <n v="0"/>
    <n v="0"/>
    <n v="2"/>
    <n v="43366.5"/>
    <n v="0"/>
    <n v="0"/>
    <n v="2"/>
    <n v="0"/>
    <n v="0"/>
    <n v="0"/>
    <n v="43366.5"/>
    <n v="0"/>
    <n v="0"/>
    <n v="2"/>
    <n v="43366.5"/>
    <n v="0"/>
    <n v="0"/>
    <n v="2"/>
    <n v="0"/>
    <n v="0"/>
    <m/>
    <n v="43366.5"/>
    <n v="0"/>
    <n v="0"/>
    <n v="2"/>
    <n v="43366.5"/>
    <n v="0"/>
  </r>
  <r>
    <s v="Lhotse-Smartwatch"/>
    <x v="1"/>
    <x v="14"/>
    <x v="33"/>
    <n v="1652824942453"/>
    <x v="209"/>
    <x v="205"/>
    <x v="0"/>
    <x v="6"/>
    <n v="1"/>
    <x v="12"/>
    <n v="8"/>
    <m/>
    <n v="0"/>
    <n v="20256"/>
    <n v="162048"/>
    <n v="20.6"/>
    <n v="22505.5"/>
    <n v="42008.40336134454"/>
    <n v="25201.68067226891"/>
    <s v="Shenzhen"/>
    <s v="20/80"/>
    <n v="45"/>
    <n v="100"/>
    <n v="3"/>
    <n v="0.4998398441920194"/>
    <n v="1"/>
    <n v="0.3257381578509371"/>
    <n v="0"/>
    <n v="-0.06607894736842106"/>
    <n v="3"/>
    <n v="0.5649654214573102"/>
    <n v="0"/>
    <s v=""/>
    <n v="0"/>
    <s v=""/>
    <n v="0"/>
    <s v=""/>
    <n v="0"/>
    <s v=""/>
    <n v="1"/>
    <n v="0.3738059170865923"/>
    <n v="4"/>
    <n v="0.3916104163955107"/>
    <n v="2"/>
    <n v="0.4551607827314907"/>
    <n v="6"/>
    <n v="0.4913689370122239"/>
    <n v="0"/>
    <s v=""/>
    <n v="2"/>
    <n v="0.5193472623758302"/>
    <n v="0"/>
    <s v=""/>
    <n v="0"/>
    <s v=""/>
    <n v="0"/>
    <n v="0"/>
    <s v=""/>
    <n v="0"/>
    <n v="0"/>
    <s v=""/>
    <n v="0"/>
    <n v="0"/>
    <n v="0.5193472623758302"/>
    <n v="0"/>
    <n v="0"/>
    <n v="8"/>
    <n v="0"/>
    <n v="0"/>
    <n v="0"/>
    <n v="0"/>
    <n v="60768"/>
    <n v="170568"/>
    <n v="0"/>
    <n v="0"/>
    <n v="8"/>
    <n v="162048"/>
    <n v="0"/>
    <n v="0"/>
    <n v="10"/>
    <n v="3"/>
    <n v="0"/>
    <n v="0"/>
    <n v="0"/>
    <n v="60768"/>
    <n v="213210"/>
    <n v="60768"/>
    <n v="0"/>
    <n v="8"/>
    <n v="162048"/>
    <n v="105903.5378857426"/>
    <n v="0"/>
    <n v="8"/>
    <n v="0"/>
    <n v="0"/>
    <n v="0"/>
    <n v="63963"/>
    <n v="162048"/>
    <n v="0"/>
    <n v="0"/>
    <n v="8"/>
    <n v="162048"/>
    <n v="0"/>
    <n v="0"/>
    <n v="8"/>
    <n v="0"/>
    <n v="0"/>
    <n v="0"/>
    <n v="170568"/>
    <n v="0"/>
    <n v="0"/>
    <n v="0"/>
    <n v="8"/>
    <n v="162048"/>
    <n v="0"/>
    <n v="3"/>
    <n v="8"/>
    <n v="3"/>
    <m/>
    <n v="0"/>
    <n v="0"/>
    <n v="162048"/>
    <n v="63963"/>
    <n v="0"/>
    <n v="0"/>
    <n v="8"/>
    <n v="162048"/>
    <n v="126025.2100840336"/>
    <n v="2"/>
    <n v="8"/>
    <n v="0"/>
    <m/>
    <n v="0"/>
    <n v="0"/>
    <n v="162048"/>
    <n v="0"/>
    <n v="0"/>
    <n v="0"/>
    <n v="8"/>
    <n v="162048"/>
    <n v="0"/>
    <n v="0"/>
    <n v="8"/>
    <n v="0"/>
    <n v="0"/>
    <n v="0"/>
    <n v="0"/>
    <n v="162048"/>
    <n v="0"/>
    <n v="0"/>
    <n v="0"/>
    <n v="8"/>
    <n v="162048"/>
    <n v="0"/>
    <n v="0"/>
    <n v="8"/>
    <n v="0"/>
    <n v="0"/>
    <n v="0"/>
    <n v="0"/>
    <n v="162048"/>
    <n v="0"/>
    <n v="0"/>
    <n v="0"/>
    <n v="8"/>
    <n v="162048"/>
    <n v="0"/>
    <n v="0"/>
    <n v="8"/>
    <n v="0"/>
    <n v="0"/>
    <n v="0"/>
    <m/>
    <n v="170568"/>
    <n v="0"/>
    <n v="0"/>
    <n v="0"/>
    <n v="8"/>
    <n v="170568"/>
    <n v="0"/>
    <n v="0"/>
    <n v="8"/>
    <n v="0"/>
    <n v="0"/>
    <n v="0"/>
    <n v="0"/>
    <m/>
    <n v="170568"/>
    <n v="0"/>
    <n v="0"/>
    <n v="0"/>
    <n v="8"/>
    <n v="170568"/>
    <n v="0"/>
    <n v="0"/>
    <n v="8"/>
    <n v="0"/>
    <n v="0"/>
    <n v="0"/>
    <n v="170568"/>
    <n v="0"/>
    <n v="0"/>
    <n v="0"/>
    <n v="8"/>
    <n v="170568"/>
    <n v="0"/>
    <n v="0"/>
    <n v="8"/>
    <n v="0"/>
    <n v="0"/>
    <n v="0"/>
    <n v="170568"/>
    <n v="0"/>
    <n v="0"/>
    <n v="8"/>
    <n v="170568"/>
    <n v="0"/>
    <n v="0"/>
    <n v="8"/>
    <n v="0"/>
    <n v="0"/>
    <m/>
    <n v="170568"/>
    <n v="0"/>
    <n v="0"/>
    <n v="8"/>
    <n v="170568"/>
    <n v="0"/>
  </r>
  <r>
    <s v="Lhotse-Smartwatch"/>
    <x v="1"/>
    <x v="14"/>
    <x v="33"/>
    <n v="1652824957424"/>
    <x v="210"/>
    <x v="206"/>
    <x v="0"/>
    <x v="6"/>
    <n v="1"/>
    <x v="12"/>
    <n v="4"/>
    <m/>
    <n v="0"/>
    <n v="20647"/>
    <n v="82588"/>
    <n v="20.6"/>
    <n v="22505.5"/>
    <n v="42008.40336134454"/>
    <n v="25201.68067226891"/>
    <s v="Shenzhen"/>
    <s v="20/80"/>
    <n v="45"/>
    <n v="100"/>
    <n v="0"/>
    <n v="0.5319330779170728"/>
    <n v="0"/>
    <s v=""/>
    <n v="2"/>
    <n v="1.429919833420094"/>
    <n v="3"/>
    <n v="0.4985086590075538"/>
    <n v="0"/>
    <s v=""/>
    <n v="1"/>
    <s v=""/>
    <n v="1"/>
    <s v=""/>
    <n v="0"/>
    <n v="0.4218336086919997"/>
    <n v="1"/>
    <n v="0.5274335675539584"/>
    <n v="2"/>
    <n v="0.4131819409114809"/>
    <n v="2"/>
    <n v="0.4446399031672382"/>
    <n v="6"/>
    <n v="0.485352175800185"/>
    <n v="0"/>
    <s v=""/>
    <n v="1"/>
    <n v="0.02262517518979721"/>
    <n v="0"/>
    <s v=""/>
    <n v="0"/>
    <s v=""/>
    <n v="0"/>
    <n v="0"/>
    <s v=""/>
    <n v="0"/>
    <n v="0"/>
    <s v=""/>
    <n v="0"/>
    <n v="0"/>
    <n v="0.02262517518979721"/>
    <n v="0"/>
    <n v="0"/>
    <n v="4"/>
    <n v="0"/>
    <n v="0"/>
    <n v="0"/>
    <n v="0"/>
    <n v="30970.5"/>
    <n v="85284"/>
    <n v="0"/>
    <n v="0"/>
    <n v="4"/>
    <n v="82588"/>
    <n v="0"/>
    <n v="0"/>
    <n v="5"/>
    <n v="1.5"/>
    <n v="0"/>
    <n v="0"/>
    <n v="0"/>
    <n v="30970.5"/>
    <n v="106605"/>
    <n v="30970.5"/>
    <n v="0"/>
    <n v="4"/>
    <n v="82588"/>
    <n v="52951.76894287128"/>
    <n v="0"/>
    <n v="4"/>
    <n v="0"/>
    <n v="0"/>
    <n v="0"/>
    <n v="21321"/>
    <n v="82588"/>
    <n v="0"/>
    <n v="0"/>
    <n v="4"/>
    <n v="82588"/>
    <n v="0"/>
    <n v="0"/>
    <n v="4"/>
    <n v="0"/>
    <n v="0"/>
    <n v="0"/>
    <n v="85284"/>
    <n v="0"/>
    <n v="0"/>
    <n v="0"/>
    <n v="4"/>
    <n v="82588"/>
    <n v="0"/>
    <n v="1"/>
    <n v="4"/>
    <n v="1"/>
    <m/>
    <n v="0"/>
    <n v="0"/>
    <n v="82588"/>
    <n v="21321"/>
    <n v="0"/>
    <n v="0"/>
    <n v="4"/>
    <n v="82588"/>
    <n v="42008.40336134454"/>
    <n v="0"/>
    <n v="4"/>
    <n v="0"/>
    <m/>
    <n v="0"/>
    <n v="0"/>
    <n v="82588"/>
    <n v="0"/>
    <n v="0"/>
    <n v="0"/>
    <n v="4"/>
    <n v="82588"/>
    <n v="0"/>
    <n v="0"/>
    <n v="4"/>
    <n v="0"/>
    <n v="0"/>
    <n v="0"/>
    <n v="0"/>
    <n v="82588"/>
    <n v="0"/>
    <n v="0"/>
    <n v="0"/>
    <n v="4"/>
    <n v="82588"/>
    <n v="0"/>
    <n v="0"/>
    <n v="4"/>
    <n v="0"/>
    <n v="0"/>
    <n v="0"/>
    <n v="0"/>
    <n v="82588"/>
    <n v="0"/>
    <n v="0"/>
    <n v="0"/>
    <n v="4"/>
    <n v="82588"/>
    <n v="0"/>
    <n v="0"/>
    <n v="4"/>
    <n v="0"/>
    <n v="0"/>
    <n v="0"/>
    <m/>
    <n v="85284"/>
    <n v="0"/>
    <n v="0"/>
    <n v="0"/>
    <n v="4"/>
    <n v="85284"/>
    <n v="0"/>
    <n v="0"/>
    <n v="4"/>
    <n v="0"/>
    <n v="0"/>
    <n v="0"/>
    <n v="0"/>
    <m/>
    <n v="85284"/>
    <n v="0"/>
    <n v="0"/>
    <n v="0"/>
    <n v="4"/>
    <n v="85284"/>
    <n v="0"/>
    <n v="0"/>
    <n v="4"/>
    <n v="0"/>
    <n v="0"/>
    <n v="0"/>
    <n v="85284"/>
    <n v="0"/>
    <n v="0"/>
    <n v="0"/>
    <n v="4"/>
    <n v="85284"/>
    <n v="0"/>
    <n v="0"/>
    <n v="4"/>
    <n v="0"/>
    <n v="0"/>
    <n v="0"/>
    <n v="85284"/>
    <n v="0"/>
    <n v="0"/>
    <n v="4"/>
    <n v="85284"/>
    <n v="0"/>
    <n v="0"/>
    <n v="4"/>
    <n v="0"/>
    <n v="0"/>
    <m/>
    <n v="85284"/>
    <n v="0"/>
    <n v="0"/>
    <n v="4"/>
    <n v="85284"/>
    <n v="0"/>
  </r>
  <r>
    <s v="Lhotse-Smartwatch"/>
    <x v="1"/>
    <x v="14"/>
    <x v="33"/>
    <s v="LHSWVIBBK"/>
    <x v="211"/>
    <x v="207"/>
    <x v="0"/>
    <x v="3"/>
    <n v="1"/>
    <x v="154"/>
    <n v="93"/>
    <m/>
    <n v="0"/>
    <n v="29150"/>
    <n v="2710950"/>
    <n v="29.65"/>
    <n v="32392.625"/>
    <n v="67218.48739495799"/>
    <n v="67218.48739495799"/>
    <s v="Shenzhen"/>
    <s v="20/80"/>
    <n v="45"/>
    <n v="100"/>
    <n v="5"/>
    <n v="0.5962883567273599"/>
    <n v="19"/>
    <n v="0.5182875457206999"/>
    <n v="14"/>
    <n v="0.537126545009607"/>
    <n v="35"/>
    <n v="0.626743499932488"/>
    <n v="11"/>
    <n v="0.5976235241325265"/>
    <n v="19"/>
    <n v="0.5187367613574355"/>
    <n v="34"/>
    <n v="0.5067068753042098"/>
    <n v="22"/>
    <n v="0.4719194920550853"/>
    <n v="12"/>
    <n v="0.4970280957462707"/>
    <n v="41"/>
    <n v="0.3868885263267245"/>
    <n v="44"/>
    <n v="0.4513917295956013"/>
    <n v="128"/>
    <n v="0.4878655188217387"/>
    <n v="50"/>
    <s v=""/>
    <n v="42"/>
    <s v=""/>
    <n v="20"/>
    <s v=""/>
    <n v="1"/>
    <s v=""/>
    <n v="0.04"/>
    <n v="0"/>
    <s v=""/>
    <n v="0"/>
    <n v="0"/>
    <s v=""/>
    <n v="0"/>
    <n v="4"/>
    <s v=""/>
    <n v="0.08"/>
    <n v="25"/>
    <n v="100"/>
    <n v="35"/>
    <n v="0"/>
    <n v="100"/>
    <n v="0"/>
    <n v="3439700"/>
    <n v="3068775"/>
    <n v="1020250"/>
    <n v="0"/>
    <n v="93"/>
    <n v="2710950"/>
    <n v="1977014.335145823"/>
    <n v="25"/>
    <n v="71"/>
    <n v="63"/>
    <n v="0"/>
    <n v="0"/>
    <n v="0"/>
    <n v="2448600"/>
    <n v="2178830.25"/>
    <n v="1836450"/>
    <n v="0"/>
    <n v="93"/>
    <n v="2710950"/>
    <n v="3558625.803262482"/>
    <n v="50"/>
    <n v="32"/>
    <n v="20"/>
    <n v="0"/>
    <n v="0"/>
    <n v="1686221.25"/>
    <n v="932800"/>
    <n v="583000"/>
    <n v="0"/>
    <n v="93"/>
    <n v="2710950"/>
    <n v="1344369.74789916"/>
    <n v="25"/>
    <n v="1"/>
    <n v="1"/>
    <n v="0"/>
    <n v="0"/>
    <n v="30687.75"/>
    <n v="29150"/>
    <n v="0"/>
    <n v="0"/>
    <n v="93"/>
    <n v="2710950"/>
    <n v="67218.48739495799"/>
    <n v="35"/>
    <n v="93"/>
    <n v="35"/>
    <m/>
    <n v="0"/>
    <n v="0"/>
    <n v="2710950"/>
    <n v="1074071.25"/>
    <n v="0"/>
    <n v="0"/>
    <n v="93"/>
    <n v="2710950"/>
    <n v="2352647.05882353"/>
    <n v="60"/>
    <n v="93"/>
    <n v="0"/>
    <m/>
    <n v="0"/>
    <n v="0"/>
    <n v="2710950"/>
    <n v="0"/>
    <n v="0"/>
    <n v="0"/>
    <n v="93"/>
    <n v="2710950"/>
    <n v="0"/>
    <n v="50"/>
    <n v="97"/>
    <n v="50"/>
    <n v="100"/>
    <n v="100"/>
    <n v="0"/>
    <n v="2827550"/>
    <n v="1534387.5"/>
    <n v="2966482.5"/>
    <n v="0"/>
    <n v="97"/>
    <n v="2710950"/>
    <n v="3360924.369747899"/>
    <n v="44"/>
    <n v="47"/>
    <n v="44"/>
    <n v="100"/>
    <n v="100"/>
    <n v="0"/>
    <n v="1370050"/>
    <n v="1350261"/>
    <n v="3068775"/>
    <n v="0"/>
    <n v="147"/>
    <n v="1370050"/>
    <n v="2957613.445378152"/>
    <n v="35"/>
    <n v="3"/>
    <n v="35"/>
    <n v="100"/>
    <n v="100"/>
    <n v="200"/>
    <n v="92063.24999999999"/>
    <n v="1074071.25"/>
    <n v="3068775"/>
    <n v="6137549.999999999"/>
    <n v="203"/>
    <n v="6229613.249999999"/>
    <n v="2352647.05882353"/>
    <n v="60"/>
    <n v="168"/>
    <n v="60"/>
    <n v="0"/>
    <n v="0"/>
    <n v="0"/>
    <m/>
    <n v="5155541.999999999"/>
    <n v="1841265"/>
    <n v="0"/>
    <n v="0"/>
    <n v="168"/>
    <n v="5155541.999999999"/>
    <n v="4033109.243697479"/>
    <n v="50"/>
    <n v="108"/>
    <n v="50"/>
    <n v="0"/>
    <n v="0"/>
    <n v="3314277"/>
    <n v="1534387.5"/>
    <n v="0"/>
    <n v="0"/>
    <n v="108"/>
    <n v="3314277"/>
    <n v="3528970.588235294"/>
    <n v="61"/>
    <n v="58"/>
    <n v="61"/>
    <n v="0"/>
    <n v="0"/>
    <n v="1779889.5"/>
    <n v="1871952.75"/>
    <n v="0"/>
    <n v="58"/>
    <n v="1779889.5"/>
    <n v="4100327.731092438"/>
    <n v="30"/>
    <n v="0"/>
    <n v="30"/>
    <n v="0"/>
    <m/>
    <n v="0"/>
    <n v="874500"/>
    <n v="0"/>
    <n v="0"/>
    <n v="0"/>
    <n v="2016554.62184874"/>
  </r>
  <r>
    <s v="Lhotse-Smartwatch"/>
    <x v="1"/>
    <x v="14"/>
    <x v="33"/>
    <s v="LHSWVIBCR"/>
    <x v="212"/>
    <x v="208"/>
    <x v="0"/>
    <x v="3"/>
    <n v="1"/>
    <x v="155"/>
    <n v="92"/>
    <m/>
    <n v="0"/>
    <n v="28872"/>
    <n v="2656224"/>
    <n v="29.65"/>
    <n v="32392.625"/>
    <n v="67218.48739495799"/>
    <n v="67218.48739495799"/>
    <s v="Shenzhen"/>
    <s v="20/80"/>
    <n v="45"/>
    <n v="100"/>
    <n v="3"/>
    <n v="0.5940678415307762"/>
    <n v="12"/>
    <n v="0.5668466903147772"/>
    <n v="16"/>
    <n v="0.4940991453385815"/>
    <n v="14"/>
    <n v="0.5858179642658369"/>
    <n v="18"/>
    <n v="0.6115404625014783"/>
    <n v="34"/>
    <n v="0.4699570192884019"/>
    <n v="33"/>
    <n v="0.5238845978815075"/>
    <n v="25"/>
    <n v="0.5611432773735169"/>
    <n v="16"/>
    <n v="0.5640170350472532"/>
    <n v="28"/>
    <n v="0.4638910837130868"/>
    <n v="26"/>
    <n v="0.4726742799537123"/>
    <n v="69"/>
    <n v="0.451574154585433"/>
    <n v="44"/>
    <s v=""/>
    <n v="27"/>
    <s v=""/>
    <n v="34"/>
    <s v=""/>
    <n v="1"/>
    <s v=""/>
    <n v="0.06666666666666667"/>
    <n v="1"/>
    <s v=""/>
    <n v="0.02857142857142857"/>
    <n v="0"/>
    <s v=""/>
    <n v="0"/>
    <n v="6"/>
    <s v=""/>
    <n v="0.1714285714285714"/>
    <n v="15"/>
    <n v="98"/>
    <n v="18"/>
    <n v="0"/>
    <n v="199"/>
    <n v="0"/>
    <n v="2670660"/>
    <n v="3007399.5"/>
    <n v="519696"/>
    <n v="0"/>
    <n v="92"/>
    <n v="2656224"/>
    <n v="1016750.229503566"/>
    <n v="15"/>
    <n v="68"/>
    <n v="40.5"/>
    <n v="0"/>
    <n v="0"/>
    <n v="0"/>
    <n v="2179836"/>
    <n v="2086767"/>
    <n v="1169316"/>
    <n v="0"/>
    <n v="92"/>
    <n v="2656224"/>
    <n v="2287688.016383024"/>
    <n v="30"/>
    <n v="29"/>
    <n v="34"/>
    <n v="0"/>
    <n v="0"/>
    <n v="2084591.25"/>
    <n v="837288"/>
    <n v="981648"/>
    <n v="0"/>
    <n v="92"/>
    <n v="2656224"/>
    <n v="2285428.571428572"/>
    <n v="15"/>
    <n v="1"/>
    <n v="1"/>
    <n v="0"/>
    <n v="0"/>
    <n v="30687.75"/>
    <n v="28872"/>
    <n v="0"/>
    <n v="0"/>
    <n v="92"/>
    <n v="2656224"/>
    <n v="67218.48739495799"/>
    <n v="35"/>
    <n v="93"/>
    <n v="35"/>
    <m/>
    <n v="0"/>
    <n v="0"/>
    <n v="2685096"/>
    <n v="1074071.25"/>
    <n v="0"/>
    <n v="0"/>
    <n v="92"/>
    <n v="2656224"/>
    <n v="2352647.05882353"/>
    <n v="50"/>
    <n v="92"/>
    <n v="0"/>
    <m/>
    <n v="0"/>
    <n v="0"/>
    <n v="2656224"/>
    <n v="0"/>
    <n v="0"/>
    <n v="0"/>
    <n v="92"/>
    <n v="2656224"/>
    <n v="0"/>
    <n v="35"/>
    <n v="98"/>
    <n v="35"/>
    <n v="100"/>
    <n v="100"/>
    <n v="0"/>
    <n v="2829456"/>
    <n v="1074071.25"/>
    <n v="2966482.5"/>
    <n v="0"/>
    <n v="98"/>
    <n v="2656224"/>
    <n v="2352647.05882353"/>
    <n v="35"/>
    <n v="63"/>
    <n v="35"/>
    <n v="100"/>
    <n v="100"/>
    <n v="0"/>
    <n v="1818936"/>
    <n v="1074071.25"/>
    <n v="3068775"/>
    <n v="0"/>
    <n v="163"/>
    <n v="1818936"/>
    <n v="2352647.05882353"/>
    <n v="26"/>
    <n v="28"/>
    <n v="26"/>
    <n v="0"/>
    <n v="0"/>
    <n v="100"/>
    <n v="859256.9999999999"/>
    <n v="797881.4999999999"/>
    <n v="0"/>
    <n v="3068775"/>
    <n v="128"/>
    <n v="3928032"/>
    <n v="1747680.672268908"/>
    <n v="50"/>
    <n v="102"/>
    <n v="50"/>
    <n v="0"/>
    <n v="0"/>
    <n v="0"/>
    <m/>
    <n v="3130150.5"/>
    <n v="1534387.5"/>
    <n v="0"/>
    <n v="0"/>
    <n v="102"/>
    <n v="3130150.5"/>
    <n v="3360924.369747899"/>
    <n v="40"/>
    <n v="52"/>
    <n v="40"/>
    <n v="0"/>
    <n v="0"/>
    <n v="1595763"/>
    <n v="1227510"/>
    <n v="0"/>
    <n v="0"/>
    <n v="52"/>
    <n v="1595763"/>
    <n v="2823176.470588236"/>
    <n v="15"/>
    <n v="12"/>
    <n v="15"/>
    <n v="0"/>
    <n v="0"/>
    <n v="368252.9999999999"/>
    <n v="460316.2499999999"/>
    <n v="0"/>
    <n v="12"/>
    <n v="368252.9999999999"/>
    <n v="1008277.31092437"/>
    <n v="24"/>
    <n v="0"/>
    <n v="24"/>
    <n v="0"/>
    <m/>
    <n v="0"/>
    <n v="692928"/>
    <n v="0"/>
    <n v="0"/>
    <n v="0"/>
    <n v="1613243.697478992"/>
  </r>
  <r>
    <s v="Lhotse-Smartwatch"/>
    <x v="1"/>
    <x v="14"/>
    <x v="33"/>
    <s v="LHSWRHYX10"/>
    <x v="213"/>
    <x v="209"/>
    <x v="0"/>
    <x v="6"/>
    <n v="1"/>
    <x v="12"/>
    <n v="-1"/>
    <m/>
    <n v="0"/>
    <n v="22305"/>
    <n v="-22305"/>
    <n v="19.5"/>
    <n v="21303.75"/>
    <n v="37806.72268907564"/>
    <n v="27722.68907563025"/>
    <s v="Shenzhen"/>
    <s v="20/80"/>
    <n v="30"/>
    <n v="100"/>
    <n v="19"/>
    <n v="0.4845223815887214"/>
    <n v="16"/>
    <n v="0.4593606453764115"/>
    <n v="10"/>
    <n v="0.4802065226386326"/>
    <n v="2"/>
    <n v="0.5151196865117976"/>
    <n v="1"/>
    <n v="0.5151220144028806"/>
    <n v="3"/>
    <n v="0.4706518615982394"/>
    <n v="5"/>
    <n v="0.3593505462979918"/>
    <n v="2"/>
    <n v="0.4321554881247207"/>
    <n v="2"/>
    <n v="0.3337188744822333"/>
    <n v="105"/>
    <n v="0.2111648872776061"/>
    <n v="4"/>
    <n v="0.3583253382047281"/>
    <n v="9"/>
    <n v="0.3563848951909333"/>
    <n v="0"/>
    <s v=""/>
    <n v="7"/>
    <s v=""/>
    <n v="13"/>
    <s v=""/>
    <n v="8"/>
    <s v=""/>
    <n v="0"/>
    <n v="18"/>
    <s v=""/>
    <n v="18"/>
    <n v="17"/>
    <s v=""/>
    <n v="5.666666666666667"/>
    <n v="4"/>
    <s v=""/>
    <n v="0.8"/>
    <n v="0"/>
    <n v="2"/>
    <n v="0"/>
    <n v="0"/>
    <n v="0"/>
    <n v="0"/>
    <n v="524167.5"/>
    <n v="40365"/>
    <n v="0"/>
    <n v="0"/>
    <n v="-1"/>
    <n v="-22305"/>
    <n v="0"/>
    <n v="0"/>
    <n v="74"/>
    <n v="10.5"/>
    <n v="0"/>
    <n v="0"/>
    <n v="0"/>
    <n v="702607.5"/>
    <n v="1493505"/>
    <n v="234202.5"/>
    <n v="0"/>
    <n v="-1"/>
    <n v="-22305"/>
    <n v="333588.729609491"/>
    <n v="0"/>
    <n v="65"/>
    <n v="13"/>
    <n v="0"/>
    <n v="0"/>
    <n v="488587.5"/>
    <n v="1449825"/>
    <n v="289965"/>
    <n v="0"/>
    <n v="-1"/>
    <n v="-22305"/>
    <n v="491487.3949579833"/>
    <n v="0"/>
    <n v="53"/>
    <n v="8"/>
    <n v="0"/>
    <n v="0"/>
    <n v="1069672.5"/>
    <n v="178440"/>
    <n v="0"/>
    <n v="0"/>
    <n v="-1"/>
    <n v="-22305"/>
    <n v="302453.7815126051"/>
    <n v="1"/>
    <n v="17"/>
    <n v="1"/>
    <m/>
    <n v="0"/>
    <n v="0"/>
    <n v="379185"/>
    <n v="20182.5"/>
    <n v="0"/>
    <n v="0"/>
    <n v="-1"/>
    <n v="-22305"/>
    <n v="37806.72268907564"/>
    <n v="3"/>
    <n v="16"/>
    <n v="17"/>
    <m/>
    <n v="0"/>
    <n v="0"/>
    <n v="356880"/>
    <n v="343102.5"/>
    <n v="0"/>
    <n v="0"/>
    <n v="16"/>
    <n v="-22305"/>
    <n v="642714.2857142858"/>
    <n v="5"/>
    <n v="3"/>
    <n v="5"/>
    <n v="0"/>
    <n v="0"/>
    <n v="0"/>
    <n v="66915"/>
    <n v="100912.5"/>
    <n v="0"/>
    <n v="0"/>
    <n v="3"/>
    <n v="-22305"/>
    <n v="189033.6134453782"/>
    <n v="2"/>
    <n v="0"/>
    <n v="2"/>
    <n v="0"/>
    <n v="0"/>
    <n v="0"/>
    <n v="0"/>
    <n v="40365"/>
    <n v="0"/>
    <n v="0"/>
    <n v="0"/>
    <n v="0"/>
    <n v="75613.44537815127"/>
    <n v="47"/>
    <n v="0"/>
    <n v="47"/>
    <n v="0"/>
    <n v="0"/>
    <m/>
    <n v="0"/>
    <n v="948577.5"/>
    <n v="0"/>
    <n v="0"/>
    <n v="0"/>
    <n v="0"/>
    <n v="1776915.96638655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Smartwatch"/>
    <x v="1"/>
    <x v="14"/>
    <x v="33"/>
    <s v="LHSWRHYX10"/>
    <x v="214"/>
    <x v="209"/>
    <x v="0"/>
    <x v="6"/>
    <n v="1"/>
    <x v="12"/>
    <n v="-2"/>
    <m/>
    <n v="0"/>
    <n v="21769"/>
    <n v="-43538"/>
    <n v="19.5"/>
    <n v="21303.75"/>
    <n v="37806.72268907564"/>
    <n v="27722.68907563025"/>
    <s v="Shenzhen"/>
    <s v="20/80"/>
    <n v="30"/>
    <n v="100"/>
    <n v="16"/>
    <n v="0.4645280989875271"/>
    <n v="20"/>
    <n v="0.4836271882690142"/>
    <n v="9"/>
    <n v="0.4022758756428081"/>
    <n v="2"/>
    <n v="0.5587396253411545"/>
    <n v="2"/>
    <n v="0.5587396253411545"/>
    <n v="2"/>
    <n v="0.4792913112477683"/>
    <n v="8"/>
    <n v="0.4031240629019307"/>
    <n v="2"/>
    <n v="0.4624908171754016"/>
    <n v="2"/>
    <n v="0.4119041084381214"/>
    <n v="42"/>
    <n v="0.2430476914253338"/>
    <n v="11"/>
    <n v="0.3573332349270676"/>
    <n v="41"/>
    <n v="0.3734797293779921"/>
    <n v="7"/>
    <s v=""/>
    <n v="21"/>
    <s v=""/>
    <n v="37"/>
    <s v=""/>
    <n v="24"/>
    <s v=""/>
    <n v="2.4"/>
    <n v="0"/>
    <s v=""/>
    <n v="0"/>
    <n v="1"/>
    <s v=""/>
    <n v="0.3333333333333333"/>
    <n v="0"/>
    <s v=""/>
    <n v="0"/>
    <n v="15"/>
    <n v="98"/>
    <n v="10"/>
    <n v="0"/>
    <n v="0"/>
    <n v="0"/>
    <n v="1708866.5"/>
    <n v="1977885"/>
    <n v="217690"/>
    <n v="0"/>
    <n v="-2"/>
    <n v="-43538"/>
    <n v="317703.552009039"/>
    <n v="10"/>
    <n v="89"/>
    <n v="31.5"/>
    <n v="0"/>
    <n v="0"/>
    <n v="0"/>
    <n v="2013632.5"/>
    <n v="1796242.5"/>
    <n v="685723.5"/>
    <n v="0"/>
    <n v="-2"/>
    <n v="-43538"/>
    <n v="1000766.188828473"/>
    <n v="15"/>
    <n v="70"/>
    <n v="37"/>
    <n v="0"/>
    <n v="0"/>
    <n v="1388456.5"/>
    <n v="1523830"/>
    <n v="805453"/>
    <n v="0"/>
    <n v="-2"/>
    <n v="-43538"/>
    <n v="1398848.739495798"/>
    <n v="10"/>
    <n v="31"/>
    <n v="24"/>
    <n v="0"/>
    <n v="0"/>
    <n v="625657.5"/>
    <n v="522456"/>
    <n v="0"/>
    <n v="0"/>
    <n v="-2"/>
    <n v="-43538"/>
    <n v="907361.3445378153"/>
    <n v="3"/>
    <n v="-2"/>
    <n v="3"/>
    <m/>
    <n v="0"/>
    <n v="0"/>
    <n v="-43538"/>
    <n v="60547.5"/>
    <n v="0"/>
    <n v="0"/>
    <n v="-2"/>
    <n v="-43538"/>
    <n v="113420.1680672269"/>
    <n v="3"/>
    <n v="-1"/>
    <n v="1"/>
    <m/>
    <n v="0"/>
    <n v="0"/>
    <n v="-21769"/>
    <n v="20182.5"/>
    <n v="0"/>
    <n v="0"/>
    <n v="-1"/>
    <n v="-43538"/>
    <n v="37806.72268907564"/>
    <n v="12"/>
    <n v="-2"/>
    <n v="12"/>
    <n v="0"/>
    <n v="0"/>
    <n v="0"/>
    <n v="-43538"/>
    <n v="242190"/>
    <n v="0"/>
    <n v="0"/>
    <n v="-2"/>
    <n v="-43538"/>
    <n v="453680.6722689077"/>
    <n v="3"/>
    <n v="0"/>
    <n v="3"/>
    <n v="0"/>
    <n v="0"/>
    <n v="0"/>
    <n v="0"/>
    <n v="60547.5"/>
    <n v="0"/>
    <n v="0"/>
    <n v="0"/>
    <n v="0"/>
    <n v="113420.1680672269"/>
    <n v="14"/>
    <n v="0"/>
    <n v="14"/>
    <n v="0"/>
    <n v="0"/>
    <m/>
    <n v="0"/>
    <n v="282555"/>
    <n v="0"/>
    <n v="0"/>
    <n v="0"/>
    <n v="0"/>
    <n v="529294.117647058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Smartwatch"/>
    <x v="1"/>
    <x v="14"/>
    <x v="33"/>
    <s v="LHSWMOVON7"/>
    <x v="215"/>
    <x v="210"/>
    <x v="0"/>
    <x v="6"/>
    <n v="1"/>
    <x v="12"/>
    <n v="9"/>
    <m/>
    <n v="0"/>
    <n v="22124"/>
    <n v="199116"/>
    <n v="21"/>
    <n v="22942.5"/>
    <n v="42008.40336134454"/>
    <n v="42008.40336134454"/>
    <s v="Shenzhen"/>
    <s v="30/70"/>
    <n v="30"/>
    <n v="100"/>
    <n v="18"/>
    <n v="0.5552029797910659"/>
    <n v="27"/>
    <n v="0.5515869691043137"/>
    <n v="12"/>
    <n v="0.5417695273009733"/>
    <n v="14"/>
    <n v="0.5271333594342411"/>
    <n v="7"/>
    <n v="0.5160339003399856"/>
    <n v="23"/>
    <n v="0.4467854187818482"/>
    <n v="9"/>
    <n v="0.4583236265653772"/>
    <n v="14"/>
    <n v="0.5000324169050016"/>
    <n v="11"/>
    <n v="0.4704822907339778"/>
    <n v="24"/>
    <n v="0.3852958539188143"/>
    <n v="14"/>
    <n v="0.4329288975269177"/>
    <n v="40"/>
    <n v="0.4537702356982428"/>
    <n v="21"/>
    <s v=""/>
    <n v="15"/>
    <s v=""/>
    <n v="7"/>
    <s v=""/>
    <n v="0"/>
    <s v=""/>
    <n v="0"/>
    <n v="0"/>
    <s v=""/>
    <n v="0"/>
    <n v="-3"/>
    <s v=""/>
    <n v="0"/>
    <n v="0"/>
    <s v=""/>
    <n v="0"/>
    <n v="19"/>
    <n v="71"/>
    <n v="21"/>
    <n v="0"/>
    <n v="0"/>
    <n v="0"/>
    <n v="1117262"/>
    <n v="1543185"/>
    <n v="464604"/>
    <n v="0"/>
    <n v="9"/>
    <n v="199116"/>
    <n v="741324.7652001978"/>
    <n v="20"/>
    <n v="36"/>
    <n v="22.5"/>
    <n v="0"/>
    <n v="0"/>
    <n v="0"/>
    <n v="652658"/>
    <n v="782460"/>
    <n v="497790"/>
    <n v="0"/>
    <n v="9"/>
    <n v="199116"/>
    <n v="794276.5341430691"/>
    <n v="20"/>
    <n v="18"/>
    <n v="7"/>
    <n v="0"/>
    <n v="0"/>
    <n v="154868"/>
    <n v="398232"/>
    <n v="154868"/>
    <n v="0"/>
    <n v="9"/>
    <n v="199116"/>
    <n v="294058.8235294118"/>
    <n v="12"/>
    <n v="9"/>
    <n v="0"/>
    <n v="0"/>
    <n v="0"/>
    <n v="195615"/>
    <n v="0"/>
    <n v="0"/>
    <n v="0"/>
    <n v="9"/>
    <n v="199116"/>
    <n v="0"/>
    <n v="0"/>
    <n v="9"/>
    <n v="0"/>
    <m/>
    <n v="0"/>
    <n v="0"/>
    <n v="199116"/>
    <n v="0"/>
    <n v="0"/>
    <n v="0"/>
    <n v="9"/>
    <n v="199116"/>
    <n v="0"/>
    <n v="0"/>
    <n v="6"/>
    <n v="-3"/>
    <m/>
    <n v="0"/>
    <n v="0"/>
    <n v="132744"/>
    <n v="-65205"/>
    <n v="0"/>
    <n v="0"/>
    <n v="6"/>
    <n v="199116"/>
    <n v="-126025.2100840336"/>
    <n v="0"/>
    <n v="9"/>
    <n v="0"/>
    <n v="0"/>
    <n v="0"/>
    <n v="0"/>
    <n v="199116"/>
    <n v="0"/>
    <n v="0"/>
    <n v="0"/>
    <n v="9"/>
    <n v="199116"/>
    <n v="0"/>
    <n v="0"/>
    <n v="9"/>
    <n v="0"/>
    <n v="0"/>
    <n v="0"/>
    <n v="0"/>
    <n v="199116"/>
    <n v="0"/>
    <n v="0"/>
    <n v="0"/>
    <n v="9"/>
    <n v="199116"/>
    <n v="0"/>
    <n v="0"/>
    <n v="9"/>
    <n v="0"/>
    <n v="0"/>
    <n v="0"/>
    <m/>
    <n v="195615"/>
    <n v="0"/>
    <n v="0"/>
    <n v="0"/>
    <n v="9"/>
    <n v="195615"/>
    <n v="0"/>
    <n v="0"/>
    <n v="9"/>
    <n v="0"/>
    <n v="0"/>
    <n v="0"/>
    <n v="0"/>
    <m/>
    <n v="195615"/>
    <n v="0"/>
    <n v="0"/>
    <n v="0"/>
    <n v="9"/>
    <n v="195615"/>
    <n v="0"/>
    <n v="0"/>
    <n v="9"/>
    <n v="0"/>
    <n v="0"/>
    <n v="0"/>
    <n v="195615"/>
    <n v="0"/>
    <n v="0"/>
    <n v="0"/>
    <n v="9"/>
    <n v="195615"/>
    <n v="0"/>
    <n v="0"/>
    <n v="9"/>
    <n v="0"/>
    <n v="0"/>
    <n v="0"/>
    <n v="195615"/>
    <n v="0"/>
    <n v="0"/>
    <n v="9"/>
    <n v="195615"/>
    <n v="0"/>
    <n v="0"/>
    <n v="9"/>
    <n v="0"/>
    <n v="0"/>
    <m/>
    <n v="195615"/>
    <n v="0"/>
    <n v="0"/>
    <n v="9"/>
    <n v="195615"/>
    <n v="0"/>
  </r>
  <r>
    <s v="Lhotse-Smartwatch"/>
    <x v="1"/>
    <x v="14"/>
    <x v="33"/>
    <n v="1639085745522"/>
    <x v="216"/>
    <x v="211"/>
    <x v="0"/>
    <x v="6"/>
    <n v="1"/>
    <x v="12"/>
    <n v="43"/>
    <m/>
    <n v="0"/>
    <n v="34686.875"/>
    <n v="1491535.625"/>
    <n v="31.75"/>
    <n v="34686.875"/>
    <n v="87445.90336134454"/>
    <n v="74329.01785714286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1"/>
    <n v="1"/>
    <n v="0.5748704115095736"/>
    <n v="2"/>
    <n v="0.5885885853221575"/>
    <n v="0"/>
    <s v=""/>
    <n v="0"/>
    <s v=""/>
    <n v="0"/>
    <s v=""/>
    <n v="1"/>
    <n v="0.6811627367627401"/>
    <n v="0"/>
    <n v="0"/>
    <s v=""/>
    <n v="0"/>
    <n v="0"/>
    <s v=""/>
    <n v="0"/>
    <n v="0"/>
    <n v="0.6811627367627401"/>
    <n v="0"/>
    <n v="0"/>
    <n v="31"/>
    <n v="0"/>
    <n v="0"/>
    <n v="0"/>
    <n v="0"/>
    <n v="0"/>
    <n v="1018698.75"/>
    <n v="0"/>
    <n v="0"/>
    <n v="43"/>
    <n v="1491535.625"/>
    <n v="0"/>
    <n v="0"/>
    <n v="44"/>
    <n v="0"/>
    <n v="0"/>
    <n v="0"/>
    <n v="0"/>
    <n v="34686.875"/>
    <n v="1445895"/>
    <n v="0"/>
    <n v="0"/>
    <n v="43"/>
    <n v="1491535.625"/>
    <n v="0"/>
    <n v="0"/>
    <n v="44"/>
    <n v="0"/>
    <n v="0"/>
    <n v="0"/>
    <n v="67548.125"/>
    <n v="1526222.5"/>
    <n v="0"/>
    <n v="0"/>
    <n v="43"/>
    <n v="1491535.625"/>
    <n v="0"/>
    <n v="0"/>
    <n v="44"/>
    <n v="1"/>
    <n v="0"/>
    <n v="0"/>
    <n v="1445895"/>
    <n v="34686.875"/>
    <n v="0"/>
    <n v="0"/>
    <n v="43"/>
    <n v="1491535.625"/>
    <n v="87445.90336134454"/>
    <n v="1"/>
    <n v="43"/>
    <n v="1"/>
    <m/>
    <n v="0"/>
    <n v="0"/>
    <n v="1491535.625"/>
    <n v="32861.25"/>
    <n v="0"/>
    <n v="0"/>
    <n v="43"/>
    <n v="1491535.625"/>
    <n v="87445.90336134454"/>
    <n v="1"/>
    <n v="43"/>
    <n v="0"/>
    <m/>
    <n v="0"/>
    <n v="0"/>
    <n v="1491535.625"/>
    <n v="0"/>
    <n v="0"/>
    <n v="0"/>
    <n v="43"/>
    <n v="1491535.625"/>
    <n v="0"/>
    <n v="1"/>
    <n v="43"/>
    <n v="1"/>
    <n v="0"/>
    <n v="0"/>
    <n v="0"/>
    <n v="1491535.625"/>
    <n v="32861.25"/>
    <n v="0"/>
    <n v="0"/>
    <n v="43"/>
    <n v="1491535.625"/>
    <n v="87445.90336134454"/>
    <n v="1"/>
    <n v="42"/>
    <n v="1"/>
    <n v="0"/>
    <n v="0"/>
    <n v="0"/>
    <n v="1456848.75"/>
    <n v="32861.25"/>
    <n v="0"/>
    <n v="0"/>
    <n v="42"/>
    <n v="1456848.75"/>
    <n v="87445.90336134454"/>
    <n v="1"/>
    <n v="41"/>
    <n v="1"/>
    <n v="0"/>
    <n v="0"/>
    <m/>
    <n v="1347311.25"/>
    <n v="32861.25"/>
    <n v="0"/>
    <n v="0"/>
    <n v="41"/>
    <n v="1347311.25"/>
    <n v="87445.90336134454"/>
    <n v="0"/>
    <n v="40"/>
    <n v="0"/>
    <n v="0"/>
    <n v="0"/>
    <n v="0"/>
    <m/>
    <n v="1314450"/>
    <n v="0"/>
    <n v="0"/>
    <n v="0"/>
    <n v="40"/>
    <n v="1314450"/>
    <n v="0"/>
    <n v="0"/>
    <n v="40"/>
    <n v="0"/>
    <n v="0"/>
    <n v="0"/>
    <n v="1314450"/>
    <n v="0"/>
    <n v="0"/>
    <n v="0"/>
    <n v="40"/>
    <n v="1314450"/>
    <n v="0"/>
    <n v="0"/>
    <n v="40"/>
    <n v="0"/>
    <n v="0"/>
    <n v="0"/>
    <n v="1314450"/>
    <n v="0"/>
    <n v="0"/>
    <n v="40"/>
    <n v="1314450"/>
    <n v="0"/>
    <n v="0"/>
    <n v="40"/>
    <n v="0"/>
    <n v="0"/>
    <m/>
    <n v="1314450"/>
    <n v="0"/>
    <n v="0"/>
    <n v="40"/>
    <n v="1314450"/>
    <n v="0"/>
  </r>
  <r>
    <s v="Lhotse-Smartwatch"/>
    <x v="1"/>
    <x v="14"/>
    <x v="33"/>
    <n v="1639085755244"/>
    <x v="217"/>
    <x v="212"/>
    <x v="0"/>
    <x v="6"/>
    <n v="1"/>
    <x v="12"/>
    <n v="20"/>
    <m/>
    <n v="0"/>
    <n v="34686.875"/>
    <n v="693737.5"/>
    <n v="31.75"/>
    <n v="34686.875"/>
    <n v="87445.90336134454"/>
    <n v="74329.01785714286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748704115095736"/>
    <n v="2"/>
    <n v="0.6026702700022314"/>
    <n v="1"/>
    <n v="0.6026702758881407"/>
    <n v="0"/>
    <s v=""/>
    <n v="0"/>
    <s v=""/>
    <n v="0"/>
    <s v=""/>
    <n v="0"/>
    <n v="0"/>
    <s v=""/>
    <n v="0"/>
    <n v="0"/>
    <s v=""/>
    <n v="0"/>
    <n v="0"/>
    <n v="0.6026702758881407"/>
    <n v="0"/>
    <n v="0"/>
    <n v="23"/>
    <n v="0"/>
    <n v="0"/>
    <n v="0"/>
    <n v="0"/>
    <n v="0"/>
    <n v="755808.75"/>
    <n v="0"/>
    <n v="0"/>
    <n v="20"/>
    <n v="693737.5"/>
    <n v="0"/>
    <n v="0"/>
    <n v="20"/>
    <n v="0"/>
    <n v="0"/>
    <n v="0"/>
    <n v="0"/>
    <n v="0"/>
    <n v="657225"/>
    <n v="0"/>
    <n v="0"/>
    <n v="20"/>
    <n v="693737.5"/>
    <n v="0"/>
    <n v="0"/>
    <n v="20"/>
    <n v="0"/>
    <n v="0"/>
    <n v="0"/>
    <n v="65722.5"/>
    <n v="693737.5"/>
    <n v="0"/>
    <n v="0"/>
    <n v="20"/>
    <n v="693737.5"/>
    <n v="0"/>
    <n v="0"/>
    <n v="20"/>
    <n v="0"/>
    <n v="0"/>
    <n v="0"/>
    <n v="657225"/>
    <n v="0"/>
    <n v="0"/>
    <n v="0"/>
    <n v="20"/>
    <n v="693737.5"/>
    <n v="0"/>
    <n v="2"/>
    <n v="20"/>
    <n v="2"/>
    <m/>
    <n v="0"/>
    <n v="0"/>
    <n v="693737.5"/>
    <n v="65722.5"/>
    <n v="0"/>
    <n v="0"/>
    <n v="20"/>
    <n v="693737.5"/>
    <n v="174891.8067226891"/>
    <n v="2"/>
    <n v="20"/>
    <n v="0"/>
    <m/>
    <n v="0"/>
    <n v="0"/>
    <n v="693737.5"/>
    <n v="0"/>
    <n v="0"/>
    <n v="0"/>
    <n v="20"/>
    <n v="693737.5"/>
    <n v="0"/>
    <n v="2"/>
    <n v="20"/>
    <n v="2"/>
    <n v="0"/>
    <n v="0"/>
    <n v="0"/>
    <n v="693737.5"/>
    <n v="65722.5"/>
    <n v="0"/>
    <n v="0"/>
    <n v="20"/>
    <n v="693737.5"/>
    <n v="174891.8067226891"/>
    <n v="2"/>
    <n v="18"/>
    <n v="2"/>
    <n v="0"/>
    <n v="0"/>
    <n v="0"/>
    <n v="624363.75"/>
    <n v="65722.5"/>
    <n v="0"/>
    <n v="0"/>
    <n v="18"/>
    <n v="624363.75"/>
    <n v="174891.8067226891"/>
    <n v="2"/>
    <n v="16"/>
    <n v="2"/>
    <n v="0"/>
    <n v="0"/>
    <m/>
    <n v="525780"/>
    <n v="65722.5"/>
    <n v="0"/>
    <n v="0"/>
    <n v="16"/>
    <n v="525780"/>
    <n v="174891.8067226891"/>
    <n v="0"/>
    <n v="14"/>
    <n v="0"/>
    <n v="0"/>
    <n v="0"/>
    <n v="0"/>
    <m/>
    <n v="460057.5"/>
    <n v="0"/>
    <n v="0"/>
    <n v="0"/>
    <n v="14"/>
    <n v="460057.5"/>
    <n v="0"/>
    <n v="0"/>
    <n v="14"/>
    <n v="0"/>
    <n v="0"/>
    <n v="0"/>
    <n v="460057.5"/>
    <n v="0"/>
    <n v="0"/>
    <n v="0"/>
    <n v="14"/>
    <n v="460057.5"/>
    <n v="0"/>
    <n v="0"/>
    <n v="14"/>
    <n v="0"/>
    <n v="0"/>
    <n v="0"/>
    <n v="460057.5"/>
    <n v="0"/>
    <n v="0"/>
    <n v="14"/>
    <n v="460057.5"/>
    <n v="0"/>
    <n v="0"/>
    <n v="14"/>
    <n v="0"/>
    <n v="0"/>
    <m/>
    <n v="460057.5"/>
    <n v="0"/>
    <n v="0"/>
    <n v="14"/>
    <n v="460057.5"/>
    <n v="0"/>
  </r>
  <r>
    <s v="Lhotse-Smartwatch"/>
    <x v="1"/>
    <x v="14"/>
    <x v="33"/>
    <n v="1639085763857"/>
    <x v="218"/>
    <x v="213"/>
    <x v="0"/>
    <x v="6"/>
    <n v="1"/>
    <x v="12"/>
    <n v="2"/>
    <m/>
    <n v="0"/>
    <n v="34686.875"/>
    <n v="69373.75"/>
    <n v="31.75"/>
    <n v="34686.875"/>
    <n v="87445.90336134454"/>
    <n v="74329.01785714286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15"/>
    <n v="0"/>
    <n v="0"/>
    <n v="0"/>
    <n v="0"/>
    <n v="0"/>
    <n v="492918.75"/>
    <n v="0"/>
    <n v="0"/>
    <n v="2"/>
    <n v="69373.75"/>
    <n v="0"/>
    <n v="0"/>
    <n v="2"/>
    <n v="0"/>
    <n v="0"/>
    <n v="0"/>
    <n v="0"/>
    <n v="0"/>
    <n v="65722.5"/>
    <n v="0"/>
    <n v="0"/>
    <n v="2"/>
    <n v="69373.75"/>
    <n v="0"/>
    <n v="0"/>
    <n v="2"/>
    <n v="0"/>
    <n v="0"/>
    <n v="0"/>
    <n v="32861.25"/>
    <n v="69373.75"/>
    <n v="0"/>
    <n v="0"/>
    <n v="2"/>
    <n v="69373.75"/>
    <n v="0"/>
    <n v="0"/>
    <n v="2"/>
    <n v="0"/>
    <n v="0"/>
    <n v="0"/>
    <n v="65722.5"/>
    <n v="0"/>
    <n v="0"/>
    <n v="0"/>
    <n v="2"/>
    <n v="69373.75"/>
    <n v="0"/>
    <n v="1"/>
    <n v="2"/>
    <n v="1"/>
    <m/>
    <n v="0"/>
    <n v="0"/>
    <n v="69373.75"/>
    <n v="32861.25"/>
    <n v="0"/>
    <n v="0"/>
    <n v="2"/>
    <n v="69373.75"/>
    <n v="87445.90336134454"/>
    <n v="0"/>
    <n v="2"/>
    <n v="0"/>
    <m/>
    <n v="0"/>
    <n v="0"/>
    <n v="69373.75"/>
    <n v="0"/>
    <n v="0"/>
    <n v="0"/>
    <n v="2"/>
    <n v="69373.75"/>
    <n v="0"/>
    <n v="0"/>
    <n v="2"/>
    <n v="0"/>
    <n v="0"/>
    <n v="0"/>
    <n v="0"/>
    <n v="69373.75"/>
    <n v="0"/>
    <n v="0"/>
    <n v="0"/>
    <n v="2"/>
    <n v="69373.75"/>
    <n v="0"/>
    <n v="0"/>
    <n v="2"/>
    <n v="0"/>
    <n v="0"/>
    <n v="0"/>
    <n v="0"/>
    <n v="69373.75"/>
    <n v="0"/>
    <n v="0"/>
    <n v="0"/>
    <n v="2"/>
    <n v="69373.75"/>
    <n v="0"/>
    <n v="0"/>
    <n v="2"/>
    <n v="0"/>
    <n v="0"/>
    <n v="0"/>
    <m/>
    <n v="65722.5"/>
    <n v="0"/>
    <n v="0"/>
    <n v="0"/>
    <n v="2"/>
    <n v="65722.5"/>
    <n v="0"/>
    <n v="0"/>
    <n v="2"/>
    <n v="0"/>
    <n v="0"/>
    <n v="0"/>
    <n v="0"/>
    <m/>
    <n v="65722.5"/>
    <n v="0"/>
    <n v="0"/>
    <n v="0"/>
    <n v="2"/>
    <n v="65722.5"/>
    <n v="0"/>
    <n v="0"/>
    <n v="2"/>
    <n v="0"/>
    <n v="0"/>
    <n v="0"/>
    <n v="65722.5"/>
    <n v="0"/>
    <n v="0"/>
    <n v="0"/>
    <n v="2"/>
    <n v="65722.5"/>
    <n v="0"/>
    <n v="0"/>
    <n v="2"/>
    <n v="0"/>
    <n v="0"/>
    <n v="0"/>
    <n v="65722.5"/>
    <n v="0"/>
    <n v="0"/>
    <n v="2"/>
    <n v="65722.5"/>
    <n v="0"/>
    <n v="0"/>
    <n v="2"/>
    <n v="0"/>
    <n v="0"/>
    <m/>
    <n v="65722.5"/>
    <n v="0"/>
    <n v="0"/>
    <n v="2"/>
    <n v="65722.5"/>
    <n v="0"/>
  </r>
  <r>
    <m/>
    <x v="1"/>
    <x v="14"/>
    <x v="33"/>
    <s v="LHSWSHAR-BK"/>
    <x v="219"/>
    <x v="214"/>
    <x v="0"/>
    <x v="2"/>
    <n v="1"/>
    <x v="12"/>
    <n v="0"/>
    <m/>
    <n v="0"/>
    <n v="23511.75"/>
    <n v="0"/>
    <n v="23.5"/>
    <n v="23511.75"/>
    <n v="59273.31932773109"/>
    <n v="50382.32142857143"/>
    <s v="Shenzhen"/>
    <s v="20/8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50"/>
    <n v="0"/>
    <n v="100"/>
    <n v="0"/>
    <n v="0"/>
    <n v="25"/>
    <n v="0"/>
    <n v="25"/>
    <n v="0"/>
    <n v="0"/>
    <n v="100"/>
    <n v="0"/>
    <n v="608062.4999999999"/>
    <n v="0"/>
    <n v="2432250"/>
    <n v="100"/>
    <n v="2432250"/>
    <n v="1481832.983193277"/>
    <n v="50"/>
    <n v="75"/>
    <n v="50"/>
    <n v="0"/>
    <n v="0"/>
    <n v="0"/>
    <m/>
    <n v="1824187.5"/>
    <n v="1216125"/>
    <n v="0"/>
    <n v="0"/>
    <n v="75"/>
    <n v="1824187.5"/>
    <n v="2519116.071428571"/>
    <n v="25"/>
    <n v="25"/>
    <n v="25"/>
    <n v="150"/>
    <n v="150"/>
    <n v="608062.4999999999"/>
    <n v="608062.4999999999"/>
    <n v="3648375"/>
    <n v="3648375"/>
    <n v="175"/>
    <n v="4256437.499999999"/>
    <n v="1322535.9375"/>
    <n v="120"/>
    <n v="150"/>
    <n v="120"/>
    <n v="0"/>
    <n v="0"/>
    <n v="3648375"/>
    <n v="2918700"/>
    <n v="0"/>
    <n v="150"/>
    <n v="3648375"/>
    <n v="7112798.319327731"/>
    <n v="15"/>
    <n v="30"/>
    <n v="15"/>
    <n v="0"/>
    <m/>
    <n v="729674.9999999999"/>
    <n v="352676.25"/>
    <n v="0"/>
    <n v="30"/>
    <n v="729674.9999999999"/>
    <n v="889099.7899159663"/>
  </r>
  <r>
    <m/>
    <x v="1"/>
    <x v="14"/>
    <x v="33"/>
    <s v="LHSWSHAR-PK"/>
    <x v="220"/>
    <x v="215"/>
    <x v="0"/>
    <x v="2"/>
    <n v="1"/>
    <x v="12"/>
    <n v="0"/>
    <m/>
    <n v="0"/>
    <n v="23511.75"/>
    <n v="0"/>
    <n v="23.5"/>
    <n v="23511.75"/>
    <n v="59273.31932773109"/>
    <n v="50382.32142857143"/>
    <s v="Shenzhen"/>
    <s v="20/8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50"/>
    <n v="0"/>
    <n v="100"/>
    <n v="0"/>
    <n v="0"/>
    <n v="20"/>
    <n v="0"/>
    <n v="20"/>
    <n v="0"/>
    <n v="0"/>
    <n v="100"/>
    <n v="0"/>
    <n v="486449.9999999999"/>
    <n v="0"/>
    <n v="2432250"/>
    <n v="100"/>
    <n v="2432250"/>
    <n v="1185466.386554622"/>
    <n v="40"/>
    <n v="80"/>
    <n v="40"/>
    <n v="0"/>
    <n v="0"/>
    <n v="0"/>
    <m/>
    <n v="1945800"/>
    <n v="972899.9999999999"/>
    <n v="0"/>
    <n v="0"/>
    <n v="80"/>
    <n v="1945800"/>
    <n v="2015292.857142857"/>
    <n v="30"/>
    <n v="40"/>
    <n v="30"/>
    <n v="100"/>
    <n v="100"/>
    <n v="972899.9999999999"/>
    <n v="729674.9999999999"/>
    <n v="2432250"/>
    <n v="2432250"/>
    <n v="140"/>
    <n v="3405150"/>
    <n v="1587043.125"/>
    <n v="100"/>
    <n v="110"/>
    <n v="100"/>
    <n v="0"/>
    <n v="0"/>
    <n v="2675475"/>
    <n v="2432250"/>
    <n v="0"/>
    <n v="110"/>
    <n v="2675475"/>
    <n v="5927331.93277311"/>
    <n v="18"/>
    <n v="10"/>
    <n v="18"/>
    <n v="0"/>
    <m/>
    <n v="243225"/>
    <n v="423211.5"/>
    <n v="0"/>
    <n v="10"/>
    <n v="243225"/>
    <n v="1066919.74789916"/>
  </r>
  <r>
    <m/>
    <x v="1"/>
    <x v="14"/>
    <x v="33"/>
    <s v="LHSWSHAR-CR"/>
    <x v="221"/>
    <x v="216"/>
    <x v="0"/>
    <x v="2"/>
    <n v="1"/>
    <x v="12"/>
    <n v="0"/>
    <m/>
    <n v="0"/>
    <n v="23511.75"/>
    <n v="0"/>
    <n v="23.5"/>
    <n v="23511.75"/>
    <n v="59273.31932773109"/>
    <n v="50382.32142857143"/>
    <s v="Shenzhen"/>
    <s v="20/8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50"/>
    <n v="0"/>
    <n v="100"/>
    <n v="0"/>
    <n v="0"/>
    <n v="15"/>
    <n v="0"/>
    <n v="15"/>
    <n v="0"/>
    <n v="0"/>
    <n v="100"/>
    <n v="0"/>
    <n v="364837.4999999999"/>
    <n v="0"/>
    <n v="2432250"/>
    <n v="100"/>
    <n v="2432250"/>
    <n v="889099.7899159663"/>
    <n v="20"/>
    <n v="85"/>
    <n v="20"/>
    <n v="0"/>
    <n v="0"/>
    <n v="0"/>
    <m/>
    <n v="2067412.5"/>
    <n v="486449.9999999999"/>
    <n v="0"/>
    <n v="0"/>
    <n v="85"/>
    <n v="2067412.5"/>
    <n v="1007646.428571429"/>
    <n v="15"/>
    <n v="65"/>
    <n v="15"/>
    <n v="100"/>
    <n v="100"/>
    <n v="1580962.5"/>
    <n v="364837.4999999999"/>
    <n v="2432250"/>
    <n v="2432250"/>
    <n v="165"/>
    <n v="4013212.499999999"/>
    <n v="793521.5625"/>
    <n v="50"/>
    <n v="150"/>
    <n v="50"/>
    <n v="0"/>
    <n v="0"/>
    <n v="3648375"/>
    <n v="1216125"/>
    <n v="0"/>
    <n v="150"/>
    <n v="3648375"/>
    <n v="2963665.966386555"/>
    <n v="9"/>
    <n v="100"/>
    <n v="9"/>
    <n v="0"/>
    <m/>
    <n v="2432250"/>
    <n v="211605.75"/>
    <n v="0"/>
    <n v="100"/>
    <n v="2432250"/>
    <n v="533459.8739495799"/>
  </r>
  <r>
    <s v="Lhotse-Accesorio Vestuario"/>
    <x v="1"/>
    <x v="15"/>
    <x v="34"/>
    <s v="LHJOKTRE"/>
    <x v="222"/>
    <x v="217"/>
    <x v="0"/>
    <x v="6"/>
    <n v="1.2"/>
    <x v="12"/>
    <n v="3"/>
    <m/>
    <n v="0"/>
    <n v="3101"/>
    <n v="9303"/>
    <n v="2.5"/>
    <n v="2731.25"/>
    <n v="6714.285714285715"/>
    <n v="6714.285714285715"/>
    <s v="Shenzhen"/>
    <s v="30/70"/>
    <n v="30"/>
    <n v="200"/>
    <n v="4"/>
    <n v="0.6540447965189257"/>
    <n v="9"/>
    <n v="0.6709085920846077"/>
    <n v="5"/>
    <n v="0.6642436383324311"/>
    <n v="3"/>
    <n v="0.612846797352978"/>
    <n v="3"/>
    <n v="0.7159481495053133"/>
    <n v="3"/>
    <n v="0.708479473519273"/>
    <n v="20"/>
    <n v="0.3657283799093656"/>
    <n v="3"/>
    <n v="0.7159481495053133"/>
    <n v="2"/>
    <n v="0.7362777433717342"/>
    <n v="17"/>
    <n v="0.6533192181033225"/>
    <n v="9"/>
    <n v="0.5305030113387841"/>
    <n v="25"/>
    <n v="0.5255461708019331"/>
    <n v="20"/>
    <s v=""/>
    <n v="16"/>
    <s v=""/>
    <n v="9"/>
    <s v=""/>
    <n v="6"/>
    <s v=""/>
    <n v="1.2"/>
    <n v="0"/>
    <s v=""/>
    <n v="0"/>
    <n v="0"/>
    <s v=""/>
    <n v="0"/>
    <n v="0"/>
    <s v=""/>
    <n v="0"/>
    <n v="10"/>
    <n v="58"/>
    <n v="10"/>
    <n v="0"/>
    <n v="0"/>
    <n v="0"/>
    <n v="133343"/>
    <n v="150075"/>
    <n v="31010"/>
    <n v="0"/>
    <n v="3"/>
    <n v="9303"/>
    <n v="56422.56902761105"/>
    <n v="10"/>
    <n v="40"/>
    <n v="24"/>
    <n v="0"/>
    <n v="0"/>
    <n v="0"/>
    <n v="120939"/>
    <n v="103500"/>
    <n v="74424"/>
    <n v="0"/>
    <n v="3"/>
    <n v="9303"/>
    <n v="135414.1656662665"/>
    <n v="5"/>
    <n v="22"/>
    <n v="9"/>
    <n v="0"/>
    <n v="0"/>
    <n v="62040"/>
    <n v="68222"/>
    <n v="27909"/>
    <n v="0"/>
    <n v="3"/>
    <n v="9303"/>
    <n v="60428.57142857143"/>
    <n v="5"/>
    <n v="11"/>
    <n v="6"/>
    <n v="0"/>
    <n v="0"/>
    <n v="28462.5"/>
    <n v="18606"/>
    <n v="0"/>
    <n v="0"/>
    <n v="3"/>
    <n v="9303"/>
    <n v="40285.71428571429"/>
    <n v="5"/>
    <n v="3"/>
    <n v="6"/>
    <m/>
    <n v="0"/>
    <n v="0"/>
    <n v="9303"/>
    <n v="15525"/>
    <n v="0"/>
    <n v="0"/>
    <n v="3"/>
    <n v="9303"/>
    <n v="40285.71428571429"/>
    <n v="8"/>
    <n v="3"/>
    <n v="0"/>
    <m/>
    <n v="0"/>
    <n v="0"/>
    <n v="9303"/>
    <n v="0"/>
    <n v="0"/>
    <n v="0"/>
    <n v="3"/>
    <n v="9303"/>
    <n v="0"/>
    <n v="0"/>
    <n v="3"/>
    <n v="0"/>
    <n v="0"/>
    <n v="0"/>
    <n v="0"/>
    <n v="9303"/>
    <n v="0"/>
    <n v="0"/>
    <n v="0"/>
    <n v="3"/>
    <n v="9303"/>
    <n v="0"/>
    <n v="0"/>
    <n v="3"/>
    <n v="0"/>
    <n v="0"/>
    <n v="0"/>
    <n v="0"/>
    <n v="9303"/>
    <n v="0"/>
    <n v="0"/>
    <n v="0"/>
    <n v="3"/>
    <n v="9303"/>
    <n v="0"/>
    <n v="0"/>
    <n v="3"/>
    <n v="0"/>
    <n v="0"/>
    <n v="0"/>
    <m/>
    <n v="7762.5"/>
    <n v="0"/>
    <n v="0"/>
    <n v="0"/>
    <n v="3"/>
    <n v="7762.5"/>
    <n v="0"/>
    <n v="0"/>
    <n v="3"/>
    <n v="0"/>
    <n v="0"/>
    <n v="0"/>
    <n v="0"/>
    <m/>
    <n v="7762.5"/>
    <n v="0"/>
    <n v="0"/>
    <n v="0"/>
    <n v="3"/>
    <n v="7762.5"/>
    <n v="0"/>
    <n v="0"/>
    <n v="3"/>
    <n v="0"/>
    <n v="0"/>
    <n v="0"/>
    <n v="7762.5"/>
    <n v="0"/>
    <n v="0"/>
    <n v="0"/>
    <n v="3"/>
    <n v="7762.5"/>
    <n v="0"/>
    <n v="0"/>
    <n v="3"/>
    <n v="0"/>
    <n v="0"/>
    <n v="0"/>
    <n v="7762.5"/>
    <n v="0"/>
    <n v="0"/>
    <n v="3"/>
    <n v="7762.5"/>
    <n v="0"/>
    <n v="0"/>
    <n v="3"/>
    <n v="0"/>
    <n v="0"/>
    <m/>
    <n v="7762.5"/>
    <n v="0"/>
    <n v="0"/>
    <n v="3"/>
    <n v="7762.5"/>
    <n v="0"/>
  </r>
  <r>
    <s v="Lhotse-Accesorio Vestuario"/>
    <x v="1"/>
    <x v="15"/>
    <x v="34"/>
    <s v="LHJOKTRE"/>
    <x v="223"/>
    <x v="217"/>
    <x v="0"/>
    <x v="6"/>
    <n v="1.2"/>
    <x v="12"/>
    <n v="3"/>
    <m/>
    <n v="0"/>
    <n v="3101"/>
    <n v="9303"/>
    <n v="2.5"/>
    <n v="2731.25"/>
    <n v="6714.285714285715"/>
    <n v="6714.285714285715"/>
    <s v="Shenzhen"/>
    <s v="30/70"/>
    <n v="30"/>
    <n v="200"/>
    <n v="6"/>
    <n v="0.6879192807058746"/>
    <n v="10"/>
    <n v="0.6472344822417099"/>
    <n v="4"/>
    <n v="0.6396625793606713"/>
    <n v="3"/>
    <n v="0.6381597168196671"/>
    <n v="3"/>
    <n v="0.6989874769439861"/>
    <n v="2"/>
    <n v="0.7362649372740804"/>
    <n v="5"/>
    <n v="0.6011717644637666"/>
    <n v="2"/>
    <n v="0.678863300993688"/>
    <n v="1"/>
    <n v="0.7538907849829352"/>
    <n v="10"/>
    <n v="0.6630441836023431"/>
    <n v="8"/>
    <n v="0.636135363492343"/>
    <n v="48"/>
    <n v="0.5052926448124224"/>
    <n v="18"/>
    <s v=""/>
    <n v="8"/>
    <s v=""/>
    <n v="21"/>
    <s v=""/>
    <n v="9"/>
    <s v=""/>
    <n v="1.8"/>
    <n v="10"/>
    <s v=""/>
    <n v="2"/>
    <n v="19"/>
    <s v=""/>
    <n v="6.333333333333333"/>
    <n v="1"/>
    <s v=""/>
    <n v="0.125"/>
    <n v="8"/>
    <n v="68"/>
    <n v="5"/>
    <n v="0"/>
    <n v="0"/>
    <n v="0"/>
    <n v="117838"/>
    <n v="175950"/>
    <n v="15505"/>
    <n v="0"/>
    <n v="3"/>
    <n v="9303"/>
    <n v="28211.28451380553"/>
    <n v="10"/>
    <n v="63"/>
    <n v="12"/>
    <n v="0"/>
    <n v="0"/>
    <n v="0"/>
    <n v="130242"/>
    <n v="163012.5"/>
    <n v="37212"/>
    <n v="0"/>
    <n v="3"/>
    <n v="9303"/>
    <n v="67707.08283313326"/>
    <n v="5"/>
    <n v="52"/>
    <n v="21"/>
    <n v="0"/>
    <n v="0"/>
    <n v="108555"/>
    <n v="161252"/>
    <n v="65121"/>
    <n v="0"/>
    <n v="3"/>
    <n v="9303"/>
    <n v="141000"/>
    <n v="5"/>
    <n v="35"/>
    <n v="9"/>
    <n v="0"/>
    <n v="0"/>
    <n v="90562.5"/>
    <n v="27909"/>
    <n v="0"/>
    <n v="0"/>
    <n v="3"/>
    <n v="9303"/>
    <n v="60428.57142857143"/>
    <n v="5"/>
    <n v="13"/>
    <n v="6"/>
    <m/>
    <n v="0"/>
    <n v="0"/>
    <n v="40313"/>
    <n v="15525"/>
    <n v="0"/>
    <n v="0"/>
    <n v="3"/>
    <n v="9303"/>
    <n v="40285.71428571429"/>
    <n v="3"/>
    <n v="22"/>
    <n v="19"/>
    <m/>
    <n v="0"/>
    <n v="0"/>
    <n v="68222"/>
    <n v="49162.5"/>
    <n v="0"/>
    <n v="0"/>
    <n v="22"/>
    <n v="9303"/>
    <n v="127571.4285714286"/>
    <n v="8"/>
    <n v="4"/>
    <n v="9.6"/>
    <n v="0"/>
    <n v="0"/>
    <n v="0"/>
    <n v="12404"/>
    <n v="24840"/>
    <n v="0"/>
    <n v="0"/>
    <n v="4"/>
    <n v="9303"/>
    <n v="64457.14285714286"/>
    <n v="3"/>
    <n v="0"/>
    <n v="3.6"/>
    <n v="0"/>
    <n v="0"/>
    <n v="0"/>
    <n v="0"/>
    <n v="9314.999999999998"/>
    <n v="0"/>
    <n v="0"/>
    <n v="0"/>
    <n v="0"/>
    <n v="24171.42857142857"/>
    <n v="9"/>
    <n v="0"/>
    <n v="10.8"/>
    <n v="0"/>
    <n v="0"/>
    <m/>
    <n v="0"/>
    <n v="27945"/>
    <n v="0"/>
    <n v="0"/>
    <n v="0"/>
    <n v="0"/>
    <n v="72514.28571428571"/>
    <n v="0"/>
    <n v="0"/>
    <n v="0"/>
    <n v="0"/>
    <n v="0"/>
    <n v="0"/>
    <m/>
    <n v="0"/>
    <n v="0"/>
    <n v="0"/>
    <n v="0"/>
    <n v="0"/>
    <n v="0"/>
    <n v="0"/>
    <n v="13"/>
    <n v="0"/>
    <n v="15.6"/>
    <n v="0"/>
    <n v="0"/>
    <n v="0"/>
    <n v="40365"/>
    <n v="0"/>
    <n v="0"/>
    <n v="0"/>
    <n v="0"/>
    <n v="109980"/>
    <n v="13"/>
    <n v="0"/>
    <n v="15.6"/>
    <n v="0"/>
    <n v="0"/>
    <n v="0"/>
    <n v="40365"/>
    <n v="0"/>
    <n v="0"/>
    <n v="0"/>
    <n v="104742.8571428571"/>
    <n v="7.8"/>
    <n v="0"/>
    <n v="9.359999999999999"/>
    <n v="0"/>
    <m/>
    <n v="0"/>
    <n v="29025.36"/>
    <n v="0"/>
    <n v="0"/>
    <n v="0"/>
    <n v="62845.71428571428"/>
  </r>
  <r>
    <s v="Lhotse-Accesorio Vestuario"/>
    <x v="1"/>
    <x v="15"/>
    <x v="34"/>
    <s v="LHJOKTRE"/>
    <x v="224"/>
    <x v="217"/>
    <x v="0"/>
    <x v="6"/>
    <n v="1.5"/>
    <x v="12"/>
    <n v="2"/>
    <m/>
    <n v="0"/>
    <n v="3101"/>
    <n v="6202"/>
    <n v="2.5"/>
    <n v="2731.25"/>
    <n v="6714.285714285715"/>
    <n v="6714.285714285715"/>
    <s v="Shenzhen"/>
    <s v="30/70"/>
    <n v="30"/>
    <n v="200"/>
    <n v="3"/>
    <n v="0.6834590124885154"/>
    <n v="3"/>
    <n v="0.6139096870590188"/>
    <n v="7"/>
    <n v="0.6598211738891936"/>
    <n v="2"/>
    <n v="0.6306896141019533"/>
    <n v="2"/>
    <n v="0.7159463173323563"/>
    <n v="1"/>
    <n v="0.7159215829974349"/>
    <n v="15"/>
    <n v="0.4743295040808584"/>
    <n v="3"/>
    <n v="0.5575649257605897"/>
    <n v="4"/>
    <n v="0.6658155951931886"/>
    <n v="17"/>
    <n v="0.6126260374957744"/>
    <n v="5"/>
    <n v="0.6462615223145022"/>
    <n v="50"/>
    <n v="0.5241895840110696"/>
    <n v="23"/>
    <s v=""/>
    <n v="12"/>
    <s v=""/>
    <n v="21"/>
    <s v=""/>
    <n v="16"/>
    <s v=""/>
    <n v="2.285714285714286"/>
    <n v="0"/>
    <s v=""/>
    <n v="0"/>
    <n v="0"/>
    <s v=""/>
    <n v="0"/>
    <n v="0"/>
    <s v=""/>
    <n v="0"/>
    <n v="20"/>
    <n v="64"/>
    <n v="5"/>
    <n v="0"/>
    <n v="0"/>
    <n v="0"/>
    <n v="136444"/>
    <n v="165600"/>
    <n v="15505"/>
    <n v="0"/>
    <n v="2"/>
    <n v="6202"/>
    <n v="28211.28451380553"/>
    <n v="5"/>
    <n v="53"/>
    <n v="18"/>
    <n v="0"/>
    <n v="0"/>
    <n v="0"/>
    <n v="170555"/>
    <n v="137137.5"/>
    <n v="55818"/>
    <n v="0"/>
    <n v="2"/>
    <n v="6202"/>
    <n v="101560.6242496999"/>
    <n v="7"/>
    <n v="37"/>
    <n v="21"/>
    <n v="0"/>
    <n v="0"/>
    <n v="126380.75"/>
    <n v="114737"/>
    <n v="65121"/>
    <n v="0"/>
    <n v="2"/>
    <n v="6202"/>
    <n v="141000"/>
    <n v="7"/>
    <n v="19"/>
    <n v="16"/>
    <n v="0"/>
    <n v="0"/>
    <n v="49162.5"/>
    <n v="49616"/>
    <n v="0"/>
    <n v="0"/>
    <n v="2"/>
    <n v="6202"/>
    <n v="107428.5714285714"/>
    <n v="3"/>
    <n v="2"/>
    <n v="4.5"/>
    <m/>
    <n v="0"/>
    <n v="0"/>
    <n v="6202"/>
    <n v="11643.75"/>
    <n v="0"/>
    <n v="0"/>
    <n v="2"/>
    <n v="6202"/>
    <n v="30214.28571428572"/>
    <n v="14"/>
    <n v="2"/>
    <n v="0"/>
    <m/>
    <n v="0"/>
    <n v="0"/>
    <n v="6202"/>
    <n v="0"/>
    <n v="0"/>
    <n v="0"/>
    <n v="2"/>
    <n v="6202"/>
    <n v="0"/>
    <n v="0"/>
    <n v="2"/>
    <n v="0"/>
    <n v="0"/>
    <n v="0"/>
    <n v="0"/>
    <n v="6202"/>
    <n v="0"/>
    <n v="0"/>
    <n v="0"/>
    <n v="2"/>
    <n v="6202"/>
    <n v="0"/>
    <n v="0"/>
    <n v="2"/>
    <n v="0"/>
    <n v="0"/>
    <n v="0"/>
    <n v="0"/>
    <n v="6202"/>
    <n v="0"/>
    <n v="0"/>
    <n v="0"/>
    <n v="2"/>
    <n v="6202"/>
    <n v="0"/>
    <n v="0"/>
    <n v="2"/>
    <n v="0"/>
    <n v="0"/>
    <n v="0"/>
    <m/>
    <n v="5175"/>
    <n v="0"/>
    <n v="0"/>
    <n v="0"/>
    <n v="2"/>
    <n v="5175"/>
    <n v="0"/>
    <n v="0"/>
    <n v="2"/>
    <n v="0"/>
    <n v="0"/>
    <n v="0"/>
    <n v="0"/>
    <m/>
    <n v="5175"/>
    <n v="0"/>
    <n v="0"/>
    <n v="0"/>
    <n v="2"/>
    <n v="5175"/>
    <n v="0"/>
    <n v="0"/>
    <n v="2"/>
    <n v="0"/>
    <n v="0"/>
    <n v="0"/>
    <n v="5175"/>
    <n v="0"/>
    <n v="0"/>
    <n v="0"/>
    <n v="2"/>
    <n v="5175"/>
    <n v="0"/>
    <n v="0"/>
    <n v="2"/>
    <n v="0"/>
    <n v="0"/>
    <n v="0"/>
    <n v="5175"/>
    <n v="0"/>
    <n v="0"/>
    <n v="2"/>
    <n v="5175"/>
    <n v="0"/>
    <n v="0"/>
    <n v="2"/>
    <n v="0"/>
    <n v="0"/>
    <m/>
    <n v="5175"/>
    <n v="0"/>
    <n v="0"/>
    <n v="2"/>
    <n v="5175"/>
    <n v="0"/>
  </r>
  <r>
    <s v="Lhotse-Accesorio Vestuario"/>
    <x v="1"/>
    <x v="15"/>
    <x v="34"/>
    <s v="LHJOKHIK"/>
    <x v="225"/>
    <x v="218"/>
    <x v="0"/>
    <x v="6"/>
    <n v="1"/>
    <x v="12"/>
    <n v="2"/>
    <m/>
    <n v="0"/>
    <n v="3101"/>
    <n v="6202"/>
    <n v="2.5"/>
    <n v="2731.25"/>
    <n v="6714.285714285715"/>
    <n v="6714.285714285715"/>
    <s v="Shenzhen"/>
    <s v="30/70"/>
    <n v="30"/>
    <n v="200"/>
    <n v="2"/>
    <n v="0.6306468135795117"/>
    <n v="2"/>
    <n v="0.6049786610612142"/>
    <n v="2"/>
    <n v="0.664242555495398"/>
    <n v="1"/>
    <n v="0.6306468135795117"/>
    <n v="5"/>
    <n v="0.6738830458561212"/>
    <n v="1"/>
    <n v="0.7159215829974349"/>
    <n v="19"/>
    <n v="0.4612227130145318"/>
    <n v="23"/>
    <n v="0.616633026814002"/>
    <n v="2"/>
    <n v="0.6658166729536025"/>
    <n v="8"/>
    <n v="0.6259573569769896"/>
    <n v="20"/>
    <n v="0.5780205753476853"/>
    <n v="50"/>
    <n v="0.5290810409289689"/>
    <n v="2"/>
    <s v=""/>
    <n v="12"/>
    <s v=""/>
    <n v="8"/>
    <s v=""/>
    <n v="1"/>
    <s v=""/>
    <n v="0.2"/>
    <n v="0"/>
    <s v=""/>
    <n v="0"/>
    <n v="0"/>
    <s v=""/>
    <n v="0"/>
    <n v="0"/>
    <s v=""/>
    <n v="0"/>
    <n v="0"/>
    <n v="7"/>
    <n v="0"/>
    <n v="0"/>
    <n v="0"/>
    <n v="0"/>
    <n v="80626"/>
    <n v="18112.5"/>
    <n v="0"/>
    <n v="0"/>
    <n v="2"/>
    <n v="6202"/>
    <n v="0"/>
    <n v="0"/>
    <n v="20"/>
    <n v="18"/>
    <n v="0"/>
    <n v="0"/>
    <n v="0"/>
    <n v="83727"/>
    <n v="51750"/>
    <n v="55818"/>
    <n v="0"/>
    <n v="2"/>
    <n v="6202"/>
    <n v="101560.6242496999"/>
    <n v="5"/>
    <n v="7"/>
    <n v="8"/>
    <n v="0"/>
    <n v="0"/>
    <n v="40846.5"/>
    <n v="21707"/>
    <n v="24808"/>
    <n v="0"/>
    <n v="2"/>
    <n v="6202"/>
    <n v="53714.28571428572"/>
    <n v="5"/>
    <n v="3"/>
    <n v="1"/>
    <n v="0"/>
    <n v="0"/>
    <n v="7762.5"/>
    <n v="3101"/>
    <n v="0"/>
    <n v="0"/>
    <n v="2"/>
    <n v="6202"/>
    <n v="6714.285714285715"/>
    <n v="5"/>
    <n v="2"/>
    <n v="5"/>
    <m/>
    <n v="0"/>
    <n v="0"/>
    <n v="6202"/>
    <n v="12937.5"/>
    <n v="0"/>
    <n v="0"/>
    <n v="2"/>
    <n v="6202"/>
    <n v="33571.42857142857"/>
    <n v="1"/>
    <n v="2"/>
    <n v="0"/>
    <m/>
    <n v="0"/>
    <n v="0"/>
    <n v="6202"/>
    <n v="0"/>
    <n v="0"/>
    <n v="0"/>
    <n v="2"/>
    <n v="6202"/>
    <n v="0"/>
    <n v="0"/>
    <n v="2"/>
    <n v="0"/>
    <n v="0"/>
    <n v="0"/>
    <n v="0"/>
    <n v="6202"/>
    <n v="0"/>
    <n v="0"/>
    <n v="0"/>
    <n v="2"/>
    <n v="6202"/>
    <n v="0"/>
    <n v="0"/>
    <n v="2"/>
    <n v="0"/>
    <n v="0"/>
    <n v="0"/>
    <n v="0"/>
    <n v="6202"/>
    <n v="0"/>
    <n v="0"/>
    <n v="0"/>
    <n v="2"/>
    <n v="6202"/>
    <n v="0"/>
    <n v="0"/>
    <n v="2"/>
    <n v="0"/>
    <n v="0"/>
    <n v="0"/>
    <m/>
    <n v="5175"/>
    <n v="0"/>
    <n v="0"/>
    <n v="0"/>
    <n v="2"/>
    <n v="5175"/>
    <n v="0"/>
    <n v="0"/>
    <n v="2"/>
    <n v="0"/>
    <n v="0"/>
    <n v="0"/>
    <n v="0"/>
    <m/>
    <n v="5175"/>
    <n v="0"/>
    <n v="0"/>
    <n v="0"/>
    <n v="2"/>
    <n v="5175"/>
    <n v="0"/>
    <n v="0"/>
    <n v="2"/>
    <n v="0"/>
    <n v="0"/>
    <n v="0"/>
    <n v="5175"/>
    <n v="0"/>
    <n v="0"/>
    <n v="0"/>
    <n v="2"/>
    <n v="5175"/>
    <n v="0"/>
    <n v="0"/>
    <n v="2"/>
    <n v="0"/>
    <n v="0"/>
    <n v="0"/>
    <n v="5175"/>
    <n v="0"/>
    <n v="0"/>
    <n v="2"/>
    <n v="5175"/>
    <n v="0"/>
    <n v="0"/>
    <n v="2"/>
    <n v="0"/>
    <n v="0"/>
    <m/>
    <n v="5175"/>
    <n v="0"/>
    <n v="0"/>
    <n v="2"/>
    <n v="5175"/>
    <n v="0"/>
  </r>
  <r>
    <s v="Lhotse-Accesorio Vestuario"/>
    <x v="1"/>
    <x v="15"/>
    <x v="34"/>
    <s v="LHJOKHIK"/>
    <x v="226"/>
    <x v="218"/>
    <x v="0"/>
    <x v="6"/>
    <n v="1"/>
    <x v="12"/>
    <n v="3"/>
    <m/>
    <n v="0"/>
    <n v="3101"/>
    <n v="9303"/>
    <n v="2.5"/>
    <n v="2731.25"/>
    <n v="6714.285714285715"/>
    <n v="6714.285714285715"/>
    <s v="Shenzhen"/>
    <s v="30/70"/>
    <n v="30"/>
    <n v="200"/>
    <n v="6"/>
    <n v="0.6879183955281791"/>
    <n v="8"/>
    <n v="0.644000574052813"/>
    <n v="6"/>
    <n v="0.664244337694737"/>
    <n v="2"/>
    <n v="0.7159472334188348"/>
    <n v="5"/>
    <n v="0.7159472334188348"/>
    <n v="18"/>
    <n v="0.6146612170503032"/>
    <n v="21"/>
    <n v="0.5055425926595948"/>
    <n v="32"/>
    <n v="0.6047867060726037"/>
    <n v="2"/>
    <n v="0.6658160676255129"/>
    <n v="11"/>
    <n v="0.6152444491715253"/>
    <n v="8"/>
    <n v="0.6259334464623856"/>
    <n v="71"/>
    <n v="0.5397584712736698"/>
    <n v="3"/>
    <s v=""/>
    <n v="7"/>
    <s v=""/>
    <n v="1"/>
    <s v=""/>
    <n v="0"/>
    <s v=""/>
    <n v="0"/>
    <n v="0"/>
    <s v=""/>
    <n v="0"/>
    <n v="0"/>
    <s v=""/>
    <n v="0"/>
    <n v="0"/>
    <s v=""/>
    <n v="0"/>
    <n v="6"/>
    <n v="7"/>
    <n v="3"/>
    <n v="0"/>
    <n v="0"/>
    <n v="0"/>
    <n v="44964.5"/>
    <n v="18112.5"/>
    <n v="9303"/>
    <n v="0"/>
    <n v="3"/>
    <n v="9303"/>
    <n v="16926.77070828331"/>
    <n v="5"/>
    <n v="11"/>
    <n v="10.5"/>
    <n v="0"/>
    <n v="0"/>
    <n v="0"/>
    <n v="35661.5"/>
    <n v="28462.5"/>
    <n v="32560.5"/>
    <n v="0"/>
    <n v="3"/>
    <n v="9303"/>
    <n v="59243.69747899161"/>
    <n v="6"/>
    <n v="4"/>
    <n v="1"/>
    <n v="0"/>
    <n v="0"/>
    <n v="3101"/>
    <n v="12404"/>
    <n v="3101"/>
    <n v="0"/>
    <n v="3"/>
    <n v="9303"/>
    <n v="6714.285714285715"/>
    <n v="6"/>
    <n v="3"/>
    <n v="0"/>
    <n v="0"/>
    <n v="0"/>
    <n v="7762.5"/>
    <n v="0"/>
    <n v="0"/>
    <n v="0"/>
    <n v="3"/>
    <n v="9303"/>
    <n v="0"/>
    <n v="0"/>
    <n v="3"/>
    <n v="0"/>
    <m/>
    <n v="0"/>
    <n v="0"/>
    <n v="9303"/>
    <n v="0"/>
    <n v="0"/>
    <n v="0"/>
    <n v="3"/>
    <n v="9303"/>
    <n v="0"/>
    <n v="0"/>
    <n v="3"/>
    <n v="0"/>
    <m/>
    <n v="0"/>
    <n v="0"/>
    <n v="9303"/>
    <n v="0"/>
    <n v="0"/>
    <n v="0"/>
    <n v="3"/>
    <n v="9303"/>
    <n v="0"/>
    <n v="0"/>
    <n v="3"/>
    <n v="0"/>
    <n v="0"/>
    <n v="0"/>
    <n v="0"/>
    <n v="9303"/>
    <n v="0"/>
    <n v="0"/>
    <n v="0"/>
    <n v="3"/>
    <n v="9303"/>
    <n v="0"/>
    <n v="0"/>
    <n v="3"/>
    <n v="0"/>
    <n v="0"/>
    <n v="0"/>
    <n v="0"/>
    <n v="9303"/>
    <n v="0"/>
    <n v="0"/>
    <n v="0"/>
    <n v="3"/>
    <n v="9303"/>
    <n v="0"/>
    <n v="0"/>
    <n v="3"/>
    <n v="0"/>
    <n v="0"/>
    <n v="0"/>
    <m/>
    <n v="7762.5"/>
    <n v="0"/>
    <n v="0"/>
    <n v="0"/>
    <n v="3"/>
    <n v="7762.5"/>
    <n v="0"/>
    <n v="0"/>
    <n v="3"/>
    <n v="0"/>
    <n v="0"/>
    <n v="0"/>
    <n v="0"/>
    <m/>
    <n v="7762.5"/>
    <n v="0"/>
    <n v="0"/>
    <n v="0"/>
    <n v="3"/>
    <n v="7762.5"/>
    <n v="0"/>
    <n v="0"/>
    <n v="3"/>
    <n v="0"/>
    <n v="0"/>
    <n v="0"/>
    <n v="7762.5"/>
    <n v="0"/>
    <n v="0"/>
    <n v="0"/>
    <n v="3"/>
    <n v="7762.5"/>
    <n v="0"/>
    <n v="0"/>
    <n v="3"/>
    <n v="0"/>
    <n v="0"/>
    <n v="0"/>
    <n v="7762.5"/>
    <n v="0"/>
    <n v="0"/>
    <n v="3"/>
    <n v="7762.5"/>
    <n v="0"/>
    <n v="0"/>
    <n v="3"/>
    <n v="0"/>
    <n v="0"/>
    <m/>
    <n v="7762.5"/>
    <n v="0"/>
    <n v="0"/>
    <n v="3"/>
    <n v="7762.5"/>
    <n v="0"/>
  </r>
  <r>
    <s v="Lhotse-Accesorio Vestuario"/>
    <x v="1"/>
    <x v="15"/>
    <x v="34"/>
    <s v="LHJOKFLF"/>
    <x v="227"/>
    <x v="219"/>
    <x v="0"/>
    <x v="6"/>
    <n v="1"/>
    <x v="12"/>
    <n v="2"/>
    <m/>
    <n v="0"/>
    <n v="3557"/>
    <n v="7114"/>
    <n v="3.28"/>
    <n v="3583.4"/>
    <n v="6714.285714285715"/>
    <n v="6714.285714285715"/>
    <s v="Shenzhen"/>
    <s v="30/70"/>
    <n v="30"/>
    <n v="200"/>
    <n v="0"/>
    <s v=""/>
    <n v="0"/>
    <s v=""/>
    <n v="0"/>
    <s v=""/>
    <n v="4"/>
    <n v="0.5230381755545422"/>
    <n v="7"/>
    <n v="0.4623693836216886"/>
    <n v="4"/>
    <n v="0.7058498549551523"/>
    <n v="5"/>
    <n v="0.3944501191692203"/>
    <n v="45"/>
    <n v="0.5475902099478815"/>
    <n v="1"/>
    <n v="0.7176760060322248"/>
    <n v="7"/>
    <n v="0.653280046788186"/>
    <n v="5"/>
    <n v="0.5762853194834898"/>
    <n v="105"/>
    <n v="0.4519605609325981"/>
    <n v="0"/>
    <s v=""/>
    <n v="3"/>
    <s v=""/>
    <n v="0"/>
    <s v=""/>
    <n v="1"/>
    <s v=""/>
    <n v="0.1"/>
    <n v="0"/>
    <s v=""/>
    <n v="0"/>
    <n v="0"/>
    <s v=""/>
    <n v="0"/>
    <n v="1"/>
    <s v=""/>
    <n v="0"/>
    <n v="11"/>
    <n v="2"/>
    <n v="0"/>
    <n v="0"/>
    <n v="0"/>
    <n v="0"/>
    <n v="16006.5"/>
    <n v="6789.599999999999"/>
    <n v="0"/>
    <n v="0"/>
    <n v="2"/>
    <n v="7114"/>
    <n v="0"/>
    <n v="10"/>
    <n v="5"/>
    <n v="4.5"/>
    <n v="0"/>
    <n v="0"/>
    <n v="0"/>
    <n v="19563.5"/>
    <n v="16974"/>
    <n v="16006.5"/>
    <n v="0"/>
    <n v="2"/>
    <n v="7114"/>
    <n v="25390.15606242497"/>
    <n v="10"/>
    <n v="2"/>
    <n v="0"/>
    <n v="0"/>
    <n v="0"/>
    <n v="3557"/>
    <n v="7114"/>
    <n v="0"/>
    <n v="0"/>
    <n v="2"/>
    <n v="7114"/>
    <n v="0"/>
    <n v="10"/>
    <n v="3"/>
    <n v="1"/>
    <n v="0"/>
    <n v="0"/>
    <n v="10184.4"/>
    <n v="3557"/>
    <n v="0"/>
    <n v="0"/>
    <n v="2"/>
    <n v="7114"/>
    <n v="6714.285714285715"/>
    <n v="0"/>
    <n v="2"/>
    <n v="0"/>
    <m/>
    <n v="0"/>
    <n v="0"/>
    <n v="7114"/>
    <n v="0"/>
    <n v="0"/>
    <n v="0"/>
    <n v="2"/>
    <n v="7114"/>
    <n v="0"/>
    <n v="0"/>
    <n v="2"/>
    <n v="0"/>
    <m/>
    <n v="0"/>
    <n v="0"/>
    <n v="7114"/>
    <n v="0"/>
    <n v="0"/>
    <n v="0"/>
    <n v="2"/>
    <n v="7114"/>
    <n v="0"/>
    <n v="0"/>
    <n v="3"/>
    <n v="0"/>
    <n v="0"/>
    <n v="0"/>
    <n v="0"/>
    <n v="10671"/>
    <n v="0"/>
    <n v="0"/>
    <n v="0"/>
    <n v="3"/>
    <n v="7114"/>
    <n v="0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m/>
    <n v="10184.4"/>
    <n v="0"/>
    <n v="0"/>
    <n v="0"/>
    <n v="3"/>
    <n v="10184.4"/>
    <n v="0"/>
    <n v="0"/>
    <n v="3"/>
    <n v="0"/>
    <n v="0"/>
    <n v="0"/>
    <n v="0"/>
    <m/>
    <n v="10184.4"/>
    <n v="0"/>
    <n v="0"/>
    <n v="0"/>
    <n v="3"/>
    <n v="10184.4"/>
    <n v="0"/>
    <n v="0"/>
    <n v="3"/>
    <n v="0"/>
    <n v="0"/>
    <n v="0"/>
    <n v="10184.4"/>
    <n v="0"/>
    <n v="0"/>
    <n v="0"/>
    <n v="3"/>
    <n v="10184.4"/>
    <n v="0"/>
    <n v="0"/>
    <n v="3"/>
    <n v="0"/>
    <n v="0"/>
    <n v="0"/>
    <n v="10184.4"/>
    <n v="0"/>
    <n v="0"/>
    <n v="3"/>
    <n v="10184.4"/>
    <n v="0"/>
    <n v="0"/>
    <n v="3"/>
    <n v="0"/>
    <n v="0"/>
    <m/>
    <n v="10184.4"/>
    <n v="0"/>
    <n v="0"/>
    <n v="3"/>
    <n v="10184.4"/>
    <n v="0"/>
  </r>
  <r>
    <s v="Lhotse-Accesorio Vestuario"/>
    <x v="1"/>
    <x v="15"/>
    <x v="34"/>
    <s v="LHJOKFLF"/>
    <x v="228"/>
    <x v="219"/>
    <x v="0"/>
    <x v="6"/>
    <n v="1"/>
    <x v="12"/>
    <n v="2"/>
    <m/>
    <n v="0"/>
    <n v="3557"/>
    <n v="7114"/>
    <n v="3.28"/>
    <n v="3583.4"/>
    <n v="6714.285714285715"/>
    <n v="6714.285714285715"/>
    <s v="Shenzhen"/>
    <s v="30/70"/>
    <n v="30"/>
    <n v="200"/>
    <n v="0"/>
    <s v=""/>
    <n v="0"/>
    <s v=""/>
    <n v="0"/>
    <s v=""/>
    <n v="1"/>
    <n v="0.6974825650620854"/>
    <n v="12"/>
    <n v="0.5538357332798154"/>
    <n v="4"/>
    <n v="0.5389940061558399"/>
    <n v="8"/>
    <n v="0.5036888462544693"/>
    <n v="24"/>
    <n v="0.5568462703823307"/>
    <n v="5"/>
    <n v="0.6746904208812716"/>
    <n v="16"/>
    <n v="0.5128773548569325"/>
    <n v="8"/>
    <n v="0.5418893682787044"/>
    <n v="102"/>
    <n v="0.4586368560369808"/>
    <n v="0"/>
    <s v=""/>
    <n v="8"/>
    <s v=""/>
    <n v="0"/>
    <s v=""/>
    <n v="0"/>
    <s v=""/>
    <n v="0"/>
    <n v="0"/>
    <s v=""/>
    <n v="0"/>
    <n v="0"/>
    <s v=""/>
    <n v="0"/>
    <n v="0"/>
    <s v=""/>
    <n v="0"/>
    <n v="15"/>
    <n v="2"/>
    <n v="0"/>
    <n v="0"/>
    <n v="0"/>
    <n v="0"/>
    <n v="42684"/>
    <n v="6789.599999999999"/>
    <n v="0"/>
    <n v="0"/>
    <n v="2"/>
    <n v="7114"/>
    <n v="0"/>
    <n v="10"/>
    <n v="10"/>
    <n v="12"/>
    <n v="0"/>
    <n v="0"/>
    <n v="0"/>
    <n v="42684"/>
    <n v="33948"/>
    <n v="42684"/>
    <n v="0"/>
    <n v="2"/>
    <n v="7114"/>
    <n v="67707.08283313326"/>
    <n v="10"/>
    <n v="2"/>
    <n v="0"/>
    <n v="0"/>
    <n v="0"/>
    <n v="0"/>
    <n v="7114"/>
    <n v="0"/>
    <n v="0"/>
    <n v="2"/>
    <n v="7114"/>
    <n v="0"/>
    <n v="10"/>
    <n v="2"/>
    <n v="0"/>
    <n v="0"/>
    <n v="0"/>
    <n v="6789.599999999999"/>
    <n v="0"/>
    <n v="0"/>
    <n v="0"/>
    <n v="2"/>
    <n v="7114"/>
    <n v="0"/>
    <n v="0"/>
    <n v="2"/>
    <n v="0"/>
    <m/>
    <n v="0"/>
    <n v="0"/>
    <n v="7114"/>
    <n v="0"/>
    <n v="0"/>
    <n v="0"/>
    <n v="2"/>
    <n v="7114"/>
    <n v="0"/>
    <n v="0"/>
    <n v="2"/>
    <n v="0"/>
    <m/>
    <n v="0"/>
    <n v="0"/>
    <n v="7114"/>
    <n v="0"/>
    <n v="0"/>
    <n v="0"/>
    <n v="2"/>
    <n v="7114"/>
    <n v="0"/>
    <n v="0"/>
    <n v="2"/>
    <n v="0"/>
    <n v="0"/>
    <n v="0"/>
    <n v="0"/>
    <n v="7114"/>
    <n v="0"/>
    <n v="0"/>
    <n v="0"/>
    <n v="2"/>
    <n v="7114"/>
    <n v="0"/>
    <n v="0"/>
    <n v="2"/>
    <n v="0"/>
    <n v="0"/>
    <n v="0"/>
    <n v="0"/>
    <n v="7114"/>
    <n v="0"/>
    <n v="0"/>
    <n v="0"/>
    <n v="2"/>
    <n v="7114"/>
    <n v="0"/>
    <n v="0"/>
    <n v="2"/>
    <n v="0"/>
    <n v="0"/>
    <n v="0"/>
    <m/>
    <n v="6789.599999999999"/>
    <n v="0"/>
    <n v="0"/>
    <n v="0"/>
    <n v="2"/>
    <n v="6789.599999999999"/>
    <n v="0"/>
    <n v="0"/>
    <n v="2"/>
    <n v="0"/>
    <n v="0"/>
    <n v="0"/>
    <n v="0"/>
    <m/>
    <n v="6789.599999999999"/>
    <n v="0"/>
    <n v="0"/>
    <n v="0"/>
    <n v="2"/>
    <n v="6789.599999999999"/>
    <n v="0"/>
    <n v="0"/>
    <n v="2"/>
    <n v="0"/>
    <n v="0"/>
    <n v="0"/>
    <n v="6789.599999999999"/>
    <n v="0"/>
    <n v="0"/>
    <n v="0"/>
    <n v="2"/>
    <n v="6789.599999999999"/>
    <n v="0"/>
    <n v="0"/>
    <n v="2"/>
    <n v="0"/>
    <n v="0"/>
    <n v="0"/>
    <n v="6789.599999999999"/>
    <n v="0"/>
    <n v="0"/>
    <n v="2"/>
    <n v="6789.599999999999"/>
    <n v="0"/>
    <n v="0"/>
    <n v="2"/>
    <n v="0"/>
    <n v="0"/>
    <m/>
    <n v="6789.599999999999"/>
    <n v="0"/>
    <n v="0"/>
    <n v="2"/>
    <n v="6789.599999999999"/>
    <n v="0"/>
  </r>
  <r>
    <s v="Lhotse-Accesorio Vestuario"/>
    <x v="1"/>
    <x v="15"/>
    <x v="34"/>
    <s v="LHJOKRD"/>
    <x v="229"/>
    <x v="220"/>
    <x v="0"/>
    <x v="6"/>
    <n v="1.2"/>
    <x v="12"/>
    <n v="2"/>
    <m/>
    <n v="0"/>
    <n v="3218"/>
    <n v="6436"/>
    <n v="2.6"/>
    <n v="2840.5"/>
    <n v="6714.285714285715"/>
    <n v="6714.285714285715"/>
    <s v="Shenzhen"/>
    <s v="30/70"/>
    <n v="30"/>
    <n v="200"/>
    <n v="0"/>
    <s v=""/>
    <n v="2"/>
    <n v="0.6515322144017325"/>
    <n v="4"/>
    <n v="0.6260113305249125"/>
    <n v="1"/>
    <n v="0.7051850494686699"/>
    <n v="1"/>
    <n v="0.7051850494686699"/>
    <n v="0"/>
    <s v=""/>
    <n v="5"/>
    <n v="0.6515361621296808"/>
    <n v="2"/>
    <n v="0.6821945856501223"/>
    <n v="4"/>
    <n v="0.6812790258085094"/>
    <n v="20"/>
    <n v="0.616645689574099"/>
    <n v="10"/>
    <n v="0.6010980946727232"/>
    <n v="54"/>
    <n v="0.487167639220838"/>
    <n v="30"/>
    <s v=""/>
    <n v="24"/>
    <s v=""/>
    <n v="12"/>
    <s v=""/>
    <n v="19"/>
    <s v=""/>
    <n v="1.583333333333333"/>
    <n v="3"/>
    <s v=""/>
    <n v="1.5"/>
    <n v="0"/>
    <s v=""/>
    <n v="0"/>
    <n v="0"/>
    <s v=""/>
    <n v="0"/>
    <n v="10"/>
    <n v="72"/>
    <n v="15"/>
    <n v="0"/>
    <n v="0"/>
    <n v="0"/>
    <n v="202734"/>
    <n v="193752"/>
    <n v="48270"/>
    <n v="0"/>
    <n v="2"/>
    <n v="6436"/>
    <n v="84633.85354141658"/>
    <n v="7"/>
    <n v="56"/>
    <n v="36"/>
    <n v="0"/>
    <n v="0"/>
    <n v="0"/>
    <n v="215606"/>
    <n v="150696"/>
    <n v="115848"/>
    <n v="0"/>
    <n v="2"/>
    <n v="6436"/>
    <n v="203121.2484993998"/>
    <n v="12"/>
    <n v="31"/>
    <n v="12"/>
    <n v="0"/>
    <n v="0"/>
    <n v="106216.4"/>
    <n v="99758"/>
    <n v="38616"/>
    <n v="0"/>
    <n v="2"/>
    <n v="6436"/>
    <n v="80571.42857142858"/>
    <n v="12"/>
    <n v="20"/>
    <n v="19"/>
    <n v="0"/>
    <n v="0"/>
    <n v="53820"/>
    <n v="61142"/>
    <n v="0"/>
    <n v="0"/>
    <n v="2"/>
    <n v="6436"/>
    <n v="127571.4285714286"/>
    <n v="2"/>
    <n v="5"/>
    <n v="2.4"/>
    <m/>
    <n v="0"/>
    <n v="0"/>
    <n v="16090"/>
    <n v="6458.4"/>
    <n v="0"/>
    <n v="0"/>
    <n v="2"/>
    <n v="6436"/>
    <n v="16114.28571428571"/>
    <n v="19"/>
    <n v="2"/>
    <n v="0"/>
    <m/>
    <n v="0"/>
    <n v="0"/>
    <n v="6436"/>
    <n v="0"/>
    <n v="0"/>
    <n v="0"/>
    <n v="2"/>
    <n v="6436"/>
    <n v="0"/>
    <n v="0"/>
    <n v="2"/>
    <n v="0"/>
    <n v="0"/>
    <n v="0"/>
    <n v="0"/>
    <n v="6436"/>
    <n v="0"/>
    <n v="0"/>
    <n v="0"/>
    <n v="2"/>
    <n v="6436"/>
    <n v="0"/>
    <n v="0"/>
    <n v="2"/>
    <n v="0"/>
    <n v="0"/>
    <n v="0"/>
    <n v="0"/>
    <n v="6436"/>
    <n v="0"/>
    <n v="0"/>
    <n v="0"/>
    <n v="2"/>
    <n v="6436"/>
    <n v="0"/>
    <n v="0"/>
    <n v="2"/>
    <n v="0"/>
    <n v="0"/>
    <n v="0"/>
    <m/>
    <n v="5382"/>
    <n v="0"/>
    <n v="0"/>
    <n v="0"/>
    <n v="2"/>
    <n v="5382"/>
    <n v="0"/>
    <n v="0"/>
    <n v="2"/>
    <n v="0"/>
    <n v="0"/>
    <n v="0"/>
    <n v="0"/>
    <m/>
    <n v="5382"/>
    <n v="0"/>
    <n v="0"/>
    <n v="0"/>
    <n v="2"/>
    <n v="5382"/>
    <n v="0"/>
    <n v="0"/>
    <n v="2"/>
    <n v="0"/>
    <n v="0"/>
    <n v="0"/>
    <n v="5382"/>
    <n v="0"/>
    <n v="0"/>
    <n v="0"/>
    <n v="2"/>
    <n v="5382"/>
    <n v="0"/>
    <n v="0"/>
    <n v="2"/>
    <n v="0"/>
    <n v="0"/>
    <n v="0"/>
    <n v="5382"/>
    <n v="0"/>
    <n v="0"/>
    <n v="2"/>
    <n v="5382"/>
    <n v="0"/>
    <n v="0"/>
    <n v="2"/>
    <n v="0"/>
    <n v="0"/>
    <m/>
    <n v="5382"/>
    <n v="0"/>
    <n v="0"/>
    <n v="2"/>
    <n v="5382"/>
    <n v="0"/>
  </r>
  <r>
    <s v="Lhotse-Accesorio Vestuario"/>
    <x v="1"/>
    <x v="15"/>
    <x v="34"/>
    <s v="LHJOKRD"/>
    <x v="230"/>
    <x v="220"/>
    <x v="0"/>
    <x v="6"/>
    <n v="1"/>
    <x v="12"/>
    <n v="2"/>
    <m/>
    <n v="0"/>
    <n v="3219"/>
    <n v="6438"/>
    <n v="2.6"/>
    <n v="2840.5"/>
    <n v="6714.285714285715"/>
    <n v="6714.285714285715"/>
    <s v="Shenzhen"/>
    <s v="30/70"/>
    <n v="30"/>
    <n v="200"/>
    <n v="5"/>
    <n v="0.5629524003530929"/>
    <n v="12"/>
    <n v="0.6307721285455462"/>
    <n v="7"/>
    <n v="0.6422234574763758"/>
    <n v="4"/>
    <n v="0.5462370897810991"/>
    <n v="0"/>
    <s v=""/>
    <n v="2"/>
    <n v="0.7051850494686699"/>
    <n v="10"/>
    <n v="0.4649456946953639"/>
    <n v="4"/>
    <n v="0.6350414379317294"/>
    <n v="3"/>
    <n v="0.7051841416474212"/>
    <n v="14"/>
    <n v="0.6082424898888019"/>
    <n v="17"/>
    <n v="0.639981230741325"/>
    <n v="52"/>
    <n v="0.5017141243077248"/>
    <n v="30"/>
    <s v=""/>
    <n v="26"/>
    <s v=""/>
    <n v="1"/>
    <s v=""/>
    <n v="1"/>
    <s v=""/>
    <n v="0.1111111111111111"/>
    <n v="0"/>
    <s v=""/>
    <n v="0"/>
    <n v="0"/>
    <s v=""/>
    <n v="0"/>
    <n v="0"/>
    <s v=""/>
    <n v="0"/>
    <n v="10"/>
    <n v="50"/>
    <n v="20"/>
    <n v="0"/>
    <n v="0"/>
    <n v="0"/>
    <n v="193140"/>
    <n v="134550"/>
    <n v="64380"/>
    <n v="0"/>
    <n v="2"/>
    <n v="6438"/>
    <n v="112845.1380552221"/>
    <n v="7"/>
    <n v="30"/>
    <n v="39"/>
    <n v="0"/>
    <n v="0"/>
    <n v="0"/>
    <n v="131979"/>
    <n v="80730"/>
    <n v="125541"/>
    <n v="0"/>
    <n v="2"/>
    <n v="6438"/>
    <n v="220048.0192076831"/>
    <n v="9"/>
    <n v="3"/>
    <n v="1"/>
    <n v="0"/>
    <n v="0"/>
    <n v="6438"/>
    <n v="9657"/>
    <n v="3219"/>
    <n v="0"/>
    <n v="2"/>
    <n v="6438"/>
    <n v="6714.285714285715"/>
    <n v="9"/>
    <n v="3"/>
    <n v="1"/>
    <n v="0"/>
    <n v="0"/>
    <n v="8073"/>
    <n v="3219"/>
    <n v="0"/>
    <n v="0"/>
    <n v="2"/>
    <n v="6438"/>
    <n v="6714.285714285715"/>
    <n v="0"/>
    <n v="2"/>
    <n v="0"/>
    <m/>
    <n v="0"/>
    <n v="0"/>
    <n v="6438"/>
    <n v="0"/>
    <n v="0"/>
    <n v="0"/>
    <n v="2"/>
    <n v="6438"/>
    <n v="0"/>
    <n v="0"/>
    <n v="2"/>
    <n v="0"/>
    <m/>
    <n v="0"/>
    <n v="0"/>
    <n v="6438"/>
    <n v="0"/>
    <n v="0"/>
    <n v="0"/>
    <n v="2"/>
    <n v="6438"/>
    <n v="0"/>
    <n v="0"/>
    <n v="2"/>
    <n v="0"/>
    <n v="0"/>
    <n v="0"/>
    <n v="0"/>
    <n v="6438"/>
    <n v="0"/>
    <n v="0"/>
    <n v="0"/>
    <n v="2"/>
    <n v="6438"/>
    <n v="0"/>
    <n v="0"/>
    <n v="2"/>
    <n v="0"/>
    <n v="0"/>
    <n v="0"/>
    <n v="0"/>
    <n v="6438"/>
    <n v="0"/>
    <n v="0"/>
    <n v="0"/>
    <n v="2"/>
    <n v="6438"/>
    <n v="0"/>
    <n v="0"/>
    <n v="2"/>
    <n v="0"/>
    <n v="0"/>
    <n v="0"/>
    <m/>
    <n v="5382"/>
    <n v="0"/>
    <n v="0"/>
    <n v="0"/>
    <n v="2"/>
    <n v="5382"/>
    <n v="0"/>
    <n v="0"/>
    <n v="2"/>
    <n v="0"/>
    <n v="0"/>
    <n v="0"/>
    <n v="0"/>
    <m/>
    <n v="5382"/>
    <n v="0"/>
    <n v="0"/>
    <n v="0"/>
    <n v="2"/>
    <n v="5382"/>
    <n v="0"/>
    <n v="0"/>
    <n v="2"/>
    <n v="0"/>
    <n v="0"/>
    <n v="0"/>
    <n v="5382"/>
    <n v="0"/>
    <n v="0"/>
    <n v="0"/>
    <n v="2"/>
    <n v="5382"/>
    <n v="0"/>
    <n v="0"/>
    <n v="2"/>
    <n v="0"/>
    <n v="0"/>
    <n v="0"/>
    <n v="5382"/>
    <n v="0"/>
    <n v="0"/>
    <n v="2"/>
    <n v="5382"/>
    <n v="0"/>
    <n v="0"/>
    <n v="2"/>
    <n v="0"/>
    <n v="0"/>
    <m/>
    <n v="5382"/>
    <n v="0"/>
    <n v="0"/>
    <n v="2"/>
    <n v="5382"/>
    <n v="0"/>
  </r>
  <r>
    <s v="Lhotse-Accesorio Vestuario"/>
    <x v="1"/>
    <x v="15"/>
    <x v="34"/>
    <s v="LHJOKWV"/>
    <x v="231"/>
    <x v="221"/>
    <x v="0"/>
    <x v="6"/>
    <n v="1.5"/>
    <x v="12"/>
    <n v="46"/>
    <m/>
    <n v="0"/>
    <n v="3218"/>
    <n v="148028"/>
    <n v="2.6"/>
    <n v="2840.5"/>
    <n v="6714.285714285715"/>
    <n v="6714.285714285715"/>
    <s v="Shenzhen"/>
    <s v="30/70"/>
    <n v="30"/>
    <n v="200"/>
    <n v="3"/>
    <n v="0.5548413869420878"/>
    <n v="2"/>
    <n v="0.634917753828701"/>
    <n v="1"/>
    <n v="0.6166527695056582"/>
    <n v="1"/>
    <n v="0.6166527695056582"/>
    <n v="1"/>
    <n v="0.7051850494686699"/>
    <n v="0"/>
    <s v=""/>
    <n v="15"/>
    <n v="0.4468799413341888"/>
    <n v="3"/>
    <n v="0.6134603835528687"/>
    <n v="2"/>
    <n v="0.7051841416474212"/>
    <n v="4"/>
    <n v="0.5206885179629571"/>
    <n v="2"/>
    <n v="0.5207030086386655"/>
    <n v="12"/>
    <n v="0.4261305977912423"/>
    <n v="17"/>
    <s v=""/>
    <n v="5"/>
    <s v=""/>
    <n v="3"/>
    <s v=""/>
    <n v="16"/>
    <s v=""/>
    <n v="2"/>
    <n v="12"/>
    <s v=""/>
    <n v="12"/>
    <n v="20"/>
    <s v=""/>
    <n v="2.5"/>
    <n v="23"/>
    <s v=""/>
    <n v="1.533333333333333"/>
    <n v="6"/>
    <n v="137"/>
    <n v="6"/>
    <n v="0"/>
    <n v="0"/>
    <n v="0"/>
    <n v="53097"/>
    <n v="368667"/>
    <n v="19308"/>
    <n v="0"/>
    <n v="46"/>
    <n v="148028"/>
    <n v="33853.54141656663"/>
    <n v="8"/>
    <n v="124"/>
    <n v="7.5"/>
    <n v="0"/>
    <n v="0"/>
    <n v="0"/>
    <n v="85277"/>
    <n v="333684"/>
    <n v="24135"/>
    <n v="0"/>
    <n v="46"/>
    <n v="148028"/>
    <n v="42316.92677070829"/>
    <n v="8"/>
    <n v="119"/>
    <n v="3"/>
    <n v="0"/>
    <n v="0"/>
    <n v="65178.5"/>
    <n v="382942"/>
    <n v="9654"/>
    <n v="0"/>
    <n v="46"/>
    <n v="148028"/>
    <n v="20142.85714285714"/>
    <n v="8"/>
    <n v="116"/>
    <n v="16"/>
    <n v="0"/>
    <n v="0"/>
    <n v="312156"/>
    <n v="51488"/>
    <n v="0"/>
    <n v="0"/>
    <n v="46"/>
    <n v="148028"/>
    <n v="107428.5714285714"/>
    <n v="1"/>
    <n v="58"/>
    <n v="1.5"/>
    <m/>
    <n v="0"/>
    <n v="0"/>
    <n v="186644"/>
    <n v="4036.5"/>
    <n v="0"/>
    <n v="0"/>
    <n v="46"/>
    <n v="148028"/>
    <n v="10071.42857142857"/>
    <n v="8"/>
    <n v="66"/>
    <n v="20"/>
    <m/>
    <n v="0"/>
    <n v="0"/>
    <n v="212388"/>
    <n v="53820"/>
    <n v="0"/>
    <n v="0"/>
    <n v="66"/>
    <n v="148028"/>
    <n v="134285.7142857143"/>
    <n v="15"/>
    <n v="69"/>
    <n v="22.5"/>
    <n v="0"/>
    <n v="0"/>
    <n v="0"/>
    <n v="222042"/>
    <n v="60547.5"/>
    <n v="0"/>
    <n v="0"/>
    <n v="69"/>
    <n v="148028"/>
    <n v="151071.4285714286"/>
    <n v="9"/>
    <n v="46.5"/>
    <n v="13.5"/>
    <n v="0"/>
    <n v="0"/>
    <n v="0"/>
    <n v="149637"/>
    <n v="36328.5"/>
    <n v="0"/>
    <n v="0"/>
    <n v="46.5"/>
    <n v="149637"/>
    <n v="90642.85714285714"/>
    <n v="7"/>
    <n v="33"/>
    <n v="10.5"/>
    <n v="0"/>
    <n v="0"/>
    <m/>
    <n v="88803"/>
    <n v="28255.5"/>
    <n v="0"/>
    <n v="0"/>
    <n v="33"/>
    <n v="88803"/>
    <n v="70500"/>
    <n v="4"/>
    <n v="22.5"/>
    <n v="6"/>
    <n v="0"/>
    <n v="0"/>
    <n v="0"/>
    <m/>
    <n v="60547.5"/>
    <n v="16146"/>
    <n v="0"/>
    <n v="0"/>
    <n v="22.5"/>
    <n v="60547.5"/>
    <n v="40285.71428571429"/>
    <n v="4"/>
    <n v="16.5"/>
    <n v="6"/>
    <n v="0"/>
    <n v="0"/>
    <n v="44401.5"/>
    <n v="16146"/>
    <n v="0"/>
    <n v="0"/>
    <n v="16.5"/>
    <n v="44401.5"/>
    <n v="42300.00000000001"/>
    <n v="4"/>
    <n v="10.5"/>
    <n v="6"/>
    <n v="0"/>
    <n v="0"/>
    <n v="28255.5"/>
    <n v="16146"/>
    <n v="0"/>
    <n v="10.5"/>
    <n v="28255.5"/>
    <n v="40285.71428571429"/>
    <n v="2.4"/>
    <n v="4.5"/>
    <n v="3.6"/>
    <n v="0"/>
    <m/>
    <n v="12109.5"/>
    <n v="11584.8"/>
    <n v="0"/>
    <n v="4.5"/>
    <n v="12109.5"/>
    <n v="24171.42857142857"/>
  </r>
  <r>
    <s v="Lhotse-Accesorio Vestuario"/>
    <x v="1"/>
    <x v="15"/>
    <x v="34"/>
    <s v="LHJOKWV"/>
    <x v="232"/>
    <x v="221"/>
    <x v="0"/>
    <x v="6"/>
    <n v="0.8"/>
    <x v="12"/>
    <n v="3"/>
    <m/>
    <n v="0"/>
    <n v="3218"/>
    <n v="9654"/>
    <n v="2.6"/>
    <n v="2840.5"/>
    <n v="6714.285714285715"/>
    <n v="6714.285714285715"/>
    <s v="Shenzhen"/>
    <s v="30/70"/>
    <n v="30"/>
    <n v="200"/>
    <n v="2"/>
    <n v="0.7051850494686698"/>
    <n v="8"/>
    <n v="0.6475164293537788"/>
    <n v="9"/>
    <n v="0.6443497587151119"/>
    <n v="2"/>
    <n v="0.7262853497767382"/>
    <n v="2"/>
    <n v="0.7051850494686699"/>
    <n v="3"/>
    <n v="0.7107865824889348"/>
    <n v="13"/>
    <n v="0.4544211504051605"/>
    <n v="2"/>
    <n v="0.6166493159131768"/>
    <n v="6"/>
    <n v="0.7051844442551251"/>
    <n v="12"/>
    <n v="0.6260127914070964"/>
    <n v="16"/>
    <n v="0.6102242274674863"/>
    <n v="57"/>
    <n v="0.4943529379333159"/>
    <n v="10"/>
    <s v=""/>
    <n v="13"/>
    <s v=""/>
    <n v="12"/>
    <s v=""/>
    <n v="4"/>
    <s v=""/>
    <n v="0.5"/>
    <n v="0"/>
    <s v=""/>
    <n v="0"/>
    <n v="0"/>
    <s v=""/>
    <n v="0"/>
    <n v="0"/>
    <s v=""/>
    <n v="0"/>
    <n v="10"/>
    <n v="21"/>
    <n v="12"/>
    <n v="0"/>
    <n v="0"/>
    <n v="0"/>
    <n v="139983"/>
    <n v="56511"/>
    <n v="38616"/>
    <n v="0"/>
    <n v="3"/>
    <n v="9654"/>
    <n v="67707.08283313326"/>
    <n v="10"/>
    <n v="40"/>
    <n v="19.5"/>
    <n v="0"/>
    <n v="0"/>
    <n v="0"/>
    <n v="114239"/>
    <n v="107640"/>
    <n v="62751"/>
    <n v="0"/>
    <n v="3"/>
    <n v="9654"/>
    <n v="110024.0096038416"/>
    <n v="8"/>
    <n v="25"/>
    <n v="12"/>
    <n v="0"/>
    <n v="0"/>
    <n v="55793.6"/>
    <n v="80450"/>
    <n v="38616"/>
    <n v="0"/>
    <n v="3"/>
    <n v="9654"/>
    <n v="80571.42857142858"/>
    <n v="8"/>
    <n v="7"/>
    <n v="4"/>
    <n v="0"/>
    <n v="0"/>
    <n v="18837"/>
    <n v="12872"/>
    <n v="0"/>
    <n v="0"/>
    <n v="3"/>
    <n v="9654"/>
    <n v="26857.14285714286"/>
    <n v="2"/>
    <n v="3"/>
    <n v="1.6"/>
    <m/>
    <n v="0"/>
    <n v="0"/>
    <n v="9654"/>
    <n v="4305.6"/>
    <n v="0"/>
    <n v="0"/>
    <n v="3"/>
    <n v="9654"/>
    <n v="10742.85714285714"/>
    <n v="4"/>
    <n v="3"/>
    <n v="0"/>
    <m/>
    <n v="0"/>
    <n v="0"/>
    <n v="9654"/>
    <n v="0"/>
    <n v="0"/>
    <n v="0"/>
    <n v="3"/>
    <n v="9654"/>
    <n v="0"/>
    <n v="0"/>
    <n v="3"/>
    <n v="0"/>
    <n v="0"/>
    <n v="0"/>
    <n v="0"/>
    <n v="9654"/>
    <n v="0"/>
    <n v="0"/>
    <n v="0"/>
    <n v="3"/>
    <n v="9654"/>
    <n v="0"/>
    <n v="0"/>
    <n v="3"/>
    <n v="0"/>
    <n v="0"/>
    <n v="0"/>
    <n v="0"/>
    <n v="9654"/>
    <n v="0"/>
    <n v="0"/>
    <n v="0"/>
    <n v="3"/>
    <n v="9654"/>
    <n v="0"/>
    <n v="0"/>
    <n v="3"/>
    <n v="0"/>
    <n v="0"/>
    <n v="0"/>
    <m/>
    <n v="8073"/>
    <n v="0"/>
    <n v="0"/>
    <n v="0"/>
    <n v="3"/>
    <n v="8073"/>
    <n v="0"/>
    <n v="0"/>
    <n v="3"/>
    <n v="0"/>
    <n v="0"/>
    <n v="0"/>
    <n v="0"/>
    <m/>
    <n v="8073"/>
    <n v="0"/>
    <n v="0"/>
    <n v="0"/>
    <n v="3"/>
    <n v="8073"/>
    <n v="0"/>
    <n v="0"/>
    <n v="3"/>
    <n v="0"/>
    <n v="0"/>
    <n v="0"/>
    <n v="8073"/>
    <n v="0"/>
    <n v="0"/>
    <n v="0"/>
    <n v="3"/>
    <n v="8073"/>
    <n v="0"/>
    <n v="0"/>
    <n v="3"/>
    <n v="0"/>
    <n v="0"/>
    <n v="0"/>
    <n v="8073"/>
    <n v="0"/>
    <n v="0"/>
    <n v="3"/>
    <n v="8073"/>
    <n v="0"/>
    <n v="0"/>
    <n v="3"/>
    <n v="0"/>
    <n v="0"/>
    <m/>
    <n v="8073"/>
    <n v="0"/>
    <n v="0"/>
    <n v="3"/>
    <n v="8073"/>
    <n v="0"/>
  </r>
  <r>
    <s v="Lhotse-Accesorio Vestuario"/>
    <x v="1"/>
    <x v="15"/>
    <x v="35"/>
    <s v="LHTOAMIC"/>
    <x v="233"/>
    <x v="222"/>
    <x v="0"/>
    <x v="6"/>
    <n v="1"/>
    <x v="12"/>
    <n v="3"/>
    <m/>
    <n v="0"/>
    <n v="3310"/>
    <n v="9930"/>
    <n v="2.4"/>
    <n v="2622"/>
    <n v="8394.957983193277"/>
    <n v="6714.285714285715"/>
    <s v="Shenzhen"/>
    <s v="30/70"/>
    <n v="30"/>
    <n v="200"/>
    <n v="13"/>
    <n v="0.5942259952802722"/>
    <n v="30"/>
    <n v="0.6045337241533119"/>
    <n v="31"/>
    <n v="0.4898610713578018"/>
    <n v="3"/>
    <n v="0.4597976281144598"/>
    <n v="3"/>
    <n v="0.5468236582694413"/>
    <n v="2"/>
    <n v="0.561850552650738"/>
    <n v="28"/>
    <n v="0.4532669482526723"/>
    <n v="8"/>
    <n v="0.5506402455284631"/>
    <n v="9"/>
    <n v="0.4856013774526007"/>
    <n v="36"/>
    <n v="0.5106364658665584"/>
    <n v="8"/>
    <n v="0.5031704590192728"/>
    <n v="50"/>
    <n v="0.4067857362308748"/>
    <n v="26"/>
    <s v=""/>
    <n v="8"/>
    <s v=""/>
    <n v="1"/>
    <s v=""/>
    <n v="0"/>
    <s v=""/>
    <n v="0"/>
    <n v="1"/>
    <s v=""/>
    <n v="0"/>
    <n v="0"/>
    <s v=""/>
    <n v="0"/>
    <n v="0"/>
    <s v=""/>
    <n v="0"/>
    <n v="20"/>
    <n v="35"/>
    <n v="35"/>
    <n v="0"/>
    <n v="0"/>
    <n v="0"/>
    <n v="158880"/>
    <n v="86940"/>
    <n v="115850"/>
    <n v="0"/>
    <n v="3"/>
    <n v="9930"/>
    <n v="246910.5289174494"/>
    <n v="0"/>
    <n v="13"/>
    <n v="12"/>
    <n v="0"/>
    <n v="0"/>
    <n v="0"/>
    <n v="43030"/>
    <n v="32292"/>
    <n v="39720"/>
    <n v="0"/>
    <n v="3"/>
    <n v="9930"/>
    <n v="84655.03848598263"/>
    <n v="20"/>
    <n v="5"/>
    <n v="1"/>
    <n v="0"/>
    <n v="0"/>
    <n v="3310"/>
    <n v="16550"/>
    <n v="3310"/>
    <n v="0"/>
    <n v="3"/>
    <n v="9930"/>
    <n v="8394.957983193277"/>
    <n v="0"/>
    <n v="4"/>
    <n v="0"/>
    <n v="0"/>
    <n v="0"/>
    <n v="9936"/>
    <n v="0"/>
    <n v="0"/>
    <n v="0"/>
    <n v="3"/>
    <n v="9930"/>
    <n v="0"/>
    <n v="0"/>
    <n v="4"/>
    <n v="0"/>
    <m/>
    <n v="0"/>
    <n v="0"/>
    <n v="13240"/>
    <n v="0"/>
    <n v="0"/>
    <n v="0"/>
    <n v="3"/>
    <n v="9930"/>
    <n v="0"/>
    <n v="0"/>
    <n v="3"/>
    <n v="0"/>
    <m/>
    <n v="0"/>
    <n v="0"/>
    <n v="9930"/>
    <n v="0"/>
    <n v="0"/>
    <n v="0"/>
    <n v="3"/>
    <n v="9930"/>
    <n v="0"/>
    <n v="0"/>
    <n v="3"/>
    <n v="0"/>
    <n v="0"/>
    <n v="0"/>
    <n v="0"/>
    <n v="9930"/>
    <n v="0"/>
    <n v="0"/>
    <n v="0"/>
    <n v="3"/>
    <n v="9930"/>
    <n v="0"/>
    <n v="0"/>
    <n v="3"/>
    <n v="0"/>
    <n v="0"/>
    <n v="0"/>
    <n v="0"/>
    <n v="9930"/>
    <n v="0"/>
    <n v="0"/>
    <n v="0"/>
    <n v="3"/>
    <n v="9930"/>
    <n v="0"/>
    <n v="0"/>
    <n v="3"/>
    <n v="0"/>
    <n v="0"/>
    <n v="0"/>
    <m/>
    <n v="7452"/>
    <n v="0"/>
    <n v="0"/>
    <n v="0"/>
    <n v="3"/>
    <n v="7452"/>
    <n v="0"/>
    <n v="0"/>
    <n v="3"/>
    <n v="0"/>
    <n v="0"/>
    <n v="0"/>
    <n v="0"/>
    <m/>
    <n v="7452"/>
    <n v="0"/>
    <n v="0"/>
    <n v="0"/>
    <n v="3"/>
    <n v="7452"/>
    <n v="0"/>
    <n v="0"/>
    <n v="3"/>
    <n v="0"/>
    <n v="0"/>
    <n v="0"/>
    <n v="7452"/>
    <n v="0"/>
    <n v="0"/>
    <n v="0"/>
    <n v="3"/>
    <n v="7452"/>
    <n v="0"/>
    <n v="0"/>
    <n v="3"/>
    <n v="0"/>
    <n v="0"/>
    <n v="0"/>
    <n v="7452"/>
    <n v="0"/>
    <n v="0"/>
    <n v="3"/>
    <n v="7452"/>
    <n v="0"/>
    <n v="0"/>
    <n v="3"/>
    <n v="0"/>
    <n v="0"/>
    <m/>
    <n v="7452"/>
    <n v="0"/>
    <n v="0"/>
    <n v="3"/>
    <n v="7452"/>
    <n v="0"/>
  </r>
  <r>
    <s v="Lhotse-Accesorio Vestuario"/>
    <x v="1"/>
    <x v="15"/>
    <x v="35"/>
    <s v="LHTOAMIC"/>
    <x v="234"/>
    <x v="222"/>
    <x v="0"/>
    <x v="6"/>
    <n v="1"/>
    <x v="12"/>
    <n v="2"/>
    <m/>
    <n v="0"/>
    <n v="3310"/>
    <n v="6620"/>
    <n v="2.4"/>
    <n v="2622"/>
    <n v="8394.957983193277"/>
    <n v="6714.285714285715"/>
    <s v="Shenzhen"/>
    <s v="30/70"/>
    <n v="30"/>
    <n v="200"/>
    <n v="30"/>
    <n v="0.6025456292026897"/>
    <n v="24"/>
    <n v="0.5443374186678327"/>
    <n v="19"/>
    <n v="0.5158732602537258"/>
    <n v="11"/>
    <n v="0.4696359516364844"/>
    <n v="7"/>
    <n v="0.6005929909844685"/>
    <n v="16"/>
    <n v="0.5610758724335315"/>
    <n v="48"/>
    <n v="0.4559649363100945"/>
    <n v="11"/>
    <n v="0.5671350785838267"/>
    <n v="12"/>
    <n v="0.5070142838905517"/>
    <n v="24"/>
    <n v="0.5178391201656453"/>
    <n v="24"/>
    <n v="0.4623604973030043"/>
    <n v="8"/>
    <n v="0.5031894934333959"/>
    <n v="4"/>
    <s v=""/>
    <n v="1"/>
    <s v=""/>
    <n v="0"/>
    <s v=""/>
    <n v="0"/>
    <s v=""/>
    <n v="0"/>
    <n v="0"/>
    <s v=""/>
    <n v="0"/>
    <n v="0"/>
    <s v=""/>
    <n v="0"/>
    <n v="0"/>
    <s v=""/>
    <n v="0"/>
    <n v="0"/>
    <n v="11"/>
    <n v="0"/>
    <n v="0"/>
    <n v="0"/>
    <n v="0"/>
    <n v="4965"/>
    <n v="27324"/>
    <n v="0"/>
    <n v="0"/>
    <n v="2"/>
    <n v="6620"/>
    <n v="0"/>
    <n v="0"/>
    <n v="4"/>
    <n v="1.5"/>
    <n v="0"/>
    <n v="0"/>
    <n v="0"/>
    <n v="4965"/>
    <n v="9936"/>
    <n v="4965"/>
    <n v="0"/>
    <n v="2"/>
    <n v="6620"/>
    <n v="10581.87981074783"/>
    <n v="0"/>
    <n v="2"/>
    <n v="0"/>
    <n v="0"/>
    <n v="0"/>
    <n v="0"/>
    <n v="6620"/>
    <n v="0"/>
    <n v="0"/>
    <n v="2"/>
    <n v="6620"/>
    <n v="0"/>
    <n v="0"/>
    <n v="2"/>
    <n v="0"/>
    <n v="0"/>
    <n v="0"/>
    <n v="4968"/>
    <n v="0"/>
    <n v="0"/>
    <n v="0"/>
    <n v="2"/>
    <n v="6620"/>
    <n v="0"/>
    <n v="0"/>
    <n v="2"/>
    <n v="0"/>
    <m/>
    <n v="0"/>
    <n v="0"/>
    <n v="6620"/>
    <n v="0"/>
    <n v="0"/>
    <n v="0"/>
    <n v="2"/>
    <n v="6620"/>
    <n v="0"/>
    <n v="0"/>
    <n v="2"/>
    <n v="0"/>
    <m/>
    <n v="0"/>
    <n v="0"/>
    <n v="6620"/>
    <n v="0"/>
    <n v="0"/>
    <n v="0"/>
    <n v="2"/>
    <n v="6620"/>
    <n v="0"/>
    <n v="0"/>
    <n v="2"/>
    <n v="0"/>
    <n v="0"/>
    <n v="0"/>
    <n v="0"/>
    <n v="6620"/>
    <n v="0"/>
    <n v="0"/>
    <n v="0"/>
    <n v="2"/>
    <n v="6620"/>
    <n v="0"/>
    <n v="0"/>
    <n v="2"/>
    <n v="0"/>
    <n v="0"/>
    <n v="0"/>
    <n v="0"/>
    <n v="6620"/>
    <n v="0"/>
    <n v="0"/>
    <n v="0"/>
    <n v="2"/>
    <n v="6620"/>
    <n v="0"/>
    <n v="0"/>
    <n v="2"/>
    <n v="0"/>
    <n v="0"/>
    <n v="0"/>
    <m/>
    <n v="4968"/>
    <n v="0"/>
    <n v="0"/>
    <n v="0"/>
    <n v="2"/>
    <n v="4968"/>
    <n v="0"/>
    <n v="0"/>
    <n v="2"/>
    <n v="0"/>
    <n v="0"/>
    <n v="0"/>
    <n v="0"/>
    <m/>
    <n v="4968"/>
    <n v="0"/>
    <n v="0"/>
    <n v="0"/>
    <n v="2"/>
    <n v="4968"/>
    <n v="0"/>
    <n v="0"/>
    <n v="2"/>
    <n v="0"/>
    <n v="0"/>
    <n v="0"/>
    <n v="4968"/>
    <n v="0"/>
    <n v="0"/>
    <n v="0"/>
    <n v="2"/>
    <n v="4968"/>
    <n v="0"/>
    <n v="0"/>
    <n v="2"/>
    <n v="0"/>
    <n v="0"/>
    <n v="0"/>
    <n v="4968"/>
    <n v="0"/>
    <n v="0"/>
    <n v="2"/>
    <n v="4968"/>
    <n v="0"/>
    <n v="0"/>
    <n v="2"/>
    <n v="0"/>
    <n v="0"/>
    <m/>
    <n v="4968"/>
    <n v="0"/>
    <n v="0"/>
    <n v="2"/>
    <n v="4968"/>
    <n v="0"/>
  </r>
  <r>
    <m/>
    <x v="1"/>
    <x v="15"/>
    <x v="36"/>
    <s v="LHCALMED"/>
    <x v="235"/>
    <x v="223"/>
    <x v="0"/>
    <x v="2"/>
    <n v="1"/>
    <x v="156"/>
    <n v="85"/>
    <m/>
    <n v="0"/>
    <n v="2303"/>
    <n v="195755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2"/>
    <s v=""/>
    <n v="5"/>
    <s v=""/>
    <n v="0.625"/>
    <n v="2"/>
    <s v=""/>
    <n v="0.2222222222222222"/>
    <n v="6"/>
    <s v=""/>
    <n v="0.5"/>
    <n v="0"/>
    <s v=""/>
    <n v="0"/>
    <n v="5"/>
    <n v="100"/>
    <n v="5"/>
    <n v="0"/>
    <n v="0"/>
    <n v="0"/>
    <n v="19575.5"/>
    <n v="161460"/>
    <n v="11515"/>
    <n v="0"/>
    <n v="85"/>
    <n v="195755"/>
    <n v="31742.10860814914"/>
    <n v="6"/>
    <n v="100"/>
    <n v="1.5"/>
    <n v="0"/>
    <n v="0"/>
    <n v="0"/>
    <n v="19575.5"/>
    <n v="161460"/>
    <n v="3454.5"/>
    <n v="0"/>
    <n v="85"/>
    <n v="195755"/>
    <n v="9522.632582444745"/>
    <n v="9"/>
    <n v="99"/>
    <n v="2"/>
    <n v="0"/>
    <n v="0"/>
    <n v="30652.4"/>
    <n v="227997"/>
    <n v="4606"/>
    <n v="0"/>
    <n v="85"/>
    <n v="195755"/>
    <n v="15109.24369747899"/>
    <n v="8"/>
    <n v="96"/>
    <n v="5"/>
    <n v="0"/>
    <n v="0"/>
    <n v="155001.6"/>
    <n v="11515"/>
    <n v="0"/>
    <n v="0"/>
    <n v="85"/>
    <n v="195755"/>
    <n v="37773.10924369748"/>
    <n v="9"/>
    <n v="87"/>
    <n v="9"/>
    <m/>
    <n v="0"/>
    <n v="0"/>
    <n v="200361"/>
    <n v="14531.4"/>
    <n v="0"/>
    <n v="0"/>
    <n v="85"/>
    <n v="195755"/>
    <n v="67991.59663865546"/>
    <n v="12"/>
    <n v="91"/>
    <n v="6"/>
    <m/>
    <n v="0"/>
    <n v="0"/>
    <n v="209573"/>
    <n v="9687.599999999999"/>
    <n v="0"/>
    <n v="0"/>
    <n v="91"/>
    <n v="195755"/>
    <n v="45327.73109243698"/>
    <n v="6"/>
    <n v="85"/>
    <n v="6"/>
    <n v="0"/>
    <n v="0"/>
    <n v="0"/>
    <n v="195755"/>
    <n v="9687.599999999999"/>
    <n v="0"/>
    <n v="0"/>
    <n v="85"/>
    <n v="195755"/>
    <n v="45327.73109243698"/>
    <n v="6"/>
    <n v="79"/>
    <n v="6"/>
    <n v="0"/>
    <n v="0"/>
    <n v="0"/>
    <n v="181937"/>
    <n v="9687.599999999999"/>
    <n v="0"/>
    <n v="0"/>
    <n v="79"/>
    <n v="181937"/>
    <n v="45327.73109243698"/>
    <n v="6"/>
    <n v="73"/>
    <n v="6"/>
    <n v="0"/>
    <n v="0"/>
    <m/>
    <n v="117865.8"/>
    <n v="9687.599999999999"/>
    <n v="0"/>
    <n v="0"/>
    <n v="73"/>
    <n v="117865.8"/>
    <n v="45327.73109243698"/>
    <n v="12"/>
    <n v="67"/>
    <n v="12"/>
    <n v="0"/>
    <n v="0"/>
    <n v="0"/>
    <m/>
    <n v="108178.2"/>
    <n v="19375.2"/>
    <n v="0"/>
    <n v="0"/>
    <n v="67"/>
    <n v="108178.2"/>
    <n v="80571.42857142858"/>
    <n v="15"/>
    <n v="55"/>
    <n v="15"/>
    <n v="0"/>
    <n v="0"/>
    <n v="88803"/>
    <n v="24219"/>
    <n v="0"/>
    <n v="0"/>
    <n v="55"/>
    <n v="88803"/>
    <n v="105750"/>
    <n v="20"/>
    <n v="40"/>
    <n v="20"/>
    <n v="0"/>
    <n v="0"/>
    <n v="64584"/>
    <n v="32292"/>
    <n v="0"/>
    <n v="40"/>
    <n v="64584"/>
    <n v="151092.4369747899"/>
    <n v="9"/>
    <n v="20"/>
    <n v="9"/>
    <n v="0"/>
    <m/>
    <n v="32292"/>
    <n v="20727"/>
    <n v="0"/>
    <n v="20"/>
    <n v="32292"/>
    <n v="67991.59663865546"/>
  </r>
  <r>
    <m/>
    <x v="1"/>
    <x v="15"/>
    <x v="36"/>
    <s v="LHCALMED"/>
    <x v="236"/>
    <x v="224"/>
    <x v="0"/>
    <x v="2"/>
    <n v="1"/>
    <x v="157"/>
    <n v="76"/>
    <m/>
    <n v="0"/>
    <n v="2303"/>
    <n v="175028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4"/>
    <s v=""/>
    <n v="5"/>
    <s v=""/>
    <n v="0.625"/>
    <n v="3"/>
    <s v=""/>
    <n v="0.3333333333333333"/>
    <n v="9"/>
    <s v=""/>
    <n v="0.75"/>
    <n v="0"/>
    <s v=""/>
    <n v="0"/>
    <n v="5"/>
    <n v="100"/>
    <n v="5"/>
    <n v="0"/>
    <n v="0"/>
    <n v="0"/>
    <n v="24181.5"/>
    <n v="161460"/>
    <n v="11515"/>
    <n v="0"/>
    <n v="76"/>
    <n v="175028"/>
    <n v="31742.10860814914"/>
    <n v="6"/>
    <n v="99"/>
    <n v="1.5"/>
    <n v="0"/>
    <n v="0"/>
    <n v="0"/>
    <n v="24181.5"/>
    <n v="159845.4"/>
    <n v="3454.5"/>
    <n v="0"/>
    <n v="76"/>
    <n v="175028"/>
    <n v="9522.632582444745"/>
    <n v="9"/>
    <n v="98"/>
    <n v="4"/>
    <n v="0"/>
    <n v="0"/>
    <n v="35258.4"/>
    <n v="225694"/>
    <n v="9212"/>
    <n v="0"/>
    <n v="76"/>
    <n v="175028"/>
    <n v="30218.48739495799"/>
    <n v="8"/>
    <n v="90"/>
    <n v="5"/>
    <n v="0"/>
    <n v="0"/>
    <n v="145314"/>
    <n v="11515"/>
    <n v="0"/>
    <n v="0"/>
    <n v="76"/>
    <n v="175028"/>
    <n v="37773.10924369748"/>
    <n v="9"/>
    <n v="79"/>
    <n v="9"/>
    <m/>
    <n v="0"/>
    <n v="0"/>
    <n v="181937"/>
    <n v="14531.4"/>
    <n v="0"/>
    <n v="0"/>
    <n v="76"/>
    <n v="175028"/>
    <n v="67991.59663865546"/>
    <n v="12"/>
    <n v="85"/>
    <n v="9"/>
    <m/>
    <n v="0"/>
    <n v="0"/>
    <n v="195755"/>
    <n v="14531.4"/>
    <n v="0"/>
    <n v="0"/>
    <n v="85"/>
    <n v="175028"/>
    <n v="67991.59663865546"/>
    <n v="6"/>
    <n v="76"/>
    <n v="6"/>
    <n v="0"/>
    <n v="0"/>
    <n v="0"/>
    <n v="175028"/>
    <n v="9687.599999999999"/>
    <n v="0"/>
    <n v="0"/>
    <n v="76"/>
    <n v="175028"/>
    <n v="45327.73109243698"/>
    <n v="6"/>
    <n v="70"/>
    <n v="6"/>
    <n v="0"/>
    <n v="0"/>
    <n v="0"/>
    <n v="161210"/>
    <n v="9687.599999999999"/>
    <n v="0"/>
    <n v="0"/>
    <n v="70"/>
    <n v="161210"/>
    <n v="45327.73109243698"/>
    <n v="6"/>
    <n v="64"/>
    <n v="6"/>
    <n v="0"/>
    <n v="0"/>
    <m/>
    <n v="103334.4"/>
    <n v="9687.599999999999"/>
    <n v="0"/>
    <n v="0"/>
    <n v="64"/>
    <n v="103334.4"/>
    <n v="45327.73109243698"/>
    <n v="12"/>
    <n v="58"/>
    <n v="12"/>
    <n v="0"/>
    <n v="0"/>
    <n v="0"/>
    <m/>
    <n v="93646.79999999999"/>
    <n v="19375.2"/>
    <n v="0"/>
    <n v="0"/>
    <n v="58"/>
    <n v="93646.79999999999"/>
    <n v="80571.42857142858"/>
    <n v="15"/>
    <n v="46"/>
    <n v="15"/>
    <n v="0"/>
    <n v="0"/>
    <n v="74271.59999999999"/>
    <n v="24219"/>
    <n v="0"/>
    <n v="0"/>
    <n v="46"/>
    <n v="74271.59999999999"/>
    <n v="105750"/>
    <n v="20"/>
    <n v="31"/>
    <n v="20"/>
    <n v="0"/>
    <n v="0"/>
    <n v="50052.6"/>
    <n v="32292"/>
    <n v="0"/>
    <n v="31"/>
    <n v="50052.6"/>
    <n v="151092.4369747899"/>
    <n v="9"/>
    <n v="11"/>
    <n v="9"/>
    <n v="0"/>
    <m/>
    <n v="17760.6"/>
    <n v="20727"/>
    <n v="0"/>
    <n v="11"/>
    <n v="17760.6"/>
    <n v="67991.59663865546"/>
  </r>
  <r>
    <m/>
    <x v="1"/>
    <x v="15"/>
    <x v="36"/>
    <s v="LHCALMED"/>
    <x v="237"/>
    <x v="225"/>
    <x v="0"/>
    <x v="2"/>
    <n v="1"/>
    <x v="158"/>
    <n v="92"/>
    <m/>
    <n v="0"/>
    <n v="2303"/>
    <n v="211876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2"/>
    <s v=""/>
    <n v="0.25"/>
    <n v="2"/>
    <s v=""/>
    <n v="0.2222222222222222"/>
    <n v="2"/>
    <s v=""/>
    <n v="0.1666666666666667"/>
    <n v="1"/>
    <s v=""/>
    <n v="0.1666666666666667"/>
    <n v="5"/>
    <n v="100"/>
    <n v="5"/>
    <n v="0"/>
    <n v="0"/>
    <n v="0"/>
    <n v="17272.5"/>
    <n v="161460"/>
    <n v="11515"/>
    <n v="0"/>
    <n v="92"/>
    <n v="211876"/>
    <n v="31742.10860814914"/>
    <n v="6"/>
    <n v="100"/>
    <n v="1.5"/>
    <n v="0"/>
    <n v="0"/>
    <n v="0"/>
    <n v="10363.5"/>
    <n v="161460"/>
    <n v="3454.5"/>
    <n v="0"/>
    <n v="92"/>
    <n v="211876"/>
    <n v="9522.632582444745"/>
    <n v="9"/>
    <n v="99"/>
    <n v="1"/>
    <n v="0"/>
    <n v="0"/>
    <n v="21440.4"/>
    <n v="227997"/>
    <n v="2303"/>
    <n v="0"/>
    <n v="92"/>
    <n v="211876"/>
    <n v="7554.621848739496"/>
    <n v="8"/>
    <n v="97"/>
    <n v="2"/>
    <n v="0"/>
    <n v="0"/>
    <n v="156616.2"/>
    <n v="4606"/>
    <n v="0"/>
    <n v="0"/>
    <n v="92"/>
    <n v="211876"/>
    <n v="15109.24369747899"/>
    <n v="9"/>
    <n v="94"/>
    <n v="9"/>
    <m/>
    <n v="0"/>
    <n v="0"/>
    <n v="216482"/>
    <n v="14531.4"/>
    <n v="0"/>
    <n v="0"/>
    <n v="92"/>
    <n v="211876"/>
    <n v="67991.59663865546"/>
    <n v="12"/>
    <n v="94"/>
    <n v="2"/>
    <m/>
    <n v="0"/>
    <n v="0"/>
    <n v="216482"/>
    <n v="3229.2"/>
    <n v="0"/>
    <n v="0"/>
    <n v="94"/>
    <n v="211876"/>
    <n v="15109.24369747899"/>
    <n v="6"/>
    <n v="93"/>
    <n v="6"/>
    <n v="0"/>
    <n v="0"/>
    <n v="0"/>
    <n v="214179"/>
    <n v="9687.599999999999"/>
    <n v="0"/>
    <n v="0"/>
    <n v="93"/>
    <n v="211876"/>
    <n v="45327.73109243698"/>
    <n v="6"/>
    <n v="87"/>
    <n v="6"/>
    <n v="0"/>
    <n v="0"/>
    <n v="0"/>
    <n v="200361"/>
    <n v="9687.599999999999"/>
    <n v="0"/>
    <n v="0"/>
    <n v="87"/>
    <n v="200361"/>
    <n v="45327.73109243698"/>
    <n v="6"/>
    <n v="81"/>
    <n v="6"/>
    <n v="0"/>
    <n v="0"/>
    <m/>
    <n v="130782.6"/>
    <n v="9687.599999999999"/>
    <n v="0"/>
    <n v="0"/>
    <n v="81"/>
    <n v="130782.6"/>
    <n v="45327.73109243698"/>
    <n v="12"/>
    <n v="75"/>
    <n v="12"/>
    <n v="0"/>
    <n v="0"/>
    <n v="0"/>
    <m/>
    <n v="121095"/>
    <n v="19375.2"/>
    <n v="0"/>
    <n v="0"/>
    <n v="75"/>
    <n v="121095"/>
    <n v="80571.42857142858"/>
    <n v="15"/>
    <n v="63"/>
    <n v="15"/>
    <n v="0"/>
    <n v="0"/>
    <n v="101719.8"/>
    <n v="24219"/>
    <n v="0"/>
    <n v="0"/>
    <n v="63"/>
    <n v="101719.8"/>
    <n v="105750"/>
    <n v="20"/>
    <n v="48"/>
    <n v="20"/>
    <n v="0"/>
    <n v="0"/>
    <n v="77500.79999999999"/>
    <n v="32292"/>
    <n v="0"/>
    <n v="48"/>
    <n v="77500.79999999999"/>
    <n v="151092.4369747899"/>
    <n v="9"/>
    <n v="28"/>
    <n v="9"/>
    <n v="0"/>
    <m/>
    <n v="45208.8"/>
    <n v="20727"/>
    <n v="0"/>
    <n v="28"/>
    <n v="45208.8"/>
    <n v="67991.59663865546"/>
  </r>
  <r>
    <m/>
    <x v="1"/>
    <x v="15"/>
    <x v="36"/>
    <s v="LHCALMED"/>
    <x v="238"/>
    <x v="226"/>
    <x v="0"/>
    <x v="2"/>
    <n v="1"/>
    <x v="159"/>
    <n v="82"/>
    <m/>
    <n v="0"/>
    <n v="2303"/>
    <n v="188846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1"/>
    <s v=""/>
    <n v="1"/>
    <s v=""/>
    <n v="4"/>
    <s v=""/>
    <n v="0.5"/>
    <n v="4"/>
    <s v=""/>
    <n v="0.4444444444444444"/>
    <n v="3"/>
    <s v=""/>
    <n v="0.25"/>
    <n v="0"/>
    <s v=""/>
    <n v="0"/>
    <n v="5"/>
    <n v="100"/>
    <n v="5"/>
    <n v="0"/>
    <n v="0"/>
    <n v="0"/>
    <n v="17272.5"/>
    <n v="161460"/>
    <n v="11515"/>
    <n v="0"/>
    <n v="82"/>
    <n v="188846"/>
    <n v="31742.10860814914"/>
    <n v="6"/>
    <n v="97"/>
    <n v="1.5"/>
    <n v="0"/>
    <n v="0"/>
    <n v="0"/>
    <n v="14969.5"/>
    <n v="156616.2"/>
    <n v="3454.5"/>
    <n v="0"/>
    <n v="82"/>
    <n v="188846"/>
    <n v="9522.632582444745"/>
    <n v="9"/>
    <n v="96"/>
    <n v="1"/>
    <n v="0"/>
    <n v="0"/>
    <n v="26046.4"/>
    <n v="221088"/>
    <n v="2303"/>
    <n v="0"/>
    <n v="82"/>
    <n v="188846"/>
    <n v="7554.621848739496"/>
    <n v="8"/>
    <n v="91"/>
    <n v="4"/>
    <n v="0"/>
    <n v="0"/>
    <n v="146928.6"/>
    <n v="9212"/>
    <n v="0"/>
    <n v="0"/>
    <n v="82"/>
    <n v="188846"/>
    <n v="30218.48739495799"/>
    <n v="9"/>
    <n v="86"/>
    <n v="9"/>
    <m/>
    <n v="0"/>
    <n v="0"/>
    <n v="198058"/>
    <n v="14531.4"/>
    <n v="0"/>
    <n v="0"/>
    <n v="82"/>
    <n v="188846"/>
    <n v="67991.59663865546"/>
    <n v="12"/>
    <n v="85"/>
    <n v="3"/>
    <m/>
    <n v="0"/>
    <n v="0"/>
    <n v="195755"/>
    <n v="4843.799999999999"/>
    <n v="0"/>
    <n v="0"/>
    <n v="85"/>
    <n v="188846"/>
    <n v="22663.86554621849"/>
    <n v="6"/>
    <n v="82"/>
    <n v="6"/>
    <n v="0"/>
    <n v="0"/>
    <n v="0"/>
    <n v="188846"/>
    <n v="9687.599999999999"/>
    <n v="0"/>
    <n v="0"/>
    <n v="82"/>
    <n v="188846"/>
    <n v="45327.73109243698"/>
    <n v="6"/>
    <n v="76"/>
    <n v="6"/>
    <n v="0"/>
    <n v="0"/>
    <n v="0"/>
    <n v="175028"/>
    <n v="9687.599999999999"/>
    <n v="0"/>
    <n v="0"/>
    <n v="76"/>
    <n v="175028"/>
    <n v="45327.73109243698"/>
    <n v="6"/>
    <n v="70"/>
    <n v="6"/>
    <n v="0"/>
    <n v="0"/>
    <m/>
    <n v="113022"/>
    <n v="9687.599999999999"/>
    <n v="0"/>
    <n v="0"/>
    <n v="70"/>
    <n v="113022"/>
    <n v="45327.73109243698"/>
    <n v="12"/>
    <n v="64"/>
    <n v="12"/>
    <n v="0"/>
    <n v="0"/>
    <n v="0"/>
    <m/>
    <n v="103334.4"/>
    <n v="19375.2"/>
    <n v="0"/>
    <n v="0"/>
    <n v="64"/>
    <n v="103334.4"/>
    <n v="80571.42857142858"/>
    <n v="15"/>
    <n v="52"/>
    <n v="15"/>
    <n v="0"/>
    <n v="0"/>
    <n v="83959.2"/>
    <n v="24219"/>
    <n v="0"/>
    <n v="0"/>
    <n v="52"/>
    <n v="83959.2"/>
    <n v="105750"/>
    <n v="20"/>
    <n v="37"/>
    <n v="20"/>
    <n v="0"/>
    <n v="0"/>
    <n v="59740.2"/>
    <n v="32292"/>
    <n v="0"/>
    <n v="37"/>
    <n v="59740.2"/>
    <n v="151092.4369747899"/>
    <n v="9"/>
    <n v="17"/>
    <n v="9"/>
    <n v="0"/>
    <m/>
    <n v="27448.2"/>
    <n v="20727"/>
    <n v="0"/>
    <n v="17"/>
    <n v="27448.2"/>
    <n v="67991.59663865546"/>
  </r>
  <r>
    <m/>
    <x v="1"/>
    <x v="15"/>
    <x v="36"/>
    <s v="LHCALMED"/>
    <x v="239"/>
    <x v="227"/>
    <x v="0"/>
    <x v="2"/>
    <n v="1"/>
    <x v="160"/>
    <n v="88"/>
    <m/>
    <n v="0"/>
    <n v="2303"/>
    <n v="202664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3"/>
    <s v=""/>
    <n v="0.375"/>
    <n v="6"/>
    <s v=""/>
    <n v="0.6666666666666666"/>
    <n v="2"/>
    <s v=""/>
    <n v="0.1666666666666667"/>
    <n v="1"/>
    <s v=""/>
    <n v="0.1666666666666667"/>
    <n v="5"/>
    <n v="100"/>
    <n v="5"/>
    <n v="0"/>
    <n v="0"/>
    <n v="0"/>
    <n v="13818"/>
    <n v="161460"/>
    <n v="11515"/>
    <n v="0"/>
    <n v="88"/>
    <n v="202664"/>
    <n v="31742.10860814914"/>
    <n v="6"/>
    <n v="100"/>
    <n v="0"/>
    <n v="0"/>
    <n v="0"/>
    <n v="0"/>
    <n v="9212"/>
    <n v="161460"/>
    <n v="0"/>
    <n v="0"/>
    <n v="88"/>
    <n v="202664"/>
    <n v="0"/>
    <n v="9"/>
    <n v="100"/>
    <n v="1"/>
    <n v="0"/>
    <n v="0"/>
    <n v="23743.4"/>
    <n v="230300"/>
    <n v="2303"/>
    <n v="0"/>
    <n v="88"/>
    <n v="202664"/>
    <n v="7554.621848739496"/>
    <n v="8"/>
    <n v="98"/>
    <n v="3"/>
    <n v="0"/>
    <n v="0"/>
    <n v="158230.8"/>
    <n v="6909"/>
    <n v="0"/>
    <n v="0"/>
    <n v="88"/>
    <n v="202664"/>
    <n v="22663.86554621849"/>
    <n v="9"/>
    <n v="94"/>
    <n v="9"/>
    <m/>
    <n v="0"/>
    <n v="0"/>
    <n v="216482"/>
    <n v="14531.4"/>
    <n v="0"/>
    <n v="0"/>
    <n v="88"/>
    <n v="202664"/>
    <n v="67991.59663865546"/>
    <n v="12"/>
    <n v="90"/>
    <n v="2"/>
    <m/>
    <n v="0"/>
    <n v="0"/>
    <n v="207270"/>
    <n v="3229.2"/>
    <n v="0"/>
    <n v="0"/>
    <n v="90"/>
    <n v="202664"/>
    <n v="15109.24369747899"/>
    <n v="6"/>
    <n v="89"/>
    <n v="6"/>
    <n v="0"/>
    <n v="0"/>
    <n v="0"/>
    <n v="204967"/>
    <n v="9687.599999999999"/>
    <n v="0"/>
    <n v="0"/>
    <n v="89"/>
    <n v="202664"/>
    <n v="45327.73109243698"/>
    <n v="6"/>
    <n v="83"/>
    <n v="6"/>
    <n v="0"/>
    <n v="0"/>
    <n v="0"/>
    <n v="191149"/>
    <n v="9687.599999999999"/>
    <n v="0"/>
    <n v="0"/>
    <n v="83"/>
    <n v="191149"/>
    <n v="45327.73109243698"/>
    <n v="6"/>
    <n v="77"/>
    <n v="6"/>
    <n v="0"/>
    <n v="0"/>
    <m/>
    <n v="124324.2"/>
    <n v="9687.599999999999"/>
    <n v="0"/>
    <n v="0"/>
    <n v="77"/>
    <n v="124324.2"/>
    <n v="45327.73109243698"/>
    <n v="12"/>
    <n v="71"/>
    <n v="12"/>
    <n v="0"/>
    <n v="0"/>
    <n v="0"/>
    <m/>
    <n v="114636.6"/>
    <n v="19375.2"/>
    <n v="0"/>
    <n v="0"/>
    <n v="71"/>
    <n v="114636.6"/>
    <n v="80571.42857142858"/>
    <n v="15"/>
    <n v="59"/>
    <n v="15"/>
    <n v="0"/>
    <n v="0"/>
    <n v="95261.39999999999"/>
    <n v="24219"/>
    <n v="0"/>
    <n v="0"/>
    <n v="59"/>
    <n v="95261.39999999999"/>
    <n v="105750"/>
    <n v="20"/>
    <n v="44"/>
    <n v="20"/>
    <n v="0"/>
    <n v="0"/>
    <n v="71042.39999999999"/>
    <n v="32292"/>
    <n v="0"/>
    <n v="44"/>
    <n v="71042.39999999999"/>
    <n v="151092.4369747899"/>
    <n v="9"/>
    <n v="24"/>
    <n v="9"/>
    <n v="0"/>
    <m/>
    <n v="38750.39999999999"/>
    <n v="20727"/>
    <n v="0"/>
    <n v="24"/>
    <n v="38750.39999999999"/>
    <n v="67991.59663865546"/>
  </r>
  <r>
    <m/>
    <x v="1"/>
    <x v="15"/>
    <x v="36"/>
    <s v="LHCALMED"/>
    <x v="240"/>
    <x v="228"/>
    <x v="0"/>
    <x v="1"/>
    <n v="1"/>
    <x v="161"/>
    <n v="56"/>
    <m/>
    <n v="0"/>
    <n v="2303"/>
    <n v="128968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5"/>
    <s v=""/>
    <n v="10"/>
    <s v=""/>
    <n v="7"/>
    <s v=""/>
    <n v="0.875"/>
    <n v="2"/>
    <s v=""/>
    <n v="0.2"/>
    <n v="12"/>
    <s v=""/>
    <n v="0.8571428571428571"/>
    <n v="3"/>
    <s v=""/>
    <n v="0.5"/>
    <n v="5"/>
    <n v="100"/>
    <n v="5"/>
    <n v="0"/>
    <n v="0"/>
    <n v="0"/>
    <n v="51817.5"/>
    <n v="161460"/>
    <n v="11515"/>
    <n v="0"/>
    <n v="56"/>
    <n v="128968"/>
    <n v="31742.10860814914"/>
    <n v="6"/>
    <n v="100"/>
    <n v="7.5"/>
    <n v="0"/>
    <n v="0"/>
    <n v="0"/>
    <n v="56423.5"/>
    <n v="161460"/>
    <n v="17272.5"/>
    <n v="0"/>
    <n v="56"/>
    <n v="128968"/>
    <n v="47613.16291222372"/>
    <n v="9"/>
    <n v="93"/>
    <n v="10"/>
    <n v="0"/>
    <n v="0"/>
    <n v="55297"/>
    <n v="214179"/>
    <n v="23030"/>
    <n v="0"/>
    <n v="56"/>
    <n v="128968"/>
    <n v="75546.21848739496"/>
    <n v="8"/>
    <n v="79"/>
    <n v="7"/>
    <n v="0"/>
    <n v="0"/>
    <n v="127553.4"/>
    <n v="16121"/>
    <n v="0"/>
    <n v="0"/>
    <n v="56"/>
    <n v="128968"/>
    <n v="52882.35294117648"/>
    <n v="10"/>
    <n v="58"/>
    <n v="10"/>
    <m/>
    <n v="0"/>
    <n v="0"/>
    <n v="133574"/>
    <n v="16146"/>
    <n v="0"/>
    <n v="0"/>
    <n v="56"/>
    <n v="128968"/>
    <n v="75546.21848739496"/>
    <n v="14"/>
    <n v="68"/>
    <n v="12"/>
    <m/>
    <n v="0"/>
    <n v="0"/>
    <n v="156604"/>
    <n v="19375.2"/>
    <n v="0"/>
    <n v="0"/>
    <n v="68"/>
    <n v="128968"/>
    <n v="90655.46218487396"/>
    <n v="6"/>
    <n v="59"/>
    <n v="6"/>
    <n v="0"/>
    <n v="0"/>
    <n v="0"/>
    <n v="135877"/>
    <n v="9687.599999999999"/>
    <n v="0"/>
    <n v="0"/>
    <n v="59"/>
    <n v="128968"/>
    <n v="45327.73109243698"/>
    <n v="6"/>
    <n v="53"/>
    <n v="6"/>
    <n v="0"/>
    <n v="0"/>
    <n v="0"/>
    <n v="122059"/>
    <n v="9687.599999999999"/>
    <n v="0"/>
    <n v="0"/>
    <n v="53"/>
    <n v="122059"/>
    <n v="45327.73109243698"/>
    <n v="6"/>
    <n v="47"/>
    <n v="6"/>
    <n v="0"/>
    <n v="0"/>
    <m/>
    <n v="75886.2"/>
    <n v="9687.599999999999"/>
    <n v="0"/>
    <n v="0"/>
    <n v="47"/>
    <n v="75886.2"/>
    <n v="45327.73109243698"/>
    <n v="12"/>
    <n v="41"/>
    <n v="12"/>
    <n v="0"/>
    <n v="0"/>
    <n v="0"/>
    <m/>
    <n v="66198.59999999999"/>
    <n v="19375.2"/>
    <n v="0"/>
    <n v="0"/>
    <n v="41"/>
    <n v="66198.59999999999"/>
    <n v="80571.42857142858"/>
    <n v="15"/>
    <n v="29"/>
    <n v="15"/>
    <n v="0"/>
    <n v="0"/>
    <n v="46823.39999999999"/>
    <n v="24219"/>
    <n v="0"/>
    <n v="0"/>
    <n v="29"/>
    <n v="46823.39999999999"/>
    <n v="105750"/>
    <n v="20"/>
    <n v="14"/>
    <n v="20"/>
    <n v="0"/>
    <n v="0"/>
    <n v="22604.4"/>
    <n v="32292"/>
    <n v="0"/>
    <n v="14"/>
    <n v="22604.4"/>
    <n v="151092.4369747899"/>
    <n v="9"/>
    <n v="0"/>
    <n v="9"/>
    <n v="0"/>
    <m/>
    <n v="0"/>
    <n v="20727"/>
    <n v="0"/>
    <n v="0"/>
    <n v="0"/>
    <n v="67991.59663865546"/>
  </r>
  <r>
    <m/>
    <x v="1"/>
    <x v="15"/>
    <x v="36"/>
    <s v="LHCALBAJ"/>
    <x v="241"/>
    <x v="229"/>
    <x v="0"/>
    <x v="2"/>
    <n v="1"/>
    <x v="162"/>
    <n v="75"/>
    <m/>
    <n v="0"/>
    <n v="1319"/>
    <n v="98925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4"/>
    <s v=""/>
    <n v="5"/>
    <s v=""/>
    <n v="6"/>
    <s v=""/>
    <n v="0.75"/>
    <n v="0"/>
    <s v=""/>
    <n v="0"/>
    <n v="4"/>
    <s v=""/>
    <n v="0.3076923076923077"/>
    <n v="3"/>
    <s v=""/>
    <n v="0.5"/>
    <n v="5"/>
    <n v="100"/>
    <n v="5"/>
    <n v="0"/>
    <n v="0"/>
    <n v="0"/>
    <n v="21104"/>
    <n v="138690"/>
    <n v="6595"/>
    <n v="0"/>
    <n v="75"/>
    <n v="98925"/>
    <n v="24680.46041946191"/>
    <n v="6"/>
    <n v="99"/>
    <n v="6"/>
    <n v="0"/>
    <n v="0"/>
    <n v="0"/>
    <n v="22423"/>
    <n v="137303.1"/>
    <n v="7914"/>
    <n v="0"/>
    <n v="75"/>
    <n v="98925"/>
    <n v="29616.55250335429"/>
    <n v="9"/>
    <n v="95"/>
    <n v="5"/>
    <n v="0"/>
    <n v="0"/>
    <n v="28378"/>
    <n v="125305"/>
    <n v="6595"/>
    <n v="0"/>
    <n v="75"/>
    <n v="98925"/>
    <n v="29369.74789915967"/>
    <n v="8"/>
    <n v="88"/>
    <n v="6"/>
    <n v="0"/>
    <n v="0"/>
    <n v="122047.2"/>
    <n v="7914"/>
    <n v="0"/>
    <n v="0"/>
    <n v="75"/>
    <n v="98925"/>
    <n v="35243.6974789916"/>
    <n v="10"/>
    <n v="75"/>
    <n v="10"/>
    <m/>
    <n v="0"/>
    <n v="0"/>
    <n v="98925"/>
    <n v="13869"/>
    <n v="0"/>
    <n v="0"/>
    <n v="75"/>
    <n v="98925"/>
    <n v="58739.49579831933"/>
    <n v="13"/>
    <n v="79"/>
    <n v="4"/>
    <m/>
    <n v="0"/>
    <n v="0"/>
    <n v="104201"/>
    <n v="5547.599999999999"/>
    <n v="0"/>
    <n v="0"/>
    <n v="79"/>
    <n v="98925"/>
    <n v="23495.79831932773"/>
    <n v="6"/>
    <n v="78"/>
    <n v="6"/>
    <n v="0"/>
    <n v="0"/>
    <n v="0"/>
    <n v="102882"/>
    <n v="8321.4"/>
    <n v="0"/>
    <n v="0"/>
    <n v="78"/>
    <n v="98925"/>
    <n v="35243.6974789916"/>
    <n v="6"/>
    <n v="72"/>
    <n v="6"/>
    <n v="0"/>
    <n v="0"/>
    <n v="0"/>
    <n v="94968"/>
    <n v="8321.4"/>
    <n v="0"/>
    <n v="0"/>
    <n v="72"/>
    <n v="94968"/>
    <n v="35243.6974789916"/>
    <n v="6"/>
    <n v="66"/>
    <n v="6"/>
    <n v="0"/>
    <n v="0"/>
    <m/>
    <n v="91535.39999999999"/>
    <n v="8321.4"/>
    <n v="0"/>
    <n v="0"/>
    <n v="66"/>
    <n v="91535.39999999999"/>
    <n v="35243.6974789916"/>
    <n v="12"/>
    <n v="60"/>
    <n v="12"/>
    <n v="0"/>
    <n v="0"/>
    <n v="0"/>
    <m/>
    <n v="83213.99999999999"/>
    <n v="16642.8"/>
    <n v="0"/>
    <n v="0"/>
    <n v="60"/>
    <n v="83213.99999999999"/>
    <n v="60403.36134453781"/>
    <n v="15"/>
    <n v="48"/>
    <n v="15"/>
    <n v="0"/>
    <n v="0"/>
    <n v="66571.2"/>
    <n v="20803.5"/>
    <n v="0"/>
    <n v="0"/>
    <n v="48"/>
    <n v="66571.2"/>
    <n v="79279.41176470589"/>
    <n v="20"/>
    <n v="33"/>
    <n v="20"/>
    <n v="0"/>
    <n v="0"/>
    <n v="45767.7"/>
    <n v="27738"/>
    <n v="0"/>
    <n v="33"/>
    <n v="45767.7"/>
    <n v="117478.9915966387"/>
    <n v="9"/>
    <n v="13"/>
    <n v="9"/>
    <n v="0"/>
    <m/>
    <n v="18029.7"/>
    <n v="11871"/>
    <n v="0"/>
    <n v="13"/>
    <n v="18029.7"/>
    <n v="52865.5462184874"/>
  </r>
  <r>
    <m/>
    <x v="1"/>
    <x v="15"/>
    <x v="36"/>
    <s v="LHCALBAJ"/>
    <x v="242"/>
    <x v="230"/>
    <x v="0"/>
    <x v="2"/>
    <n v="1"/>
    <x v="163"/>
    <n v="84"/>
    <m/>
    <n v="0"/>
    <n v="1319"/>
    <n v="110796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1"/>
    <s v=""/>
    <n v="2"/>
    <s v=""/>
    <n v="4"/>
    <s v=""/>
    <n v="0.5"/>
    <n v="1"/>
    <s v=""/>
    <n v="0.1111111111111111"/>
    <n v="2"/>
    <s v=""/>
    <n v="0.1666666666666667"/>
    <n v="3"/>
    <s v=""/>
    <n v="0.5"/>
    <n v="5"/>
    <n v="100"/>
    <n v="5"/>
    <n v="0"/>
    <n v="0"/>
    <n v="0"/>
    <n v="11211.5"/>
    <n v="138690"/>
    <n v="6595"/>
    <n v="0"/>
    <n v="84"/>
    <n v="110796"/>
    <n v="24680.46041946191"/>
    <n v="6"/>
    <n v="97"/>
    <n v="1.5"/>
    <n v="0"/>
    <n v="0"/>
    <n v="0"/>
    <n v="9892.5"/>
    <n v="134529.3"/>
    <n v="1978.5"/>
    <n v="0"/>
    <n v="84"/>
    <n v="110796"/>
    <n v="7404.138125838572"/>
    <n v="9"/>
    <n v="96"/>
    <n v="2"/>
    <n v="0"/>
    <n v="0"/>
    <n v="20396.1"/>
    <n v="126624"/>
    <n v="2638"/>
    <n v="0"/>
    <n v="84"/>
    <n v="110796"/>
    <n v="11747.89915966387"/>
    <n v="8"/>
    <n v="92"/>
    <n v="4"/>
    <n v="0"/>
    <n v="0"/>
    <n v="127594.8"/>
    <n v="5276"/>
    <n v="0"/>
    <n v="0"/>
    <n v="84"/>
    <n v="110796"/>
    <n v="23495.79831932773"/>
    <n v="9"/>
    <n v="85"/>
    <n v="9"/>
    <m/>
    <n v="0"/>
    <n v="0"/>
    <n v="112115"/>
    <n v="12482.1"/>
    <n v="0"/>
    <n v="0"/>
    <n v="84"/>
    <n v="110796"/>
    <n v="52865.5462184874"/>
    <n v="12"/>
    <n v="86"/>
    <n v="2"/>
    <m/>
    <n v="0"/>
    <n v="0"/>
    <n v="113434"/>
    <n v="2773.8"/>
    <n v="0"/>
    <n v="0"/>
    <n v="86"/>
    <n v="110796"/>
    <n v="11747.89915966387"/>
    <n v="6"/>
    <n v="87"/>
    <n v="6"/>
    <n v="0"/>
    <n v="0"/>
    <n v="0"/>
    <n v="114753"/>
    <n v="8321.4"/>
    <n v="0"/>
    <n v="0"/>
    <n v="87"/>
    <n v="110796"/>
    <n v="35243.6974789916"/>
    <n v="6"/>
    <n v="81"/>
    <n v="6"/>
    <n v="0"/>
    <n v="0"/>
    <n v="0"/>
    <n v="106839"/>
    <n v="8321.4"/>
    <n v="0"/>
    <n v="0"/>
    <n v="81"/>
    <n v="106839"/>
    <n v="35243.6974789916"/>
    <n v="6"/>
    <n v="75"/>
    <n v="6"/>
    <n v="0"/>
    <n v="0"/>
    <m/>
    <n v="104017.5"/>
    <n v="8321.4"/>
    <n v="0"/>
    <n v="0"/>
    <n v="75"/>
    <n v="104017.5"/>
    <n v="35243.6974789916"/>
    <n v="12"/>
    <n v="69"/>
    <n v="12"/>
    <n v="0"/>
    <n v="0"/>
    <n v="0"/>
    <m/>
    <n v="95696.09999999999"/>
    <n v="16642.8"/>
    <n v="0"/>
    <n v="0"/>
    <n v="69"/>
    <n v="95696.09999999999"/>
    <n v="60403.36134453781"/>
    <n v="15"/>
    <n v="57"/>
    <n v="15"/>
    <n v="0"/>
    <n v="0"/>
    <n v="79053.29999999999"/>
    <n v="20803.5"/>
    <n v="0"/>
    <n v="0"/>
    <n v="57"/>
    <n v="79053.29999999999"/>
    <n v="79279.41176470589"/>
    <n v="20"/>
    <n v="42"/>
    <n v="20"/>
    <n v="0"/>
    <n v="0"/>
    <n v="58249.8"/>
    <n v="27738"/>
    <n v="0"/>
    <n v="42"/>
    <n v="58249.8"/>
    <n v="117478.9915966387"/>
    <n v="9"/>
    <n v="22"/>
    <n v="9"/>
    <n v="0"/>
    <m/>
    <n v="30511.8"/>
    <n v="11871"/>
    <n v="0"/>
    <n v="22"/>
    <n v="30511.8"/>
    <n v="52865.5462184874"/>
  </r>
  <r>
    <m/>
    <x v="1"/>
    <x v="15"/>
    <x v="36"/>
    <s v="LHCALBAJ"/>
    <x v="243"/>
    <x v="231"/>
    <x v="0"/>
    <x v="2"/>
    <n v="1"/>
    <x v="164"/>
    <n v="88"/>
    <m/>
    <n v="0"/>
    <n v="1319"/>
    <n v="116072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7"/>
    <s v=""/>
    <n v="3"/>
    <s v=""/>
    <n v="0.375"/>
    <n v="0"/>
    <s v=""/>
    <n v="0"/>
    <n v="0"/>
    <s v=""/>
    <n v="0"/>
    <n v="0"/>
    <s v=""/>
    <n v="0"/>
    <n v="5"/>
    <n v="100"/>
    <n v="5"/>
    <n v="0"/>
    <n v="0"/>
    <n v="0"/>
    <n v="17806.5"/>
    <n v="138690"/>
    <n v="6595"/>
    <n v="0"/>
    <n v="88"/>
    <n v="116072"/>
    <n v="24680.46041946191"/>
    <n v="6"/>
    <n v="99"/>
    <n v="1.5"/>
    <n v="0"/>
    <n v="0"/>
    <n v="0"/>
    <n v="15168.5"/>
    <n v="137303.1"/>
    <n v="1978.5"/>
    <n v="0"/>
    <n v="88"/>
    <n v="116072"/>
    <n v="7404.138125838572"/>
    <n v="9"/>
    <n v="98"/>
    <n v="7"/>
    <n v="0"/>
    <n v="0"/>
    <n v="25672.1"/>
    <n v="129262"/>
    <n v="9233"/>
    <n v="0"/>
    <n v="88"/>
    <n v="116072"/>
    <n v="41117.64705882353"/>
    <n v="8"/>
    <n v="89"/>
    <n v="3"/>
    <n v="0"/>
    <n v="0"/>
    <n v="123434.1"/>
    <n v="3957"/>
    <n v="0"/>
    <n v="0"/>
    <n v="88"/>
    <n v="116072"/>
    <n v="17621.8487394958"/>
    <n v="9"/>
    <n v="88"/>
    <n v="9"/>
    <m/>
    <n v="0"/>
    <n v="0"/>
    <n v="116072"/>
    <n v="12482.1"/>
    <n v="0"/>
    <n v="0"/>
    <n v="88"/>
    <n v="116072"/>
    <n v="52865.5462184874"/>
    <n v="12"/>
    <n v="88"/>
    <n v="0"/>
    <m/>
    <n v="0"/>
    <n v="0"/>
    <n v="116072"/>
    <n v="0"/>
    <n v="0"/>
    <n v="0"/>
    <n v="88"/>
    <n v="116072"/>
    <n v="0"/>
    <n v="6"/>
    <n v="88"/>
    <n v="6"/>
    <n v="0"/>
    <n v="0"/>
    <n v="0"/>
    <n v="116072"/>
    <n v="8321.4"/>
    <n v="0"/>
    <n v="0"/>
    <n v="88"/>
    <n v="116072"/>
    <n v="35243.6974789916"/>
    <n v="6"/>
    <n v="82"/>
    <n v="6"/>
    <n v="0"/>
    <n v="0"/>
    <n v="0"/>
    <n v="108158"/>
    <n v="8321.4"/>
    <n v="0"/>
    <n v="0"/>
    <n v="82"/>
    <n v="108158"/>
    <n v="35243.6974789916"/>
    <n v="6"/>
    <n v="76"/>
    <n v="6"/>
    <n v="0"/>
    <n v="0"/>
    <m/>
    <n v="105404.4"/>
    <n v="8321.4"/>
    <n v="0"/>
    <n v="0"/>
    <n v="76"/>
    <n v="105404.4"/>
    <n v="35243.6974789916"/>
    <n v="12"/>
    <n v="70"/>
    <n v="12"/>
    <n v="0"/>
    <n v="0"/>
    <n v="0"/>
    <m/>
    <n v="97082.99999999999"/>
    <n v="16642.8"/>
    <n v="0"/>
    <n v="0"/>
    <n v="70"/>
    <n v="97082.99999999999"/>
    <n v="60403.36134453781"/>
    <n v="15"/>
    <n v="58"/>
    <n v="15"/>
    <n v="0"/>
    <n v="0"/>
    <n v="80440.2"/>
    <n v="20803.5"/>
    <n v="0"/>
    <n v="0"/>
    <n v="58"/>
    <n v="80440.2"/>
    <n v="79279.41176470589"/>
    <n v="20"/>
    <n v="43"/>
    <n v="20"/>
    <n v="0"/>
    <n v="0"/>
    <n v="59636.7"/>
    <n v="27738"/>
    <n v="0"/>
    <n v="43"/>
    <n v="59636.7"/>
    <n v="117478.9915966387"/>
    <n v="9"/>
    <n v="23"/>
    <n v="9"/>
    <n v="0"/>
    <m/>
    <n v="31898.7"/>
    <n v="11871"/>
    <n v="0"/>
    <n v="23"/>
    <n v="31898.7"/>
    <n v="52865.5462184874"/>
  </r>
  <r>
    <m/>
    <x v="1"/>
    <x v="15"/>
    <x v="36"/>
    <s v="LHCALBAJ"/>
    <x v="244"/>
    <x v="232"/>
    <x v="0"/>
    <x v="2"/>
    <n v="1"/>
    <x v="165"/>
    <n v="57"/>
    <m/>
    <n v="0"/>
    <n v="1319"/>
    <n v="75183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7"/>
    <s v=""/>
    <n v="6"/>
    <s v=""/>
    <n v="6"/>
    <s v=""/>
    <n v="8"/>
    <s v=""/>
    <n v="1"/>
    <n v="2"/>
    <s v=""/>
    <n v="0.1818181818181818"/>
    <n v="6"/>
    <s v=""/>
    <n v="0.4"/>
    <n v="9"/>
    <s v=""/>
    <n v="1.5"/>
    <n v="5"/>
    <n v="100"/>
    <n v="5"/>
    <n v="0"/>
    <n v="0"/>
    <n v="0"/>
    <n v="26380"/>
    <n v="138690"/>
    <n v="6595"/>
    <n v="0"/>
    <n v="57"/>
    <n v="75183"/>
    <n v="24680.46041946191"/>
    <n v="6"/>
    <n v="93"/>
    <n v="9"/>
    <n v="0"/>
    <n v="0"/>
    <n v="0"/>
    <n v="30337"/>
    <n v="128981.7"/>
    <n v="11871"/>
    <n v="0"/>
    <n v="57"/>
    <n v="75183"/>
    <n v="44424.82875503143"/>
    <n v="9"/>
    <n v="82"/>
    <n v="6"/>
    <n v="0"/>
    <n v="0"/>
    <n v="33721.89999999999"/>
    <n v="108158"/>
    <n v="7914"/>
    <n v="0"/>
    <n v="57"/>
    <n v="75183"/>
    <n v="35243.6974789916"/>
    <n v="8"/>
    <n v="80"/>
    <n v="8"/>
    <n v="0"/>
    <n v="0"/>
    <n v="110952"/>
    <n v="10552"/>
    <n v="0"/>
    <n v="0"/>
    <n v="57"/>
    <n v="75183"/>
    <n v="46991.59663865546"/>
    <n v="11"/>
    <n v="59"/>
    <n v="11"/>
    <m/>
    <n v="0"/>
    <n v="0"/>
    <n v="77821"/>
    <n v="15255.9"/>
    <n v="0"/>
    <n v="0"/>
    <n v="57"/>
    <n v="75183"/>
    <n v="64613.44537815126"/>
    <n v="15"/>
    <n v="63"/>
    <n v="6"/>
    <m/>
    <n v="0"/>
    <n v="0"/>
    <n v="83097"/>
    <n v="8321.4"/>
    <n v="0"/>
    <n v="0"/>
    <n v="63"/>
    <n v="75183"/>
    <n v="35243.6974789916"/>
    <n v="6"/>
    <n v="66"/>
    <n v="6"/>
    <n v="0"/>
    <n v="0"/>
    <n v="0"/>
    <n v="87054"/>
    <n v="8321.4"/>
    <n v="0"/>
    <n v="0"/>
    <n v="66"/>
    <n v="75183"/>
    <n v="35243.6974789916"/>
    <n v="6"/>
    <n v="60"/>
    <n v="6"/>
    <n v="0"/>
    <n v="0"/>
    <n v="0"/>
    <n v="79140"/>
    <n v="8321.4"/>
    <n v="0"/>
    <n v="0"/>
    <n v="60"/>
    <n v="79140"/>
    <n v="35243.6974789916"/>
    <n v="6"/>
    <n v="54"/>
    <n v="6"/>
    <n v="0"/>
    <n v="0"/>
    <m/>
    <n v="74892.59999999999"/>
    <n v="8321.4"/>
    <n v="0"/>
    <n v="0"/>
    <n v="54"/>
    <n v="74892.59999999999"/>
    <n v="35243.6974789916"/>
    <n v="12"/>
    <n v="48"/>
    <n v="12"/>
    <n v="0"/>
    <n v="0"/>
    <n v="0"/>
    <m/>
    <n v="66571.2"/>
    <n v="16642.8"/>
    <n v="0"/>
    <n v="0"/>
    <n v="48"/>
    <n v="66571.2"/>
    <n v="60403.36134453781"/>
    <n v="15"/>
    <n v="36"/>
    <n v="15"/>
    <n v="0"/>
    <n v="0"/>
    <n v="49928.39999999999"/>
    <n v="20803.5"/>
    <n v="0"/>
    <n v="0"/>
    <n v="36"/>
    <n v="49928.39999999999"/>
    <n v="79279.41176470589"/>
    <n v="20"/>
    <n v="21"/>
    <n v="20"/>
    <n v="0"/>
    <n v="0"/>
    <n v="29124.9"/>
    <n v="27738"/>
    <n v="0"/>
    <n v="21"/>
    <n v="29124.9"/>
    <n v="117478.9915966387"/>
    <n v="9"/>
    <n v="1"/>
    <n v="9"/>
    <n v="0"/>
    <m/>
    <n v="1386.9"/>
    <n v="11871"/>
    <n v="0"/>
    <n v="1"/>
    <n v="1386.9"/>
    <n v="52865.5462184874"/>
  </r>
  <r>
    <m/>
    <x v="1"/>
    <x v="15"/>
    <x v="36"/>
    <s v="LHCALBAJ"/>
    <x v="245"/>
    <x v="233"/>
    <x v="0"/>
    <x v="2"/>
    <n v="1"/>
    <x v="166"/>
    <n v="87"/>
    <m/>
    <n v="0"/>
    <n v="1319"/>
    <n v="114753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7"/>
    <s v=""/>
    <n v="3"/>
    <s v=""/>
    <n v="0.375"/>
    <n v="2"/>
    <s v=""/>
    <n v="0.1428571428571428"/>
    <n v="1"/>
    <s v=""/>
    <n v="0.05555555555555555"/>
    <n v="0"/>
    <s v=""/>
    <n v="0"/>
    <n v="5"/>
    <n v="100"/>
    <n v="5"/>
    <n v="0"/>
    <n v="0"/>
    <n v="0"/>
    <n v="15828"/>
    <n v="138690"/>
    <n v="6595"/>
    <n v="0"/>
    <n v="87"/>
    <n v="114753"/>
    <n v="24680.46041946191"/>
    <n v="6"/>
    <n v="100"/>
    <n v="0"/>
    <n v="0"/>
    <n v="0"/>
    <n v="0"/>
    <n v="13190"/>
    <n v="138690"/>
    <n v="0"/>
    <n v="0"/>
    <n v="87"/>
    <n v="114753"/>
    <n v="0"/>
    <n v="9"/>
    <n v="100"/>
    <n v="7"/>
    <n v="0"/>
    <n v="0"/>
    <n v="32606.6"/>
    <n v="131900"/>
    <n v="9233"/>
    <n v="0"/>
    <n v="87"/>
    <n v="114753"/>
    <n v="41117.64705882353"/>
    <n v="8"/>
    <n v="91"/>
    <n v="3"/>
    <n v="0"/>
    <n v="0"/>
    <n v="126207.9"/>
    <n v="3957"/>
    <n v="0"/>
    <n v="0"/>
    <n v="87"/>
    <n v="114753"/>
    <n v="17621.8487394958"/>
    <n v="14"/>
    <n v="89"/>
    <n v="14"/>
    <m/>
    <n v="0"/>
    <n v="0"/>
    <n v="117391"/>
    <n v="19416.6"/>
    <n v="0"/>
    <n v="0"/>
    <n v="87"/>
    <n v="114753"/>
    <n v="82235.29411764706"/>
    <n v="18"/>
    <n v="88"/>
    <n v="1"/>
    <m/>
    <n v="0"/>
    <n v="0"/>
    <n v="116072"/>
    <n v="1386.9"/>
    <n v="0"/>
    <n v="0"/>
    <n v="88"/>
    <n v="114753"/>
    <n v="5873.949579831933"/>
    <n v="6"/>
    <n v="87"/>
    <n v="6"/>
    <n v="0"/>
    <n v="0"/>
    <n v="0"/>
    <n v="114753"/>
    <n v="8321.4"/>
    <n v="0"/>
    <n v="0"/>
    <n v="87"/>
    <n v="114753"/>
    <n v="35243.6974789916"/>
    <n v="6"/>
    <n v="81"/>
    <n v="6"/>
    <n v="0"/>
    <n v="0"/>
    <n v="0"/>
    <n v="106839"/>
    <n v="8321.4"/>
    <n v="0"/>
    <n v="0"/>
    <n v="81"/>
    <n v="106839"/>
    <n v="35243.6974789916"/>
    <n v="6"/>
    <n v="75"/>
    <n v="6"/>
    <n v="0"/>
    <n v="0"/>
    <m/>
    <n v="104017.5"/>
    <n v="8321.4"/>
    <n v="0"/>
    <n v="0"/>
    <n v="75"/>
    <n v="104017.5"/>
    <n v="35243.6974789916"/>
    <n v="12"/>
    <n v="69"/>
    <n v="12"/>
    <n v="0"/>
    <n v="0"/>
    <n v="0"/>
    <m/>
    <n v="95696.09999999999"/>
    <n v="16642.8"/>
    <n v="0"/>
    <n v="0"/>
    <n v="69"/>
    <n v="95696.09999999999"/>
    <n v="60403.36134453781"/>
    <n v="15"/>
    <n v="57"/>
    <n v="15"/>
    <n v="0"/>
    <n v="0"/>
    <n v="79053.29999999999"/>
    <n v="20803.5"/>
    <n v="0"/>
    <n v="0"/>
    <n v="57"/>
    <n v="79053.29999999999"/>
    <n v="79279.41176470589"/>
    <n v="20"/>
    <n v="42"/>
    <n v="20"/>
    <n v="0"/>
    <n v="0"/>
    <n v="58249.8"/>
    <n v="27738"/>
    <n v="0"/>
    <n v="42"/>
    <n v="58249.8"/>
    <n v="117478.9915966387"/>
    <n v="9"/>
    <n v="22"/>
    <n v="9"/>
    <n v="0"/>
    <m/>
    <n v="30511.8"/>
    <n v="11871"/>
    <n v="0"/>
    <n v="22"/>
    <n v="30511.8"/>
    <n v="52865.5462184874"/>
  </r>
  <r>
    <m/>
    <x v="1"/>
    <x v="15"/>
    <x v="36"/>
    <s v="LHCALBAJ"/>
    <x v="246"/>
    <x v="234"/>
    <x v="0"/>
    <x v="2"/>
    <n v="1"/>
    <x v="167"/>
    <n v="85"/>
    <m/>
    <n v="0"/>
    <n v="1319"/>
    <n v="112115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2"/>
    <s v=""/>
    <n v="2"/>
    <s v=""/>
    <n v="3"/>
    <s v=""/>
    <n v="0.375"/>
    <n v="1"/>
    <s v=""/>
    <n v="0.1"/>
    <n v="0"/>
    <s v=""/>
    <n v="0"/>
    <n v="0"/>
    <s v=""/>
    <n v="0"/>
    <n v="5"/>
    <n v="100"/>
    <n v="5"/>
    <n v="0"/>
    <n v="0"/>
    <n v="0"/>
    <n v="13190"/>
    <n v="138690"/>
    <n v="6595"/>
    <n v="0"/>
    <n v="85"/>
    <n v="112115"/>
    <n v="24680.46041946191"/>
    <n v="6"/>
    <n v="93"/>
    <n v="3"/>
    <n v="0"/>
    <n v="0"/>
    <n v="0"/>
    <n v="10552"/>
    <n v="128981.7"/>
    <n v="3957"/>
    <n v="0"/>
    <n v="85"/>
    <n v="112115"/>
    <n v="14808.27625167714"/>
    <n v="9"/>
    <n v="91"/>
    <n v="2"/>
    <n v="0"/>
    <n v="0"/>
    <n v="20464"/>
    <n v="120029"/>
    <n v="2638"/>
    <n v="0"/>
    <n v="85"/>
    <n v="112115"/>
    <n v="11747.89915966387"/>
    <n v="8"/>
    <n v="87"/>
    <n v="3"/>
    <n v="0"/>
    <n v="0"/>
    <n v="120660.3"/>
    <n v="3957"/>
    <n v="0"/>
    <n v="0"/>
    <n v="85"/>
    <n v="112115"/>
    <n v="17621.8487394958"/>
    <n v="10"/>
    <n v="86"/>
    <n v="10"/>
    <m/>
    <n v="0"/>
    <n v="0"/>
    <n v="113434"/>
    <n v="13869"/>
    <n v="0"/>
    <n v="0"/>
    <n v="85"/>
    <n v="112115"/>
    <n v="58739.49579831933"/>
    <n v="14"/>
    <n v="85"/>
    <n v="0"/>
    <m/>
    <n v="0"/>
    <n v="0"/>
    <n v="112115"/>
    <n v="0"/>
    <n v="0"/>
    <n v="0"/>
    <n v="85"/>
    <n v="112115"/>
    <n v="0"/>
    <n v="6"/>
    <n v="85"/>
    <n v="6"/>
    <n v="0"/>
    <n v="0"/>
    <n v="0"/>
    <n v="112115"/>
    <n v="8321.4"/>
    <n v="0"/>
    <n v="0"/>
    <n v="85"/>
    <n v="112115"/>
    <n v="35243.6974789916"/>
    <n v="6"/>
    <n v="79"/>
    <n v="6"/>
    <n v="0"/>
    <n v="0"/>
    <n v="0"/>
    <n v="104201"/>
    <n v="8321.4"/>
    <n v="0"/>
    <n v="0"/>
    <n v="79"/>
    <n v="104201"/>
    <n v="35243.6974789916"/>
    <n v="6"/>
    <n v="73"/>
    <n v="6"/>
    <n v="0"/>
    <n v="0"/>
    <m/>
    <n v="101243.7"/>
    <n v="8321.4"/>
    <n v="0"/>
    <n v="0"/>
    <n v="73"/>
    <n v="101243.7"/>
    <n v="35243.6974789916"/>
    <n v="12"/>
    <n v="67"/>
    <n v="12"/>
    <n v="0"/>
    <n v="0"/>
    <n v="0"/>
    <m/>
    <n v="92922.29999999999"/>
    <n v="16642.8"/>
    <n v="0"/>
    <n v="0"/>
    <n v="67"/>
    <n v="92922.29999999999"/>
    <n v="60403.36134453781"/>
    <n v="15"/>
    <n v="55"/>
    <n v="15"/>
    <n v="0"/>
    <n v="0"/>
    <n v="76279.49999999999"/>
    <n v="20803.5"/>
    <n v="0"/>
    <n v="0"/>
    <n v="55"/>
    <n v="76279.49999999999"/>
    <n v="79279.41176470589"/>
    <n v="20"/>
    <n v="40"/>
    <n v="20"/>
    <n v="0"/>
    <n v="0"/>
    <n v="55475.99999999999"/>
    <n v="27738"/>
    <n v="0"/>
    <n v="40"/>
    <n v="55475.99999999999"/>
    <n v="117478.9915966387"/>
    <n v="9"/>
    <n v="20"/>
    <n v="9"/>
    <n v="0"/>
    <m/>
    <n v="27738"/>
    <n v="11871"/>
    <n v="0"/>
    <n v="20"/>
    <n v="27738"/>
    <n v="52865.5462184874"/>
  </r>
  <r>
    <m/>
    <x v="1"/>
    <x v="15"/>
    <x v="36"/>
    <s v="LHCALLAR"/>
    <x v="247"/>
    <x v="235"/>
    <x v="0"/>
    <x v="2"/>
    <n v="1"/>
    <x v="168"/>
    <n v="77"/>
    <m/>
    <n v="0"/>
    <n v="2807"/>
    <n v="216139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s v=""/>
    <n v="4"/>
    <s v=""/>
    <n v="0.5"/>
    <n v="1"/>
    <s v=""/>
    <n v="0.1"/>
    <n v="8"/>
    <s v=""/>
    <n v="0.5714285714285714"/>
    <n v="1"/>
    <s v=""/>
    <n v="0.1666666666666667"/>
    <n v="5"/>
    <n v="100"/>
    <n v="5"/>
    <n v="0"/>
    <n v="0"/>
    <n v="0"/>
    <n v="30877"/>
    <n v="197685"/>
    <n v="14035"/>
    <n v="0"/>
    <n v="77"/>
    <n v="216139"/>
    <n v="35272.93270249276"/>
    <n v="6"/>
    <n v="100"/>
    <n v="0"/>
    <n v="0"/>
    <n v="0"/>
    <n v="0"/>
    <n v="28070"/>
    <n v="197685"/>
    <n v="0"/>
    <n v="0"/>
    <n v="77"/>
    <n v="216139"/>
    <n v="0"/>
    <n v="9"/>
    <n v="100"/>
    <n v="6"/>
    <n v="0"/>
    <n v="0"/>
    <n v="47838.5"/>
    <n v="280700"/>
    <n v="16842"/>
    <n v="0"/>
    <n v="77"/>
    <n v="216139"/>
    <n v="50369.74789915966"/>
    <n v="8"/>
    <n v="94"/>
    <n v="4"/>
    <n v="0"/>
    <n v="0"/>
    <n v="185823.9"/>
    <n v="11228"/>
    <n v="0"/>
    <n v="0"/>
    <n v="77"/>
    <n v="216139"/>
    <n v="33579.83193277311"/>
    <n v="10"/>
    <n v="78"/>
    <n v="10"/>
    <m/>
    <n v="0"/>
    <n v="0"/>
    <n v="218946"/>
    <n v="19768.5"/>
    <n v="0"/>
    <n v="0"/>
    <n v="77"/>
    <n v="216139"/>
    <n v="83949.57983193277"/>
    <n v="14"/>
    <n v="85"/>
    <n v="8"/>
    <m/>
    <n v="0"/>
    <n v="0"/>
    <n v="238595"/>
    <n v="15814.8"/>
    <n v="0"/>
    <n v="0"/>
    <n v="85"/>
    <n v="216139"/>
    <n v="67159.66386554622"/>
    <n v="6"/>
    <n v="78"/>
    <n v="6"/>
    <n v="0"/>
    <n v="0"/>
    <n v="0"/>
    <n v="218946"/>
    <n v="11861.1"/>
    <n v="0"/>
    <n v="0"/>
    <n v="78"/>
    <n v="216139"/>
    <n v="50369.74789915966"/>
    <n v="6"/>
    <n v="72"/>
    <n v="6"/>
    <n v="0"/>
    <n v="0"/>
    <n v="0"/>
    <n v="202104"/>
    <n v="11861.1"/>
    <n v="0"/>
    <n v="0"/>
    <n v="72"/>
    <n v="202104"/>
    <n v="50369.74789915966"/>
    <n v="6"/>
    <n v="66"/>
    <n v="6"/>
    <n v="0"/>
    <n v="0"/>
    <m/>
    <n v="130472.1"/>
    <n v="11861.1"/>
    <n v="0"/>
    <n v="0"/>
    <n v="66"/>
    <n v="130472.1"/>
    <n v="50369.74789915966"/>
    <n v="12"/>
    <n v="60"/>
    <n v="12"/>
    <n v="0"/>
    <n v="0"/>
    <n v="0"/>
    <m/>
    <n v="118611"/>
    <n v="23722.2"/>
    <n v="0"/>
    <n v="0"/>
    <n v="60"/>
    <n v="118611"/>
    <n v="90655.46218487396"/>
    <n v="15"/>
    <n v="48"/>
    <n v="15"/>
    <n v="0"/>
    <n v="0"/>
    <n v="94888.79999999999"/>
    <n v="29652.75"/>
    <n v="0"/>
    <n v="0"/>
    <n v="48"/>
    <n v="94888.79999999999"/>
    <n v="118985.2941176471"/>
    <n v="20"/>
    <n v="33"/>
    <n v="20"/>
    <n v="0"/>
    <n v="0"/>
    <n v="65236.05"/>
    <n v="39537"/>
    <n v="0"/>
    <n v="33"/>
    <n v="65236.05"/>
    <n v="167899.1596638655"/>
    <n v="9"/>
    <n v="13"/>
    <n v="9"/>
    <n v="0"/>
    <m/>
    <n v="25699.05"/>
    <n v="25263"/>
    <n v="0"/>
    <n v="13"/>
    <n v="25699.05"/>
    <n v="75554.62184873949"/>
  </r>
  <r>
    <m/>
    <x v="1"/>
    <x v="15"/>
    <x v="36"/>
    <s v="LHCALLAR"/>
    <x v="248"/>
    <x v="236"/>
    <x v="0"/>
    <x v="2"/>
    <n v="1"/>
    <x v="12"/>
    <n v="90"/>
    <m/>
    <n v="0"/>
    <n v="2807"/>
    <n v="252630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0"/>
    <s v=""/>
    <n v="4"/>
    <s v=""/>
    <n v="0.5"/>
    <n v="0"/>
    <s v=""/>
    <n v="0"/>
    <n v="4"/>
    <s v=""/>
    <n v="0.3333333333333333"/>
    <n v="1"/>
    <s v=""/>
    <n v="0.1666666666666667"/>
    <n v="5"/>
    <n v="100"/>
    <n v="5"/>
    <n v="0"/>
    <n v="0"/>
    <n v="0"/>
    <n v="14035"/>
    <n v="197685"/>
    <n v="14035"/>
    <n v="0"/>
    <n v="90"/>
    <n v="252630"/>
    <n v="35272.93270249276"/>
    <n v="6"/>
    <n v="99"/>
    <n v="0"/>
    <n v="0"/>
    <n v="0"/>
    <n v="0"/>
    <n v="11228"/>
    <n v="195708.15"/>
    <n v="0"/>
    <n v="0"/>
    <n v="90"/>
    <n v="252630"/>
    <n v="0"/>
    <n v="9"/>
    <n v="99"/>
    <n v="0"/>
    <n v="0"/>
    <n v="0"/>
    <n v="29019.65"/>
    <n v="277893"/>
    <n v="0"/>
    <n v="0"/>
    <n v="90"/>
    <n v="252630"/>
    <n v="0"/>
    <n v="8"/>
    <n v="98"/>
    <n v="4"/>
    <n v="0"/>
    <n v="0"/>
    <n v="193731.3"/>
    <n v="11228"/>
    <n v="0"/>
    <n v="0"/>
    <n v="90"/>
    <n v="252630"/>
    <n v="33579.83193277311"/>
    <n v="9"/>
    <n v="90"/>
    <n v="9"/>
    <m/>
    <n v="0"/>
    <n v="0"/>
    <n v="252630"/>
    <n v="17791.65"/>
    <n v="0"/>
    <n v="0"/>
    <n v="90"/>
    <n v="252630"/>
    <n v="75554.62184873949"/>
    <n v="12"/>
    <n v="94"/>
    <n v="4"/>
    <m/>
    <n v="0"/>
    <n v="0"/>
    <n v="263858"/>
    <n v="7907.4"/>
    <n v="0"/>
    <n v="0"/>
    <n v="94"/>
    <n v="252630"/>
    <n v="33579.83193277311"/>
    <n v="6"/>
    <n v="91"/>
    <n v="6"/>
    <n v="0"/>
    <n v="0"/>
    <n v="0"/>
    <n v="255437"/>
    <n v="11861.1"/>
    <n v="0"/>
    <n v="0"/>
    <n v="91"/>
    <n v="252630"/>
    <n v="50369.74789915966"/>
    <n v="6"/>
    <n v="85"/>
    <n v="6"/>
    <n v="0"/>
    <n v="0"/>
    <n v="0"/>
    <n v="238595"/>
    <n v="11861.1"/>
    <n v="0"/>
    <n v="0"/>
    <n v="85"/>
    <n v="238595"/>
    <n v="50369.74789915966"/>
    <n v="6"/>
    <n v="79"/>
    <n v="6"/>
    <n v="0"/>
    <n v="0"/>
    <m/>
    <n v="156171.15"/>
    <n v="11861.1"/>
    <n v="0"/>
    <n v="0"/>
    <n v="79"/>
    <n v="156171.15"/>
    <n v="50369.74789915966"/>
    <n v="12"/>
    <n v="73"/>
    <n v="12"/>
    <n v="0"/>
    <n v="0"/>
    <n v="0"/>
    <m/>
    <n v="144310.05"/>
    <n v="23722.2"/>
    <n v="0"/>
    <n v="0"/>
    <n v="73"/>
    <n v="144310.05"/>
    <n v="90655.46218487396"/>
    <n v="15"/>
    <n v="61"/>
    <n v="15"/>
    <n v="0"/>
    <n v="0"/>
    <n v="120587.85"/>
    <n v="29652.75"/>
    <n v="0"/>
    <n v="0"/>
    <n v="61"/>
    <n v="120587.85"/>
    <n v="118985.2941176471"/>
    <n v="20"/>
    <n v="46"/>
    <n v="20"/>
    <n v="0"/>
    <n v="0"/>
    <n v="90935.09999999999"/>
    <n v="39537"/>
    <n v="0"/>
    <n v="46"/>
    <n v="90935.09999999999"/>
    <n v="167899.1596638655"/>
    <n v="9"/>
    <n v="26"/>
    <n v="9"/>
    <n v="0"/>
    <m/>
    <n v="51398.1"/>
    <n v="25263"/>
    <n v="0"/>
    <n v="26"/>
    <n v="51398.1"/>
    <n v="75554.62184873949"/>
  </r>
  <r>
    <m/>
    <x v="1"/>
    <x v="15"/>
    <x v="36"/>
    <s v="LHCALLAR"/>
    <x v="249"/>
    <x v="237"/>
    <x v="0"/>
    <x v="2"/>
    <n v="1"/>
    <x v="169"/>
    <n v="70"/>
    <m/>
    <n v="0"/>
    <n v="2807"/>
    <n v="196490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5"/>
    <s v=""/>
    <n v="4"/>
    <s v=""/>
    <n v="0.5"/>
    <n v="2"/>
    <s v=""/>
    <n v="0.2222222222222222"/>
    <n v="11"/>
    <s v=""/>
    <n v="0.8461538461538461"/>
    <n v="2"/>
    <s v=""/>
    <n v="0.3333333333333333"/>
    <n v="5"/>
    <n v="100"/>
    <n v="5"/>
    <n v="0"/>
    <n v="0"/>
    <n v="0"/>
    <n v="32280.5"/>
    <n v="197685"/>
    <n v="14035"/>
    <n v="0"/>
    <n v="70"/>
    <n v="196490"/>
    <n v="35272.93270249276"/>
    <n v="6"/>
    <n v="99"/>
    <n v="1.5"/>
    <n v="0"/>
    <n v="0"/>
    <n v="0"/>
    <n v="29473.5"/>
    <n v="195708.15"/>
    <n v="4210.5"/>
    <n v="0"/>
    <n v="70"/>
    <n v="196490"/>
    <n v="10581.87981074783"/>
    <n v="9"/>
    <n v="98"/>
    <n v="5"/>
    <n v="0"/>
    <n v="0"/>
    <n v="43054.64999999999"/>
    <n v="275086"/>
    <n v="14035"/>
    <n v="0"/>
    <n v="70"/>
    <n v="196490"/>
    <n v="41974.78991596639"/>
    <n v="8"/>
    <n v="93"/>
    <n v="4"/>
    <n v="0"/>
    <n v="0"/>
    <n v="183847.05"/>
    <n v="11228"/>
    <n v="0"/>
    <n v="0"/>
    <n v="70"/>
    <n v="196490"/>
    <n v="33579.83193277311"/>
    <n v="9"/>
    <n v="72"/>
    <n v="9"/>
    <m/>
    <n v="0"/>
    <n v="0"/>
    <n v="202104"/>
    <n v="17791.65"/>
    <n v="0"/>
    <n v="0"/>
    <n v="70"/>
    <n v="196490"/>
    <n v="75554.62184873949"/>
    <n v="13"/>
    <n v="81"/>
    <n v="11"/>
    <m/>
    <n v="0"/>
    <n v="0"/>
    <n v="227367"/>
    <n v="21745.35"/>
    <n v="0"/>
    <n v="0"/>
    <n v="81"/>
    <n v="196490"/>
    <n v="92344.53781512605"/>
    <n v="6"/>
    <n v="72"/>
    <n v="6"/>
    <n v="0"/>
    <n v="0"/>
    <n v="0"/>
    <n v="202104"/>
    <n v="11861.1"/>
    <n v="0"/>
    <n v="0"/>
    <n v="72"/>
    <n v="196490"/>
    <n v="50369.74789915966"/>
    <n v="6"/>
    <n v="66"/>
    <n v="6"/>
    <n v="0"/>
    <n v="0"/>
    <n v="0"/>
    <n v="185262"/>
    <n v="11861.1"/>
    <n v="0"/>
    <n v="0"/>
    <n v="66"/>
    <n v="185262"/>
    <n v="50369.74789915966"/>
    <n v="6"/>
    <n v="60"/>
    <n v="6"/>
    <n v="0"/>
    <n v="0"/>
    <m/>
    <n v="118611"/>
    <n v="11861.1"/>
    <n v="0"/>
    <n v="0"/>
    <n v="60"/>
    <n v="118611"/>
    <n v="50369.74789915966"/>
    <n v="12"/>
    <n v="54"/>
    <n v="12"/>
    <n v="0"/>
    <n v="0"/>
    <n v="0"/>
    <m/>
    <n v="106749.9"/>
    <n v="23722.2"/>
    <n v="0"/>
    <n v="0"/>
    <n v="54"/>
    <n v="106749.9"/>
    <n v="90655.46218487396"/>
    <n v="15"/>
    <n v="42"/>
    <n v="15"/>
    <n v="0"/>
    <n v="0"/>
    <n v="83027.7"/>
    <n v="29652.75"/>
    <n v="0"/>
    <n v="0"/>
    <n v="42"/>
    <n v="83027.7"/>
    <n v="118985.2941176471"/>
    <n v="20"/>
    <n v="27"/>
    <n v="20"/>
    <n v="0"/>
    <n v="0"/>
    <n v="53374.95"/>
    <n v="39537"/>
    <n v="0"/>
    <n v="27"/>
    <n v="53374.95"/>
    <n v="167899.1596638655"/>
    <n v="9"/>
    <n v="7"/>
    <n v="9"/>
    <n v="0"/>
    <m/>
    <n v="13837.95"/>
    <n v="25263"/>
    <n v="0"/>
    <n v="7"/>
    <n v="13837.95"/>
    <n v="75554.62184873949"/>
  </r>
  <r>
    <m/>
    <x v="1"/>
    <x v="15"/>
    <x v="36"/>
    <s v="LHCALLAR"/>
    <x v="250"/>
    <x v="238"/>
    <x v="0"/>
    <x v="2"/>
    <n v="1"/>
    <x v="170"/>
    <n v="81"/>
    <m/>
    <n v="0"/>
    <n v="2807"/>
    <n v="227367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2"/>
    <s v=""/>
    <n v="2"/>
    <s v=""/>
    <n v="0.25"/>
    <n v="3"/>
    <s v=""/>
    <n v="0.3333333333333333"/>
    <n v="7"/>
    <s v=""/>
    <n v="0.5833333333333334"/>
    <n v="1"/>
    <s v=""/>
    <n v="0.1666666666666667"/>
    <n v="5"/>
    <n v="100"/>
    <n v="5"/>
    <n v="0"/>
    <n v="0"/>
    <n v="0"/>
    <n v="23859.5"/>
    <n v="197685"/>
    <n v="14035"/>
    <n v="0"/>
    <n v="81"/>
    <n v="227367"/>
    <n v="35272.93270249276"/>
    <n v="6"/>
    <n v="99"/>
    <n v="1.5"/>
    <n v="0"/>
    <n v="0"/>
    <n v="0"/>
    <n v="15438.5"/>
    <n v="195708.15"/>
    <n v="4210.5"/>
    <n v="0"/>
    <n v="81"/>
    <n v="227367"/>
    <n v="10581.87981074783"/>
    <n v="9"/>
    <n v="98"/>
    <n v="2"/>
    <n v="0"/>
    <n v="0"/>
    <n v="29019.65"/>
    <n v="275086"/>
    <n v="5614"/>
    <n v="0"/>
    <n v="81"/>
    <n v="227367"/>
    <n v="16789.91596638655"/>
    <n v="8"/>
    <n v="95"/>
    <n v="2"/>
    <n v="0"/>
    <n v="0"/>
    <n v="187800.75"/>
    <n v="5614"/>
    <n v="0"/>
    <n v="0"/>
    <n v="81"/>
    <n v="227367"/>
    <n v="16789.91596638655"/>
    <n v="9"/>
    <n v="84"/>
    <n v="9"/>
    <m/>
    <n v="0"/>
    <n v="0"/>
    <n v="235788"/>
    <n v="17791.65"/>
    <n v="0"/>
    <n v="0"/>
    <n v="81"/>
    <n v="227367"/>
    <n v="75554.62184873949"/>
    <n v="12"/>
    <n v="88"/>
    <n v="7"/>
    <m/>
    <n v="0"/>
    <n v="0"/>
    <n v="247016"/>
    <n v="13837.95"/>
    <n v="0"/>
    <n v="0"/>
    <n v="88"/>
    <n v="227367"/>
    <n v="58764.70588235294"/>
    <n v="6"/>
    <n v="82"/>
    <n v="6"/>
    <n v="0"/>
    <n v="0"/>
    <n v="0"/>
    <n v="230174"/>
    <n v="11861.1"/>
    <n v="0"/>
    <n v="0"/>
    <n v="82"/>
    <n v="227367"/>
    <n v="50369.74789915966"/>
    <n v="6"/>
    <n v="76"/>
    <n v="6"/>
    <n v="0"/>
    <n v="0"/>
    <n v="0"/>
    <n v="213332"/>
    <n v="11861.1"/>
    <n v="0"/>
    <n v="0"/>
    <n v="76"/>
    <n v="213332"/>
    <n v="50369.74789915966"/>
    <n v="6"/>
    <n v="70"/>
    <n v="6"/>
    <n v="0"/>
    <n v="0"/>
    <m/>
    <n v="138379.5"/>
    <n v="11861.1"/>
    <n v="0"/>
    <n v="0"/>
    <n v="70"/>
    <n v="138379.5"/>
    <n v="50369.74789915966"/>
    <n v="12"/>
    <n v="64"/>
    <n v="12"/>
    <n v="0"/>
    <n v="0"/>
    <n v="0"/>
    <m/>
    <n v="126518.4"/>
    <n v="23722.2"/>
    <n v="0"/>
    <n v="0"/>
    <n v="64"/>
    <n v="126518.4"/>
    <n v="90655.46218487396"/>
    <n v="15"/>
    <n v="52"/>
    <n v="15"/>
    <n v="0"/>
    <n v="0"/>
    <n v="102796.2"/>
    <n v="29652.75"/>
    <n v="0"/>
    <n v="0"/>
    <n v="52"/>
    <n v="102796.2"/>
    <n v="118985.2941176471"/>
    <n v="20"/>
    <n v="37"/>
    <n v="20"/>
    <n v="0"/>
    <n v="0"/>
    <n v="73143.45"/>
    <n v="39537"/>
    <n v="0"/>
    <n v="37"/>
    <n v="73143.45"/>
    <n v="167899.1596638655"/>
    <n v="9"/>
    <n v="17"/>
    <n v="9"/>
    <n v="0"/>
    <m/>
    <n v="33606.45"/>
    <n v="25263"/>
    <n v="0"/>
    <n v="17"/>
    <n v="33606.45"/>
    <n v="75554.62184873949"/>
  </r>
  <r>
    <m/>
    <x v="1"/>
    <x v="15"/>
    <x v="36"/>
    <s v="LHCALLAR"/>
    <x v="251"/>
    <x v="239"/>
    <x v="0"/>
    <x v="2"/>
    <n v="1"/>
    <x v="171"/>
    <n v="86"/>
    <m/>
    <n v="0"/>
    <n v="2807"/>
    <n v="241402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2"/>
    <s v=""/>
    <n v="0.25"/>
    <n v="2"/>
    <s v=""/>
    <n v="0.2"/>
    <n v="4"/>
    <s v=""/>
    <n v="0.3076923076923077"/>
    <n v="0"/>
    <s v=""/>
    <n v="0"/>
    <n v="5"/>
    <n v="100"/>
    <n v="5"/>
    <n v="0"/>
    <n v="0"/>
    <n v="0"/>
    <n v="22456"/>
    <n v="197685"/>
    <n v="14035"/>
    <n v="0"/>
    <n v="86"/>
    <n v="241402"/>
    <n v="35272.93270249276"/>
    <n v="6"/>
    <n v="100"/>
    <n v="0"/>
    <n v="0"/>
    <n v="0"/>
    <n v="0"/>
    <n v="14035"/>
    <n v="197685"/>
    <n v="0"/>
    <n v="0"/>
    <n v="86"/>
    <n v="241402"/>
    <n v="0"/>
    <n v="9"/>
    <n v="100"/>
    <n v="3"/>
    <n v="0"/>
    <n v="0"/>
    <n v="33803.5"/>
    <n v="280700"/>
    <n v="8421"/>
    <n v="0"/>
    <n v="86"/>
    <n v="241402"/>
    <n v="25184.87394957983"/>
    <n v="8"/>
    <n v="96"/>
    <n v="2"/>
    <n v="0"/>
    <n v="0"/>
    <n v="189777.6"/>
    <n v="5614"/>
    <n v="0"/>
    <n v="0"/>
    <n v="86"/>
    <n v="241402"/>
    <n v="16789.91596638655"/>
    <n v="10"/>
    <n v="88"/>
    <n v="10"/>
    <m/>
    <n v="0"/>
    <n v="0"/>
    <n v="247016"/>
    <n v="19768.5"/>
    <n v="0"/>
    <n v="0"/>
    <n v="86"/>
    <n v="241402"/>
    <n v="83949.57983193277"/>
    <n v="13"/>
    <n v="90"/>
    <n v="4"/>
    <m/>
    <n v="0"/>
    <n v="0"/>
    <n v="252630"/>
    <n v="7907.4"/>
    <n v="0"/>
    <n v="0"/>
    <n v="90"/>
    <n v="241402"/>
    <n v="33579.83193277311"/>
    <n v="6"/>
    <n v="86"/>
    <n v="6"/>
    <n v="0"/>
    <n v="0"/>
    <n v="0"/>
    <n v="241402"/>
    <n v="11861.1"/>
    <n v="0"/>
    <n v="0"/>
    <n v="86"/>
    <n v="241402"/>
    <n v="50369.74789915966"/>
    <n v="6"/>
    <n v="80"/>
    <n v="6"/>
    <n v="0"/>
    <n v="0"/>
    <n v="0"/>
    <n v="224560"/>
    <n v="11861.1"/>
    <n v="0"/>
    <n v="0"/>
    <n v="80"/>
    <n v="224560"/>
    <n v="50369.74789915966"/>
    <n v="6"/>
    <n v="74"/>
    <n v="6"/>
    <n v="0"/>
    <n v="0"/>
    <m/>
    <n v="146286.9"/>
    <n v="11861.1"/>
    <n v="0"/>
    <n v="0"/>
    <n v="74"/>
    <n v="146286.9"/>
    <n v="50369.74789915966"/>
    <n v="12"/>
    <n v="68"/>
    <n v="12"/>
    <n v="0"/>
    <n v="0"/>
    <n v="0"/>
    <m/>
    <n v="134425.8"/>
    <n v="23722.2"/>
    <n v="0"/>
    <n v="0"/>
    <n v="68"/>
    <n v="134425.8"/>
    <n v="90655.46218487396"/>
    <n v="15"/>
    <n v="56"/>
    <n v="15"/>
    <n v="0"/>
    <n v="0"/>
    <n v="110703.6"/>
    <n v="29652.75"/>
    <n v="0"/>
    <n v="0"/>
    <n v="56"/>
    <n v="110703.6"/>
    <n v="118985.2941176471"/>
    <n v="20"/>
    <n v="41"/>
    <n v="20"/>
    <n v="0"/>
    <n v="0"/>
    <n v="81050.84999999999"/>
    <n v="39537"/>
    <n v="0"/>
    <n v="41"/>
    <n v="81050.84999999999"/>
    <n v="167899.1596638655"/>
    <n v="9"/>
    <n v="21"/>
    <n v="9"/>
    <n v="0"/>
    <m/>
    <n v="41513.85"/>
    <n v="25263"/>
    <n v="0"/>
    <n v="21"/>
    <n v="41513.85"/>
    <n v="75554.62184873949"/>
  </r>
  <r>
    <m/>
    <x v="1"/>
    <x v="15"/>
    <x v="36"/>
    <s v="LHCALLAR"/>
    <x v="252"/>
    <x v="240"/>
    <x v="0"/>
    <x v="2"/>
    <n v="1"/>
    <x v="172"/>
    <n v="86"/>
    <m/>
    <n v="0"/>
    <n v="2807"/>
    <n v="241402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1"/>
    <s v=""/>
    <n v="1"/>
    <s v=""/>
    <n v="3"/>
    <s v=""/>
    <n v="0.375"/>
    <n v="1"/>
    <s v=""/>
    <n v="0.1111111111111111"/>
    <n v="6"/>
    <s v=""/>
    <n v="0.5"/>
    <n v="1"/>
    <s v=""/>
    <n v="0.1666666666666667"/>
    <n v="5"/>
    <n v="100"/>
    <n v="5"/>
    <n v="0"/>
    <n v="0"/>
    <n v="0"/>
    <n v="21052.5"/>
    <n v="197685"/>
    <n v="14035"/>
    <n v="0"/>
    <n v="86"/>
    <n v="241402"/>
    <n v="35272.93270249276"/>
    <n v="6"/>
    <n v="99"/>
    <n v="1.5"/>
    <n v="0"/>
    <n v="0"/>
    <n v="0"/>
    <n v="15438.5"/>
    <n v="195708.15"/>
    <n v="4210.5"/>
    <n v="0"/>
    <n v="86"/>
    <n v="241402"/>
    <n v="10581.87981074783"/>
    <n v="9"/>
    <n v="98"/>
    <n v="1"/>
    <n v="0"/>
    <n v="0"/>
    <n v="29019.65"/>
    <n v="275086"/>
    <n v="2807"/>
    <n v="0"/>
    <n v="86"/>
    <n v="241402"/>
    <n v="8394.957983193277"/>
    <n v="8"/>
    <n v="96"/>
    <n v="3"/>
    <n v="0"/>
    <n v="0"/>
    <n v="189777.6"/>
    <n v="8421"/>
    <n v="0"/>
    <n v="0"/>
    <n v="86"/>
    <n v="241402"/>
    <n v="25184.87394957983"/>
    <n v="9"/>
    <n v="87"/>
    <n v="9"/>
    <m/>
    <n v="0"/>
    <n v="0"/>
    <n v="244209"/>
    <n v="17791.65"/>
    <n v="0"/>
    <n v="0"/>
    <n v="86"/>
    <n v="241402"/>
    <n v="75554.62184873949"/>
    <n v="12"/>
    <n v="92"/>
    <n v="6"/>
    <m/>
    <n v="0"/>
    <n v="0"/>
    <n v="258244"/>
    <n v="11861.1"/>
    <n v="0"/>
    <n v="0"/>
    <n v="92"/>
    <n v="241402"/>
    <n v="50369.74789915966"/>
    <n v="6"/>
    <n v="87"/>
    <n v="6"/>
    <n v="0"/>
    <n v="0"/>
    <n v="0"/>
    <n v="244209"/>
    <n v="11861.1"/>
    <n v="0"/>
    <n v="0"/>
    <n v="87"/>
    <n v="241402"/>
    <n v="50369.74789915966"/>
    <n v="6"/>
    <n v="81"/>
    <n v="6"/>
    <n v="0"/>
    <n v="0"/>
    <n v="0"/>
    <n v="227367"/>
    <n v="11861.1"/>
    <n v="0"/>
    <n v="0"/>
    <n v="81"/>
    <n v="227367"/>
    <n v="50369.74789915966"/>
    <n v="6"/>
    <n v="75"/>
    <n v="6"/>
    <n v="0"/>
    <n v="0"/>
    <m/>
    <n v="148263.75"/>
    <n v="11861.1"/>
    <n v="0"/>
    <n v="0"/>
    <n v="75"/>
    <n v="148263.75"/>
    <n v="50369.74789915966"/>
    <n v="12"/>
    <n v="69"/>
    <n v="12"/>
    <n v="0"/>
    <n v="0"/>
    <n v="0"/>
    <m/>
    <n v="136402.65"/>
    <n v="23722.2"/>
    <n v="0"/>
    <n v="0"/>
    <n v="69"/>
    <n v="136402.65"/>
    <n v="90655.46218487396"/>
    <n v="15"/>
    <n v="57"/>
    <n v="15"/>
    <n v="0"/>
    <n v="0"/>
    <n v="112680.45"/>
    <n v="29652.75"/>
    <n v="0"/>
    <n v="0"/>
    <n v="57"/>
    <n v="112680.45"/>
    <n v="118985.2941176471"/>
    <n v="20"/>
    <n v="42"/>
    <n v="20"/>
    <n v="0"/>
    <n v="0"/>
    <n v="83027.7"/>
    <n v="39537"/>
    <n v="0"/>
    <n v="42"/>
    <n v="83027.7"/>
    <n v="167899.1596638655"/>
    <n v="9"/>
    <n v="22"/>
    <n v="9"/>
    <n v="0"/>
    <m/>
    <n v="43490.7"/>
    <n v="25263"/>
    <n v="0"/>
    <n v="22"/>
    <n v="43490.7"/>
    <n v="75554.62184873949"/>
  </r>
  <r>
    <s v="Lhotse-Accesorio Vestuario"/>
    <x v="1"/>
    <x v="15"/>
    <x v="37"/>
    <s v="LHPANCLOGR"/>
    <x v="253"/>
    <x v="241"/>
    <x v="0"/>
    <x v="6"/>
    <n v="1"/>
    <x v="12"/>
    <n v="2"/>
    <m/>
    <n v="0"/>
    <n v="5924"/>
    <n v="11848"/>
    <n v="5.44"/>
    <n v="5943.2"/>
    <n v="9235.294117647059"/>
    <n v="8394.957983193277"/>
    <s v="Shenzhen"/>
    <s v="30/70"/>
    <n v="30"/>
    <n v="200"/>
    <n v="0"/>
    <s v=""/>
    <n v="0"/>
    <s v=""/>
    <n v="0"/>
    <s v=""/>
    <n v="0"/>
    <s v=""/>
    <n v="0"/>
    <s v=""/>
    <n v="3"/>
    <n v="0.5297914871985993"/>
    <n v="19"/>
    <n v="0.3921244286527414"/>
    <n v="8"/>
    <n v="0.5297909251960542"/>
    <n v="4"/>
    <n v="0.4467908868242432"/>
    <n v="6"/>
    <n v="0.4038494222590608"/>
    <n v="3"/>
    <n v="0.4121467721062384"/>
    <n v="52"/>
    <n v="0.3232409540415874"/>
    <n v="6"/>
    <s v=""/>
    <n v="3"/>
    <s v=""/>
    <n v="0"/>
    <s v=""/>
    <n v="0"/>
    <s v=""/>
    <n v="0"/>
    <n v="0"/>
    <s v=""/>
    <n v="0"/>
    <n v="0"/>
    <s v=""/>
    <n v="0"/>
    <n v="0"/>
    <s v=""/>
    <n v="0"/>
    <n v="20"/>
    <n v="12"/>
    <n v="12"/>
    <n v="0"/>
    <n v="0"/>
    <n v="0"/>
    <n v="97746"/>
    <n v="67564.79999999999"/>
    <n v="71088"/>
    <n v="0"/>
    <n v="2"/>
    <n v="11848"/>
    <n v="93129.01631240733"/>
    <n v="10"/>
    <n v="5"/>
    <n v="4.5"/>
    <n v="0"/>
    <n v="0"/>
    <n v="0"/>
    <n v="26658"/>
    <n v="28152"/>
    <n v="26658"/>
    <n v="0"/>
    <n v="2"/>
    <n v="11848"/>
    <n v="34923.38111715275"/>
    <n v="7"/>
    <n v="2"/>
    <n v="0"/>
    <n v="0"/>
    <n v="0"/>
    <n v="0"/>
    <n v="11848"/>
    <n v="0"/>
    <n v="0"/>
    <n v="2"/>
    <n v="11848"/>
    <n v="0"/>
    <n v="0"/>
    <n v="2"/>
    <n v="0"/>
    <n v="0"/>
    <n v="0"/>
    <n v="11260.8"/>
    <n v="0"/>
    <n v="0"/>
    <n v="0"/>
    <n v="2"/>
    <n v="11848"/>
    <n v="0"/>
    <n v="0"/>
    <n v="2"/>
    <n v="0"/>
    <m/>
    <n v="0"/>
    <n v="0"/>
    <n v="11848"/>
    <n v="0"/>
    <n v="0"/>
    <n v="0"/>
    <n v="2"/>
    <n v="11848"/>
    <n v="0"/>
    <n v="0"/>
    <n v="2"/>
    <n v="0"/>
    <m/>
    <n v="0"/>
    <n v="0"/>
    <n v="11848"/>
    <n v="0"/>
    <n v="0"/>
    <n v="0"/>
    <n v="2"/>
    <n v="11848"/>
    <n v="0"/>
    <n v="0"/>
    <n v="2"/>
    <n v="0"/>
    <n v="0"/>
    <n v="0"/>
    <n v="0"/>
    <n v="11848"/>
    <n v="0"/>
    <n v="0"/>
    <n v="0"/>
    <n v="2"/>
    <n v="11848"/>
    <n v="0"/>
    <n v="0"/>
    <n v="2"/>
    <n v="0"/>
    <n v="0"/>
    <n v="0"/>
    <n v="0"/>
    <n v="11848"/>
    <n v="0"/>
    <n v="0"/>
    <n v="0"/>
    <n v="2"/>
    <n v="11848"/>
    <n v="0"/>
    <n v="0"/>
    <n v="2"/>
    <n v="0"/>
    <n v="0"/>
    <n v="0"/>
    <m/>
    <n v="11260.8"/>
    <n v="0"/>
    <n v="0"/>
    <n v="0"/>
    <n v="2"/>
    <n v="11260.8"/>
    <n v="0"/>
    <n v="0"/>
    <n v="2"/>
    <n v="0"/>
    <n v="0"/>
    <n v="0"/>
    <n v="0"/>
    <m/>
    <n v="11260.8"/>
    <n v="0"/>
    <n v="0"/>
    <n v="0"/>
    <n v="2"/>
    <n v="11260.8"/>
    <n v="0"/>
    <n v="0"/>
    <n v="2"/>
    <n v="0"/>
    <n v="0"/>
    <n v="0"/>
    <n v="11260.8"/>
    <n v="0"/>
    <n v="0"/>
    <n v="0"/>
    <n v="2"/>
    <n v="11260.8"/>
    <n v="0"/>
    <n v="0"/>
    <n v="2"/>
    <n v="0"/>
    <n v="0"/>
    <n v="0"/>
    <n v="11260.8"/>
    <n v="0"/>
    <n v="0"/>
    <n v="2"/>
    <n v="11260.8"/>
    <n v="0"/>
    <n v="0"/>
    <n v="2"/>
    <n v="0"/>
    <n v="0"/>
    <m/>
    <n v="11260.8"/>
    <n v="0"/>
    <n v="0"/>
    <n v="2"/>
    <n v="11260.8"/>
    <n v="0"/>
  </r>
  <r>
    <m/>
    <x v="1"/>
    <x v="15"/>
    <x v="37"/>
    <s v="LHPANIMBKCM36-37"/>
    <x v="254"/>
    <x v="242"/>
    <x v="0"/>
    <x v="2"/>
    <n v="1"/>
    <x v="12"/>
    <n v="28"/>
    <m/>
    <n v="0"/>
    <n v="7503.749999999999"/>
    <n v="210105"/>
    <n v="7.5"/>
    <n v="8193.75"/>
    <n v="19319.32773109244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2"/>
    <s v=""/>
    <n v="0.1818181818181818"/>
    <n v="0"/>
    <n v="0"/>
    <n v="0"/>
    <n v="0"/>
    <n v="0"/>
    <n v="0"/>
    <n v="0"/>
    <n v="0"/>
    <n v="0"/>
    <n v="0"/>
    <n v="28"/>
    <n v="210105"/>
    <n v="0"/>
    <n v="0"/>
    <n v="0"/>
    <n v="0"/>
    <n v="0"/>
    <n v="0"/>
    <n v="0"/>
    <n v="0"/>
    <n v="0"/>
    <n v="0"/>
    <n v="0"/>
    <n v="28"/>
    <n v="210105"/>
    <n v="0"/>
    <n v="0"/>
    <n v="0"/>
    <n v="0"/>
    <n v="0"/>
    <n v="0"/>
    <n v="23287.5"/>
    <n v="0"/>
    <n v="0"/>
    <n v="0"/>
    <n v="28"/>
    <n v="210105"/>
    <n v="0"/>
    <n v="0"/>
    <n v="0"/>
    <n v="0"/>
    <n v="0"/>
    <n v="0"/>
    <n v="0"/>
    <n v="0"/>
    <n v="0"/>
    <n v="0"/>
    <n v="28"/>
    <n v="210105"/>
    <n v="0"/>
    <n v="3"/>
    <n v="28"/>
    <n v="3"/>
    <m/>
    <n v="0"/>
    <n v="0"/>
    <n v="210105"/>
    <n v="23287.5"/>
    <n v="0"/>
    <n v="0"/>
    <n v="28"/>
    <n v="210105"/>
    <n v="57957.98319327732"/>
    <n v="14"/>
    <n v="28"/>
    <n v="0"/>
    <m/>
    <n v="0"/>
    <n v="0"/>
    <n v="210105"/>
    <n v="0"/>
    <n v="0"/>
    <n v="0"/>
    <n v="28"/>
    <n v="210105"/>
    <n v="0"/>
    <n v="11"/>
    <n v="30"/>
    <n v="11"/>
    <n v="0"/>
    <n v="0"/>
    <n v="0"/>
    <n v="225112.5"/>
    <n v="85387.49999999999"/>
    <n v="0"/>
    <n v="0"/>
    <n v="30"/>
    <n v="210105"/>
    <n v="212512.6050420168"/>
    <n v="7"/>
    <n v="19"/>
    <n v="7"/>
    <n v="0"/>
    <n v="0"/>
    <n v="0"/>
    <n v="142571.25"/>
    <n v="54337.49999999999"/>
    <n v="0"/>
    <n v="0"/>
    <n v="19"/>
    <n v="142571.25"/>
    <n v="135235.2941176471"/>
    <n v="2"/>
    <n v="12"/>
    <n v="2"/>
    <n v="0"/>
    <n v="0"/>
    <m/>
    <n v="93149.99999999999"/>
    <n v="15525"/>
    <n v="0"/>
    <n v="0"/>
    <n v="12"/>
    <n v="93149.99999999999"/>
    <n v="38638.65546218488"/>
    <n v="0"/>
    <n v="10"/>
    <n v="0"/>
    <n v="0"/>
    <n v="0"/>
    <n v="0"/>
    <m/>
    <n v="77624.99999999999"/>
    <n v="0"/>
    <n v="0"/>
    <n v="0"/>
    <n v="10"/>
    <n v="77624.99999999999"/>
    <n v="0"/>
    <n v="0"/>
    <n v="10"/>
    <n v="0"/>
    <n v="0"/>
    <n v="0"/>
    <n v="77624.99999999999"/>
    <n v="0"/>
    <n v="0"/>
    <n v="0"/>
    <n v="10"/>
    <n v="77624.99999999999"/>
    <n v="0"/>
    <n v="0"/>
    <n v="10"/>
    <n v="0"/>
    <n v="0"/>
    <n v="0"/>
    <n v="77624.99999999999"/>
    <n v="0"/>
    <n v="0"/>
    <n v="10"/>
    <n v="77624.99999999999"/>
    <n v="0"/>
    <n v="0"/>
    <n v="10"/>
    <n v="0"/>
    <n v="0"/>
    <m/>
    <n v="77624.99999999999"/>
    <n v="0"/>
    <n v="0"/>
    <n v="10"/>
    <n v="77624.99999999999"/>
    <n v="0"/>
  </r>
  <r>
    <m/>
    <x v="1"/>
    <x v="15"/>
    <x v="37"/>
    <s v="LHPANIMBKCM38-39"/>
    <x v="255"/>
    <x v="243"/>
    <x v="0"/>
    <x v="2"/>
    <n v="1"/>
    <x v="12"/>
    <n v="66"/>
    <m/>
    <n v="0"/>
    <n v="7503.749999999999"/>
    <n v="495247.49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s v=""/>
    <n v="0.03125"/>
    <n v="2"/>
    <s v=""/>
    <n v="0.08"/>
    <n v="0"/>
    <n v="0"/>
    <n v="0"/>
    <n v="0"/>
    <n v="0"/>
    <n v="0"/>
    <n v="0"/>
    <n v="0"/>
    <n v="0"/>
    <n v="0"/>
    <n v="66"/>
    <n v="495247.4999999999"/>
    <n v="0"/>
    <n v="0"/>
    <n v="0"/>
    <n v="0"/>
    <n v="0"/>
    <n v="0"/>
    <n v="0"/>
    <n v="0"/>
    <n v="0"/>
    <n v="0"/>
    <n v="0"/>
    <n v="66"/>
    <n v="495247.4999999999"/>
    <n v="0"/>
    <n v="0"/>
    <n v="0"/>
    <n v="0"/>
    <n v="0"/>
    <n v="0"/>
    <n v="54337.49999999999"/>
    <n v="0"/>
    <n v="0"/>
    <n v="0"/>
    <n v="66"/>
    <n v="495247.4999999999"/>
    <n v="0"/>
    <n v="0"/>
    <n v="0"/>
    <n v="0"/>
    <n v="0"/>
    <n v="0"/>
    <n v="0"/>
    <n v="0"/>
    <n v="0"/>
    <n v="0"/>
    <n v="66"/>
    <n v="495247.4999999999"/>
    <n v="0"/>
    <n v="7"/>
    <n v="66"/>
    <n v="7"/>
    <m/>
    <n v="0"/>
    <n v="0"/>
    <n v="495247.4999999999"/>
    <n v="54337.49999999999"/>
    <n v="0"/>
    <n v="0"/>
    <n v="66"/>
    <n v="495247.4999999999"/>
    <n v="129352.9411764706"/>
    <n v="32"/>
    <n v="67"/>
    <n v="1"/>
    <m/>
    <n v="0"/>
    <n v="0"/>
    <n v="502751.2499999999"/>
    <n v="7762.499999999999"/>
    <n v="0"/>
    <n v="0"/>
    <n v="67"/>
    <n v="495247.4999999999"/>
    <n v="18478.99159663866"/>
    <n v="25"/>
    <n v="68"/>
    <n v="25"/>
    <n v="0"/>
    <n v="0"/>
    <n v="0"/>
    <n v="510254.9999999999"/>
    <n v="194062.5"/>
    <n v="0"/>
    <n v="0"/>
    <n v="68"/>
    <n v="495247.4999999999"/>
    <n v="461974.7899159665"/>
    <n v="17"/>
    <n v="43"/>
    <n v="17"/>
    <n v="0"/>
    <n v="0"/>
    <n v="0"/>
    <n v="322661.2499999999"/>
    <n v="131962.5"/>
    <n v="0"/>
    <n v="0"/>
    <n v="43"/>
    <n v="322661.2499999999"/>
    <n v="314142.8571428572"/>
    <n v="5"/>
    <n v="26"/>
    <n v="5"/>
    <n v="0"/>
    <n v="0"/>
    <m/>
    <n v="201825"/>
    <n v="38812.49999999999"/>
    <n v="0"/>
    <n v="0"/>
    <n v="26"/>
    <n v="201825"/>
    <n v="92394.95798319329"/>
    <n v="0"/>
    <n v="21"/>
    <n v="0"/>
    <n v="0"/>
    <n v="0"/>
    <n v="0"/>
    <m/>
    <n v="163012.5"/>
    <n v="0"/>
    <n v="0"/>
    <n v="0"/>
    <n v="21"/>
    <n v="163012.5"/>
    <n v="0"/>
    <n v="0"/>
    <n v="21"/>
    <n v="0"/>
    <n v="0"/>
    <n v="0"/>
    <n v="163012.5"/>
    <n v="0"/>
    <n v="0"/>
    <n v="0"/>
    <n v="21"/>
    <n v="163012.5"/>
    <n v="0"/>
    <n v="0"/>
    <n v="21"/>
    <n v="0"/>
    <n v="0"/>
    <n v="0"/>
    <n v="163012.5"/>
    <n v="0"/>
    <n v="0"/>
    <n v="21"/>
    <n v="163012.5"/>
    <n v="0"/>
    <n v="0"/>
    <n v="21"/>
    <n v="0"/>
    <n v="0"/>
    <m/>
    <n v="163012.5"/>
    <n v="0"/>
    <n v="0"/>
    <n v="21"/>
    <n v="163012.5"/>
    <n v="0"/>
  </r>
  <r>
    <m/>
    <x v="1"/>
    <x v="15"/>
    <x v="37"/>
    <s v="LHPANIMBKCM40-41"/>
    <x v="256"/>
    <x v="244"/>
    <x v="0"/>
    <x v="2"/>
    <n v="1"/>
    <x v="12"/>
    <n v="144"/>
    <m/>
    <n v="0"/>
    <n v="7503.749999999999"/>
    <n v="1080540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s v=""/>
    <n v="0.05882352941176471"/>
    <n v="2"/>
    <s v=""/>
    <n v="0.03773584905660377"/>
    <n v="0"/>
    <n v="0"/>
    <n v="0"/>
    <n v="0"/>
    <n v="0"/>
    <n v="0"/>
    <n v="0"/>
    <n v="0"/>
    <n v="0"/>
    <n v="0"/>
    <n v="144"/>
    <n v="1080540"/>
    <n v="0"/>
    <n v="0"/>
    <n v="0"/>
    <n v="0"/>
    <n v="0"/>
    <n v="0"/>
    <n v="0"/>
    <n v="0"/>
    <n v="0"/>
    <n v="0"/>
    <n v="0"/>
    <n v="144"/>
    <n v="1080540"/>
    <n v="0"/>
    <n v="0"/>
    <n v="0"/>
    <n v="0"/>
    <n v="0"/>
    <n v="0"/>
    <n v="124200"/>
    <n v="0"/>
    <n v="0"/>
    <n v="0"/>
    <n v="144"/>
    <n v="1080540"/>
    <n v="0"/>
    <n v="0"/>
    <n v="0"/>
    <n v="0"/>
    <n v="0"/>
    <n v="0"/>
    <n v="0"/>
    <n v="0"/>
    <n v="0"/>
    <n v="0"/>
    <n v="144"/>
    <n v="1080540"/>
    <n v="0"/>
    <n v="16"/>
    <n v="144"/>
    <n v="16"/>
    <m/>
    <n v="0"/>
    <n v="0"/>
    <n v="1080540"/>
    <n v="124200"/>
    <n v="0"/>
    <n v="0"/>
    <n v="144"/>
    <n v="1080540"/>
    <n v="295663.8655462185"/>
    <n v="68"/>
    <n v="148"/>
    <n v="4"/>
    <m/>
    <n v="0"/>
    <n v="0"/>
    <n v="1110555"/>
    <n v="31050"/>
    <n v="0"/>
    <n v="0"/>
    <n v="148"/>
    <n v="1080540"/>
    <n v="73915.96638655463"/>
    <n v="53"/>
    <n v="146"/>
    <n v="53"/>
    <n v="0"/>
    <n v="0"/>
    <n v="0"/>
    <n v="1095547.5"/>
    <n v="411412.4999999999"/>
    <n v="0"/>
    <n v="0"/>
    <n v="146"/>
    <n v="1080540"/>
    <n v="979386.5546218489"/>
    <n v="37"/>
    <n v="93"/>
    <n v="37"/>
    <n v="0"/>
    <n v="0"/>
    <n v="0"/>
    <n v="697848.7499999999"/>
    <n v="287212.4999999999"/>
    <n v="0"/>
    <n v="0"/>
    <n v="93"/>
    <n v="697848.7499999999"/>
    <n v="683722.6890756304"/>
    <n v="11"/>
    <n v="56"/>
    <n v="11"/>
    <n v="0"/>
    <n v="0"/>
    <m/>
    <n v="434699.9999999999"/>
    <n v="85387.49999999999"/>
    <n v="0"/>
    <n v="0"/>
    <n v="56"/>
    <n v="434699.9999999999"/>
    <n v="203268.9075630252"/>
    <n v="0"/>
    <n v="45"/>
    <n v="0"/>
    <n v="0"/>
    <n v="0"/>
    <n v="0"/>
    <m/>
    <n v="349312.4999999999"/>
    <n v="0"/>
    <n v="0"/>
    <n v="0"/>
    <n v="45"/>
    <n v="349312.4999999999"/>
    <n v="0"/>
    <n v="0"/>
    <n v="45"/>
    <n v="0"/>
    <n v="0"/>
    <n v="0"/>
    <n v="349312.4999999999"/>
    <n v="0"/>
    <n v="0"/>
    <n v="0"/>
    <n v="45"/>
    <n v="349312.4999999999"/>
    <n v="0"/>
    <n v="0"/>
    <n v="45"/>
    <n v="0"/>
    <n v="0"/>
    <n v="0"/>
    <n v="349312.4999999999"/>
    <n v="0"/>
    <n v="0"/>
    <n v="45"/>
    <n v="349312.4999999999"/>
    <n v="0"/>
    <n v="0"/>
    <n v="45"/>
    <n v="0"/>
    <n v="0"/>
    <m/>
    <n v="349312.4999999999"/>
    <n v="0"/>
    <n v="0"/>
    <n v="45"/>
    <n v="349312.4999999999"/>
    <n v="0"/>
  </r>
  <r>
    <m/>
    <x v="1"/>
    <x v="15"/>
    <x v="37"/>
    <s v="LHPANIMBKCM42-43"/>
    <x v="257"/>
    <x v="245"/>
    <x v="0"/>
    <x v="2"/>
    <n v="1"/>
    <x v="12"/>
    <n v="156"/>
    <m/>
    <n v="0"/>
    <n v="7503.749999999999"/>
    <n v="1170585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7"/>
    <s v=""/>
    <n v="0.09090909090909091"/>
    <n v="8"/>
    <s v=""/>
    <n v="0.1333333333333333"/>
    <n v="0"/>
    <n v="0"/>
    <n v="0"/>
    <n v="0"/>
    <n v="0"/>
    <n v="0"/>
    <n v="0"/>
    <n v="0"/>
    <n v="0"/>
    <n v="0"/>
    <n v="156"/>
    <n v="1170585"/>
    <n v="0"/>
    <n v="0"/>
    <n v="0"/>
    <n v="0"/>
    <n v="0"/>
    <n v="0"/>
    <n v="0"/>
    <n v="0"/>
    <n v="0"/>
    <n v="0"/>
    <n v="0"/>
    <n v="156"/>
    <n v="1170585"/>
    <n v="0"/>
    <n v="0"/>
    <n v="0"/>
    <n v="0"/>
    <n v="0"/>
    <n v="0"/>
    <n v="139725"/>
    <n v="0"/>
    <n v="0"/>
    <n v="0"/>
    <n v="156"/>
    <n v="1170585"/>
    <n v="0"/>
    <n v="0"/>
    <n v="0"/>
    <n v="0"/>
    <n v="0"/>
    <n v="0"/>
    <n v="0"/>
    <n v="0"/>
    <n v="0"/>
    <n v="0"/>
    <n v="156"/>
    <n v="1170585"/>
    <n v="0"/>
    <n v="18"/>
    <n v="156"/>
    <n v="18"/>
    <m/>
    <n v="0"/>
    <n v="0"/>
    <n v="1170585"/>
    <n v="139725"/>
    <n v="0"/>
    <n v="0"/>
    <n v="156"/>
    <n v="1170585"/>
    <n v="332621.8487394959"/>
    <n v="77"/>
    <n v="163"/>
    <n v="7"/>
    <m/>
    <n v="0"/>
    <n v="0"/>
    <n v="1223111.25"/>
    <n v="54337.49999999999"/>
    <n v="0"/>
    <n v="0"/>
    <n v="163"/>
    <n v="1170585"/>
    <n v="129352.9411764706"/>
    <n v="60"/>
    <n v="164"/>
    <n v="60"/>
    <n v="0"/>
    <n v="0"/>
    <n v="0"/>
    <n v="1230615"/>
    <n v="465749.9999999999"/>
    <n v="0"/>
    <n v="0"/>
    <n v="164"/>
    <n v="1170585"/>
    <n v="1108739.49579832"/>
    <n v="42"/>
    <n v="104"/>
    <n v="42"/>
    <n v="0"/>
    <n v="0"/>
    <n v="0"/>
    <n v="780389.9999999999"/>
    <n v="326024.9999999999"/>
    <n v="0"/>
    <n v="0"/>
    <n v="104"/>
    <n v="780389.9999999999"/>
    <n v="776117.6470588236"/>
    <n v="12"/>
    <n v="62"/>
    <n v="12"/>
    <n v="0"/>
    <n v="0"/>
    <m/>
    <n v="481274.9999999999"/>
    <n v="93149.99999999999"/>
    <n v="0"/>
    <n v="0"/>
    <n v="62"/>
    <n v="481274.9999999999"/>
    <n v="221747.8991596639"/>
    <n v="0"/>
    <n v="50"/>
    <n v="0"/>
    <n v="0"/>
    <n v="0"/>
    <n v="0"/>
    <m/>
    <n v="388124.9999999999"/>
    <n v="0"/>
    <n v="0"/>
    <n v="0"/>
    <n v="50"/>
    <n v="388124.9999999999"/>
    <n v="0"/>
    <n v="0"/>
    <n v="50"/>
    <n v="0"/>
    <n v="0"/>
    <n v="0"/>
    <n v="388124.9999999999"/>
    <n v="0"/>
    <n v="0"/>
    <n v="0"/>
    <n v="50"/>
    <n v="388124.9999999999"/>
    <n v="0"/>
    <n v="0"/>
    <n v="50"/>
    <n v="0"/>
    <n v="0"/>
    <n v="0"/>
    <n v="388124.9999999999"/>
    <n v="0"/>
    <n v="0"/>
    <n v="50"/>
    <n v="388124.9999999999"/>
    <n v="0"/>
    <n v="0"/>
    <n v="50"/>
    <n v="0"/>
    <n v="0"/>
    <m/>
    <n v="388124.9999999999"/>
    <n v="0"/>
    <n v="0"/>
    <n v="50"/>
    <n v="388124.9999999999"/>
    <n v="0"/>
  </r>
  <r>
    <m/>
    <x v="1"/>
    <x v="15"/>
    <x v="37"/>
    <s v="LHPANIMBKCM44-45"/>
    <x v="258"/>
    <x v="246"/>
    <x v="0"/>
    <x v="2"/>
    <n v="1"/>
    <x v="12"/>
    <n v="73"/>
    <m/>
    <n v="0"/>
    <n v="7503.749999999999"/>
    <n v="547773.74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5"/>
    <s v=""/>
    <n v="0.1388888888888889"/>
    <n v="1"/>
    <s v=""/>
    <n v="0.03571428571428571"/>
    <n v="0"/>
    <n v="0"/>
    <n v="0"/>
    <n v="0"/>
    <n v="0"/>
    <n v="0"/>
    <n v="0"/>
    <n v="0"/>
    <n v="0"/>
    <n v="0"/>
    <n v="73"/>
    <n v="547773.7499999999"/>
    <n v="0"/>
    <n v="0"/>
    <n v="0"/>
    <n v="0"/>
    <n v="0"/>
    <n v="0"/>
    <n v="0"/>
    <n v="0"/>
    <n v="0"/>
    <n v="0"/>
    <n v="0"/>
    <n v="73"/>
    <n v="547773.7499999999"/>
    <n v="0"/>
    <n v="0"/>
    <n v="0"/>
    <n v="0"/>
    <n v="0"/>
    <n v="0"/>
    <n v="62099.99999999999"/>
    <n v="0"/>
    <n v="0"/>
    <n v="0"/>
    <n v="73"/>
    <n v="547773.7499999999"/>
    <n v="0"/>
    <n v="0"/>
    <n v="0"/>
    <n v="0"/>
    <n v="0"/>
    <n v="0"/>
    <n v="0"/>
    <n v="0"/>
    <n v="0"/>
    <n v="0"/>
    <n v="73"/>
    <n v="547773.7499999999"/>
    <n v="0"/>
    <n v="8"/>
    <n v="73"/>
    <n v="8"/>
    <m/>
    <n v="0"/>
    <n v="0"/>
    <n v="547773.7499999999"/>
    <n v="62099.99999999999"/>
    <n v="0"/>
    <n v="0"/>
    <n v="73"/>
    <n v="547773.7499999999"/>
    <n v="147831.9327731093"/>
    <n v="36"/>
    <n v="78"/>
    <n v="5"/>
    <m/>
    <n v="0"/>
    <n v="0"/>
    <n v="585292.4999999999"/>
    <n v="38812.49999999999"/>
    <n v="0"/>
    <n v="0"/>
    <n v="78"/>
    <n v="547773.7499999999"/>
    <n v="92394.95798319329"/>
    <n v="28"/>
    <n v="74"/>
    <n v="28"/>
    <n v="0"/>
    <n v="0"/>
    <n v="0"/>
    <n v="555277.4999999999"/>
    <n v="217350"/>
    <n v="0"/>
    <n v="0"/>
    <n v="74"/>
    <n v="547773.7499999999"/>
    <n v="517411.7647058824"/>
    <n v="20"/>
    <n v="46"/>
    <n v="20"/>
    <n v="0"/>
    <n v="0"/>
    <n v="0"/>
    <n v="345172.4999999999"/>
    <n v="155250"/>
    <n v="0"/>
    <n v="0"/>
    <n v="46"/>
    <n v="345172.4999999999"/>
    <n v="369579.8319327732"/>
    <n v="6"/>
    <n v="26"/>
    <n v="6"/>
    <n v="0"/>
    <n v="0"/>
    <m/>
    <n v="201825"/>
    <n v="46574.99999999999"/>
    <n v="0"/>
    <n v="0"/>
    <n v="26"/>
    <n v="201825"/>
    <n v="110873.9495798319"/>
    <n v="0"/>
    <n v="20"/>
    <n v="0"/>
    <n v="0"/>
    <n v="0"/>
    <n v="0"/>
    <m/>
    <n v="155250"/>
    <n v="0"/>
    <n v="0"/>
    <n v="0"/>
    <n v="20"/>
    <n v="155250"/>
    <n v="0"/>
    <n v="0"/>
    <n v="20"/>
    <n v="0"/>
    <n v="0"/>
    <n v="0"/>
    <n v="155250"/>
    <n v="0"/>
    <n v="0"/>
    <n v="0"/>
    <n v="20"/>
    <n v="155250"/>
    <n v="0"/>
    <n v="0"/>
    <n v="20"/>
    <n v="0"/>
    <n v="0"/>
    <n v="0"/>
    <n v="155250"/>
    <n v="0"/>
    <n v="0"/>
    <n v="20"/>
    <n v="155250"/>
    <n v="0"/>
    <n v="0"/>
    <n v="20"/>
    <n v="0"/>
    <n v="0"/>
    <m/>
    <n v="155250"/>
    <n v="0"/>
    <n v="0"/>
    <n v="20"/>
    <n v="155250"/>
    <n v="0"/>
  </r>
  <r>
    <m/>
    <x v="1"/>
    <x v="15"/>
    <x v="37"/>
    <s v="LHPANIMBKBK36-37"/>
    <x v="259"/>
    <x v="247"/>
    <x v="0"/>
    <x v="2"/>
    <n v="1"/>
    <x v="12"/>
    <n v="25"/>
    <m/>
    <n v="0"/>
    <n v="7503.749999999999"/>
    <n v="187593.75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s v=""/>
    <n v="0.4285714285714285"/>
    <n v="2"/>
    <s v=""/>
    <n v="0.1818181818181818"/>
    <n v="0"/>
    <n v="0"/>
    <n v="0"/>
    <n v="0"/>
    <n v="0"/>
    <n v="0"/>
    <n v="0"/>
    <n v="0"/>
    <n v="0"/>
    <n v="0"/>
    <n v="25"/>
    <n v="187593.75"/>
    <n v="0"/>
    <n v="0"/>
    <n v="0"/>
    <n v="0"/>
    <n v="0"/>
    <n v="0"/>
    <n v="0"/>
    <n v="0"/>
    <n v="0"/>
    <n v="0"/>
    <n v="0"/>
    <n v="25"/>
    <n v="187593.75"/>
    <n v="0"/>
    <n v="0"/>
    <n v="0"/>
    <n v="0"/>
    <n v="0"/>
    <n v="0"/>
    <n v="23287.5"/>
    <n v="0"/>
    <n v="0"/>
    <n v="0"/>
    <n v="25"/>
    <n v="187593.75"/>
    <n v="0"/>
    <n v="0"/>
    <n v="0"/>
    <n v="0"/>
    <n v="0"/>
    <n v="0"/>
    <n v="0"/>
    <n v="0"/>
    <n v="0"/>
    <n v="0"/>
    <n v="25"/>
    <n v="187593.75"/>
    <n v="0"/>
    <n v="3"/>
    <n v="25"/>
    <n v="3"/>
    <m/>
    <n v="0"/>
    <n v="0"/>
    <n v="187593.75"/>
    <n v="23287.5"/>
    <n v="0"/>
    <n v="0"/>
    <n v="25"/>
    <n v="187593.75"/>
    <n v="55436.97478991597"/>
    <n v="14"/>
    <n v="31"/>
    <n v="6"/>
    <m/>
    <n v="0"/>
    <n v="0"/>
    <n v="232616.25"/>
    <n v="46574.99999999999"/>
    <n v="0"/>
    <n v="0"/>
    <n v="31"/>
    <n v="187593.75"/>
    <n v="110873.9495798319"/>
    <n v="11"/>
    <n v="27"/>
    <n v="11"/>
    <n v="0"/>
    <n v="0"/>
    <n v="0"/>
    <n v="202601.25"/>
    <n v="85387.49999999999"/>
    <n v="0"/>
    <n v="0"/>
    <n v="27"/>
    <n v="187593.75"/>
    <n v="203268.9075630252"/>
    <n v="7"/>
    <n v="16"/>
    <n v="7"/>
    <n v="0"/>
    <n v="0"/>
    <n v="0"/>
    <n v="120060"/>
    <n v="54337.49999999999"/>
    <n v="0"/>
    <n v="0"/>
    <n v="16"/>
    <n v="120060"/>
    <n v="129352.9411764706"/>
    <n v="2"/>
    <n v="9"/>
    <n v="2"/>
    <n v="0"/>
    <n v="0"/>
    <m/>
    <n v="69862.49999999999"/>
    <n v="15525"/>
    <n v="0"/>
    <n v="0"/>
    <n v="9"/>
    <n v="69862.49999999999"/>
    <n v="36957.98319327732"/>
    <n v="0"/>
    <n v="7"/>
    <n v="0"/>
    <n v="0"/>
    <n v="0"/>
    <n v="0"/>
    <m/>
    <n v="54337.49999999999"/>
    <n v="0"/>
    <n v="0"/>
    <n v="0"/>
    <n v="7"/>
    <n v="54337.49999999999"/>
    <n v="0"/>
    <n v="0"/>
    <n v="7"/>
    <n v="0"/>
    <n v="0"/>
    <n v="0"/>
    <n v="54337.49999999999"/>
    <n v="0"/>
    <n v="0"/>
    <n v="0"/>
    <n v="7"/>
    <n v="54337.49999999999"/>
    <n v="0"/>
    <n v="0"/>
    <n v="7"/>
    <n v="0"/>
    <n v="0"/>
    <n v="0"/>
    <n v="54337.49999999999"/>
    <n v="0"/>
    <n v="0"/>
    <n v="7"/>
    <n v="54337.49999999999"/>
    <n v="0"/>
    <n v="0"/>
    <n v="7"/>
    <n v="0"/>
    <n v="0"/>
    <m/>
    <n v="54337.49999999999"/>
    <n v="0"/>
    <n v="0"/>
    <n v="7"/>
    <n v="54337.49999999999"/>
    <n v="0"/>
  </r>
  <r>
    <m/>
    <x v="1"/>
    <x v="15"/>
    <x v="37"/>
    <s v="LHPANIMBKBK38-39"/>
    <x v="260"/>
    <x v="248"/>
    <x v="0"/>
    <x v="2"/>
    <n v="1"/>
    <x v="12"/>
    <n v="61"/>
    <m/>
    <n v="0"/>
    <n v="7503.749999999999"/>
    <n v="457728.74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1"/>
    <s v=""/>
    <n v="0.1428571428571428"/>
    <n v="5"/>
    <s v=""/>
    <n v="0.15625"/>
    <n v="2"/>
    <s v=""/>
    <n v="0.08"/>
    <n v="0"/>
    <n v="0"/>
    <n v="0"/>
    <n v="0"/>
    <n v="0"/>
    <n v="0"/>
    <n v="0"/>
    <n v="0"/>
    <n v="0"/>
    <n v="0"/>
    <n v="61"/>
    <n v="457728.7499999999"/>
    <n v="0"/>
    <n v="0"/>
    <n v="0"/>
    <n v="0"/>
    <n v="0"/>
    <n v="0"/>
    <n v="0"/>
    <n v="0"/>
    <n v="0"/>
    <n v="0"/>
    <n v="0"/>
    <n v="61"/>
    <n v="457728.7499999999"/>
    <n v="0"/>
    <n v="0"/>
    <n v="0"/>
    <n v="0"/>
    <n v="0"/>
    <n v="0"/>
    <n v="54337.49999999999"/>
    <n v="0"/>
    <n v="0"/>
    <n v="0"/>
    <n v="61"/>
    <n v="457728.7499999999"/>
    <n v="0"/>
    <n v="0"/>
    <n v="0"/>
    <n v="0"/>
    <n v="0"/>
    <n v="0"/>
    <n v="0"/>
    <n v="0"/>
    <n v="0"/>
    <n v="0"/>
    <n v="61"/>
    <n v="457728.7499999999"/>
    <n v="0"/>
    <n v="7"/>
    <n v="62"/>
    <n v="7"/>
    <m/>
    <n v="0"/>
    <n v="0"/>
    <n v="465232.4999999999"/>
    <n v="54337.49999999999"/>
    <n v="0"/>
    <n v="0"/>
    <n v="61"/>
    <n v="457728.7499999999"/>
    <n v="129352.9411764706"/>
    <n v="32"/>
    <n v="66"/>
    <n v="5"/>
    <m/>
    <n v="0"/>
    <n v="0"/>
    <n v="495247.4999999999"/>
    <n v="38812.49999999999"/>
    <n v="0"/>
    <n v="0"/>
    <n v="66"/>
    <n v="457728.7499999999"/>
    <n v="92394.95798319329"/>
    <n v="25"/>
    <n v="63"/>
    <n v="25"/>
    <n v="0"/>
    <n v="0"/>
    <n v="0"/>
    <n v="472736.2499999999"/>
    <n v="194062.5"/>
    <n v="0"/>
    <n v="0"/>
    <n v="63"/>
    <n v="457728.7499999999"/>
    <n v="461974.7899159665"/>
    <n v="17"/>
    <n v="38"/>
    <n v="17"/>
    <n v="0"/>
    <n v="0"/>
    <n v="0"/>
    <n v="285142.4999999999"/>
    <n v="131962.5"/>
    <n v="0"/>
    <n v="0"/>
    <n v="38"/>
    <n v="285142.4999999999"/>
    <n v="314142.8571428572"/>
    <n v="5"/>
    <n v="21"/>
    <n v="5"/>
    <n v="0"/>
    <n v="0"/>
    <m/>
    <n v="163012.5"/>
    <n v="38812.49999999999"/>
    <n v="0"/>
    <n v="0"/>
    <n v="21"/>
    <n v="163012.5"/>
    <n v="92394.95798319329"/>
    <n v="0"/>
    <n v="16"/>
    <n v="0"/>
    <n v="0"/>
    <n v="0"/>
    <n v="0"/>
    <m/>
    <n v="124200"/>
    <n v="0"/>
    <n v="0"/>
    <n v="0"/>
    <n v="16"/>
    <n v="124200"/>
    <n v="0"/>
    <n v="0"/>
    <n v="16"/>
    <n v="0"/>
    <n v="0"/>
    <n v="0"/>
    <n v="124200"/>
    <n v="0"/>
    <n v="0"/>
    <n v="0"/>
    <n v="16"/>
    <n v="124200"/>
    <n v="0"/>
    <n v="0"/>
    <n v="16"/>
    <n v="0"/>
    <n v="0"/>
    <n v="0"/>
    <n v="124200"/>
    <n v="0"/>
    <n v="0"/>
    <n v="16"/>
    <n v="124200"/>
    <n v="0"/>
    <n v="0"/>
    <n v="16"/>
    <n v="0"/>
    <n v="0"/>
    <m/>
    <n v="124200"/>
    <n v="0"/>
    <n v="0"/>
    <n v="16"/>
    <n v="124200"/>
    <n v="0"/>
  </r>
  <r>
    <m/>
    <x v="1"/>
    <x v="15"/>
    <x v="37"/>
    <s v="LHPANIMBKBK40-41"/>
    <x v="261"/>
    <x v="249"/>
    <x v="0"/>
    <x v="2"/>
    <n v="1"/>
    <x v="12"/>
    <n v="128"/>
    <m/>
    <n v="0"/>
    <n v="7503.749999999999"/>
    <n v="960479.99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0"/>
    <s v=""/>
    <n v="0.1470588235294118"/>
    <n v="14"/>
    <s v=""/>
    <n v="0.2641509433962264"/>
    <n v="0"/>
    <n v="0"/>
    <n v="0"/>
    <n v="0"/>
    <n v="0"/>
    <n v="0"/>
    <n v="0"/>
    <n v="0"/>
    <n v="0"/>
    <n v="0"/>
    <n v="128"/>
    <n v="960479.9999999999"/>
    <n v="0"/>
    <n v="0"/>
    <n v="0"/>
    <n v="0"/>
    <n v="0"/>
    <n v="0"/>
    <n v="0"/>
    <n v="0"/>
    <n v="0"/>
    <n v="0"/>
    <n v="0"/>
    <n v="128"/>
    <n v="960479.9999999999"/>
    <n v="0"/>
    <n v="0"/>
    <n v="0"/>
    <n v="0"/>
    <n v="0"/>
    <n v="0"/>
    <n v="124200"/>
    <n v="0"/>
    <n v="0"/>
    <n v="0"/>
    <n v="128"/>
    <n v="960479.9999999999"/>
    <n v="0"/>
    <n v="0"/>
    <n v="0"/>
    <n v="0"/>
    <n v="0"/>
    <n v="0"/>
    <n v="0"/>
    <n v="0"/>
    <n v="0"/>
    <n v="0"/>
    <n v="128"/>
    <n v="960479.9999999999"/>
    <n v="0"/>
    <n v="16"/>
    <n v="128"/>
    <n v="16"/>
    <m/>
    <n v="0"/>
    <n v="0"/>
    <n v="960479.9999999999"/>
    <n v="124200"/>
    <n v="0"/>
    <n v="0"/>
    <n v="128"/>
    <n v="960479.9999999999"/>
    <n v="295663.8655462185"/>
    <n v="68"/>
    <n v="138"/>
    <n v="10"/>
    <m/>
    <n v="0"/>
    <n v="0"/>
    <n v="1035517.5"/>
    <n v="77624.99999999999"/>
    <n v="0"/>
    <n v="0"/>
    <n v="138"/>
    <n v="960479.9999999999"/>
    <n v="184789.9159663866"/>
    <n v="53"/>
    <n v="142"/>
    <n v="53"/>
    <n v="0"/>
    <n v="0"/>
    <n v="0"/>
    <n v="1065532.5"/>
    <n v="411412.4999999999"/>
    <n v="0"/>
    <n v="0"/>
    <n v="142"/>
    <n v="960479.9999999999"/>
    <n v="979386.5546218489"/>
    <n v="37"/>
    <n v="89"/>
    <n v="37"/>
    <n v="0"/>
    <n v="0"/>
    <n v="0"/>
    <n v="667833.7499999999"/>
    <n v="287212.4999999999"/>
    <n v="0"/>
    <n v="0"/>
    <n v="89"/>
    <n v="667833.7499999999"/>
    <n v="683722.6890756304"/>
    <n v="11"/>
    <n v="52"/>
    <n v="11"/>
    <n v="0"/>
    <n v="0"/>
    <m/>
    <n v="403649.9999999999"/>
    <n v="85387.49999999999"/>
    <n v="0"/>
    <n v="0"/>
    <n v="52"/>
    <n v="403649.9999999999"/>
    <n v="203268.9075630252"/>
    <n v="0"/>
    <n v="41"/>
    <n v="0"/>
    <n v="0"/>
    <n v="0"/>
    <n v="0"/>
    <m/>
    <n v="318262.4999999999"/>
    <n v="0"/>
    <n v="0"/>
    <n v="0"/>
    <n v="41"/>
    <n v="318262.4999999999"/>
    <n v="0"/>
    <n v="0"/>
    <n v="41"/>
    <n v="0"/>
    <n v="0"/>
    <n v="0"/>
    <n v="318262.4999999999"/>
    <n v="0"/>
    <n v="0"/>
    <n v="0"/>
    <n v="41"/>
    <n v="318262.4999999999"/>
    <n v="0"/>
    <n v="0"/>
    <n v="41"/>
    <n v="0"/>
    <n v="0"/>
    <n v="0"/>
    <n v="318262.4999999999"/>
    <n v="0"/>
    <n v="0"/>
    <n v="41"/>
    <n v="318262.4999999999"/>
    <n v="0"/>
    <n v="0"/>
    <n v="41"/>
    <n v="0"/>
    <n v="0"/>
    <m/>
    <n v="318262.4999999999"/>
    <n v="0"/>
    <n v="0"/>
    <n v="41"/>
    <n v="318262.4999999999"/>
    <n v="0"/>
  </r>
  <r>
    <m/>
    <x v="1"/>
    <x v="15"/>
    <x v="37"/>
    <s v="LHPANIMBKBK42-43"/>
    <x v="262"/>
    <x v="250"/>
    <x v="0"/>
    <x v="2"/>
    <n v="1"/>
    <x v="12"/>
    <n v="126"/>
    <m/>
    <n v="0"/>
    <n v="7503.749999999999"/>
    <n v="945472.49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9"/>
    <s v=""/>
    <n v="0.2467532467532468"/>
    <n v="25"/>
    <s v=""/>
    <n v="0.4166666666666667"/>
    <n v="0"/>
    <n v="0"/>
    <n v="0"/>
    <n v="0"/>
    <n v="0"/>
    <n v="0"/>
    <n v="0"/>
    <n v="0"/>
    <n v="0"/>
    <n v="0"/>
    <n v="126"/>
    <n v="945472.4999999999"/>
    <n v="0"/>
    <n v="0"/>
    <n v="0"/>
    <n v="0"/>
    <n v="0"/>
    <n v="0"/>
    <n v="0"/>
    <n v="0"/>
    <n v="0"/>
    <n v="0"/>
    <n v="0"/>
    <n v="126"/>
    <n v="945472.4999999999"/>
    <n v="0"/>
    <n v="0"/>
    <n v="0"/>
    <n v="0"/>
    <n v="0"/>
    <n v="0"/>
    <n v="139725"/>
    <n v="0"/>
    <n v="0"/>
    <n v="0"/>
    <n v="126"/>
    <n v="945472.4999999999"/>
    <n v="0"/>
    <n v="0"/>
    <n v="0"/>
    <n v="0"/>
    <n v="0"/>
    <n v="0"/>
    <n v="0"/>
    <n v="0"/>
    <n v="0"/>
    <n v="0"/>
    <n v="126"/>
    <n v="945472.4999999999"/>
    <n v="0"/>
    <n v="18"/>
    <n v="126"/>
    <n v="18"/>
    <m/>
    <n v="0"/>
    <n v="0"/>
    <n v="945472.4999999999"/>
    <n v="139725"/>
    <n v="0"/>
    <n v="0"/>
    <n v="126"/>
    <n v="945472.4999999999"/>
    <n v="332621.8487394959"/>
    <n v="77"/>
    <n v="145"/>
    <n v="19"/>
    <m/>
    <n v="0"/>
    <n v="0"/>
    <n v="1088043.75"/>
    <n v="147487.5"/>
    <n v="0"/>
    <n v="0"/>
    <n v="145"/>
    <n v="945472.4999999999"/>
    <n v="351100.8403361345"/>
    <n v="60"/>
    <n v="151"/>
    <n v="60"/>
    <n v="0"/>
    <n v="0"/>
    <n v="0"/>
    <n v="1133066.25"/>
    <n v="465749.9999999999"/>
    <n v="0"/>
    <n v="0"/>
    <n v="151"/>
    <n v="945472.4999999999"/>
    <n v="1108739.49579832"/>
    <n v="42"/>
    <n v="91"/>
    <n v="42"/>
    <n v="0"/>
    <n v="0"/>
    <n v="0"/>
    <n v="682841.2499999999"/>
    <n v="326024.9999999999"/>
    <n v="0"/>
    <n v="0"/>
    <n v="91"/>
    <n v="682841.2499999999"/>
    <n v="776117.6470588236"/>
    <n v="12"/>
    <n v="49"/>
    <n v="12"/>
    <n v="0"/>
    <n v="0"/>
    <m/>
    <n v="380362.4999999999"/>
    <n v="93149.99999999999"/>
    <n v="0"/>
    <n v="0"/>
    <n v="49"/>
    <n v="380362.4999999999"/>
    <n v="221747.8991596639"/>
    <n v="0"/>
    <n v="37"/>
    <n v="0"/>
    <n v="0"/>
    <n v="0"/>
    <n v="0"/>
    <m/>
    <n v="287212.4999999999"/>
    <n v="0"/>
    <n v="0"/>
    <n v="0"/>
    <n v="37"/>
    <n v="287212.4999999999"/>
    <n v="0"/>
    <n v="0"/>
    <n v="37"/>
    <n v="0"/>
    <n v="0"/>
    <n v="0"/>
    <n v="287212.4999999999"/>
    <n v="0"/>
    <n v="0"/>
    <n v="0"/>
    <n v="37"/>
    <n v="287212.4999999999"/>
    <n v="0"/>
    <n v="0"/>
    <n v="37"/>
    <n v="0"/>
    <n v="0"/>
    <n v="0"/>
    <n v="287212.4999999999"/>
    <n v="0"/>
    <n v="0"/>
    <n v="37"/>
    <n v="287212.4999999999"/>
    <n v="0"/>
    <n v="0"/>
    <n v="37"/>
    <n v="0"/>
    <n v="0"/>
    <m/>
    <n v="287212.4999999999"/>
    <n v="0"/>
    <n v="0"/>
    <n v="37"/>
    <n v="287212.4999999999"/>
    <n v="0"/>
  </r>
  <r>
    <m/>
    <x v="1"/>
    <x v="15"/>
    <x v="37"/>
    <s v="LHPANIMBKBK44-45"/>
    <x v="263"/>
    <x v="251"/>
    <x v="0"/>
    <x v="2"/>
    <n v="1"/>
    <x v="12"/>
    <n v="51"/>
    <m/>
    <n v="0"/>
    <n v="7503.749999999999"/>
    <n v="382691.24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8"/>
    <s v=""/>
    <n v="0.5"/>
    <n v="10"/>
    <s v=""/>
    <n v="0.3571428571428572"/>
    <n v="0"/>
    <n v="0"/>
    <n v="0"/>
    <n v="0"/>
    <n v="0"/>
    <n v="0"/>
    <n v="0"/>
    <n v="0"/>
    <n v="0"/>
    <n v="0"/>
    <n v="51"/>
    <n v="382691.2499999999"/>
    <n v="0"/>
    <n v="0"/>
    <n v="0"/>
    <n v="0"/>
    <n v="0"/>
    <n v="0"/>
    <n v="0"/>
    <n v="0"/>
    <n v="0"/>
    <n v="0"/>
    <n v="0"/>
    <n v="51"/>
    <n v="382691.2499999999"/>
    <n v="0"/>
    <n v="0"/>
    <n v="0"/>
    <n v="0"/>
    <n v="0"/>
    <n v="0"/>
    <n v="62099.99999999999"/>
    <n v="0"/>
    <n v="0"/>
    <n v="0"/>
    <n v="51"/>
    <n v="382691.2499999999"/>
    <n v="0"/>
    <n v="0"/>
    <n v="0"/>
    <n v="0"/>
    <n v="0"/>
    <n v="0"/>
    <n v="0"/>
    <n v="0"/>
    <n v="0"/>
    <n v="0"/>
    <n v="51"/>
    <n v="382691.2499999999"/>
    <n v="0"/>
    <n v="8"/>
    <n v="51"/>
    <n v="8"/>
    <m/>
    <n v="0"/>
    <n v="0"/>
    <n v="382691.2499999999"/>
    <n v="62099.99999999999"/>
    <n v="0"/>
    <n v="0"/>
    <n v="51"/>
    <n v="382691.2499999999"/>
    <n v="147831.9327731093"/>
    <n v="36"/>
    <n v="69"/>
    <n v="18"/>
    <m/>
    <n v="0"/>
    <n v="0"/>
    <n v="517758.7499999999"/>
    <n v="139725"/>
    <n v="0"/>
    <n v="0"/>
    <n v="69"/>
    <n v="382691.2499999999"/>
    <n v="332621.8487394959"/>
    <n v="28"/>
    <n v="61"/>
    <n v="28"/>
    <n v="0"/>
    <n v="0"/>
    <n v="0"/>
    <n v="457728.7499999999"/>
    <n v="217350"/>
    <n v="0"/>
    <n v="0"/>
    <n v="61"/>
    <n v="382691.2499999999"/>
    <n v="517411.7647058824"/>
    <n v="20"/>
    <n v="33"/>
    <n v="20"/>
    <n v="0"/>
    <n v="0"/>
    <n v="0"/>
    <n v="247623.75"/>
    <n v="155250"/>
    <n v="0"/>
    <n v="0"/>
    <n v="33"/>
    <n v="247623.75"/>
    <n v="369579.8319327732"/>
    <n v="6"/>
    <n v="13"/>
    <n v="6"/>
    <n v="0"/>
    <n v="0"/>
    <m/>
    <n v="100912.5"/>
    <n v="46574.99999999999"/>
    <n v="0"/>
    <n v="0"/>
    <n v="13"/>
    <n v="100912.5"/>
    <n v="110873.9495798319"/>
    <n v="0"/>
    <n v="7"/>
    <n v="0"/>
    <n v="0"/>
    <n v="0"/>
    <n v="0"/>
    <m/>
    <n v="54337.49999999999"/>
    <n v="0"/>
    <n v="0"/>
    <n v="0"/>
    <n v="7"/>
    <n v="54337.49999999999"/>
    <n v="0"/>
    <n v="0"/>
    <n v="7"/>
    <n v="0"/>
    <n v="0"/>
    <n v="0"/>
    <n v="54337.49999999999"/>
    <n v="0"/>
    <n v="0"/>
    <n v="0"/>
    <n v="7"/>
    <n v="54337.49999999999"/>
    <n v="0"/>
    <n v="0"/>
    <n v="7"/>
    <n v="0"/>
    <n v="0"/>
    <n v="0"/>
    <n v="54337.49999999999"/>
    <n v="0"/>
    <n v="0"/>
    <n v="7"/>
    <n v="54337.49999999999"/>
    <n v="0"/>
    <n v="0"/>
    <n v="7"/>
    <n v="0"/>
    <n v="0"/>
    <m/>
    <n v="54337.49999999999"/>
    <n v="0"/>
    <n v="0"/>
    <n v="7"/>
    <n v="54337.49999999999"/>
    <n v="0"/>
  </r>
  <r>
    <m/>
    <x v="1"/>
    <x v="15"/>
    <x v="37"/>
    <s v="LHPANIMPK34-35"/>
    <x v="264"/>
    <x v="252"/>
    <x v="0"/>
    <x v="2"/>
    <n v="1"/>
    <x v="12"/>
    <n v="38"/>
    <m/>
    <n v="0"/>
    <n v="7503.749999999999"/>
    <n v="285142.49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s v=""/>
    <n v="0.05555555555555555"/>
    <n v="0"/>
    <s v=""/>
    <n v="0"/>
    <n v="0"/>
    <n v="0"/>
    <n v="0"/>
    <n v="0"/>
    <n v="0"/>
    <n v="0"/>
    <n v="0"/>
    <n v="0"/>
    <n v="0"/>
    <n v="0"/>
    <n v="38"/>
    <n v="285142.4999999999"/>
    <n v="0"/>
    <n v="0"/>
    <n v="0"/>
    <n v="0"/>
    <n v="0"/>
    <n v="0"/>
    <n v="0"/>
    <n v="0"/>
    <n v="0"/>
    <n v="0"/>
    <n v="0"/>
    <n v="38"/>
    <n v="285142.4999999999"/>
    <n v="0"/>
    <n v="0"/>
    <n v="0"/>
    <n v="0"/>
    <n v="0"/>
    <n v="0"/>
    <n v="31050"/>
    <n v="0"/>
    <n v="0"/>
    <n v="0"/>
    <n v="38"/>
    <n v="285142.4999999999"/>
    <n v="0"/>
    <n v="0"/>
    <n v="0"/>
    <n v="0"/>
    <n v="0"/>
    <n v="0"/>
    <n v="0"/>
    <n v="0"/>
    <n v="0"/>
    <n v="0"/>
    <n v="38"/>
    <n v="285142.4999999999"/>
    <n v="0"/>
    <n v="4"/>
    <n v="38"/>
    <n v="4"/>
    <m/>
    <n v="0"/>
    <n v="0"/>
    <n v="285142.4999999999"/>
    <n v="31050"/>
    <n v="0"/>
    <n v="0"/>
    <n v="38"/>
    <n v="285142.4999999999"/>
    <n v="73915.96638655463"/>
    <n v="18"/>
    <n v="39"/>
    <n v="1"/>
    <m/>
    <n v="0"/>
    <n v="0"/>
    <n v="292646.2499999999"/>
    <n v="7762.499999999999"/>
    <n v="0"/>
    <n v="0"/>
    <n v="39"/>
    <n v="285142.4999999999"/>
    <n v="18478.99159663866"/>
    <n v="14"/>
    <n v="38"/>
    <n v="14"/>
    <n v="0"/>
    <n v="0"/>
    <n v="0"/>
    <n v="285142.4999999999"/>
    <n v="108675"/>
    <n v="0"/>
    <n v="0"/>
    <n v="38"/>
    <n v="285142.4999999999"/>
    <n v="258705.8823529412"/>
    <n v="10"/>
    <n v="24"/>
    <n v="10"/>
    <n v="0"/>
    <n v="0"/>
    <n v="0"/>
    <n v="180090"/>
    <n v="77624.99999999999"/>
    <n v="0"/>
    <n v="0"/>
    <n v="24"/>
    <n v="180090"/>
    <n v="184789.9159663866"/>
    <n v="3"/>
    <n v="14"/>
    <n v="3"/>
    <n v="0"/>
    <n v="0"/>
    <m/>
    <n v="108675"/>
    <n v="23287.5"/>
    <n v="0"/>
    <n v="0"/>
    <n v="14"/>
    <n v="108675"/>
    <n v="55436.97478991597"/>
    <n v="0"/>
    <n v="11"/>
    <n v="0"/>
    <n v="0"/>
    <n v="0"/>
    <n v="0"/>
    <m/>
    <n v="85387.49999999999"/>
    <n v="0"/>
    <n v="0"/>
    <n v="0"/>
    <n v="11"/>
    <n v="85387.49999999999"/>
    <n v="0"/>
    <n v="0"/>
    <n v="11"/>
    <n v="0"/>
    <n v="0"/>
    <n v="0"/>
    <n v="85387.49999999999"/>
    <n v="0"/>
    <n v="0"/>
    <n v="0"/>
    <n v="11"/>
    <n v="85387.49999999999"/>
    <n v="0"/>
    <n v="0"/>
    <n v="11"/>
    <n v="0"/>
    <n v="0"/>
    <n v="0"/>
    <n v="85387.49999999999"/>
    <n v="0"/>
    <n v="0"/>
    <n v="11"/>
    <n v="85387.49999999999"/>
    <n v="0"/>
    <n v="0"/>
    <n v="11"/>
    <n v="0"/>
    <n v="0"/>
    <m/>
    <n v="85387.49999999999"/>
    <n v="0"/>
    <n v="0"/>
    <n v="11"/>
    <n v="85387.49999999999"/>
    <n v="0"/>
  </r>
  <r>
    <m/>
    <x v="1"/>
    <x v="15"/>
    <x v="37"/>
    <s v="LHPANIMPK36-37"/>
    <x v="265"/>
    <x v="253"/>
    <x v="0"/>
    <x v="2"/>
    <n v="1"/>
    <x v="12"/>
    <n v="129"/>
    <m/>
    <n v="0"/>
    <n v="7503.749999999999"/>
    <n v="967983.74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8"/>
    <s v=""/>
    <n v="0.125"/>
    <n v="6"/>
    <s v=""/>
    <n v="0.1224489795918367"/>
    <n v="0"/>
    <n v="0"/>
    <n v="0"/>
    <n v="0"/>
    <n v="0"/>
    <n v="0"/>
    <n v="0"/>
    <n v="0"/>
    <n v="0"/>
    <n v="0"/>
    <n v="129"/>
    <n v="967983.7499999999"/>
    <n v="0"/>
    <n v="0"/>
    <n v="0"/>
    <n v="0"/>
    <n v="0"/>
    <n v="0"/>
    <n v="0"/>
    <n v="0"/>
    <n v="0"/>
    <n v="0"/>
    <n v="0"/>
    <n v="129"/>
    <n v="967983.7499999999"/>
    <n v="0"/>
    <n v="0"/>
    <n v="0"/>
    <n v="0"/>
    <n v="0"/>
    <n v="0"/>
    <n v="116437.5"/>
    <n v="0"/>
    <n v="0"/>
    <n v="0"/>
    <n v="129"/>
    <n v="967983.7499999999"/>
    <n v="0"/>
    <n v="0"/>
    <n v="0"/>
    <n v="0"/>
    <n v="0"/>
    <n v="0"/>
    <n v="0"/>
    <n v="0"/>
    <n v="0"/>
    <n v="0"/>
    <n v="129"/>
    <n v="967983.7499999999"/>
    <n v="0"/>
    <n v="15"/>
    <n v="129"/>
    <n v="15"/>
    <m/>
    <n v="0"/>
    <n v="0"/>
    <n v="967983.7499999999"/>
    <n v="116437.5"/>
    <n v="0"/>
    <n v="0"/>
    <n v="129"/>
    <n v="967983.7499999999"/>
    <n v="277184.8739495799"/>
    <n v="64"/>
    <n v="137"/>
    <n v="8"/>
    <m/>
    <n v="0"/>
    <n v="0"/>
    <n v="1028013.75"/>
    <n v="62099.99999999999"/>
    <n v="0"/>
    <n v="0"/>
    <n v="137"/>
    <n v="967983.7499999999"/>
    <n v="147831.9327731093"/>
    <n v="49"/>
    <n v="135"/>
    <n v="49"/>
    <n v="0"/>
    <n v="0"/>
    <n v="0"/>
    <n v="1013006.25"/>
    <n v="380362.4999999999"/>
    <n v="0"/>
    <n v="0"/>
    <n v="135"/>
    <n v="967983.7499999999"/>
    <n v="905470.5882352942"/>
    <n v="34"/>
    <n v="86"/>
    <n v="34"/>
    <n v="0"/>
    <n v="0"/>
    <n v="0"/>
    <n v="645322.4999999999"/>
    <n v="263924.9999999999"/>
    <n v="0"/>
    <n v="0"/>
    <n v="86"/>
    <n v="645322.4999999999"/>
    <n v="628285.7142857143"/>
    <n v="10"/>
    <n v="52"/>
    <n v="10"/>
    <n v="0"/>
    <n v="0"/>
    <m/>
    <n v="403649.9999999999"/>
    <n v="77624.99999999999"/>
    <n v="0"/>
    <n v="0"/>
    <n v="52"/>
    <n v="403649.9999999999"/>
    <n v="184789.9159663866"/>
    <n v="0"/>
    <n v="42"/>
    <n v="0"/>
    <n v="0"/>
    <n v="0"/>
    <n v="0"/>
    <m/>
    <n v="326024.9999999999"/>
    <n v="0"/>
    <n v="0"/>
    <n v="0"/>
    <n v="42"/>
    <n v="326024.9999999999"/>
    <n v="0"/>
    <n v="0"/>
    <n v="42"/>
    <n v="0"/>
    <n v="0"/>
    <n v="0"/>
    <n v="326024.9999999999"/>
    <n v="0"/>
    <n v="0"/>
    <n v="0"/>
    <n v="42"/>
    <n v="326024.9999999999"/>
    <n v="0"/>
    <n v="0"/>
    <n v="42"/>
    <n v="0"/>
    <n v="0"/>
    <n v="0"/>
    <n v="326024.9999999999"/>
    <n v="0"/>
    <n v="0"/>
    <n v="42"/>
    <n v="326024.9999999999"/>
    <n v="0"/>
    <n v="0"/>
    <n v="42"/>
    <n v="0"/>
    <n v="0"/>
    <m/>
    <n v="326024.9999999999"/>
    <n v="0"/>
    <n v="0"/>
    <n v="42"/>
    <n v="326024.9999999999"/>
    <n v="0"/>
  </r>
  <r>
    <m/>
    <x v="1"/>
    <x v="15"/>
    <x v="37"/>
    <s v="LHPANIMPK38-39"/>
    <x v="266"/>
    <x v="254"/>
    <x v="0"/>
    <x v="2"/>
    <n v="1"/>
    <x v="12"/>
    <n v="146"/>
    <m/>
    <n v="0"/>
    <n v="7503.749999999999"/>
    <n v="1095547.5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s v=""/>
    <n v="0.0821917808219178"/>
    <n v="7"/>
    <s v=""/>
    <n v="0.125"/>
    <n v="0"/>
    <n v="0"/>
    <n v="0"/>
    <n v="0"/>
    <n v="0"/>
    <n v="0"/>
    <n v="0"/>
    <n v="0"/>
    <n v="0"/>
    <n v="0"/>
    <n v="146"/>
    <n v="1095547.5"/>
    <n v="0"/>
    <n v="0"/>
    <n v="0"/>
    <n v="0"/>
    <n v="0"/>
    <n v="0"/>
    <n v="0"/>
    <n v="0"/>
    <n v="0"/>
    <n v="0"/>
    <n v="0"/>
    <n v="146"/>
    <n v="1095547.5"/>
    <n v="0"/>
    <n v="0"/>
    <n v="0"/>
    <n v="0"/>
    <n v="0"/>
    <n v="0"/>
    <n v="131962.5"/>
    <n v="0"/>
    <n v="0"/>
    <n v="0"/>
    <n v="146"/>
    <n v="1095547.5"/>
    <n v="0"/>
    <n v="0"/>
    <n v="0"/>
    <n v="0"/>
    <n v="0"/>
    <n v="0"/>
    <n v="0"/>
    <n v="0"/>
    <n v="0"/>
    <n v="0"/>
    <n v="146"/>
    <n v="1095547.5"/>
    <n v="0"/>
    <n v="17"/>
    <n v="146"/>
    <n v="17"/>
    <m/>
    <n v="0"/>
    <n v="0"/>
    <n v="1095547.5"/>
    <n v="131962.5"/>
    <n v="0"/>
    <n v="0"/>
    <n v="146"/>
    <n v="1095547.5"/>
    <n v="314142.8571428572"/>
    <n v="73"/>
    <n v="152"/>
    <n v="6"/>
    <m/>
    <n v="0"/>
    <n v="0"/>
    <n v="1140570"/>
    <n v="46574.99999999999"/>
    <n v="0"/>
    <n v="0"/>
    <n v="152"/>
    <n v="1095547.5"/>
    <n v="110873.9495798319"/>
    <n v="56"/>
    <n v="153"/>
    <n v="56"/>
    <n v="0"/>
    <n v="0"/>
    <n v="0"/>
    <n v="1148073.75"/>
    <n v="434699.9999999999"/>
    <n v="0"/>
    <n v="0"/>
    <n v="153"/>
    <n v="1095547.5"/>
    <n v="1034823.529411765"/>
    <n v="39"/>
    <n v="97"/>
    <n v="39"/>
    <n v="0"/>
    <n v="0"/>
    <n v="0"/>
    <n v="727863.7499999999"/>
    <n v="302737.4999999999"/>
    <n v="0"/>
    <n v="0"/>
    <n v="97"/>
    <n v="727863.7499999999"/>
    <n v="720680.6722689077"/>
    <n v="11"/>
    <n v="58"/>
    <n v="11"/>
    <n v="0"/>
    <n v="0"/>
    <m/>
    <n v="450224.9999999999"/>
    <n v="85387.49999999999"/>
    <n v="0"/>
    <n v="0"/>
    <n v="58"/>
    <n v="450224.9999999999"/>
    <n v="203268.9075630252"/>
    <n v="0"/>
    <n v="47"/>
    <n v="0"/>
    <n v="0"/>
    <n v="0"/>
    <n v="0"/>
    <m/>
    <n v="364837.4999999999"/>
    <n v="0"/>
    <n v="0"/>
    <n v="0"/>
    <n v="47"/>
    <n v="364837.4999999999"/>
    <n v="0"/>
    <n v="0"/>
    <n v="47"/>
    <n v="0"/>
    <n v="0"/>
    <n v="0"/>
    <n v="364837.4999999999"/>
    <n v="0"/>
    <n v="0"/>
    <n v="0"/>
    <n v="47"/>
    <n v="364837.4999999999"/>
    <n v="0"/>
    <n v="0"/>
    <n v="47"/>
    <n v="0"/>
    <n v="0"/>
    <n v="0"/>
    <n v="364837.4999999999"/>
    <n v="0"/>
    <n v="0"/>
    <n v="47"/>
    <n v="364837.4999999999"/>
    <n v="0"/>
    <n v="0"/>
    <n v="47"/>
    <n v="0"/>
    <n v="0"/>
    <m/>
    <n v="364837.4999999999"/>
    <n v="0"/>
    <n v="0"/>
    <n v="47"/>
    <n v="364837.4999999999"/>
    <n v="0"/>
  </r>
  <r>
    <m/>
    <x v="1"/>
    <x v="15"/>
    <x v="37"/>
    <s v="LHPANIMPK40-41"/>
    <x v="267"/>
    <x v="255"/>
    <x v="0"/>
    <x v="2"/>
    <n v="1"/>
    <x v="12"/>
    <n v="56"/>
    <m/>
    <n v="0"/>
    <n v="7503.749999999999"/>
    <n v="420209.99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s v=""/>
    <n v="0.1481481481481481"/>
    <n v="0"/>
    <s v=""/>
    <n v="0"/>
    <n v="0"/>
    <n v="0"/>
    <n v="0"/>
    <n v="0"/>
    <n v="0"/>
    <n v="0"/>
    <n v="0"/>
    <n v="0"/>
    <n v="0"/>
    <n v="0"/>
    <n v="56"/>
    <n v="420209.9999999999"/>
    <n v="0"/>
    <n v="0"/>
    <n v="0"/>
    <n v="0"/>
    <n v="0"/>
    <n v="0"/>
    <n v="0"/>
    <n v="0"/>
    <n v="0"/>
    <n v="0"/>
    <n v="0"/>
    <n v="56"/>
    <n v="420209.9999999999"/>
    <n v="0"/>
    <n v="0"/>
    <n v="0"/>
    <n v="0"/>
    <n v="0"/>
    <n v="0"/>
    <n v="46574.99999999999"/>
    <n v="0"/>
    <n v="0"/>
    <n v="0"/>
    <n v="56"/>
    <n v="420209.9999999999"/>
    <n v="0"/>
    <n v="0"/>
    <n v="0"/>
    <n v="0"/>
    <n v="0"/>
    <n v="0"/>
    <n v="0"/>
    <n v="0"/>
    <n v="0"/>
    <n v="0"/>
    <n v="56"/>
    <n v="420209.9999999999"/>
    <n v="0"/>
    <n v="6"/>
    <n v="56"/>
    <n v="6"/>
    <m/>
    <n v="0"/>
    <n v="0"/>
    <n v="420209.9999999999"/>
    <n v="46574.99999999999"/>
    <n v="0"/>
    <n v="0"/>
    <n v="56"/>
    <n v="420209.9999999999"/>
    <n v="110873.9495798319"/>
    <n v="27"/>
    <n v="60"/>
    <n v="4"/>
    <m/>
    <n v="0"/>
    <n v="0"/>
    <n v="450224.9999999999"/>
    <n v="31050"/>
    <n v="0"/>
    <n v="0"/>
    <n v="60"/>
    <n v="420209.9999999999"/>
    <n v="73915.96638655463"/>
    <n v="21"/>
    <n v="56"/>
    <n v="21"/>
    <n v="0"/>
    <n v="0"/>
    <n v="0"/>
    <n v="420209.9999999999"/>
    <n v="163012.5"/>
    <n v="0"/>
    <n v="0"/>
    <n v="56"/>
    <n v="420209.9999999999"/>
    <n v="388058.8235294118"/>
    <n v="15"/>
    <n v="35"/>
    <n v="15"/>
    <n v="0"/>
    <n v="0"/>
    <n v="0"/>
    <n v="262631.2499999999"/>
    <n v="116437.5"/>
    <n v="0"/>
    <n v="0"/>
    <n v="35"/>
    <n v="262631.2499999999"/>
    <n v="277184.8739495799"/>
    <n v="4"/>
    <n v="20"/>
    <n v="4"/>
    <n v="0"/>
    <n v="0"/>
    <m/>
    <n v="155250"/>
    <n v="31050"/>
    <n v="0"/>
    <n v="0"/>
    <n v="20"/>
    <n v="155250"/>
    <n v="73915.96638655463"/>
    <n v="0"/>
    <n v="16"/>
    <n v="0"/>
    <n v="0"/>
    <n v="0"/>
    <n v="0"/>
    <m/>
    <n v="124200"/>
    <n v="0"/>
    <n v="0"/>
    <n v="0"/>
    <n v="16"/>
    <n v="124200"/>
    <n v="0"/>
    <n v="0"/>
    <n v="16"/>
    <n v="0"/>
    <n v="0"/>
    <n v="0"/>
    <n v="124200"/>
    <n v="0"/>
    <n v="0"/>
    <n v="0"/>
    <n v="16"/>
    <n v="124200"/>
    <n v="0"/>
    <n v="0"/>
    <n v="16"/>
    <n v="0"/>
    <n v="0"/>
    <n v="0"/>
    <n v="124200"/>
    <n v="0"/>
    <n v="0"/>
    <n v="16"/>
    <n v="124200"/>
    <n v="0"/>
    <n v="0"/>
    <n v="16"/>
    <n v="0"/>
    <n v="0"/>
    <m/>
    <n v="124200"/>
    <n v="0"/>
    <n v="0"/>
    <n v="16"/>
    <n v="124200"/>
    <n v="0"/>
  </r>
  <r>
    <m/>
    <x v="1"/>
    <x v="15"/>
    <x v="37"/>
    <s v="LHPANIMSLIL34-35"/>
    <x v="268"/>
    <x v="256"/>
    <x v="0"/>
    <x v="2"/>
    <n v="1"/>
    <x v="12"/>
    <n v="28"/>
    <m/>
    <n v="0"/>
    <n v="7503.749999999999"/>
    <n v="210105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s v=""/>
    <n v="0.07142857142857142"/>
    <n v="1"/>
    <s v=""/>
    <n v="0.09090909090909091"/>
    <n v="0"/>
    <n v="0"/>
    <n v="0"/>
    <n v="0"/>
    <n v="0"/>
    <n v="0"/>
    <n v="0"/>
    <n v="0"/>
    <n v="0"/>
    <n v="0"/>
    <n v="28"/>
    <n v="210105"/>
    <n v="0"/>
    <n v="0"/>
    <n v="0"/>
    <n v="0"/>
    <n v="0"/>
    <n v="0"/>
    <n v="0"/>
    <n v="0"/>
    <n v="0"/>
    <n v="0"/>
    <n v="0"/>
    <n v="28"/>
    <n v="210105"/>
    <n v="0"/>
    <n v="0"/>
    <n v="0"/>
    <n v="0"/>
    <n v="0"/>
    <n v="0"/>
    <n v="23287.5"/>
    <n v="0"/>
    <n v="0"/>
    <n v="0"/>
    <n v="28"/>
    <n v="210105"/>
    <n v="0"/>
    <n v="0"/>
    <n v="0"/>
    <n v="0"/>
    <n v="0"/>
    <n v="0"/>
    <n v="0"/>
    <n v="0"/>
    <n v="0"/>
    <n v="0"/>
    <n v="28"/>
    <n v="210105"/>
    <n v="0"/>
    <n v="3"/>
    <n v="28"/>
    <n v="3"/>
    <m/>
    <n v="0"/>
    <n v="0"/>
    <n v="210105"/>
    <n v="23287.5"/>
    <n v="0"/>
    <n v="0"/>
    <n v="28"/>
    <n v="210105"/>
    <n v="55436.97478991597"/>
    <n v="14"/>
    <n v="29"/>
    <n v="1"/>
    <m/>
    <n v="0"/>
    <n v="0"/>
    <n v="217608.75"/>
    <n v="7762.499999999999"/>
    <n v="0"/>
    <n v="0"/>
    <n v="29"/>
    <n v="210105"/>
    <n v="18478.99159663866"/>
    <n v="11"/>
    <n v="29"/>
    <n v="11"/>
    <n v="0"/>
    <n v="0"/>
    <n v="0"/>
    <n v="217608.75"/>
    <n v="85387.49999999999"/>
    <n v="0"/>
    <n v="0"/>
    <n v="29"/>
    <n v="210105"/>
    <n v="203268.9075630252"/>
    <n v="7"/>
    <n v="18"/>
    <n v="7"/>
    <n v="0"/>
    <n v="0"/>
    <n v="0"/>
    <n v="135067.5"/>
    <n v="54337.49999999999"/>
    <n v="0"/>
    <n v="0"/>
    <n v="18"/>
    <n v="135067.5"/>
    <n v="129352.9411764706"/>
    <n v="2"/>
    <n v="11"/>
    <n v="2"/>
    <n v="0"/>
    <n v="0"/>
    <m/>
    <n v="85387.49999999999"/>
    <n v="15525"/>
    <n v="0"/>
    <n v="0"/>
    <n v="11"/>
    <n v="85387.49999999999"/>
    <n v="36957.98319327732"/>
    <n v="0"/>
    <n v="9"/>
    <n v="0"/>
    <n v="0"/>
    <n v="0"/>
    <n v="0"/>
    <m/>
    <n v="69862.49999999999"/>
    <n v="0"/>
    <n v="0"/>
    <n v="0"/>
    <n v="9"/>
    <n v="69862.49999999999"/>
    <n v="0"/>
    <n v="0"/>
    <n v="9"/>
    <n v="0"/>
    <n v="0"/>
    <n v="0"/>
    <n v="69862.49999999999"/>
    <n v="0"/>
    <n v="0"/>
    <n v="0"/>
    <n v="9"/>
    <n v="69862.49999999999"/>
    <n v="0"/>
    <n v="0"/>
    <n v="9"/>
    <n v="0"/>
    <n v="0"/>
    <n v="0"/>
    <n v="69862.49999999999"/>
    <n v="0"/>
    <n v="0"/>
    <n v="9"/>
    <n v="69862.49999999999"/>
    <n v="0"/>
    <n v="0"/>
    <n v="9"/>
    <n v="0"/>
    <n v="0"/>
    <m/>
    <n v="69862.49999999999"/>
    <n v="0"/>
    <n v="0"/>
    <n v="9"/>
    <n v="69862.49999999999"/>
    <n v="0"/>
  </r>
  <r>
    <m/>
    <x v="1"/>
    <x v="15"/>
    <x v="37"/>
    <s v="LHPANIMSLIL36-37"/>
    <x v="269"/>
    <x v="257"/>
    <x v="0"/>
    <x v="2"/>
    <n v="1"/>
    <x v="12"/>
    <n v="85"/>
    <m/>
    <n v="0"/>
    <n v="7503.749999999999"/>
    <n v="637818.74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7"/>
    <s v=""/>
    <n v="0.1521739130434783"/>
    <n v="6"/>
    <s v=""/>
    <n v="0.1714285714285714"/>
    <n v="0"/>
    <n v="0"/>
    <n v="0"/>
    <n v="0"/>
    <n v="0"/>
    <n v="0"/>
    <n v="0"/>
    <n v="0"/>
    <n v="0"/>
    <n v="0"/>
    <n v="85"/>
    <n v="637818.7499999999"/>
    <n v="0"/>
    <n v="0"/>
    <n v="0"/>
    <n v="0"/>
    <n v="0"/>
    <n v="0"/>
    <n v="0"/>
    <n v="0"/>
    <n v="0"/>
    <n v="0"/>
    <n v="0"/>
    <n v="85"/>
    <n v="637818.7499999999"/>
    <n v="0"/>
    <n v="0"/>
    <n v="0"/>
    <n v="0"/>
    <n v="0"/>
    <n v="0"/>
    <n v="85387.49999999999"/>
    <n v="0"/>
    <n v="0"/>
    <n v="0"/>
    <n v="85"/>
    <n v="637818.7499999999"/>
    <n v="0"/>
    <n v="0"/>
    <n v="0"/>
    <n v="0"/>
    <n v="0"/>
    <n v="0"/>
    <n v="0"/>
    <n v="0"/>
    <n v="0"/>
    <n v="0"/>
    <n v="85"/>
    <n v="637818.7499999999"/>
    <n v="0"/>
    <n v="11"/>
    <n v="85"/>
    <n v="11"/>
    <m/>
    <n v="0"/>
    <n v="0"/>
    <n v="637818.7499999999"/>
    <n v="85387.49999999999"/>
    <n v="0"/>
    <n v="0"/>
    <n v="85"/>
    <n v="637818.7499999999"/>
    <n v="203268.9075630252"/>
    <n v="46"/>
    <n v="92"/>
    <n v="7"/>
    <m/>
    <n v="0"/>
    <n v="0"/>
    <n v="690344.9999999999"/>
    <n v="54337.49999999999"/>
    <n v="0"/>
    <n v="0"/>
    <n v="92"/>
    <n v="637818.7499999999"/>
    <n v="129352.9411764706"/>
    <n v="35"/>
    <n v="91"/>
    <n v="35"/>
    <n v="0"/>
    <n v="0"/>
    <n v="0"/>
    <n v="682841.2499999999"/>
    <n v="271687.4999999999"/>
    <n v="0"/>
    <n v="0"/>
    <n v="91"/>
    <n v="637818.7499999999"/>
    <n v="646764.705882353"/>
    <n v="25"/>
    <n v="56"/>
    <n v="25"/>
    <n v="0"/>
    <n v="0"/>
    <n v="0"/>
    <n v="420209.9999999999"/>
    <n v="194062.5"/>
    <n v="0"/>
    <n v="0"/>
    <n v="56"/>
    <n v="420209.9999999999"/>
    <n v="461974.7899159665"/>
    <n v="7"/>
    <n v="31"/>
    <n v="7"/>
    <n v="0"/>
    <n v="0"/>
    <m/>
    <n v="240637.5"/>
    <n v="54337.49999999999"/>
    <n v="0"/>
    <n v="0"/>
    <n v="31"/>
    <n v="240637.5"/>
    <n v="129352.9411764706"/>
    <n v="0"/>
    <n v="24"/>
    <n v="0"/>
    <n v="0"/>
    <n v="0"/>
    <n v="0"/>
    <m/>
    <n v="186300"/>
    <n v="0"/>
    <n v="0"/>
    <n v="0"/>
    <n v="24"/>
    <n v="186300"/>
    <n v="0"/>
    <n v="0"/>
    <n v="24"/>
    <n v="0"/>
    <n v="0"/>
    <n v="0"/>
    <n v="186300"/>
    <n v="0"/>
    <n v="0"/>
    <n v="0"/>
    <n v="24"/>
    <n v="186300"/>
    <n v="0"/>
    <n v="0"/>
    <n v="24"/>
    <n v="0"/>
    <n v="0"/>
    <n v="0"/>
    <n v="186300"/>
    <n v="0"/>
    <n v="0"/>
    <n v="24"/>
    <n v="186300"/>
    <n v="0"/>
    <n v="0"/>
    <n v="24"/>
    <n v="0"/>
    <n v="0"/>
    <m/>
    <n v="186300"/>
    <n v="0"/>
    <n v="0"/>
    <n v="24"/>
    <n v="186300"/>
    <n v="0"/>
  </r>
  <r>
    <m/>
    <x v="1"/>
    <x v="15"/>
    <x v="37"/>
    <s v="LHPANIMSLIL38-39"/>
    <x v="270"/>
    <x v="258"/>
    <x v="0"/>
    <x v="2"/>
    <n v="1"/>
    <x v="12"/>
    <n v="99"/>
    <m/>
    <n v="0"/>
    <n v="7503.749999999999"/>
    <n v="742871.24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0"/>
    <s v=""/>
    <n v="0.1818181818181818"/>
    <n v="7"/>
    <s v=""/>
    <n v="0.1666666666666667"/>
    <n v="0"/>
    <n v="0"/>
    <n v="0"/>
    <n v="0"/>
    <n v="0"/>
    <n v="0"/>
    <n v="0"/>
    <n v="0"/>
    <n v="0"/>
    <n v="0"/>
    <n v="99"/>
    <n v="742871.2499999999"/>
    <n v="0"/>
    <n v="0"/>
    <n v="0"/>
    <n v="0"/>
    <n v="0"/>
    <n v="0"/>
    <n v="0"/>
    <n v="0"/>
    <n v="0"/>
    <n v="0"/>
    <n v="0"/>
    <n v="99"/>
    <n v="742871.2499999999"/>
    <n v="0"/>
    <n v="0"/>
    <n v="0"/>
    <n v="0"/>
    <n v="0"/>
    <n v="0"/>
    <n v="100912.5"/>
    <n v="0"/>
    <n v="0"/>
    <n v="0"/>
    <n v="99"/>
    <n v="742871.2499999999"/>
    <n v="0"/>
    <n v="0"/>
    <n v="0"/>
    <n v="0"/>
    <n v="0"/>
    <n v="0"/>
    <n v="0"/>
    <n v="0"/>
    <n v="0"/>
    <n v="0"/>
    <n v="99"/>
    <n v="742871.2499999999"/>
    <n v="0"/>
    <n v="13"/>
    <n v="99"/>
    <n v="13"/>
    <m/>
    <n v="0"/>
    <n v="0"/>
    <n v="742871.2499999999"/>
    <n v="100912.5"/>
    <n v="0"/>
    <n v="0"/>
    <n v="99"/>
    <n v="742871.2499999999"/>
    <n v="240226.8907563025"/>
    <n v="55"/>
    <n v="109"/>
    <n v="10"/>
    <m/>
    <n v="0"/>
    <n v="0"/>
    <n v="817908.7499999999"/>
    <n v="77624.99999999999"/>
    <n v="0"/>
    <n v="0"/>
    <n v="109"/>
    <n v="742871.2499999999"/>
    <n v="184789.9159663866"/>
    <n v="42"/>
    <n v="106"/>
    <n v="42"/>
    <n v="0"/>
    <n v="0"/>
    <n v="0"/>
    <n v="795397.4999999999"/>
    <n v="326024.9999999999"/>
    <n v="0"/>
    <n v="0"/>
    <n v="106"/>
    <n v="742871.2499999999"/>
    <n v="776117.6470588236"/>
    <n v="29"/>
    <n v="64"/>
    <n v="29"/>
    <n v="0"/>
    <n v="0"/>
    <n v="0"/>
    <n v="480239.9999999999"/>
    <n v="225112.5"/>
    <n v="0"/>
    <n v="0"/>
    <n v="64"/>
    <n v="480239.9999999999"/>
    <n v="535890.7563025211"/>
    <n v="8"/>
    <n v="35"/>
    <n v="8"/>
    <n v="0"/>
    <n v="0"/>
    <m/>
    <n v="271687.4999999999"/>
    <n v="62099.99999999999"/>
    <n v="0"/>
    <n v="0"/>
    <n v="35"/>
    <n v="271687.4999999999"/>
    <n v="147831.9327731093"/>
    <n v="0"/>
    <n v="27"/>
    <n v="0"/>
    <n v="0"/>
    <n v="0"/>
    <n v="0"/>
    <m/>
    <n v="209587.5"/>
    <n v="0"/>
    <n v="0"/>
    <n v="0"/>
    <n v="27"/>
    <n v="209587.5"/>
    <n v="0"/>
    <n v="0"/>
    <n v="27"/>
    <n v="0"/>
    <n v="0"/>
    <n v="0"/>
    <n v="209587.5"/>
    <n v="0"/>
    <n v="0"/>
    <n v="0"/>
    <n v="27"/>
    <n v="209587.5"/>
    <n v="0"/>
    <n v="0"/>
    <n v="27"/>
    <n v="0"/>
    <n v="0"/>
    <n v="0"/>
    <n v="209587.5"/>
    <n v="0"/>
    <n v="0"/>
    <n v="27"/>
    <n v="209587.5"/>
    <n v="0"/>
    <n v="0"/>
    <n v="27"/>
    <n v="0"/>
    <n v="0"/>
    <m/>
    <n v="209587.5"/>
    <n v="0"/>
    <n v="0"/>
    <n v="27"/>
    <n v="209587.5"/>
    <n v="0"/>
  </r>
  <r>
    <m/>
    <x v="1"/>
    <x v="15"/>
    <x v="37"/>
    <s v="LHPANIMSLIL40-41"/>
    <x v="271"/>
    <x v="259"/>
    <x v="0"/>
    <x v="2"/>
    <n v="1"/>
    <x v="12"/>
    <n v="45"/>
    <m/>
    <n v="0"/>
    <n v="7503.749999999999"/>
    <n v="337668.74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s v=""/>
    <n v="0.1739130434782609"/>
    <n v="2"/>
    <s v=""/>
    <n v="0.1111111111111111"/>
    <n v="0"/>
    <n v="0"/>
    <n v="0"/>
    <n v="0"/>
    <n v="0"/>
    <n v="0"/>
    <n v="0"/>
    <n v="0"/>
    <n v="0"/>
    <n v="0"/>
    <n v="45"/>
    <n v="337668.7499999999"/>
    <n v="0"/>
    <n v="0"/>
    <n v="0"/>
    <n v="0"/>
    <n v="0"/>
    <n v="0"/>
    <n v="0"/>
    <n v="0"/>
    <n v="0"/>
    <n v="0"/>
    <n v="0"/>
    <n v="45"/>
    <n v="337668.7499999999"/>
    <n v="0"/>
    <n v="0"/>
    <n v="0"/>
    <n v="0"/>
    <n v="0"/>
    <n v="0"/>
    <n v="38812.49999999999"/>
    <n v="0"/>
    <n v="0"/>
    <n v="0"/>
    <n v="45"/>
    <n v="337668.7499999999"/>
    <n v="0"/>
    <n v="0"/>
    <n v="0"/>
    <n v="0"/>
    <n v="0"/>
    <n v="0"/>
    <n v="0"/>
    <n v="0"/>
    <n v="0"/>
    <n v="0"/>
    <n v="45"/>
    <n v="337668.7499999999"/>
    <n v="0"/>
    <n v="5"/>
    <n v="45"/>
    <n v="5"/>
    <m/>
    <n v="0"/>
    <n v="0"/>
    <n v="337668.7499999999"/>
    <n v="38812.49999999999"/>
    <n v="0"/>
    <n v="0"/>
    <n v="45"/>
    <n v="337668.7499999999"/>
    <n v="92394.95798319329"/>
    <n v="23"/>
    <n v="49"/>
    <n v="4"/>
    <m/>
    <n v="0"/>
    <n v="0"/>
    <n v="367683.7499999999"/>
    <n v="31050"/>
    <n v="0"/>
    <n v="0"/>
    <n v="49"/>
    <n v="337668.7499999999"/>
    <n v="73915.96638655463"/>
    <n v="18"/>
    <n v="47"/>
    <n v="18"/>
    <n v="0"/>
    <n v="0"/>
    <n v="0"/>
    <n v="352676.2499999999"/>
    <n v="139725"/>
    <n v="0"/>
    <n v="0"/>
    <n v="47"/>
    <n v="337668.7499999999"/>
    <n v="332621.8487394959"/>
    <n v="12"/>
    <n v="29"/>
    <n v="12"/>
    <n v="0"/>
    <n v="0"/>
    <n v="0"/>
    <n v="217608.75"/>
    <n v="93149.99999999999"/>
    <n v="0"/>
    <n v="0"/>
    <n v="29"/>
    <n v="217608.75"/>
    <n v="221747.8991596639"/>
    <n v="4"/>
    <n v="17"/>
    <n v="4"/>
    <n v="0"/>
    <n v="0"/>
    <m/>
    <n v="131962.5"/>
    <n v="31050"/>
    <n v="0"/>
    <n v="0"/>
    <n v="17"/>
    <n v="131962.5"/>
    <n v="73915.96638655463"/>
    <n v="0"/>
    <n v="13"/>
    <n v="0"/>
    <n v="0"/>
    <n v="0"/>
    <n v="0"/>
    <m/>
    <n v="100912.5"/>
    <n v="0"/>
    <n v="0"/>
    <n v="0"/>
    <n v="13"/>
    <n v="100912.5"/>
    <n v="0"/>
    <n v="0"/>
    <n v="13"/>
    <n v="0"/>
    <n v="0"/>
    <n v="0"/>
    <n v="100912.5"/>
    <n v="0"/>
    <n v="0"/>
    <n v="0"/>
    <n v="13"/>
    <n v="100912.5"/>
    <n v="0"/>
    <n v="0"/>
    <n v="13"/>
    <n v="0"/>
    <n v="0"/>
    <n v="0"/>
    <n v="100912.5"/>
    <n v="0"/>
    <n v="0"/>
    <n v="13"/>
    <n v="100912.5"/>
    <n v="0"/>
    <n v="0"/>
    <n v="13"/>
    <n v="0"/>
    <n v="0"/>
    <m/>
    <n v="100912.5"/>
    <n v="0"/>
    <n v="0"/>
    <n v="13"/>
    <n v="100912.5"/>
    <n v="0"/>
  </r>
  <r>
    <m/>
    <x v="1"/>
    <x v="15"/>
    <x v="37"/>
    <s v="LHPANIMSGR36-37"/>
    <x v="272"/>
    <x v="260"/>
    <x v="0"/>
    <x v="2"/>
    <n v="1"/>
    <x v="12"/>
    <n v="12"/>
    <m/>
    <n v="0"/>
    <n v="7503.749999999999"/>
    <n v="90044.999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s v=""/>
    <n v="0.1111111111111111"/>
    <n v="2"/>
    <s v=""/>
    <n v="0.2857142857142857"/>
    <n v="0"/>
    <n v="0"/>
    <n v="0"/>
    <n v="0"/>
    <n v="0"/>
    <n v="0"/>
    <n v="0"/>
    <n v="0"/>
    <n v="0"/>
    <n v="0"/>
    <n v="12"/>
    <n v="90044.99999999999"/>
    <n v="0"/>
    <n v="0"/>
    <n v="0"/>
    <n v="0"/>
    <n v="0"/>
    <n v="0"/>
    <n v="0"/>
    <n v="0"/>
    <n v="0"/>
    <n v="0"/>
    <n v="0"/>
    <n v="12"/>
    <n v="90044.99999999999"/>
    <n v="0"/>
    <n v="0"/>
    <n v="0"/>
    <n v="0"/>
    <n v="0"/>
    <n v="0"/>
    <n v="15525"/>
    <n v="0"/>
    <n v="0"/>
    <n v="0"/>
    <n v="12"/>
    <n v="90044.99999999999"/>
    <n v="0"/>
    <n v="0"/>
    <n v="0"/>
    <n v="0"/>
    <n v="0"/>
    <n v="0"/>
    <n v="0"/>
    <n v="0"/>
    <n v="0"/>
    <n v="0"/>
    <n v="12"/>
    <n v="90044.99999999999"/>
    <n v="0"/>
    <n v="2"/>
    <n v="12"/>
    <n v="2"/>
    <m/>
    <n v="0"/>
    <n v="0"/>
    <n v="90044.99999999999"/>
    <n v="15525"/>
    <n v="0"/>
    <n v="0"/>
    <n v="12"/>
    <n v="90044.99999999999"/>
    <n v="36957.98319327732"/>
    <n v="9"/>
    <n v="13"/>
    <n v="1"/>
    <m/>
    <n v="0"/>
    <n v="0"/>
    <n v="97548.74999999999"/>
    <n v="7762.499999999999"/>
    <n v="0"/>
    <n v="0"/>
    <n v="13"/>
    <n v="90044.99999999999"/>
    <n v="18478.99159663866"/>
    <n v="7"/>
    <n v="14"/>
    <n v="7"/>
    <n v="0"/>
    <n v="0"/>
    <n v="0"/>
    <n v="105052.5"/>
    <n v="54337.49999999999"/>
    <n v="0"/>
    <n v="0"/>
    <n v="14"/>
    <n v="90044.99999999999"/>
    <n v="129352.9411764706"/>
    <n v="5"/>
    <n v="7"/>
    <n v="5"/>
    <n v="0"/>
    <n v="0"/>
    <n v="0"/>
    <n v="52526.24999999999"/>
    <n v="38812.49999999999"/>
    <n v="0"/>
    <n v="0"/>
    <n v="7"/>
    <n v="52526.24999999999"/>
    <n v="92394.95798319329"/>
    <n v="1"/>
    <n v="2"/>
    <n v="1"/>
    <n v="0"/>
    <n v="0"/>
    <m/>
    <n v="15525"/>
    <n v="7762.499999999999"/>
    <n v="0"/>
    <n v="0"/>
    <n v="2"/>
    <n v="15525"/>
    <n v="18478.99159663866"/>
    <n v="0"/>
    <n v="1"/>
    <n v="0"/>
    <n v="0"/>
    <n v="0"/>
    <n v="0"/>
    <m/>
    <n v="7762.499999999999"/>
    <n v="0"/>
    <n v="0"/>
    <n v="0"/>
    <n v="1"/>
    <n v="7762.499999999999"/>
    <n v="0"/>
    <n v="0"/>
    <n v="1"/>
    <n v="0"/>
    <n v="0"/>
    <n v="0"/>
    <n v="7762.499999999999"/>
    <n v="0"/>
    <n v="0"/>
    <n v="0"/>
    <n v="1"/>
    <n v="7762.499999999999"/>
    <n v="0"/>
    <n v="0"/>
    <n v="1"/>
    <n v="0"/>
    <n v="0"/>
    <n v="0"/>
    <n v="7762.499999999999"/>
    <n v="0"/>
    <n v="0"/>
    <n v="1"/>
    <n v="7762.499999999999"/>
    <n v="0"/>
    <n v="0"/>
    <n v="1"/>
    <n v="0"/>
    <n v="0"/>
    <m/>
    <n v="7762.499999999999"/>
    <n v="0"/>
    <n v="0"/>
    <n v="1"/>
    <n v="7762.499999999999"/>
    <n v="0"/>
  </r>
  <r>
    <m/>
    <x v="1"/>
    <x v="15"/>
    <x v="37"/>
    <s v="LHPANIMSGR38-39"/>
    <x v="273"/>
    <x v="261"/>
    <x v="0"/>
    <x v="2"/>
    <n v="1"/>
    <x v="12"/>
    <n v="28"/>
    <m/>
    <n v="0"/>
    <n v="7503.749999999999"/>
    <n v="210105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s v=""/>
    <n v="0.3333333333333333"/>
    <n v="6"/>
    <s v=""/>
    <n v="0.4285714285714285"/>
    <n v="0"/>
    <n v="0"/>
    <n v="0"/>
    <n v="0"/>
    <n v="0"/>
    <n v="0"/>
    <n v="0"/>
    <n v="0"/>
    <n v="0"/>
    <n v="0"/>
    <n v="28"/>
    <n v="210105"/>
    <n v="0"/>
    <n v="0"/>
    <n v="0"/>
    <n v="0"/>
    <n v="0"/>
    <n v="0"/>
    <n v="0"/>
    <n v="0"/>
    <n v="0"/>
    <n v="0"/>
    <n v="0"/>
    <n v="28"/>
    <n v="210105"/>
    <n v="0"/>
    <n v="0"/>
    <n v="0"/>
    <n v="0"/>
    <n v="0"/>
    <n v="0"/>
    <n v="31050"/>
    <n v="0"/>
    <n v="0"/>
    <n v="0"/>
    <n v="28"/>
    <n v="210105"/>
    <n v="0"/>
    <n v="0"/>
    <n v="0"/>
    <n v="0"/>
    <n v="0"/>
    <n v="0"/>
    <n v="0"/>
    <n v="0"/>
    <n v="0"/>
    <n v="0"/>
    <n v="28"/>
    <n v="210105"/>
    <n v="0"/>
    <n v="4"/>
    <n v="28"/>
    <n v="4"/>
    <m/>
    <n v="0"/>
    <n v="0"/>
    <n v="210105"/>
    <n v="31050"/>
    <n v="0"/>
    <n v="0"/>
    <n v="28"/>
    <n v="210105"/>
    <n v="73915.96638655463"/>
    <n v="18"/>
    <n v="34"/>
    <n v="6"/>
    <m/>
    <n v="0"/>
    <n v="0"/>
    <n v="255127.5"/>
    <n v="46574.99999999999"/>
    <n v="0"/>
    <n v="0"/>
    <n v="34"/>
    <n v="210105"/>
    <n v="110873.9495798319"/>
    <n v="14"/>
    <n v="34"/>
    <n v="14"/>
    <n v="0"/>
    <n v="0"/>
    <n v="0"/>
    <n v="255127.5"/>
    <n v="108675"/>
    <n v="0"/>
    <n v="0"/>
    <n v="34"/>
    <n v="210105"/>
    <n v="258705.8823529412"/>
    <n v="10"/>
    <n v="20"/>
    <n v="10"/>
    <n v="0"/>
    <n v="0"/>
    <n v="0"/>
    <n v="150075"/>
    <n v="77624.99999999999"/>
    <n v="0"/>
    <n v="0"/>
    <n v="20"/>
    <n v="150075"/>
    <n v="184789.9159663866"/>
    <n v="3"/>
    <n v="10"/>
    <n v="3"/>
    <n v="0"/>
    <n v="0"/>
    <m/>
    <n v="77624.99999999999"/>
    <n v="23287.5"/>
    <n v="0"/>
    <n v="0"/>
    <n v="10"/>
    <n v="77624.99999999999"/>
    <n v="55436.97478991597"/>
    <n v="0"/>
    <n v="7"/>
    <n v="0"/>
    <n v="0"/>
    <n v="0"/>
    <n v="0"/>
    <m/>
    <n v="54337.49999999999"/>
    <n v="0"/>
    <n v="0"/>
    <n v="0"/>
    <n v="7"/>
    <n v="54337.49999999999"/>
    <n v="0"/>
    <n v="0"/>
    <n v="7"/>
    <n v="0"/>
    <n v="0"/>
    <n v="0"/>
    <n v="54337.49999999999"/>
    <n v="0"/>
    <n v="0"/>
    <n v="0"/>
    <n v="7"/>
    <n v="54337.49999999999"/>
    <n v="0"/>
    <n v="0"/>
    <n v="7"/>
    <n v="0"/>
    <n v="0"/>
    <n v="0"/>
    <n v="54337.49999999999"/>
    <n v="0"/>
    <n v="0"/>
    <n v="7"/>
    <n v="54337.49999999999"/>
    <n v="0"/>
    <n v="0"/>
    <n v="7"/>
    <n v="0"/>
    <n v="0"/>
    <m/>
    <n v="54337.49999999999"/>
    <n v="0"/>
    <n v="0"/>
    <n v="7"/>
    <n v="54337.49999999999"/>
    <n v="0"/>
  </r>
  <r>
    <m/>
    <x v="1"/>
    <x v="15"/>
    <x v="37"/>
    <s v="LHPANIMSGR40-41"/>
    <x v="274"/>
    <x v="262"/>
    <x v="0"/>
    <x v="2"/>
    <n v="1"/>
    <x v="12"/>
    <n v="83"/>
    <m/>
    <n v="0"/>
    <n v="7503.749999999999"/>
    <n v="622811.24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3"/>
    <s v=""/>
    <n v="0.07317073170731707"/>
    <n v="2"/>
    <s v=""/>
    <n v="0.0625"/>
    <n v="0"/>
    <n v="0"/>
    <n v="0"/>
    <n v="0"/>
    <n v="0"/>
    <n v="0"/>
    <n v="0"/>
    <n v="0"/>
    <n v="0"/>
    <n v="0"/>
    <n v="83"/>
    <n v="622811.2499999999"/>
    <n v="0"/>
    <n v="0"/>
    <n v="0"/>
    <n v="0"/>
    <n v="0"/>
    <n v="0"/>
    <n v="0"/>
    <n v="0"/>
    <n v="0"/>
    <n v="0"/>
    <n v="0"/>
    <n v="83"/>
    <n v="622811.2499999999"/>
    <n v="0"/>
    <n v="0"/>
    <n v="0"/>
    <n v="0"/>
    <n v="0"/>
    <n v="0"/>
    <n v="69862.49999999999"/>
    <n v="0"/>
    <n v="0"/>
    <n v="0"/>
    <n v="83"/>
    <n v="622811.2499999999"/>
    <n v="0"/>
    <n v="0"/>
    <n v="0"/>
    <n v="0"/>
    <n v="0"/>
    <n v="0"/>
    <n v="0"/>
    <n v="0"/>
    <n v="0"/>
    <n v="0"/>
    <n v="83"/>
    <n v="622811.2499999999"/>
    <n v="0"/>
    <n v="9"/>
    <n v="83"/>
    <n v="9"/>
    <m/>
    <n v="0"/>
    <n v="0"/>
    <n v="622811.2499999999"/>
    <n v="69862.49999999999"/>
    <n v="0"/>
    <n v="0"/>
    <n v="83"/>
    <n v="622811.2499999999"/>
    <n v="166310.9243697479"/>
    <n v="41"/>
    <n v="86"/>
    <n v="3"/>
    <m/>
    <n v="0"/>
    <n v="0"/>
    <n v="645322.4999999999"/>
    <n v="23287.5"/>
    <n v="0"/>
    <n v="0"/>
    <n v="86"/>
    <n v="622811.2499999999"/>
    <n v="55436.97478991597"/>
    <n v="32"/>
    <n v="85"/>
    <n v="32"/>
    <n v="0"/>
    <n v="0"/>
    <n v="0"/>
    <n v="637818.7499999999"/>
    <n v="248400"/>
    <n v="0"/>
    <n v="0"/>
    <n v="85"/>
    <n v="622811.2499999999"/>
    <n v="591327.7310924371"/>
    <n v="22"/>
    <n v="53"/>
    <n v="22"/>
    <n v="0"/>
    <n v="0"/>
    <n v="0"/>
    <n v="397698.7499999999"/>
    <n v="170775"/>
    <n v="0"/>
    <n v="0"/>
    <n v="53"/>
    <n v="397698.7499999999"/>
    <n v="406537.8151260505"/>
    <n v="6"/>
    <n v="31"/>
    <n v="6"/>
    <n v="0"/>
    <n v="0"/>
    <m/>
    <n v="240637.5"/>
    <n v="46574.99999999999"/>
    <n v="0"/>
    <n v="0"/>
    <n v="31"/>
    <n v="240637.5"/>
    <n v="110873.9495798319"/>
    <n v="0"/>
    <n v="25"/>
    <n v="0"/>
    <n v="0"/>
    <n v="0"/>
    <n v="0"/>
    <m/>
    <n v="194062.5"/>
    <n v="0"/>
    <n v="0"/>
    <n v="0"/>
    <n v="25"/>
    <n v="194062.5"/>
    <n v="0"/>
    <n v="0"/>
    <n v="25"/>
    <n v="0"/>
    <n v="0"/>
    <n v="0"/>
    <n v="194062.5"/>
    <n v="0"/>
    <n v="0"/>
    <n v="0"/>
    <n v="25"/>
    <n v="194062.5"/>
    <n v="0"/>
    <n v="0"/>
    <n v="25"/>
    <n v="0"/>
    <n v="0"/>
    <n v="0"/>
    <n v="194062.5"/>
    <n v="0"/>
    <n v="0"/>
    <n v="25"/>
    <n v="194062.5"/>
    <n v="0"/>
    <n v="0"/>
    <n v="25"/>
    <n v="0"/>
    <n v="0"/>
    <m/>
    <n v="194062.5"/>
    <n v="0"/>
    <n v="0"/>
    <n v="25"/>
    <n v="194062.5"/>
    <n v="0"/>
  </r>
  <r>
    <m/>
    <x v="1"/>
    <x v="15"/>
    <x v="37"/>
    <s v="LHPANIMSGR42-43"/>
    <x v="275"/>
    <x v="263"/>
    <x v="0"/>
    <x v="2"/>
    <n v="1"/>
    <x v="12"/>
    <n v="95"/>
    <m/>
    <n v="0"/>
    <n v="7503.749999999999"/>
    <n v="712856.249999999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2"/>
    <s v=""/>
    <n v="0.2307692307692308"/>
    <n v="9"/>
    <s v=""/>
    <n v="0.225"/>
    <n v="0"/>
    <n v="0"/>
    <n v="0"/>
    <n v="0"/>
    <n v="0"/>
    <n v="0"/>
    <n v="0"/>
    <n v="0"/>
    <n v="0"/>
    <n v="0"/>
    <n v="95"/>
    <n v="712856.2499999999"/>
    <n v="0"/>
    <n v="0"/>
    <n v="0"/>
    <n v="0"/>
    <n v="0"/>
    <n v="0"/>
    <n v="0"/>
    <n v="0"/>
    <n v="0"/>
    <n v="0"/>
    <n v="0"/>
    <n v="95"/>
    <n v="712856.2499999999"/>
    <n v="0"/>
    <n v="0"/>
    <n v="0"/>
    <n v="0"/>
    <n v="0"/>
    <n v="0"/>
    <n v="93149.99999999999"/>
    <n v="0"/>
    <n v="0"/>
    <n v="0"/>
    <n v="95"/>
    <n v="712856.2499999999"/>
    <n v="0"/>
    <n v="0"/>
    <n v="0"/>
    <n v="0"/>
    <n v="0"/>
    <n v="0"/>
    <n v="0"/>
    <n v="0"/>
    <n v="0"/>
    <n v="0"/>
    <n v="95"/>
    <n v="712856.2499999999"/>
    <n v="0"/>
    <n v="12"/>
    <n v="95"/>
    <n v="12"/>
    <m/>
    <n v="0"/>
    <n v="0"/>
    <n v="712856.2499999999"/>
    <n v="93149.99999999999"/>
    <n v="0"/>
    <n v="0"/>
    <n v="95"/>
    <n v="712856.2499999999"/>
    <n v="221747.8991596639"/>
    <n v="52"/>
    <n v="107"/>
    <n v="12"/>
    <m/>
    <n v="0"/>
    <n v="0"/>
    <n v="802901.2499999999"/>
    <n v="93149.99999999999"/>
    <n v="0"/>
    <n v="0"/>
    <n v="107"/>
    <n v="712856.2499999999"/>
    <n v="221747.8991596639"/>
    <n v="40"/>
    <n v="104"/>
    <n v="40"/>
    <n v="0"/>
    <n v="0"/>
    <n v="0"/>
    <n v="780389.9999999999"/>
    <n v="310499.9999999999"/>
    <n v="0"/>
    <n v="0"/>
    <n v="104"/>
    <n v="712856.2499999999"/>
    <n v="739159.6638655463"/>
    <n v="28"/>
    <n v="64"/>
    <n v="28"/>
    <n v="0"/>
    <n v="0"/>
    <n v="0"/>
    <n v="480239.9999999999"/>
    <n v="217350"/>
    <n v="0"/>
    <n v="0"/>
    <n v="64"/>
    <n v="480239.9999999999"/>
    <n v="517411.7647058824"/>
    <n v="8"/>
    <n v="36"/>
    <n v="8"/>
    <n v="0"/>
    <n v="0"/>
    <m/>
    <n v="279449.9999999999"/>
    <n v="62099.99999999999"/>
    <n v="0"/>
    <n v="0"/>
    <n v="36"/>
    <n v="279449.9999999999"/>
    <n v="147831.9327731093"/>
    <n v="0"/>
    <n v="28"/>
    <n v="0"/>
    <n v="0"/>
    <n v="0"/>
    <n v="0"/>
    <m/>
    <n v="217350"/>
    <n v="0"/>
    <n v="0"/>
    <n v="0"/>
    <n v="28"/>
    <n v="217350"/>
    <n v="0"/>
    <n v="0"/>
    <n v="28"/>
    <n v="0"/>
    <n v="0"/>
    <n v="0"/>
    <n v="217350"/>
    <n v="0"/>
    <n v="0"/>
    <n v="0"/>
    <n v="28"/>
    <n v="217350"/>
    <n v="0"/>
    <n v="0"/>
    <n v="28"/>
    <n v="0"/>
    <n v="0"/>
    <n v="0"/>
    <n v="217350"/>
    <n v="0"/>
    <n v="0"/>
    <n v="28"/>
    <n v="217350"/>
    <n v="0"/>
    <n v="0"/>
    <n v="28"/>
    <n v="0"/>
    <n v="0"/>
    <m/>
    <n v="217350"/>
    <n v="0"/>
    <n v="0"/>
    <n v="28"/>
    <n v="217350"/>
    <n v="0"/>
  </r>
  <r>
    <m/>
    <x v="1"/>
    <x v="15"/>
    <x v="37"/>
    <s v="LHPANIMSGR44-45"/>
    <x v="276"/>
    <x v="264"/>
    <x v="0"/>
    <x v="2"/>
    <n v="1"/>
    <x v="12"/>
    <n v="26"/>
    <m/>
    <n v="0"/>
    <n v="7503.749999999999"/>
    <n v="195097.5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9"/>
    <s v=""/>
    <n v="0.5"/>
    <n v="7"/>
    <s v=""/>
    <n v="0.5"/>
    <n v="0"/>
    <n v="0"/>
    <n v="0"/>
    <n v="0"/>
    <n v="0"/>
    <n v="0"/>
    <n v="0"/>
    <n v="0"/>
    <n v="0"/>
    <n v="0"/>
    <n v="26"/>
    <n v="195097.5"/>
    <n v="0"/>
    <n v="0"/>
    <n v="0"/>
    <n v="0"/>
    <n v="0"/>
    <n v="0"/>
    <n v="0"/>
    <n v="0"/>
    <n v="0"/>
    <n v="0"/>
    <n v="0"/>
    <n v="26"/>
    <n v="195097.5"/>
    <n v="0"/>
    <n v="0"/>
    <n v="0"/>
    <n v="0"/>
    <n v="0"/>
    <n v="0"/>
    <n v="31050"/>
    <n v="0"/>
    <n v="0"/>
    <n v="0"/>
    <n v="26"/>
    <n v="195097.5"/>
    <n v="0"/>
    <n v="0"/>
    <n v="0"/>
    <n v="0"/>
    <n v="0"/>
    <n v="0"/>
    <n v="0"/>
    <n v="0"/>
    <n v="0"/>
    <n v="0"/>
    <n v="26"/>
    <n v="195097.5"/>
    <n v="0"/>
    <n v="4"/>
    <n v="26"/>
    <n v="4"/>
    <m/>
    <n v="0"/>
    <n v="0"/>
    <n v="195097.5"/>
    <n v="31050"/>
    <n v="0"/>
    <n v="0"/>
    <n v="26"/>
    <n v="195097.5"/>
    <n v="73915.96638655463"/>
    <n v="18"/>
    <n v="35"/>
    <n v="9"/>
    <m/>
    <n v="0"/>
    <n v="0"/>
    <n v="262631.2499999999"/>
    <n v="69862.49999999999"/>
    <n v="0"/>
    <n v="0"/>
    <n v="35"/>
    <n v="195097.5"/>
    <n v="166310.9243697479"/>
    <n v="14"/>
    <n v="33"/>
    <n v="14"/>
    <n v="0"/>
    <n v="0"/>
    <n v="0"/>
    <n v="247623.75"/>
    <n v="108675"/>
    <n v="0"/>
    <n v="0"/>
    <n v="33"/>
    <n v="195097.5"/>
    <n v="258705.8823529412"/>
    <n v="10"/>
    <n v="19"/>
    <n v="10"/>
    <n v="0"/>
    <n v="0"/>
    <n v="0"/>
    <n v="142571.25"/>
    <n v="77624.99999999999"/>
    <n v="0"/>
    <n v="0"/>
    <n v="19"/>
    <n v="142571.25"/>
    <n v="184789.9159663866"/>
    <n v="3"/>
    <n v="9"/>
    <n v="3"/>
    <n v="0"/>
    <n v="0"/>
    <m/>
    <n v="69862.49999999999"/>
    <n v="23287.5"/>
    <n v="0"/>
    <n v="0"/>
    <n v="9"/>
    <n v="69862.49999999999"/>
    <n v="55436.97478991597"/>
    <n v="0"/>
    <n v="6"/>
    <n v="0"/>
    <n v="0"/>
    <n v="0"/>
    <n v="0"/>
    <m/>
    <n v="46574.99999999999"/>
    <n v="0"/>
    <n v="0"/>
    <n v="0"/>
    <n v="6"/>
    <n v="46574.99999999999"/>
    <n v="0"/>
    <n v="0"/>
    <n v="6"/>
    <n v="0"/>
    <n v="0"/>
    <n v="0"/>
    <n v="46574.99999999999"/>
    <n v="0"/>
    <n v="0"/>
    <n v="0"/>
    <n v="6"/>
    <n v="46574.99999999999"/>
    <n v="0"/>
    <n v="0"/>
    <n v="6"/>
    <n v="0"/>
    <n v="0"/>
    <n v="0"/>
    <n v="46574.99999999999"/>
    <n v="0"/>
    <n v="0"/>
    <n v="6"/>
    <n v="46574.99999999999"/>
    <n v="0"/>
    <n v="0"/>
    <n v="6"/>
    <n v="0"/>
    <n v="0"/>
    <m/>
    <n v="46574.99999999999"/>
    <n v="0"/>
    <n v="0"/>
    <n v="6"/>
    <n v="46574.99999999999"/>
    <n v="0"/>
  </r>
  <r>
    <s v="Lhotse-Vestuario"/>
    <x v="1"/>
    <x v="16"/>
    <x v="38"/>
    <s v="LTW25-MFL01"/>
    <x v="277"/>
    <x v="265"/>
    <x v="0"/>
    <x v="0"/>
    <n v="1"/>
    <x v="173"/>
    <n v="359"/>
    <m/>
    <n v="0"/>
    <n v="7834"/>
    <n v="2812406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1"/>
    <n v="0.6269585714285715"/>
    <n v="6"/>
    <n v="0.3426042060710258"/>
    <n v="26"/>
    <n v="0.3530570862017662"/>
    <n v="1"/>
    <n v="0.3780983789192796"/>
    <n v="7"/>
    <n v="0.3780989716010945"/>
    <n v="19"/>
    <n v="0.4659586850479633"/>
    <n v="0"/>
    <s v=""/>
    <n v="2"/>
    <n v="0.5760707811358532"/>
    <n v="0"/>
    <s v=""/>
    <n v="2"/>
    <s v=""/>
    <n v="10"/>
    <s v=""/>
    <n v="3"/>
    <s v=""/>
    <n v="1"/>
    <n v="12"/>
    <s v=""/>
    <n v="1.2"/>
    <n v="13"/>
    <s v=""/>
    <n v="0.26"/>
    <n v="20"/>
    <s v=""/>
    <n v="0.1709401709401709"/>
    <n v="5"/>
    <n v="415"/>
    <n v="2"/>
    <n v="0"/>
    <n v="0"/>
    <n v="0"/>
    <n v="117510"/>
    <n v="3436200"/>
    <n v="15668"/>
    <n v="0"/>
    <n v="359"/>
    <n v="2812406"/>
    <n v="28232.46945837159"/>
    <n v="2"/>
    <n v="416"/>
    <n v="3"/>
    <n v="0"/>
    <n v="0"/>
    <n v="0"/>
    <n v="125344"/>
    <n v="3444480"/>
    <n v="23502"/>
    <n v="0"/>
    <n v="359"/>
    <n v="2812406"/>
    <n v="42348.70418755738"/>
    <n v="3"/>
    <n v="415"/>
    <n v="10"/>
    <n v="0"/>
    <n v="0"/>
    <n v="184642"/>
    <n v="3251110"/>
    <n v="78340"/>
    <n v="0"/>
    <n v="359"/>
    <n v="2812406"/>
    <n v="167983.1932773109"/>
    <n v="3"/>
    <n v="408"/>
    <n v="3"/>
    <n v="0"/>
    <n v="0"/>
    <n v="3378240"/>
    <n v="23502"/>
    <n v="0"/>
    <n v="0"/>
    <n v="359"/>
    <n v="2812406"/>
    <n v="50394.95798319328"/>
    <n v="10"/>
    <n v="371"/>
    <n v="10"/>
    <m/>
    <n v="0"/>
    <n v="0"/>
    <n v="2906414"/>
    <n v="82800"/>
    <n v="0"/>
    <n v="0"/>
    <n v="359"/>
    <n v="2812406"/>
    <n v="167983.1932773109"/>
    <n v="50"/>
    <n v="372"/>
    <n v="13"/>
    <m/>
    <n v="0"/>
    <n v="0"/>
    <n v="2914248"/>
    <n v="107640"/>
    <n v="0"/>
    <n v="0"/>
    <n v="372"/>
    <n v="2812406"/>
    <n v="218378.1512605042"/>
    <n v="117"/>
    <n v="379"/>
    <n v="117"/>
    <n v="0"/>
    <n v="0"/>
    <n v="0"/>
    <n v="2969086"/>
    <n v="968760"/>
    <n v="0"/>
    <n v="0"/>
    <n v="379"/>
    <n v="2812406"/>
    <n v="1965403.361344538"/>
    <n v="117"/>
    <n v="262"/>
    <n v="117"/>
    <n v="0"/>
    <n v="0"/>
    <n v="0"/>
    <n v="2052508"/>
    <n v="968760"/>
    <n v="0"/>
    <n v="0"/>
    <n v="262"/>
    <n v="2052508"/>
    <n v="1965403.361344538"/>
    <n v="39"/>
    <n v="145"/>
    <n v="39"/>
    <n v="0"/>
    <n v="0"/>
    <m/>
    <n v="1200600"/>
    <n v="322920"/>
    <n v="0"/>
    <n v="0"/>
    <n v="145"/>
    <n v="1200600"/>
    <n v="655134.4537815126"/>
    <n v="5"/>
    <n v="106"/>
    <n v="5"/>
    <n v="0"/>
    <n v="0"/>
    <n v="0"/>
    <m/>
    <n v="877680"/>
    <n v="41400"/>
    <n v="0"/>
    <n v="0"/>
    <n v="106"/>
    <n v="877680"/>
    <n v="62983.19327731093"/>
    <n v="0"/>
    <n v="101"/>
    <n v="0"/>
    <n v="0"/>
    <n v="0"/>
    <n v="836280"/>
    <n v="0"/>
    <n v="0"/>
    <n v="0"/>
    <n v="101"/>
    <n v="836280"/>
    <n v="0"/>
    <n v="0"/>
    <n v="101"/>
    <n v="0"/>
    <n v="0"/>
    <n v="0"/>
    <n v="836280"/>
    <n v="0"/>
    <n v="0"/>
    <n v="101"/>
    <n v="836280"/>
    <n v="0"/>
    <n v="0"/>
    <n v="101"/>
    <n v="0"/>
    <n v="0"/>
    <m/>
    <n v="836280"/>
    <n v="0"/>
    <n v="0"/>
    <n v="101"/>
    <n v="836280"/>
    <n v="0"/>
  </r>
  <r>
    <s v="Lhotse-Vestuario"/>
    <x v="1"/>
    <x v="16"/>
    <x v="38"/>
    <s v="LTW25-MFL01"/>
    <x v="278"/>
    <x v="265"/>
    <x v="0"/>
    <x v="0"/>
    <n v="1"/>
    <x v="174"/>
    <n v="214"/>
    <m/>
    <n v="0"/>
    <n v="7834"/>
    <n v="1676476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4"/>
    <n v="0.5662429057888764"/>
    <n v="29"/>
    <n v="0.456835170783127"/>
    <n v="37"/>
    <n v="0.3632111220096472"/>
    <n v="8"/>
    <n v="0.3314474233504131"/>
    <n v="4"/>
    <n v="0.3780994161117143"/>
    <n v="21"/>
    <n v="0.4650833183825773"/>
    <n v="5"/>
    <n v="0.5760914846620678"/>
    <n v="3"/>
    <n v="0.6219172793230482"/>
    <n v="2"/>
    <s v=""/>
    <n v="4"/>
    <s v=""/>
    <n v="11"/>
    <s v=""/>
    <n v="5"/>
    <s v=""/>
    <n v="0.8333333333333334"/>
    <n v="16"/>
    <s v=""/>
    <n v="0.8"/>
    <n v="35"/>
    <s v=""/>
    <n v="0.7"/>
    <n v="37"/>
    <s v=""/>
    <n v="0.4252873563218391"/>
    <n v="5"/>
    <n v="318"/>
    <n v="2"/>
    <n v="0"/>
    <n v="0"/>
    <n v="0"/>
    <n v="148846"/>
    <n v="2633040"/>
    <n v="15668"/>
    <n v="0"/>
    <n v="214"/>
    <n v="1676476"/>
    <n v="28232.46945837159"/>
    <n v="2"/>
    <n v="316"/>
    <n v="6"/>
    <n v="0"/>
    <n v="0"/>
    <n v="0"/>
    <n v="172348"/>
    <n v="2616480"/>
    <n v="47004"/>
    <n v="0"/>
    <n v="214"/>
    <n v="1676476"/>
    <n v="84697.40837511476"/>
    <n v="8"/>
    <n v="313"/>
    <n v="11"/>
    <n v="0"/>
    <n v="0"/>
    <n v="290944"/>
    <n v="2452042"/>
    <n v="86174"/>
    <n v="0"/>
    <n v="214"/>
    <n v="1676476"/>
    <n v="184781.512605042"/>
    <n v="6"/>
    <n v="308"/>
    <n v="5"/>
    <n v="0"/>
    <n v="0"/>
    <n v="2550240"/>
    <n v="39170"/>
    <n v="0"/>
    <n v="0"/>
    <n v="214"/>
    <n v="1676476"/>
    <n v="83991.59663865546"/>
    <n v="20"/>
    <n v="230"/>
    <n v="20"/>
    <m/>
    <n v="0"/>
    <n v="0"/>
    <n v="1801820"/>
    <n v="165600"/>
    <n v="0"/>
    <n v="0"/>
    <n v="214"/>
    <n v="1676476"/>
    <n v="335966.3865546219"/>
    <n v="50"/>
    <n v="249"/>
    <n v="35"/>
    <m/>
    <n v="0"/>
    <n v="0"/>
    <n v="1950666"/>
    <n v="289800"/>
    <n v="0"/>
    <n v="0"/>
    <n v="249"/>
    <n v="1676476"/>
    <n v="587941.1764705882"/>
    <n v="87"/>
    <n v="251"/>
    <n v="87"/>
    <n v="0"/>
    <n v="0"/>
    <n v="0"/>
    <n v="1966334"/>
    <n v="720360"/>
    <n v="0"/>
    <n v="0"/>
    <n v="251"/>
    <n v="1676476"/>
    <n v="1461453.781512605"/>
    <n v="87"/>
    <n v="164"/>
    <n v="87"/>
    <n v="0"/>
    <n v="0"/>
    <n v="0"/>
    <n v="1284776"/>
    <n v="720360"/>
    <n v="0"/>
    <n v="0"/>
    <n v="164"/>
    <n v="1284776"/>
    <n v="1461453.781512605"/>
    <n v="29"/>
    <n v="77"/>
    <n v="29"/>
    <n v="0"/>
    <n v="0"/>
    <m/>
    <n v="637560"/>
    <n v="240120"/>
    <n v="0"/>
    <n v="0"/>
    <n v="77"/>
    <n v="637560"/>
    <n v="487151.2605042017"/>
    <n v="5"/>
    <n v="48"/>
    <n v="5"/>
    <n v="0"/>
    <n v="0"/>
    <n v="0"/>
    <m/>
    <n v="397440"/>
    <n v="41400"/>
    <n v="0"/>
    <n v="0"/>
    <n v="48"/>
    <n v="397440"/>
    <n v="62983.19327731093"/>
    <n v="0"/>
    <n v="43"/>
    <n v="0"/>
    <n v="0"/>
    <n v="0"/>
    <n v="356040"/>
    <n v="0"/>
    <n v="0"/>
    <n v="0"/>
    <n v="43"/>
    <n v="356040"/>
    <n v="0"/>
    <n v="0"/>
    <n v="43"/>
    <n v="0"/>
    <n v="0"/>
    <n v="0"/>
    <n v="356040"/>
    <n v="0"/>
    <n v="0"/>
    <n v="43"/>
    <n v="356040"/>
    <n v="0"/>
    <n v="0"/>
    <n v="43"/>
    <n v="0"/>
    <n v="0"/>
    <m/>
    <n v="356040"/>
    <n v="0"/>
    <n v="0"/>
    <n v="43"/>
    <n v="356040"/>
    <n v="0"/>
  </r>
  <r>
    <s v="Lhotse-Vestuario"/>
    <x v="1"/>
    <x v="16"/>
    <x v="38"/>
    <s v="LTW25-MFL01"/>
    <x v="279"/>
    <x v="265"/>
    <x v="0"/>
    <x v="0"/>
    <n v="1"/>
    <x v="175"/>
    <n v="174"/>
    <m/>
    <n v="0"/>
    <n v="7834"/>
    <n v="1363116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4"/>
    <n v="0.5988853189283292"/>
    <n v="26"/>
    <n v="0.3874377249722599"/>
    <n v="64"/>
    <n v="0.3273212442485143"/>
    <n v="6"/>
    <n v="0.3487042919494547"/>
    <n v="5"/>
    <n v="0.4077657962595556"/>
    <n v="32"/>
    <n v="0.4014285761582171"/>
    <n v="0"/>
    <s v=""/>
    <n v="7"/>
    <n v="0.5588691426838582"/>
    <n v="1"/>
    <s v=""/>
    <n v="8"/>
    <s v=""/>
    <n v="11"/>
    <s v=""/>
    <n v="7"/>
    <s v=""/>
    <n v="1.166666666666667"/>
    <n v="15"/>
    <s v=""/>
    <n v="0.5"/>
    <n v="37"/>
    <s v=""/>
    <n v="0.5692307692307692"/>
    <n v="27"/>
    <s v=""/>
    <n v="0.3648648648648649"/>
    <n v="5"/>
    <n v="282"/>
    <n v="2"/>
    <n v="0"/>
    <n v="0"/>
    <n v="0"/>
    <n v="195850"/>
    <n v="2334960"/>
    <n v="15668"/>
    <n v="0"/>
    <n v="174"/>
    <n v="1363116"/>
    <n v="28232.46945837159"/>
    <n v="2"/>
    <n v="281"/>
    <n v="12"/>
    <n v="0"/>
    <n v="0"/>
    <n v="0"/>
    <n v="235020"/>
    <n v="2326680"/>
    <n v="94008"/>
    <n v="0"/>
    <n v="174"/>
    <n v="1363116"/>
    <n v="169394.8167502295"/>
    <n v="3"/>
    <n v="274"/>
    <n v="11"/>
    <n v="0"/>
    <n v="0"/>
    <n v="389412"/>
    <n v="2146516"/>
    <n v="86174"/>
    <n v="0"/>
    <n v="174"/>
    <n v="1363116"/>
    <n v="184781.512605042"/>
    <n v="6"/>
    <n v="263"/>
    <n v="7"/>
    <n v="0"/>
    <n v="0"/>
    <n v="2177640"/>
    <n v="54838"/>
    <n v="0"/>
    <n v="0"/>
    <n v="174"/>
    <n v="1363116"/>
    <n v="117588.2352941177"/>
    <n v="30"/>
    <n v="189"/>
    <n v="30"/>
    <m/>
    <n v="0"/>
    <n v="0"/>
    <n v="1480626"/>
    <n v="248400"/>
    <n v="0"/>
    <n v="0"/>
    <n v="174"/>
    <n v="1363116"/>
    <n v="503949.5798319328"/>
    <n v="65"/>
    <n v="211"/>
    <n v="37"/>
    <m/>
    <n v="0"/>
    <n v="0"/>
    <n v="1652974"/>
    <n v="306360"/>
    <n v="0"/>
    <n v="0"/>
    <n v="211"/>
    <n v="1363116"/>
    <n v="621537.8151260505"/>
    <n v="74"/>
    <n v="201"/>
    <n v="74"/>
    <n v="0"/>
    <n v="0"/>
    <n v="0"/>
    <n v="1574634"/>
    <n v="612720"/>
    <n v="0"/>
    <n v="0"/>
    <n v="201"/>
    <n v="1363116"/>
    <n v="1243075.630252101"/>
    <n v="74"/>
    <n v="127"/>
    <n v="74"/>
    <n v="0"/>
    <n v="0"/>
    <n v="0"/>
    <n v="994918"/>
    <n v="612720"/>
    <n v="0"/>
    <n v="0"/>
    <n v="127"/>
    <n v="994918"/>
    <n v="1243075.630252101"/>
    <n v="25"/>
    <n v="53"/>
    <n v="25"/>
    <n v="0"/>
    <n v="0"/>
    <m/>
    <n v="438840"/>
    <n v="207000"/>
    <n v="0"/>
    <n v="0"/>
    <n v="53"/>
    <n v="438840"/>
    <n v="419957.9831932773"/>
    <n v="0"/>
    <n v="28"/>
    <n v="0"/>
    <n v="0"/>
    <n v="0"/>
    <n v="0"/>
    <m/>
    <n v="231840"/>
    <n v="0"/>
    <n v="0"/>
    <n v="0"/>
    <n v="28"/>
    <n v="231840"/>
    <n v="0"/>
    <n v="0"/>
    <n v="28"/>
    <n v="0"/>
    <n v="0"/>
    <n v="0"/>
    <n v="231840"/>
    <n v="0"/>
    <n v="0"/>
    <n v="0"/>
    <n v="28"/>
    <n v="231840"/>
    <n v="0"/>
    <n v="0"/>
    <n v="28"/>
    <n v="0"/>
    <n v="0"/>
    <n v="0"/>
    <n v="231840"/>
    <n v="0"/>
    <n v="0"/>
    <n v="28"/>
    <n v="231840"/>
    <n v="0"/>
    <n v="0"/>
    <n v="28"/>
    <n v="0"/>
    <n v="0"/>
    <m/>
    <n v="231840"/>
    <n v="0"/>
    <n v="0"/>
    <n v="28"/>
    <n v="231840"/>
    <n v="0"/>
  </r>
  <r>
    <s v="Lhotse-Vestuario"/>
    <x v="1"/>
    <x v="16"/>
    <x v="38"/>
    <s v="LTW25-MFL01"/>
    <x v="280"/>
    <x v="265"/>
    <x v="0"/>
    <x v="1"/>
    <n v="1"/>
    <x v="176"/>
    <n v="325"/>
    <m/>
    <n v="0"/>
    <n v="7834"/>
    <n v="2546050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2"/>
    <n v="0.5854875919360814"/>
    <n v="13"/>
    <n v="0.4520201353900106"/>
    <n v="44"/>
    <n v="0.303916051421276"/>
    <n v="6"/>
    <n v="0.3781043254422963"/>
    <n v="4"/>
    <n v="0.5025769931251745"/>
    <n v="32"/>
    <n v="0.4751593466181504"/>
    <n v="3"/>
    <n v="0.5257991162405924"/>
    <n v="3"/>
    <n v="0.6114280045632657"/>
    <n v="0"/>
    <s v=""/>
    <n v="2"/>
    <s v=""/>
    <n v="2"/>
    <s v=""/>
    <n v="1"/>
    <s v=""/>
    <n v="0.25"/>
    <n v="11"/>
    <s v=""/>
    <n v="1.1"/>
    <n v="11"/>
    <s v=""/>
    <n v="0.22"/>
    <n v="13"/>
    <s v=""/>
    <n v="0.125"/>
    <n v="5"/>
    <n v="360"/>
    <n v="2"/>
    <n v="0"/>
    <n v="0"/>
    <n v="0"/>
    <n v="54838"/>
    <n v="2980800"/>
    <n v="15668"/>
    <n v="0"/>
    <n v="325"/>
    <n v="2546050"/>
    <n v="28232.46945837159"/>
    <n v="2"/>
    <n v="360"/>
    <n v="3"/>
    <n v="0"/>
    <n v="0"/>
    <n v="0"/>
    <n v="47004"/>
    <n v="2980800"/>
    <n v="23502"/>
    <n v="0"/>
    <n v="325"/>
    <n v="2546050"/>
    <n v="42348.70418755738"/>
    <n v="3"/>
    <n v="359"/>
    <n v="2"/>
    <n v="0"/>
    <n v="0"/>
    <n v="106302"/>
    <n v="2812406"/>
    <n v="15668"/>
    <n v="0"/>
    <n v="325"/>
    <n v="2546050"/>
    <n v="33596.63865546219"/>
    <n v="4"/>
    <n v="362"/>
    <n v="1"/>
    <n v="0"/>
    <n v="0"/>
    <n v="2997360"/>
    <n v="7834"/>
    <n v="0"/>
    <n v="0"/>
    <n v="325"/>
    <n v="2546050"/>
    <n v="16798.31932773109"/>
    <n v="10"/>
    <n v="336"/>
    <n v="10"/>
    <m/>
    <n v="0"/>
    <n v="0"/>
    <n v="2632224"/>
    <n v="82800"/>
    <n v="0"/>
    <n v="0"/>
    <n v="325"/>
    <n v="2546050"/>
    <n v="167983.1932773109"/>
    <n v="50"/>
    <n v="336"/>
    <n v="11"/>
    <m/>
    <n v="0"/>
    <n v="0"/>
    <n v="2632224"/>
    <n v="91080"/>
    <n v="0"/>
    <n v="0"/>
    <n v="336"/>
    <n v="2546050"/>
    <n v="184781.512605042"/>
    <n v="104"/>
    <n v="338"/>
    <n v="104"/>
    <n v="0"/>
    <n v="0"/>
    <n v="0"/>
    <n v="2647892"/>
    <n v="861120"/>
    <n v="0"/>
    <n v="0"/>
    <n v="338"/>
    <n v="2546050"/>
    <n v="1747025.210084034"/>
    <n v="104"/>
    <n v="234"/>
    <n v="104"/>
    <n v="0"/>
    <n v="0"/>
    <n v="0"/>
    <n v="1833156"/>
    <n v="861120"/>
    <n v="0"/>
    <n v="0"/>
    <n v="234"/>
    <n v="1833156"/>
    <n v="1747025.210084034"/>
    <n v="35"/>
    <n v="130"/>
    <n v="35"/>
    <n v="0"/>
    <n v="0"/>
    <m/>
    <n v="1076400"/>
    <n v="289800"/>
    <n v="0"/>
    <n v="0"/>
    <n v="130"/>
    <n v="1076400"/>
    <n v="587941.1764705882"/>
    <n v="5"/>
    <n v="95"/>
    <n v="5"/>
    <n v="0"/>
    <n v="0"/>
    <n v="0"/>
    <m/>
    <n v="786600"/>
    <n v="41400"/>
    <n v="0"/>
    <n v="0"/>
    <n v="95"/>
    <n v="786600"/>
    <n v="62983.19327731093"/>
    <n v="0"/>
    <n v="90"/>
    <n v="0"/>
    <n v="0"/>
    <n v="0"/>
    <n v="745200"/>
    <n v="0"/>
    <n v="0"/>
    <n v="0"/>
    <n v="90"/>
    <n v="745200"/>
    <n v="0"/>
    <n v="0"/>
    <n v="90"/>
    <n v="0"/>
    <n v="0"/>
    <n v="0"/>
    <n v="745200"/>
    <n v="0"/>
    <n v="0"/>
    <n v="90"/>
    <n v="745200"/>
    <n v="0"/>
    <n v="0"/>
    <n v="90"/>
    <n v="0"/>
    <n v="0"/>
    <m/>
    <n v="745200"/>
    <n v="0"/>
    <n v="0"/>
    <n v="90"/>
    <n v="745200"/>
    <n v="0"/>
  </r>
  <r>
    <s v="Lhotse-Vestuario"/>
    <x v="1"/>
    <x v="16"/>
    <x v="38"/>
    <s v="LTW25-MTS02"/>
    <x v="281"/>
    <x v="266"/>
    <x v="0"/>
    <x v="6"/>
    <n v="1"/>
    <x v="12"/>
    <n v="29"/>
    <m/>
    <n v="0"/>
    <n v="5875"/>
    <n v="17037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5945199806749948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5"/>
    <n v="28"/>
    <n v="2"/>
    <n v="0"/>
    <n v="0"/>
    <n v="0"/>
    <n v="11750"/>
    <n v="173880"/>
    <n v="11750"/>
    <n v="0"/>
    <n v="29"/>
    <n v="170375"/>
    <n v="14109.1730809971"/>
    <n v="4"/>
    <n v="29"/>
    <n v="0"/>
    <n v="0"/>
    <n v="0"/>
    <n v="0"/>
    <n v="0"/>
    <n v="180090"/>
    <n v="0"/>
    <n v="0"/>
    <n v="29"/>
    <n v="170375"/>
    <n v="0"/>
    <n v="3"/>
    <n v="29"/>
    <n v="0"/>
    <n v="0"/>
    <n v="0"/>
    <n v="31050"/>
    <n v="170375"/>
    <n v="0"/>
    <n v="0"/>
    <n v="29"/>
    <n v="170375"/>
    <n v="0"/>
    <n v="3"/>
    <n v="27"/>
    <n v="0"/>
    <n v="0"/>
    <n v="0"/>
    <n v="167670"/>
    <n v="0"/>
    <n v="0"/>
    <n v="0"/>
    <n v="29"/>
    <n v="170375"/>
    <n v="0"/>
    <n v="5"/>
    <n v="29"/>
    <n v="5"/>
    <m/>
    <n v="0"/>
    <n v="0"/>
    <n v="170375"/>
    <n v="31050"/>
    <n v="0"/>
    <n v="0"/>
    <n v="29"/>
    <n v="170375"/>
    <n v="41974.78991596639"/>
    <n v="10.5"/>
    <n v="29"/>
    <n v="0"/>
    <m/>
    <n v="0"/>
    <n v="0"/>
    <n v="170375"/>
    <n v="0"/>
    <n v="0"/>
    <n v="0"/>
    <n v="29"/>
    <n v="170375"/>
    <n v="0"/>
    <n v="10"/>
    <n v="29"/>
    <n v="10"/>
    <n v="0"/>
    <n v="0"/>
    <n v="0"/>
    <n v="170375"/>
    <n v="62099.99999999999"/>
    <n v="0"/>
    <n v="0"/>
    <n v="29"/>
    <n v="170375"/>
    <n v="83949.57983193277"/>
    <n v="10"/>
    <n v="19"/>
    <n v="10"/>
    <n v="0"/>
    <n v="0"/>
    <n v="0"/>
    <n v="111625"/>
    <n v="62099.99999999999"/>
    <n v="0"/>
    <n v="0"/>
    <n v="19"/>
    <n v="111625"/>
    <n v="83949.57983193277"/>
    <n v="10"/>
    <n v="9"/>
    <n v="10"/>
    <n v="0"/>
    <n v="0"/>
    <m/>
    <n v="55889.99999999999"/>
    <n v="62099.99999999999"/>
    <n v="0"/>
    <n v="0"/>
    <n v="9"/>
    <n v="55889.99999999999"/>
    <n v="83949.579831932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2"/>
    <x v="266"/>
    <x v="0"/>
    <x v="6"/>
    <n v="1"/>
    <x v="12"/>
    <n v="28"/>
    <m/>
    <n v="0"/>
    <n v="5875"/>
    <n v="1645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n v="0"/>
    <n v="1"/>
    <n v="0.4169352121509326"/>
    <n v="6"/>
    <n v="0.2223692918596956"/>
    <n v="0"/>
    <n v="0.4617991938438988"/>
    <n v="1"/>
    <n v="0.3638535031847134"/>
    <n v="8"/>
    <n v="0.4769467042077968"/>
    <n v="1"/>
    <n v="0.4617991938438988"/>
    <n v="6"/>
    <n v="0.4450916189156854"/>
    <n v="5"/>
    <s v=""/>
    <n v="0"/>
    <s v=""/>
    <n v="2"/>
    <s v=""/>
    <n v="0"/>
    <s v=""/>
    <n v="0"/>
    <n v="0"/>
    <s v=""/>
    <n v="0"/>
    <n v="2"/>
    <s v=""/>
    <n v="0.09523809523809523"/>
    <n v="1"/>
    <s v=""/>
    <n v="0.09090909090909091"/>
    <n v="6"/>
    <n v="33"/>
    <n v="2"/>
    <n v="0"/>
    <n v="0"/>
    <n v="0"/>
    <n v="23500"/>
    <n v="204930"/>
    <n v="11750"/>
    <n v="0"/>
    <n v="28"/>
    <n v="164500"/>
    <n v="14109.1730809971"/>
    <n v="4"/>
    <n v="32"/>
    <n v="0"/>
    <n v="0"/>
    <n v="0"/>
    <n v="0"/>
    <n v="11750"/>
    <n v="198720"/>
    <n v="0"/>
    <n v="0"/>
    <n v="28"/>
    <n v="164500"/>
    <n v="0"/>
    <n v="3"/>
    <n v="34"/>
    <n v="2"/>
    <n v="0"/>
    <n v="0"/>
    <n v="42800"/>
    <n v="199750"/>
    <n v="11750"/>
    <n v="0"/>
    <n v="28"/>
    <n v="164500"/>
    <n v="16789.91596638655"/>
    <n v="3"/>
    <n v="32"/>
    <n v="0"/>
    <n v="0"/>
    <n v="0"/>
    <n v="198720"/>
    <n v="0"/>
    <n v="0"/>
    <n v="0"/>
    <n v="28"/>
    <n v="164500"/>
    <n v="0"/>
    <n v="5"/>
    <n v="28"/>
    <n v="5"/>
    <m/>
    <n v="0"/>
    <n v="0"/>
    <n v="164500"/>
    <n v="31050"/>
    <n v="0"/>
    <n v="0"/>
    <n v="28"/>
    <n v="164500"/>
    <n v="41974.78991596639"/>
    <n v="21"/>
    <n v="30"/>
    <n v="2"/>
    <m/>
    <n v="0"/>
    <n v="0"/>
    <n v="176250"/>
    <n v="12420"/>
    <n v="0"/>
    <n v="0"/>
    <n v="30"/>
    <n v="164500"/>
    <n v="16789.91596638655"/>
    <n v="11"/>
    <n v="29"/>
    <n v="11"/>
    <n v="0"/>
    <n v="0"/>
    <n v="0"/>
    <n v="170375"/>
    <n v="68309.99999999999"/>
    <n v="0"/>
    <n v="0"/>
    <n v="29"/>
    <n v="164500"/>
    <n v="92344.53781512605"/>
    <n v="11"/>
    <n v="18"/>
    <n v="11"/>
    <n v="0"/>
    <n v="0"/>
    <n v="0"/>
    <n v="105750"/>
    <n v="68309.99999999999"/>
    <n v="0"/>
    <n v="0"/>
    <n v="18"/>
    <n v="105750"/>
    <n v="92344.53781512605"/>
    <n v="11"/>
    <n v="7"/>
    <n v="11"/>
    <n v="0"/>
    <n v="0"/>
    <m/>
    <n v="43469.99999999999"/>
    <n v="68309.99999999999"/>
    <n v="0"/>
    <n v="0"/>
    <n v="7"/>
    <n v="43469.99999999999"/>
    <n v="92344.5378151260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3"/>
    <x v="266"/>
    <x v="0"/>
    <x v="6"/>
    <n v="1"/>
    <x v="12"/>
    <n v="40"/>
    <m/>
    <n v="0"/>
    <n v="5875"/>
    <n v="2350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n v="0"/>
    <n v="2"/>
    <n v="0.5534696359352436"/>
    <n v="2"/>
    <n v="0.2224036001058855"/>
    <n v="8"/>
    <n v="0.2463117382937781"/>
    <n v="3"/>
    <n v="0.4617986414192632"/>
    <n v="2"/>
    <n v="0.3122622183201639"/>
    <n v="12"/>
    <n v="0.4349286246723788"/>
    <n v="0"/>
    <s v=""/>
    <n v="9"/>
    <n v="0.5336355698245676"/>
    <n v="13"/>
    <s v=""/>
    <n v="0"/>
    <s v=""/>
    <n v="2"/>
    <s v=""/>
    <n v="2"/>
    <s v=""/>
    <n v="0.6666666666666666"/>
    <n v="1"/>
    <s v=""/>
    <n v="0.2"/>
    <n v="1"/>
    <s v=""/>
    <n v="0.03174603174603174"/>
    <n v="1"/>
    <s v=""/>
    <n v="0.06666666666666667"/>
    <n v="6"/>
    <n v="47"/>
    <n v="3"/>
    <n v="0"/>
    <n v="0"/>
    <n v="0"/>
    <n v="29375"/>
    <n v="291869.9999999999"/>
    <n v="17625"/>
    <n v="0"/>
    <n v="40"/>
    <n v="235000"/>
    <n v="21163.75962149566"/>
    <n v="4"/>
    <n v="47"/>
    <n v="0"/>
    <n v="0"/>
    <n v="0"/>
    <n v="0"/>
    <n v="23500"/>
    <n v="291869.9999999999"/>
    <n v="0"/>
    <n v="0"/>
    <n v="40"/>
    <n v="235000"/>
    <n v="0"/>
    <n v="3"/>
    <n v="48"/>
    <n v="2"/>
    <n v="0"/>
    <n v="0"/>
    <n v="54550"/>
    <n v="282000"/>
    <n v="11750"/>
    <n v="0"/>
    <n v="40"/>
    <n v="235000"/>
    <n v="16789.91596638655"/>
    <n v="3"/>
    <n v="46"/>
    <n v="2"/>
    <n v="0"/>
    <n v="0"/>
    <n v="285659.9999999999"/>
    <n v="11750"/>
    <n v="0"/>
    <n v="0"/>
    <n v="40"/>
    <n v="235000"/>
    <n v="16789.91596638655"/>
    <n v="5"/>
    <n v="41"/>
    <n v="5"/>
    <m/>
    <n v="0"/>
    <n v="0"/>
    <n v="240875"/>
    <n v="31050"/>
    <n v="0"/>
    <n v="0"/>
    <n v="40"/>
    <n v="235000"/>
    <n v="41974.78991596639"/>
    <n v="31.5"/>
    <n v="41"/>
    <n v="1"/>
    <m/>
    <n v="0"/>
    <n v="0"/>
    <n v="240875"/>
    <n v="6209.999999999999"/>
    <n v="0"/>
    <n v="0"/>
    <n v="41"/>
    <n v="235000"/>
    <n v="8394.957983193277"/>
    <n v="15"/>
    <n v="41"/>
    <n v="15"/>
    <n v="0"/>
    <n v="0"/>
    <n v="0"/>
    <n v="240875"/>
    <n v="93149.99999999999"/>
    <n v="0"/>
    <n v="0"/>
    <n v="41"/>
    <n v="235000"/>
    <n v="125924.3697478992"/>
    <n v="15"/>
    <n v="26"/>
    <n v="15"/>
    <n v="0"/>
    <n v="0"/>
    <n v="0"/>
    <n v="152750"/>
    <n v="93149.99999999999"/>
    <n v="0"/>
    <n v="0"/>
    <n v="26"/>
    <n v="152750"/>
    <n v="125924.3697478992"/>
    <n v="15"/>
    <n v="11"/>
    <n v="15"/>
    <n v="0"/>
    <n v="0"/>
    <m/>
    <n v="68309.99999999999"/>
    <n v="93149.99999999999"/>
    <n v="0"/>
    <n v="0"/>
    <n v="11"/>
    <n v="68309.99999999999"/>
    <n v="125924.369747899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4"/>
    <x v="266"/>
    <x v="0"/>
    <x v="6"/>
    <n v="1"/>
    <x v="12"/>
    <n v="5"/>
    <m/>
    <n v="0"/>
    <n v="5875"/>
    <n v="2937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1"/>
    <n v="0.4617991938438988"/>
    <n v="0"/>
    <s v=""/>
    <n v="0"/>
    <s v=""/>
    <n v="0"/>
    <s v=""/>
    <n v="1"/>
    <n v="0.3638535031847134"/>
    <n v="6"/>
    <n v="0.3959697042393502"/>
    <n v="1"/>
    <n v="0.4617991938438988"/>
    <n v="3"/>
    <n v="0.5786113900444699"/>
    <n v="5"/>
    <s v=""/>
    <n v="3"/>
    <s v=""/>
    <n v="3"/>
    <s v=""/>
    <n v="1"/>
    <s v=""/>
    <n v="0.3333333333333333"/>
    <n v="0"/>
    <s v=""/>
    <n v="0"/>
    <n v="1"/>
    <s v=""/>
    <n v="0.09523809523809523"/>
    <n v="1"/>
    <s v=""/>
    <n v="0.5"/>
    <n v="5"/>
    <n v="13"/>
    <n v="2"/>
    <n v="0"/>
    <n v="0"/>
    <n v="0"/>
    <n v="55812.5"/>
    <n v="80729.99999999999"/>
    <n v="11750"/>
    <n v="0"/>
    <n v="5"/>
    <n v="29375"/>
    <n v="14109.1730809971"/>
    <n v="2"/>
    <n v="13"/>
    <n v="4.5"/>
    <n v="0"/>
    <n v="0"/>
    <n v="0"/>
    <n v="49937.5"/>
    <n v="80729.99999999999"/>
    <n v="26437.5"/>
    <n v="0"/>
    <n v="5"/>
    <n v="29375"/>
    <n v="31745.63943224349"/>
    <n v="3"/>
    <n v="10"/>
    <n v="3"/>
    <n v="0"/>
    <n v="0"/>
    <n v="54550"/>
    <n v="58750"/>
    <n v="17625"/>
    <n v="0"/>
    <n v="5"/>
    <n v="29375"/>
    <n v="25184.87394957983"/>
    <n v="3"/>
    <n v="8"/>
    <n v="1"/>
    <n v="0"/>
    <n v="0"/>
    <n v="49679.99999999999"/>
    <n v="5875"/>
    <n v="0"/>
    <n v="0"/>
    <n v="5"/>
    <n v="29375"/>
    <n v="8394.957983193277"/>
    <n v="5"/>
    <n v="5"/>
    <n v="5"/>
    <m/>
    <n v="0"/>
    <n v="0"/>
    <n v="29375"/>
    <n v="31050"/>
    <n v="0"/>
    <n v="0"/>
    <n v="5"/>
    <n v="29375"/>
    <n v="41974.78991596639"/>
    <n v="10.5"/>
    <n v="6"/>
    <n v="1"/>
    <m/>
    <n v="0"/>
    <n v="0"/>
    <n v="35250"/>
    <n v="6209.999999999999"/>
    <n v="0"/>
    <n v="0"/>
    <n v="6"/>
    <n v="29375"/>
    <n v="8394.957983193277"/>
    <n v="2"/>
    <n v="6"/>
    <n v="2"/>
    <n v="0"/>
    <n v="0"/>
    <n v="0"/>
    <n v="35250"/>
    <n v="12420"/>
    <n v="0"/>
    <n v="0"/>
    <n v="6"/>
    <n v="29375"/>
    <n v="16789.91596638655"/>
    <n v="2"/>
    <n v="4"/>
    <n v="2"/>
    <n v="0"/>
    <n v="0"/>
    <n v="0"/>
    <n v="23500"/>
    <n v="12420"/>
    <n v="0"/>
    <n v="0"/>
    <n v="4"/>
    <n v="23500"/>
    <n v="16789.91596638655"/>
    <n v="2"/>
    <n v="2"/>
    <n v="2"/>
    <n v="0"/>
    <n v="0"/>
    <m/>
    <n v="12420"/>
    <n v="12420"/>
    <n v="0"/>
    <n v="0"/>
    <n v="2"/>
    <n v="12420"/>
    <n v="16789.9159663865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5"/>
    <x v="266"/>
    <x v="0"/>
    <x v="6"/>
    <n v="1"/>
    <x v="12"/>
    <n v="16"/>
    <m/>
    <n v="0"/>
    <n v="5875"/>
    <n v="940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5945199806749948"/>
    <n v="5"/>
    <n v="0"/>
    <n v="1"/>
    <n v="0.2311215809449025"/>
    <n v="1"/>
    <n v="0.619864121643481"/>
    <n v="6"/>
    <s v=""/>
    <n v="0"/>
    <s v=""/>
    <n v="0"/>
    <s v=""/>
    <n v="1"/>
    <s v=""/>
    <n v="0.3333333333333333"/>
    <n v="0"/>
    <s v=""/>
    <n v="0"/>
    <n v="0"/>
    <s v=""/>
    <n v="0"/>
    <n v="0"/>
    <s v=""/>
    <n v="0"/>
    <n v="5"/>
    <n v="18"/>
    <n v="2"/>
    <n v="0"/>
    <n v="0"/>
    <n v="0"/>
    <n v="11750"/>
    <n v="111780"/>
    <n v="11750"/>
    <n v="0"/>
    <n v="16"/>
    <n v="94000"/>
    <n v="14109.1730809971"/>
    <n v="3"/>
    <n v="19"/>
    <n v="0"/>
    <n v="0"/>
    <n v="0"/>
    <n v="0"/>
    <n v="5875"/>
    <n v="117990"/>
    <n v="0"/>
    <n v="0"/>
    <n v="16"/>
    <n v="94000"/>
    <n v="0"/>
    <n v="3"/>
    <n v="19"/>
    <n v="0"/>
    <n v="0"/>
    <n v="0"/>
    <n v="36925"/>
    <n v="111625"/>
    <n v="0"/>
    <n v="0"/>
    <n v="16"/>
    <n v="94000"/>
    <n v="0"/>
    <n v="3"/>
    <n v="19"/>
    <n v="1"/>
    <n v="0"/>
    <n v="0"/>
    <n v="117990"/>
    <n v="5875"/>
    <n v="0"/>
    <n v="0"/>
    <n v="16"/>
    <n v="94000"/>
    <n v="8394.957983193277"/>
    <n v="5"/>
    <n v="16"/>
    <n v="5"/>
    <m/>
    <n v="0"/>
    <n v="0"/>
    <n v="94000"/>
    <n v="31050"/>
    <n v="0"/>
    <n v="0"/>
    <n v="16"/>
    <n v="94000"/>
    <n v="41974.78991596639"/>
    <n v="10.5"/>
    <n v="16"/>
    <n v="0"/>
    <m/>
    <n v="0"/>
    <n v="0"/>
    <n v="94000"/>
    <n v="0"/>
    <n v="0"/>
    <n v="0"/>
    <n v="16"/>
    <n v="94000"/>
    <n v="0"/>
    <n v="6"/>
    <n v="16"/>
    <n v="6"/>
    <n v="0"/>
    <n v="0"/>
    <n v="0"/>
    <n v="94000"/>
    <n v="37259.99999999999"/>
    <n v="0"/>
    <n v="0"/>
    <n v="16"/>
    <n v="94000"/>
    <n v="50369.74789915966"/>
    <n v="6"/>
    <n v="10"/>
    <n v="6"/>
    <n v="0"/>
    <n v="0"/>
    <n v="0"/>
    <n v="58750"/>
    <n v="37259.99999999999"/>
    <n v="0"/>
    <n v="0"/>
    <n v="10"/>
    <n v="58750"/>
    <n v="50369.74789915966"/>
    <n v="6"/>
    <n v="4"/>
    <n v="6"/>
    <n v="0"/>
    <n v="0"/>
    <m/>
    <n v="24840"/>
    <n v="37259.99999999999"/>
    <n v="0"/>
    <n v="0"/>
    <n v="4"/>
    <n v="24840"/>
    <n v="50369.7478991596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6"/>
    <x v="266"/>
    <x v="0"/>
    <x v="6"/>
    <n v="1"/>
    <x v="12"/>
    <n v="32"/>
    <m/>
    <n v="0"/>
    <n v="5875"/>
    <n v="1880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n v="0"/>
    <n v="1"/>
    <n v="0.3173169102053859"/>
    <n v="0"/>
    <n v="0.4617991938438988"/>
    <n v="0"/>
    <n v="0.4617991938438988"/>
    <n v="2"/>
    <n v="0.3638332430969139"/>
    <n v="2"/>
    <n v="0.569554405306279"/>
    <n v="6"/>
    <n v="0.3687094809986031"/>
    <n v="1"/>
    <n v="0.2000272331154684"/>
    <n v="5"/>
    <n v="0.5816420992665385"/>
    <n v="11"/>
    <s v=""/>
    <n v="3"/>
    <s v=""/>
    <n v="3"/>
    <s v=""/>
    <n v="0"/>
    <s v=""/>
    <n v="0"/>
    <n v="0"/>
    <s v=""/>
    <n v="0"/>
    <n v="3"/>
    <s v=""/>
    <n v="0.1428571428571428"/>
    <n v="1"/>
    <s v=""/>
    <n v="0.08333333333333333"/>
    <n v="5"/>
    <n v="42"/>
    <n v="3"/>
    <n v="0"/>
    <n v="0"/>
    <n v="0"/>
    <n v="61687.5"/>
    <n v="260820"/>
    <n v="17625"/>
    <n v="0"/>
    <n v="32"/>
    <n v="188000"/>
    <n v="21163.75962149566"/>
    <n v="3"/>
    <n v="41"/>
    <n v="4.5"/>
    <n v="0"/>
    <n v="0"/>
    <n v="0"/>
    <n v="44062.5"/>
    <n v="254610"/>
    <n v="26437.5"/>
    <n v="0"/>
    <n v="32"/>
    <n v="188000"/>
    <n v="31745.63943224349"/>
    <n v="3"/>
    <n v="38"/>
    <n v="3"/>
    <n v="0"/>
    <n v="0"/>
    <n v="48675"/>
    <n v="223250"/>
    <n v="17625"/>
    <n v="0"/>
    <n v="32"/>
    <n v="188000"/>
    <n v="25184.87394957983"/>
    <n v="3"/>
    <n v="36"/>
    <n v="0"/>
    <n v="0"/>
    <n v="0"/>
    <n v="223560"/>
    <n v="0"/>
    <n v="0"/>
    <n v="0"/>
    <n v="32"/>
    <n v="188000"/>
    <n v="0"/>
    <n v="5"/>
    <n v="32"/>
    <n v="5"/>
    <m/>
    <n v="0"/>
    <n v="0"/>
    <n v="188000"/>
    <n v="31050"/>
    <n v="0"/>
    <n v="0"/>
    <n v="32"/>
    <n v="188000"/>
    <n v="41974.78991596639"/>
    <n v="21"/>
    <n v="35"/>
    <n v="3"/>
    <m/>
    <n v="0"/>
    <n v="0"/>
    <n v="205625"/>
    <n v="18630"/>
    <n v="0"/>
    <n v="0"/>
    <n v="35"/>
    <n v="188000"/>
    <n v="25184.87394957983"/>
    <n v="12"/>
    <n v="33"/>
    <n v="12"/>
    <n v="0"/>
    <n v="0"/>
    <n v="0"/>
    <n v="193875"/>
    <n v="74519.99999999999"/>
    <n v="0"/>
    <n v="0"/>
    <n v="33"/>
    <n v="188000"/>
    <n v="100739.4957983193"/>
    <n v="12"/>
    <n v="21"/>
    <n v="12"/>
    <n v="0"/>
    <n v="0"/>
    <n v="0"/>
    <n v="123375"/>
    <n v="74519.99999999999"/>
    <n v="0"/>
    <n v="0"/>
    <n v="21"/>
    <n v="123375"/>
    <n v="100739.4957983193"/>
    <n v="12"/>
    <n v="9"/>
    <n v="12"/>
    <n v="0"/>
    <n v="0"/>
    <m/>
    <n v="55889.99999999999"/>
    <n v="74519.99999999999"/>
    <n v="0"/>
    <n v="0"/>
    <n v="9"/>
    <n v="55889.99999999999"/>
    <n v="100739.495798319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7"/>
    <x v="266"/>
    <x v="0"/>
    <x v="6"/>
    <n v="1"/>
    <x v="12"/>
    <n v="24"/>
    <m/>
    <n v="0"/>
    <n v="5875"/>
    <n v="1410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n v="0"/>
    <n v="0"/>
    <n v="0"/>
    <n v="1"/>
    <n v="0"/>
    <n v="10"/>
    <n v="0.3078826116550605"/>
    <n v="1"/>
    <n v="0.2223692918596956"/>
    <n v="5"/>
    <n v="0.4687872979131252"/>
    <n v="12"/>
    <n v="0.4128718478297079"/>
    <n v="0"/>
    <s v=""/>
    <n v="4"/>
    <n v="0.3398876404494382"/>
    <n v="23"/>
    <s v=""/>
    <n v="2"/>
    <s v=""/>
    <n v="5"/>
    <s v=""/>
    <n v="3"/>
    <s v=""/>
    <n v="1"/>
    <n v="1"/>
    <s v=""/>
    <n v="0.2"/>
    <n v="2"/>
    <s v=""/>
    <n v="0.06349206349206349"/>
    <n v="2"/>
    <s v=""/>
    <n v="0.2"/>
    <n v="5"/>
    <n v="39"/>
    <n v="3"/>
    <n v="0"/>
    <n v="0"/>
    <n v="0"/>
    <n v="64625"/>
    <n v="242190"/>
    <n v="17625"/>
    <n v="0"/>
    <n v="24"/>
    <n v="141000"/>
    <n v="21163.75962149566"/>
    <n v="2"/>
    <n v="38"/>
    <n v="3"/>
    <n v="0"/>
    <n v="0"/>
    <n v="0"/>
    <n v="64625"/>
    <n v="235980"/>
    <n v="17625"/>
    <n v="0"/>
    <n v="24"/>
    <n v="141000"/>
    <n v="21163.75962149566"/>
    <n v="3"/>
    <n v="36"/>
    <n v="5"/>
    <n v="0"/>
    <n v="0"/>
    <n v="78050"/>
    <n v="211500"/>
    <n v="29375"/>
    <n v="0"/>
    <n v="24"/>
    <n v="141000"/>
    <n v="41974.78991596639"/>
    <n v="3"/>
    <n v="32"/>
    <n v="3"/>
    <n v="0"/>
    <n v="0"/>
    <n v="198720"/>
    <n v="17625"/>
    <n v="0"/>
    <n v="0"/>
    <n v="24"/>
    <n v="141000"/>
    <n v="25184.87394957983"/>
    <n v="5"/>
    <n v="25"/>
    <n v="5"/>
    <m/>
    <n v="0"/>
    <n v="0"/>
    <n v="146875"/>
    <n v="31050"/>
    <n v="0"/>
    <n v="0"/>
    <n v="24"/>
    <n v="141000"/>
    <n v="41974.78991596639"/>
    <n v="31.5"/>
    <n v="26"/>
    <n v="2"/>
    <m/>
    <n v="0"/>
    <n v="0"/>
    <n v="152750"/>
    <n v="12420"/>
    <n v="0"/>
    <n v="0"/>
    <n v="26"/>
    <n v="141000"/>
    <n v="16789.91596638655"/>
    <n v="10"/>
    <n v="26"/>
    <n v="10"/>
    <n v="0"/>
    <n v="0"/>
    <n v="0"/>
    <n v="152750"/>
    <n v="62099.99999999999"/>
    <n v="0"/>
    <n v="0"/>
    <n v="26"/>
    <n v="141000"/>
    <n v="83949.57983193277"/>
    <n v="10"/>
    <n v="16"/>
    <n v="10"/>
    <n v="0"/>
    <n v="0"/>
    <n v="0"/>
    <n v="94000"/>
    <n v="62099.99999999999"/>
    <n v="0"/>
    <n v="0"/>
    <n v="16"/>
    <n v="94000"/>
    <n v="83949.57983193277"/>
    <n v="10"/>
    <n v="6"/>
    <n v="10"/>
    <n v="0"/>
    <n v="0"/>
    <m/>
    <n v="37259.99999999999"/>
    <n v="62099.99999999999"/>
    <n v="0"/>
    <n v="0"/>
    <n v="6"/>
    <n v="37259.99999999999"/>
    <n v="83949.579831932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88"/>
    <x v="266"/>
    <x v="0"/>
    <x v="6"/>
    <n v="1"/>
    <x v="12"/>
    <n v="22"/>
    <m/>
    <n v="0"/>
    <n v="5875"/>
    <n v="12925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s v=""/>
    <n v="0"/>
    <s v=""/>
    <n v="1"/>
    <n v="0.4617991938438988"/>
    <n v="0"/>
    <n v="0"/>
    <n v="1"/>
    <n v="0.5945199806749948"/>
    <n v="1"/>
    <n v="0.5945199806749948"/>
    <n v="0"/>
    <s v=""/>
    <n v="2"/>
    <n v="0.619864121643481"/>
    <n v="1"/>
    <s v=""/>
    <n v="0"/>
    <s v=""/>
    <n v="1"/>
    <s v=""/>
    <n v="0"/>
    <s v=""/>
    <n v="0"/>
    <n v="0"/>
    <s v=""/>
    <n v="0"/>
    <n v="0"/>
    <s v=""/>
    <n v="0"/>
    <n v="0"/>
    <s v=""/>
    <n v="0"/>
    <n v="5"/>
    <n v="22"/>
    <n v="2"/>
    <n v="0"/>
    <n v="0"/>
    <n v="0"/>
    <n v="17625"/>
    <n v="136620"/>
    <n v="11750"/>
    <n v="0"/>
    <n v="22"/>
    <n v="129250"/>
    <n v="14109.1730809971"/>
    <n v="2"/>
    <n v="23"/>
    <n v="0"/>
    <n v="0"/>
    <n v="0"/>
    <n v="0"/>
    <n v="5875"/>
    <n v="142830"/>
    <n v="0"/>
    <n v="0"/>
    <n v="22"/>
    <n v="129250"/>
    <n v="0"/>
    <n v="2"/>
    <n v="23"/>
    <n v="1"/>
    <n v="0"/>
    <n v="0"/>
    <n v="36925"/>
    <n v="135125"/>
    <n v="5875"/>
    <n v="0"/>
    <n v="22"/>
    <n v="129250"/>
    <n v="8394.957983193277"/>
    <n v="3"/>
    <n v="20"/>
    <n v="0"/>
    <n v="0"/>
    <n v="0"/>
    <n v="124200"/>
    <n v="0"/>
    <n v="0"/>
    <n v="0"/>
    <n v="22"/>
    <n v="129250"/>
    <n v="0"/>
    <n v="5"/>
    <n v="22"/>
    <n v="5"/>
    <m/>
    <n v="0"/>
    <n v="0"/>
    <n v="129250"/>
    <n v="31050"/>
    <n v="0"/>
    <n v="0"/>
    <n v="22"/>
    <n v="129250"/>
    <n v="41974.78991596639"/>
    <n v="10.2"/>
    <n v="22"/>
    <n v="0"/>
    <m/>
    <n v="0"/>
    <n v="0"/>
    <n v="129250"/>
    <n v="0"/>
    <n v="0"/>
    <n v="0"/>
    <n v="22"/>
    <n v="129250"/>
    <n v="0"/>
    <n v="7"/>
    <n v="22"/>
    <n v="7"/>
    <n v="0"/>
    <n v="0"/>
    <n v="0"/>
    <n v="129250"/>
    <n v="43469.99999999999"/>
    <n v="0"/>
    <n v="0"/>
    <n v="22"/>
    <n v="129250"/>
    <n v="58764.70588235294"/>
    <n v="7"/>
    <n v="15"/>
    <n v="7"/>
    <n v="0"/>
    <n v="0"/>
    <n v="0"/>
    <n v="88125"/>
    <n v="43469.99999999999"/>
    <n v="0"/>
    <n v="0"/>
    <n v="15"/>
    <n v="88125"/>
    <n v="58764.70588235294"/>
    <n v="7"/>
    <n v="8"/>
    <n v="7"/>
    <n v="0"/>
    <n v="0"/>
    <m/>
    <n v="49679.99999999999"/>
    <n v="43469.99999999999"/>
    <n v="0"/>
    <n v="0"/>
    <n v="8"/>
    <n v="49679.99999999999"/>
    <n v="58764.70588235294"/>
    <n v="0"/>
    <n v="1"/>
    <n v="0"/>
    <n v="0"/>
    <n v="0"/>
    <n v="0"/>
    <m/>
    <n v="6209.999999999999"/>
    <n v="0"/>
    <n v="0"/>
    <n v="0"/>
    <n v="1"/>
    <n v="6209.999999999999"/>
    <n v="0"/>
    <n v="0"/>
    <n v="1"/>
    <n v="0"/>
    <n v="0"/>
    <n v="0"/>
    <n v="6209.999999999999"/>
    <n v="0"/>
    <n v="0"/>
    <n v="0"/>
    <n v="1"/>
    <n v="6209.999999999999"/>
    <n v="0"/>
    <n v="0"/>
    <n v="1"/>
    <n v="0"/>
    <n v="0"/>
    <n v="0"/>
    <n v="6209.999999999999"/>
    <n v="0"/>
    <n v="0"/>
    <n v="1"/>
    <n v="6209.999999999999"/>
    <n v="0"/>
    <n v="0"/>
    <n v="1"/>
    <n v="0"/>
    <n v="0"/>
    <m/>
    <n v="6209.999999999999"/>
    <n v="0"/>
    <n v="0"/>
    <n v="1"/>
    <n v="6209.999999999999"/>
    <n v="0"/>
  </r>
  <r>
    <s v="Lhotse-Vestuario"/>
    <x v="1"/>
    <x v="16"/>
    <x v="38"/>
    <s v="LTW25-MTS02"/>
    <x v="289"/>
    <x v="266"/>
    <x v="0"/>
    <x v="6"/>
    <n v="1"/>
    <x v="12"/>
    <n v="20"/>
    <m/>
    <n v="0"/>
    <n v="5875"/>
    <n v="1175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1"/>
    <n v="0.2449233141975838"/>
    <n v="2"/>
    <n v="0.5760265569748142"/>
    <n v="6"/>
    <n v="0.2760469080528229"/>
    <n v="1"/>
    <n v="0.3002203561431719"/>
    <n v="2"/>
    <n v="0.504727097812369"/>
    <n v="4"/>
    <n v="0.5540966187241471"/>
    <n v="0"/>
    <s v=""/>
    <n v="4"/>
    <n v="0.5073375262054507"/>
    <n v="6"/>
    <s v=""/>
    <n v="2"/>
    <s v=""/>
    <n v="2"/>
    <s v=""/>
    <n v="0"/>
    <s v=""/>
    <n v="0"/>
    <n v="2"/>
    <s v=""/>
    <n v="0.4"/>
    <n v="1"/>
    <s v=""/>
    <n v="0.04901960784313726"/>
    <n v="3"/>
    <s v=""/>
    <n v="0.375"/>
    <n v="5"/>
    <n v="34"/>
    <n v="2"/>
    <n v="0"/>
    <n v="0"/>
    <n v="0"/>
    <n v="41125"/>
    <n v="211140"/>
    <n v="11750"/>
    <n v="0"/>
    <n v="20"/>
    <n v="117500"/>
    <n v="14109.1730809971"/>
    <n v="2"/>
    <n v="30"/>
    <n v="3"/>
    <n v="0"/>
    <n v="0"/>
    <n v="0"/>
    <n v="29375"/>
    <n v="186300"/>
    <n v="17625"/>
    <n v="0"/>
    <n v="20"/>
    <n v="117500"/>
    <n v="21163.75962149566"/>
    <n v="2"/>
    <n v="28"/>
    <n v="2"/>
    <n v="0"/>
    <n v="0"/>
    <n v="42800"/>
    <n v="164500"/>
    <n v="11750"/>
    <n v="0"/>
    <n v="20"/>
    <n v="117500"/>
    <n v="16789.91596638655"/>
    <n v="3"/>
    <n v="24"/>
    <n v="0"/>
    <n v="0"/>
    <n v="0"/>
    <n v="149040"/>
    <n v="0"/>
    <n v="0"/>
    <n v="0"/>
    <n v="20"/>
    <n v="117500"/>
    <n v="0"/>
    <n v="5"/>
    <n v="22"/>
    <n v="5"/>
    <m/>
    <n v="0"/>
    <n v="0"/>
    <n v="129250"/>
    <n v="31050"/>
    <n v="0"/>
    <n v="0"/>
    <n v="20"/>
    <n v="117500"/>
    <n v="41974.78991596639"/>
    <n v="20.4"/>
    <n v="21"/>
    <n v="1"/>
    <m/>
    <n v="0"/>
    <n v="0"/>
    <n v="123375"/>
    <n v="6209.999999999999"/>
    <n v="0"/>
    <n v="0"/>
    <n v="21"/>
    <n v="117500"/>
    <n v="8394.957983193277"/>
    <n v="8"/>
    <n v="23"/>
    <n v="8"/>
    <n v="0"/>
    <n v="0"/>
    <n v="0"/>
    <n v="135125"/>
    <n v="49679.99999999999"/>
    <n v="0"/>
    <n v="0"/>
    <n v="23"/>
    <n v="117500"/>
    <n v="67159.66386554622"/>
    <n v="8"/>
    <n v="15"/>
    <n v="8"/>
    <n v="0"/>
    <n v="0"/>
    <n v="0"/>
    <n v="88125"/>
    <n v="49679.99999999999"/>
    <n v="0"/>
    <n v="0"/>
    <n v="15"/>
    <n v="88125"/>
    <n v="67159.66386554622"/>
    <n v="8"/>
    <n v="7"/>
    <n v="8"/>
    <n v="0"/>
    <n v="0"/>
    <m/>
    <n v="43469.99999999999"/>
    <n v="49679.99999999999"/>
    <n v="0"/>
    <n v="0"/>
    <n v="7"/>
    <n v="43469.99999999999"/>
    <n v="67159.6638655462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90"/>
    <x v="266"/>
    <x v="0"/>
    <x v="6"/>
    <n v="1"/>
    <x v="12"/>
    <n v="34"/>
    <m/>
    <n v="0"/>
    <n v="5875"/>
    <n v="19975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1"/>
    <n v="0.4817624487275614"/>
    <n v="0"/>
    <n v="1"/>
    <n v="1"/>
    <n v="0.4617991938438988"/>
    <n v="11"/>
    <n v="0.2290302184364673"/>
    <n v="2"/>
    <n v="0.4169023869783137"/>
    <n v="4"/>
    <n v="0.5945199806749948"/>
    <n v="10"/>
    <n v="0.5351909870565524"/>
    <n v="1"/>
    <n v="0.4617991938438988"/>
    <n v="5"/>
    <n v="0.4659479310595593"/>
    <n v="11"/>
    <s v=""/>
    <n v="1"/>
    <s v=""/>
    <n v="3"/>
    <s v=""/>
    <n v="3"/>
    <s v=""/>
    <n v="1"/>
    <n v="0"/>
    <s v=""/>
    <n v="0"/>
    <n v="2"/>
    <s v=""/>
    <n v="0.06535947712418301"/>
    <n v="2"/>
    <s v=""/>
    <n v="0.1538461538461539"/>
    <n v="5"/>
    <n v="49"/>
    <n v="2"/>
    <n v="0"/>
    <n v="0"/>
    <n v="0"/>
    <n v="38187.5"/>
    <n v="304289.9999999999"/>
    <n v="11750"/>
    <n v="0"/>
    <n v="34"/>
    <n v="199750"/>
    <n v="14109.1730809971"/>
    <n v="2"/>
    <n v="45"/>
    <n v="1.5"/>
    <n v="0"/>
    <n v="0"/>
    <n v="0"/>
    <n v="44062.5"/>
    <n v="279449.9999999999"/>
    <n v="8812.5"/>
    <n v="0"/>
    <n v="34"/>
    <n v="199750"/>
    <n v="10581.87981074783"/>
    <n v="2"/>
    <n v="44"/>
    <n v="3"/>
    <n v="0"/>
    <n v="0"/>
    <n v="66300"/>
    <n v="258500"/>
    <n v="17625"/>
    <n v="0"/>
    <n v="34"/>
    <n v="199750"/>
    <n v="25184.87394957983"/>
    <n v="3"/>
    <n v="41"/>
    <n v="3"/>
    <n v="0"/>
    <n v="0"/>
    <n v="254610"/>
    <n v="17625"/>
    <n v="0"/>
    <n v="0"/>
    <n v="34"/>
    <n v="199750"/>
    <n v="25184.87394957983"/>
    <n v="5"/>
    <n v="34"/>
    <n v="5"/>
    <m/>
    <n v="0"/>
    <n v="0"/>
    <n v="199750"/>
    <n v="31050"/>
    <n v="0"/>
    <n v="0"/>
    <n v="34"/>
    <n v="199750"/>
    <n v="41974.78991596639"/>
    <n v="30.6"/>
    <n v="36"/>
    <n v="2"/>
    <m/>
    <n v="0"/>
    <n v="0"/>
    <n v="211500"/>
    <n v="12420"/>
    <n v="0"/>
    <n v="0"/>
    <n v="36"/>
    <n v="199750"/>
    <n v="16789.91596638655"/>
    <n v="13"/>
    <n v="36"/>
    <n v="13"/>
    <n v="0"/>
    <n v="0"/>
    <n v="0"/>
    <n v="211500"/>
    <n v="80729.99999999999"/>
    <n v="0"/>
    <n v="0"/>
    <n v="36"/>
    <n v="199750"/>
    <n v="109134.4537815126"/>
    <n v="13"/>
    <n v="23"/>
    <n v="13"/>
    <n v="0"/>
    <n v="0"/>
    <n v="0"/>
    <n v="135125"/>
    <n v="80729.99999999999"/>
    <n v="0"/>
    <n v="0"/>
    <n v="23"/>
    <n v="135125"/>
    <n v="109134.4537815126"/>
    <n v="13"/>
    <n v="10"/>
    <n v="13"/>
    <n v="0"/>
    <n v="0"/>
    <m/>
    <n v="62099.99999999999"/>
    <n v="80729.99999999999"/>
    <n v="0"/>
    <n v="0"/>
    <n v="10"/>
    <n v="62099.99999999999"/>
    <n v="109134.45378151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8"/>
    <s v="LTW25-MTS02"/>
    <x v="291"/>
    <x v="266"/>
    <x v="0"/>
    <x v="6"/>
    <n v="1"/>
    <x v="12"/>
    <n v="5"/>
    <m/>
    <n v="0"/>
    <n v="5875"/>
    <n v="2937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1"/>
    <n v="0.3639021221307925"/>
    <n v="1"/>
    <n v="0.4617991938438988"/>
    <n v="0"/>
    <s v=""/>
    <n v="2"/>
    <n v="0.4617983652065201"/>
    <n v="2"/>
    <n v="0.5047209576799865"/>
    <n v="8"/>
    <n v="0.4029623231117095"/>
    <n v="1"/>
    <n v="0.4617975365665897"/>
    <n v="3"/>
    <n v="0.5786113900444699"/>
    <n v="1"/>
    <s v=""/>
    <n v="3"/>
    <s v=""/>
    <n v="2"/>
    <s v=""/>
    <n v="0"/>
    <s v=""/>
    <n v="0"/>
    <n v="0"/>
    <s v=""/>
    <n v="0"/>
    <n v="2"/>
    <s v=""/>
    <n v="0.196078431372549"/>
    <n v="0"/>
    <s v=""/>
    <n v="0"/>
    <n v="5"/>
    <n v="5"/>
    <n v="2"/>
    <n v="0"/>
    <n v="0"/>
    <n v="0"/>
    <n v="49937.5"/>
    <n v="31050"/>
    <n v="11750"/>
    <n v="0"/>
    <n v="5"/>
    <n v="29375"/>
    <n v="14109.1730809971"/>
    <n v="2"/>
    <n v="12"/>
    <n v="4.5"/>
    <n v="0"/>
    <n v="0"/>
    <n v="0"/>
    <n v="38187.5"/>
    <n v="74519.99999999999"/>
    <n v="26437.5"/>
    <n v="0"/>
    <n v="5"/>
    <n v="29375"/>
    <n v="31745.63943224349"/>
    <n v="2"/>
    <n v="9"/>
    <n v="2"/>
    <n v="0"/>
    <n v="0"/>
    <n v="42800"/>
    <n v="52875"/>
    <n v="11750"/>
    <n v="0"/>
    <n v="5"/>
    <n v="29375"/>
    <n v="16789.91596638655"/>
    <n v="3"/>
    <n v="7"/>
    <n v="0"/>
    <n v="0"/>
    <n v="0"/>
    <n v="43469.99999999999"/>
    <n v="0"/>
    <n v="0"/>
    <n v="0"/>
    <n v="5"/>
    <n v="29375"/>
    <n v="0"/>
    <n v="5"/>
    <n v="5"/>
    <n v="5"/>
    <m/>
    <n v="0"/>
    <n v="0"/>
    <n v="29375"/>
    <n v="31050"/>
    <n v="0"/>
    <n v="0"/>
    <n v="5"/>
    <n v="29375"/>
    <n v="41974.78991596639"/>
    <n v="10.2"/>
    <n v="7"/>
    <n v="2"/>
    <m/>
    <n v="0"/>
    <n v="0"/>
    <n v="41125"/>
    <n v="12420"/>
    <n v="0"/>
    <n v="0"/>
    <n v="7"/>
    <n v="29375"/>
    <n v="16789.91596638655"/>
    <n v="2"/>
    <n v="5"/>
    <n v="2"/>
    <n v="0"/>
    <n v="0"/>
    <n v="0"/>
    <n v="29375"/>
    <n v="12420"/>
    <n v="0"/>
    <n v="0"/>
    <n v="5"/>
    <n v="29375"/>
    <n v="16789.91596638655"/>
    <n v="2"/>
    <n v="3"/>
    <n v="2"/>
    <n v="0"/>
    <n v="0"/>
    <n v="0"/>
    <n v="17625"/>
    <n v="12420"/>
    <n v="0"/>
    <n v="0"/>
    <n v="3"/>
    <n v="17625"/>
    <n v="16789.91596638655"/>
    <n v="2"/>
    <n v="1"/>
    <n v="2"/>
    <n v="0"/>
    <n v="0"/>
    <m/>
    <n v="6209.999999999999"/>
    <n v="12420"/>
    <n v="0"/>
    <n v="0"/>
    <n v="1"/>
    <n v="6209.999999999999"/>
    <n v="16789.9159663865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3"/>
    <x v="292"/>
    <x v="267"/>
    <x v="0"/>
    <x v="6"/>
    <n v="0.6"/>
    <x v="12"/>
    <n v="3"/>
    <m/>
    <n v="0"/>
    <n v="8554"/>
    <n v="25662"/>
    <n v="8.1"/>
    <n v="8849.25"/>
    <n v="25201.68067226891"/>
    <n v="21000"/>
    <s v="Shenzhen"/>
    <s v="30/70"/>
    <n v="30"/>
    <n v="1"/>
    <n v="0"/>
    <s v=""/>
    <n v="0"/>
    <s v=""/>
    <n v="0"/>
    <s v=""/>
    <n v="0"/>
    <s v=""/>
    <n v="2"/>
    <n v="0.4932251040571166"/>
    <n v="2"/>
    <n v="0.5712671679197995"/>
    <n v="8"/>
    <n v="0.4532587573510611"/>
    <n v="3"/>
    <n v="0.5927038095238096"/>
    <n v="1"/>
    <n v="0.7285209166507967"/>
    <n v="1"/>
    <n v="0.7285212340506571"/>
    <n v="1"/>
    <n v="0.6606221728434252"/>
    <n v="0"/>
    <s v=""/>
    <n v="0"/>
    <s v=""/>
    <n v="0"/>
    <s v=""/>
    <n v="1"/>
    <s v=""/>
    <n v="1"/>
    <s v=""/>
    <n v="0.3333333333333333"/>
    <n v="1"/>
    <s v=""/>
    <n v="0.3333333333333333"/>
    <n v="4"/>
    <s v=""/>
    <n v="0.3174603174603174"/>
    <n v="6"/>
    <s v=""/>
    <n v="1.5"/>
    <n v="3"/>
    <n v="12"/>
    <n v="3"/>
    <n v="0"/>
    <n v="0"/>
    <n v="0"/>
    <n v="34216"/>
    <n v="100602"/>
    <n v="25662"/>
    <n v="0"/>
    <n v="3"/>
    <n v="25662"/>
    <n v="63533.6487536191"/>
    <n v="2"/>
    <n v="12"/>
    <n v="0"/>
    <n v="0"/>
    <n v="0"/>
    <n v="0"/>
    <n v="17108"/>
    <n v="100602"/>
    <n v="0"/>
    <n v="0"/>
    <n v="3"/>
    <n v="25662"/>
    <n v="0"/>
    <n v="2"/>
    <n v="12"/>
    <n v="1"/>
    <n v="0"/>
    <n v="0"/>
    <n v="32198.3"/>
    <n v="102648"/>
    <n v="8554"/>
    <n v="0"/>
    <n v="3"/>
    <n v="25662"/>
    <n v="25201.68067226891"/>
    <n v="3"/>
    <n v="11"/>
    <n v="1"/>
    <n v="0"/>
    <n v="0"/>
    <n v="92218.5"/>
    <n v="8554"/>
    <n v="0"/>
    <n v="0"/>
    <n v="3"/>
    <n v="25662"/>
    <n v="25201.68067226891"/>
    <n v="3"/>
    <n v="4"/>
    <n v="1.8"/>
    <m/>
    <n v="0"/>
    <n v="0"/>
    <n v="34216"/>
    <n v="15090.3"/>
    <n v="0"/>
    <n v="0"/>
    <n v="3"/>
    <n v="25662"/>
    <n v="45363.02521008403"/>
    <n v="12.6"/>
    <n v="7"/>
    <n v="4"/>
    <m/>
    <n v="0"/>
    <n v="0"/>
    <n v="59878"/>
    <n v="33534"/>
    <n v="0"/>
    <n v="0"/>
    <n v="7"/>
    <n v="25662"/>
    <n v="100806.7226890756"/>
    <n v="4"/>
    <n v="9"/>
    <n v="2.4"/>
    <n v="0"/>
    <n v="0"/>
    <n v="0"/>
    <n v="76986"/>
    <n v="20120.4"/>
    <n v="0"/>
    <n v="0"/>
    <n v="9"/>
    <n v="25662"/>
    <n v="60484.03361344538"/>
    <n v="4"/>
    <n v="6.6"/>
    <n v="2.4"/>
    <n v="0"/>
    <n v="0"/>
    <n v="0"/>
    <n v="56456.39999999999"/>
    <n v="20120.4"/>
    <n v="0"/>
    <n v="0"/>
    <n v="6.6"/>
    <n v="56456.39999999999"/>
    <n v="60484.03361344538"/>
    <n v="4"/>
    <n v="4.199999999999999"/>
    <n v="2.4"/>
    <n v="0"/>
    <n v="0"/>
    <m/>
    <n v="35210.7"/>
    <n v="20120.4"/>
    <n v="0"/>
    <n v="0"/>
    <n v="4.199999999999999"/>
    <n v="35210.7"/>
    <n v="60484.03361344538"/>
    <n v="0"/>
    <n v="1.799999999999999"/>
    <n v="0"/>
    <n v="0"/>
    <n v="0"/>
    <n v="0"/>
    <m/>
    <n v="15090.3"/>
    <n v="0"/>
    <n v="0"/>
    <n v="0"/>
    <n v="1.799999999999999"/>
    <n v="15090.3"/>
    <n v="0"/>
    <n v="0"/>
    <n v="1.799999999999999"/>
    <n v="0"/>
    <n v="0"/>
    <n v="0"/>
    <n v="15090.3"/>
    <n v="0"/>
    <n v="0"/>
    <n v="0"/>
    <n v="1.799999999999999"/>
    <n v="15090.3"/>
    <n v="0"/>
    <n v="0"/>
    <n v="1.799999999999999"/>
    <n v="0"/>
    <n v="0"/>
    <n v="0"/>
    <n v="15090.3"/>
    <n v="0"/>
    <n v="0"/>
    <n v="1.799999999999999"/>
    <n v="15090.3"/>
    <n v="0"/>
    <n v="0"/>
    <n v="1.799999999999999"/>
    <n v="0"/>
    <n v="0"/>
    <m/>
    <n v="15090.3"/>
    <n v="0"/>
    <n v="0"/>
    <n v="1.799999999999999"/>
    <n v="15090.3"/>
    <n v="0"/>
  </r>
  <r>
    <s v="Lhotse-Vestuario"/>
    <x v="1"/>
    <x v="16"/>
    <x v="39"/>
    <s v="LTW25-MKF03"/>
    <x v="293"/>
    <x v="267"/>
    <x v="0"/>
    <x v="6"/>
    <n v="0.6"/>
    <x v="12"/>
    <n v="3"/>
    <m/>
    <n v="0"/>
    <n v="8553"/>
    <n v="25659"/>
    <n v="8.1"/>
    <n v="8849.25"/>
    <n v="25201.68067226891"/>
    <n v="21000"/>
    <s v="Shenzhen"/>
    <s v="30/70"/>
    <n v="30"/>
    <n v="1"/>
    <n v="0"/>
    <s v=""/>
    <n v="0"/>
    <s v=""/>
    <n v="0"/>
    <s v=""/>
    <n v="0"/>
    <n v="-2.806032970884856e-05"/>
    <n v="3"/>
    <n v="0.6373317729666471"/>
    <n v="9"/>
    <n v="0.625326060764727"/>
    <n v="13"/>
    <n v="0.4590391621129325"/>
    <n v="6"/>
    <n v="0.5927118536637367"/>
    <n v="4"/>
    <n v="0.7038300524593569"/>
    <n v="10"/>
    <n v="0.5951459527517313"/>
    <n v="0"/>
    <s v=""/>
    <n v="2"/>
    <n v="0.6662113643459256"/>
    <n v="1"/>
    <s v=""/>
    <n v="3"/>
    <s v=""/>
    <n v="0"/>
    <s v=""/>
    <n v="1"/>
    <s v=""/>
    <n v="0.25"/>
    <n v="3"/>
    <s v=""/>
    <n v="0.75"/>
    <n v="18"/>
    <s v=""/>
    <n v="0.6451612903225806"/>
    <n v="2"/>
    <s v=""/>
    <n v="0.2857142857142857"/>
    <n v="4"/>
    <n v="24"/>
    <n v="4"/>
    <n v="0"/>
    <n v="0"/>
    <n v="0"/>
    <n v="72700.5"/>
    <n v="201204"/>
    <n v="34212"/>
    <n v="0"/>
    <n v="3"/>
    <n v="25659"/>
    <n v="84711.53167149214"/>
    <n v="4"/>
    <n v="26"/>
    <n v="4.5"/>
    <n v="0"/>
    <n v="0"/>
    <n v="0"/>
    <n v="47041.5"/>
    <n v="217971"/>
    <n v="38488.5"/>
    <n v="0"/>
    <n v="3"/>
    <n v="25659"/>
    <n v="95300.47313042865"/>
    <n v="4"/>
    <n v="21"/>
    <n v="0"/>
    <n v="0"/>
    <n v="0"/>
    <n v="28673.4"/>
    <n v="179613"/>
    <n v="0"/>
    <n v="0"/>
    <n v="3"/>
    <n v="25659"/>
    <n v="0"/>
    <n v="4"/>
    <n v="23"/>
    <n v="1"/>
    <n v="0"/>
    <n v="0"/>
    <n v="192820.5"/>
    <n v="8553"/>
    <n v="0"/>
    <n v="0"/>
    <n v="3"/>
    <n v="25659"/>
    <n v="25201.68067226891"/>
    <n v="4"/>
    <n v="6"/>
    <n v="2.4"/>
    <m/>
    <n v="0"/>
    <n v="0"/>
    <n v="51318"/>
    <n v="20120.4"/>
    <n v="0"/>
    <n v="0"/>
    <n v="3"/>
    <n v="25659"/>
    <n v="60484.03361344538"/>
    <n v="27.9"/>
    <n v="21"/>
    <n v="18"/>
    <m/>
    <n v="0"/>
    <n v="0"/>
    <n v="179613"/>
    <n v="150903"/>
    <n v="0"/>
    <n v="0"/>
    <n v="21"/>
    <n v="25659"/>
    <n v="453630.2521008403"/>
    <n v="7"/>
    <n v="5"/>
    <n v="4.2"/>
    <n v="0"/>
    <n v="0"/>
    <n v="0"/>
    <n v="42765"/>
    <n v="35210.7"/>
    <n v="0"/>
    <n v="0"/>
    <n v="5"/>
    <n v="25659"/>
    <n v="105847.0588235294"/>
    <n v="7"/>
    <n v="0.7999999999999998"/>
    <n v="4.2"/>
    <n v="0"/>
    <n v="0"/>
    <n v="0"/>
    <n v="6842.399999999999"/>
    <n v="35210.7"/>
    <n v="0"/>
    <n v="0"/>
    <n v="0.7999999999999998"/>
    <n v="6842.399999999999"/>
    <n v="105847.0588235294"/>
    <n v="7"/>
    <n v="0"/>
    <n v="4.2"/>
    <n v="0"/>
    <n v="0"/>
    <m/>
    <n v="0"/>
    <n v="35210.7"/>
    <n v="0"/>
    <n v="0"/>
    <n v="0"/>
    <n v="0"/>
    <n v="105847.058823529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3"/>
    <x v="294"/>
    <x v="267"/>
    <x v="0"/>
    <x v="6"/>
    <n v="0.6"/>
    <x v="12"/>
    <n v="2"/>
    <m/>
    <n v="0"/>
    <n v="8554"/>
    <n v="17108"/>
    <n v="8.1"/>
    <n v="8849.25"/>
    <n v="25201.68067226891"/>
    <n v="21000"/>
    <s v="Shenzhen"/>
    <s v="30/70"/>
    <n v="30"/>
    <n v="1"/>
    <n v="0"/>
    <s v=""/>
    <n v="0"/>
    <s v=""/>
    <n v="0"/>
    <s v=""/>
    <n v="1"/>
    <n v="0.4227032305643694"/>
    <n v="2"/>
    <n v="0.5342477265714338"/>
    <n v="11"/>
    <n v="0.5808997607943233"/>
    <n v="37"/>
    <n v="0.4829768633829251"/>
    <n v="8"/>
    <n v="0.5533595547729924"/>
    <n v="4"/>
    <n v="0.6297543449559553"/>
    <n v="10"/>
    <n v="0.6983437727038674"/>
    <n v="2"/>
    <n v="0.5234239705800412"/>
    <n v="3"/>
    <n v="0.7650834050500797"/>
    <n v="1"/>
    <s v=""/>
    <n v="2"/>
    <s v=""/>
    <n v="6"/>
    <s v=""/>
    <n v="2"/>
    <s v=""/>
    <n v="0.25"/>
    <n v="3"/>
    <s v=""/>
    <n v="0.2"/>
    <n v="7"/>
    <s v=""/>
    <n v="0.1754385964912281"/>
    <n v="1"/>
    <s v=""/>
    <n v="0.25"/>
    <n v="5"/>
    <n v="22"/>
    <n v="5"/>
    <n v="0"/>
    <n v="0"/>
    <n v="0"/>
    <n v="119756"/>
    <n v="184437"/>
    <n v="42770"/>
    <n v="0"/>
    <n v="2"/>
    <n v="17108"/>
    <n v="105889.4145893652"/>
    <n v="3"/>
    <n v="22"/>
    <n v="3"/>
    <n v="0"/>
    <n v="0"/>
    <n v="0"/>
    <n v="94094"/>
    <n v="184437"/>
    <n v="25662"/>
    <n v="0"/>
    <n v="2"/>
    <n v="17108"/>
    <n v="63533.6487536191"/>
    <n v="4"/>
    <n v="17"/>
    <n v="6"/>
    <n v="0"/>
    <n v="0"/>
    <n v="143883.5"/>
    <n v="145418"/>
    <n v="51324"/>
    <n v="0"/>
    <n v="2"/>
    <n v="17108"/>
    <n v="151210.0840336134"/>
    <n v="8"/>
    <n v="11"/>
    <n v="2"/>
    <n v="0"/>
    <n v="0"/>
    <n v="92218.5"/>
    <n v="17108"/>
    <n v="0"/>
    <n v="0"/>
    <n v="2"/>
    <n v="17108"/>
    <n v="50403.36134453781"/>
    <n v="15"/>
    <n v="5"/>
    <n v="9"/>
    <m/>
    <n v="0"/>
    <n v="0"/>
    <n v="42770"/>
    <n v="75451.5"/>
    <n v="0"/>
    <n v="0"/>
    <n v="2"/>
    <n v="17108"/>
    <n v="226815.1260504202"/>
    <n v="39.9"/>
    <n v="9"/>
    <n v="7"/>
    <m/>
    <n v="0"/>
    <n v="0"/>
    <n v="76986"/>
    <n v="58684.5"/>
    <n v="0"/>
    <n v="0"/>
    <n v="9"/>
    <n v="17108"/>
    <n v="176411.7647058823"/>
    <n v="4"/>
    <n v="3"/>
    <n v="2.4"/>
    <n v="0"/>
    <n v="0"/>
    <n v="0"/>
    <n v="25662"/>
    <n v="20120.4"/>
    <n v="0"/>
    <n v="0"/>
    <n v="3"/>
    <n v="17108"/>
    <n v="60484.03361344538"/>
    <n v="4"/>
    <n v="0.6000000000000001"/>
    <n v="2.4"/>
    <n v="0"/>
    <n v="0"/>
    <n v="0"/>
    <n v="5132.400000000001"/>
    <n v="20120.4"/>
    <n v="0"/>
    <n v="0"/>
    <n v="0.6000000000000001"/>
    <n v="5132.400000000001"/>
    <n v="60484.03361344538"/>
    <n v="4"/>
    <n v="0"/>
    <n v="2.4"/>
    <n v="0"/>
    <n v="0"/>
    <m/>
    <n v="0"/>
    <n v="20120.4"/>
    <n v="0"/>
    <n v="0"/>
    <n v="0"/>
    <n v="0"/>
    <n v="60484.0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3"/>
    <x v="295"/>
    <x v="267"/>
    <x v="0"/>
    <x v="6"/>
    <n v="0.6"/>
    <x v="12"/>
    <n v="3"/>
    <m/>
    <n v="0"/>
    <n v="8553"/>
    <n v="25659"/>
    <n v="8.1"/>
    <n v="8849.25"/>
    <n v="25201.68067226891"/>
    <n v="21000"/>
    <s v="Shenzhen"/>
    <s v="30/70"/>
    <n v="30"/>
    <n v="1"/>
    <n v="0"/>
    <s v=""/>
    <n v="0"/>
    <s v=""/>
    <n v="0"/>
    <s v=""/>
    <n v="0"/>
    <s v=""/>
    <n v="1"/>
    <n v="0.243211820916652"/>
    <n v="0"/>
    <s v=""/>
    <n v="5"/>
    <n v="0.4554454121781648"/>
    <n v="4"/>
    <n v="0.5207883015379443"/>
    <n v="0"/>
    <s v=""/>
    <n v="3"/>
    <n v="0.6784910412229044"/>
    <n v="0"/>
    <s v=""/>
    <n v="2"/>
    <n v="0.7454932008212575"/>
    <n v="0"/>
    <s v=""/>
    <n v="0"/>
    <s v=""/>
    <n v="0"/>
    <s v=""/>
    <n v="1"/>
    <s v=""/>
    <n v="0.25"/>
    <n v="0"/>
    <s v=""/>
    <n v="0"/>
    <n v="3"/>
    <s v=""/>
    <n v="0.2325581395348837"/>
    <n v="7"/>
    <s v=""/>
    <n v="1.75"/>
    <n v="4"/>
    <n v="11"/>
    <n v="4"/>
    <n v="0"/>
    <n v="0"/>
    <n v="0"/>
    <n v="34212"/>
    <n v="92218.5"/>
    <n v="34212"/>
    <n v="0"/>
    <n v="3"/>
    <n v="25659"/>
    <n v="84711.53167149214"/>
    <n v="3"/>
    <n v="12"/>
    <n v="0"/>
    <n v="0"/>
    <n v="0"/>
    <n v="0"/>
    <n v="8553"/>
    <n v="100602"/>
    <n v="0"/>
    <n v="0"/>
    <n v="3"/>
    <n v="25659"/>
    <n v="0"/>
    <n v="3"/>
    <n v="12"/>
    <n v="0"/>
    <n v="0"/>
    <n v="0"/>
    <n v="28673.4"/>
    <n v="102636"/>
    <n v="0"/>
    <n v="0"/>
    <n v="3"/>
    <n v="25659"/>
    <n v="0"/>
    <n v="4"/>
    <n v="12"/>
    <n v="1"/>
    <n v="0"/>
    <n v="0"/>
    <n v="100602"/>
    <n v="8553"/>
    <n v="0"/>
    <n v="0"/>
    <n v="3"/>
    <n v="25659"/>
    <n v="25201.68067226891"/>
    <n v="4"/>
    <n v="3"/>
    <n v="2.4"/>
    <m/>
    <n v="0"/>
    <n v="0"/>
    <n v="25659"/>
    <n v="20120.4"/>
    <n v="0"/>
    <n v="0"/>
    <n v="3"/>
    <n v="25659"/>
    <n v="60484.03361344538"/>
    <n v="12.9"/>
    <n v="6"/>
    <n v="3"/>
    <m/>
    <n v="0"/>
    <n v="0"/>
    <n v="51318"/>
    <n v="25150.5"/>
    <n v="0"/>
    <n v="0"/>
    <n v="6"/>
    <n v="25659"/>
    <n v="75605.04201680672"/>
    <n v="4"/>
    <n v="10"/>
    <n v="2.4"/>
    <n v="0"/>
    <n v="0"/>
    <n v="0"/>
    <n v="85530"/>
    <n v="20120.4"/>
    <n v="0"/>
    <n v="0"/>
    <n v="10"/>
    <n v="25659"/>
    <n v="60484.03361344538"/>
    <n v="4"/>
    <n v="7.6"/>
    <n v="2.4"/>
    <n v="0"/>
    <n v="0"/>
    <n v="0"/>
    <n v="65002.8"/>
    <n v="20120.4"/>
    <n v="0"/>
    <n v="0"/>
    <n v="7.6"/>
    <n v="65002.8"/>
    <n v="60484.03361344538"/>
    <n v="4"/>
    <n v="5.199999999999999"/>
    <n v="2.4"/>
    <n v="0"/>
    <n v="0"/>
    <m/>
    <n v="43594.2"/>
    <n v="20120.4"/>
    <n v="0"/>
    <n v="0"/>
    <n v="5.199999999999999"/>
    <n v="43594.2"/>
    <n v="60484.03361344538"/>
    <n v="0"/>
    <n v="2.799999999999999"/>
    <n v="0"/>
    <n v="0"/>
    <n v="0"/>
    <n v="0"/>
    <m/>
    <n v="23473.8"/>
    <n v="0"/>
    <n v="0"/>
    <n v="0"/>
    <n v="2.799999999999999"/>
    <n v="23473.8"/>
    <n v="0"/>
    <n v="0"/>
    <n v="2.799999999999999"/>
    <n v="0"/>
    <n v="0"/>
    <n v="0"/>
    <n v="23473.8"/>
    <n v="0"/>
    <n v="0"/>
    <n v="0"/>
    <n v="2.799999999999999"/>
    <n v="23473.8"/>
    <n v="0"/>
    <n v="0"/>
    <n v="2.799999999999999"/>
    <n v="0"/>
    <n v="0"/>
    <n v="0"/>
    <n v="23473.8"/>
    <n v="0"/>
    <n v="0"/>
    <n v="2.799999999999999"/>
    <n v="23473.8"/>
    <n v="0"/>
    <n v="0"/>
    <n v="2.799999999999999"/>
    <n v="0"/>
    <n v="0"/>
    <m/>
    <n v="23473.8"/>
    <n v="0"/>
    <n v="0"/>
    <n v="2.799999999999999"/>
    <n v="23473.8"/>
    <n v="0"/>
  </r>
  <r>
    <s v="Lhotse-Vestuario"/>
    <x v="1"/>
    <x v="16"/>
    <x v="39"/>
    <s v="LTW25-MKF03"/>
    <x v="296"/>
    <x v="267"/>
    <x v="0"/>
    <x v="6"/>
    <n v="0.5"/>
    <x v="12"/>
    <n v="20"/>
    <m/>
    <n v="0"/>
    <n v="8553"/>
    <n v="171060"/>
    <n v="8.1"/>
    <n v="8849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6"/>
    <n v="0.5371562490550063"/>
    <n v="10"/>
    <n v="0.5104271126679948"/>
    <n v="3"/>
    <n v="0.5635958706078438"/>
    <n v="1"/>
    <n v="0.7285205992509364"/>
    <n v="11"/>
    <n v="0.6357777399262152"/>
    <n v="0"/>
    <s v=""/>
    <n v="1"/>
    <n v="0.7454994495194454"/>
    <n v="1"/>
    <s v=""/>
    <n v="0"/>
    <s v=""/>
    <n v="0"/>
    <s v=""/>
    <n v="0"/>
    <s v=""/>
    <n v="0"/>
    <n v="1"/>
    <s v=""/>
    <n v="0.1666666666666667"/>
    <n v="12"/>
    <s v=""/>
    <n v="0.4395604395604396"/>
    <n v="5"/>
    <s v=""/>
    <n v="0.3846153846153846"/>
    <n v="6"/>
    <n v="38"/>
    <n v="6"/>
    <n v="0"/>
    <n v="0"/>
    <n v="0"/>
    <n v="51318"/>
    <n v="318573"/>
    <n v="51318"/>
    <n v="0"/>
    <n v="20"/>
    <n v="171060"/>
    <n v="127067.2975072382"/>
    <n v="5"/>
    <n v="37"/>
    <n v="0"/>
    <n v="0"/>
    <n v="0"/>
    <n v="0"/>
    <n v="0"/>
    <n v="310189.5"/>
    <n v="0"/>
    <n v="0"/>
    <n v="20"/>
    <n v="171060"/>
    <n v="0"/>
    <n v="5"/>
    <n v="37"/>
    <n v="0"/>
    <n v="0"/>
    <n v="0"/>
    <n v="25150.5"/>
    <n v="316461"/>
    <n v="0"/>
    <n v="0"/>
    <n v="20"/>
    <n v="171060"/>
    <n v="0"/>
    <n v="4"/>
    <n v="37"/>
    <n v="0"/>
    <n v="0"/>
    <n v="0"/>
    <n v="310189.5"/>
    <n v="0"/>
    <n v="0"/>
    <n v="0"/>
    <n v="20"/>
    <n v="171060"/>
    <n v="0"/>
    <n v="6"/>
    <n v="21"/>
    <n v="3"/>
    <m/>
    <n v="0"/>
    <n v="0"/>
    <n v="179613"/>
    <n v="25150.5"/>
    <n v="0"/>
    <n v="0"/>
    <n v="20"/>
    <n v="171060"/>
    <n v="75605.04201680672"/>
    <n v="27.3"/>
    <n v="32"/>
    <n v="12"/>
    <m/>
    <n v="0"/>
    <n v="0"/>
    <n v="273696"/>
    <n v="100602"/>
    <n v="0"/>
    <n v="0"/>
    <n v="32"/>
    <n v="171060"/>
    <n v="302420.1680672269"/>
    <n v="13"/>
    <n v="25"/>
    <n v="6.5"/>
    <n v="0"/>
    <n v="0"/>
    <n v="0"/>
    <n v="213825"/>
    <n v="54492.75"/>
    <n v="0"/>
    <n v="0"/>
    <n v="25"/>
    <n v="171060"/>
    <n v="163810.9243697479"/>
    <n v="13"/>
    <n v="18.5"/>
    <n v="6.5"/>
    <n v="0"/>
    <n v="0"/>
    <n v="0"/>
    <n v="158230.5"/>
    <n v="54492.75"/>
    <n v="0"/>
    <n v="0"/>
    <n v="18.5"/>
    <n v="158230.5"/>
    <n v="163810.9243697479"/>
    <n v="13"/>
    <n v="12"/>
    <n v="6.5"/>
    <n v="0"/>
    <n v="0"/>
    <m/>
    <n v="100602"/>
    <n v="54492.75"/>
    <n v="0"/>
    <n v="0"/>
    <n v="12"/>
    <n v="100602"/>
    <n v="163810.9243697479"/>
    <n v="0"/>
    <n v="5.5"/>
    <n v="0"/>
    <n v="0"/>
    <n v="0"/>
    <n v="0"/>
    <m/>
    <n v="46109.25"/>
    <n v="0"/>
    <n v="0"/>
    <n v="0"/>
    <n v="5.5"/>
    <n v="46109.25"/>
    <n v="0"/>
    <n v="0"/>
    <n v="5.5"/>
    <n v="0"/>
    <n v="0"/>
    <n v="0"/>
    <n v="46109.25"/>
    <n v="0"/>
    <n v="0"/>
    <n v="0"/>
    <n v="5.5"/>
    <n v="46109.25"/>
    <n v="0"/>
    <n v="0"/>
    <n v="5.5"/>
    <n v="0"/>
    <n v="0"/>
    <n v="0"/>
    <n v="46109.25"/>
    <n v="0"/>
    <n v="0"/>
    <n v="5.5"/>
    <n v="46109.25"/>
    <n v="0"/>
    <n v="0"/>
    <n v="5.5"/>
    <n v="0"/>
    <n v="0"/>
    <m/>
    <n v="46109.25"/>
    <n v="0"/>
    <n v="0"/>
    <n v="5.5"/>
    <n v="46109.25"/>
    <n v="0"/>
  </r>
  <r>
    <s v="Lhotse-Vestuario"/>
    <x v="1"/>
    <x v="16"/>
    <x v="39"/>
    <s v="LTW25-MKF03"/>
    <x v="297"/>
    <x v="267"/>
    <x v="0"/>
    <x v="6"/>
    <n v="0.6"/>
    <x v="12"/>
    <n v="23"/>
    <m/>
    <n v="0"/>
    <n v="8553"/>
    <n v="196719"/>
    <n v="8.1"/>
    <n v="8849.25"/>
    <n v="25201.68067226891"/>
    <n v="21000"/>
    <s v="Shenzhen"/>
    <s v="30/70"/>
    <n v="30"/>
    <n v="1"/>
    <n v="0"/>
    <s v=""/>
    <n v="0"/>
    <s v=""/>
    <n v="0"/>
    <s v=""/>
    <n v="2"/>
    <n v="0.6613162097593812"/>
    <n v="1"/>
    <n v="0.5942298021727787"/>
    <n v="11"/>
    <n v="0.5450497816762814"/>
    <n v="17"/>
    <n v="0.5208148179882812"/>
    <n v="6"/>
    <n v="0.5712595030827584"/>
    <n v="3"/>
    <n v="0.6509170679944494"/>
    <n v="6"/>
    <n v="0.678490289437414"/>
    <n v="0"/>
    <n v="1.000054735840076"/>
    <n v="2"/>
    <n v="0.7454994495194454"/>
    <n v="4"/>
    <s v=""/>
    <n v="1"/>
    <s v=""/>
    <n v="1"/>
    <s v=""/>
    <n v="1"/>
    <s v=""/>
    <n v="0.1666666666666667"/>
    <n v="2"/>
    <s v=""/>
    <n v="0.25"/>
    <n v="18"/>
    <s v=""/>
    <n v="0.4511278195488722"/>
    <n v="12"/>
    <s v=""/>
    <n v="0.6"/>
    <n v="6"/>
    <n v="64"/>
    <n v="6"/>
    <n v="0"/>
    <n v="0"/>
    <n v="0"/>
    <n v="72700.5"/>
    <n v="536544"/>
    <n v="51318"/>
    <n v="0"/>
    <n v="23"/>
    <n v="196719"/>
    <n v="127067.2975072382"/>
    <n v="5"/>
    <n v="60"/>
    <n v="1.5"/>
    <n v="0"/>
    <n v="0"/>
    <n v="0"/>
    <n v="29935.5"/>
    <n v="503010"/>
    <n v="12829.5"/>
    <n v="0"/>
    <n v="23"/>
    <n v="196719"/>
    <n v="31766.82437680955"/>
    <n v="5"/>
    <n v="57"/>
    <n v="1"/>
    <n v="0"/>
    <n v="0"/>
    <n v="57346.8"/>
    <n v="487521"/>
    <n v="8553"/>
    <n v="0"/>
    <n v="23"/>
    <n v="196719"/>
    <n v="25201.68067226891"/>
    <n v="6"/>
    <n v="58"/>
    <n v="1"/>
    <n v="0"/>
    <n v="0"/>
    <n v="486243"/>
    <n v="8553"/>
    <n v="0"/>
    <n v="0"/>
    <n v="23"/>
    <n v="196719"/>
    <n v="25201.68067226891"/>
    <n v="8"/>
    <n v="25"/>
    <n v="4.8"/>
    <m/>
    <n v="0"/>
    <n v="0"/>
    <n v="213825"/>
    <n v="40240.8"/>
    <n v="0"/>
    <n v="0"/>
    <n v="23"/>
    <n v="196719"/>
    <n v="120968.0672268908"/>
    <n v="39.9"/>
    <n v="41"/>
    <n v="18"/>
    <m/>
    <n v="0"/>
    <n v="0"/>
    <n v="350673"/>
    <n v="150903"/>
    <n v="0"/>
    <n v="0"/>
    <n v="41"/>
    <n v="196719"/>
    <n v="453630.2521008403"/>
    <n v="20"/>
    <n v="35"/>
    <n v="12"/>
    <n v="0"/>
    <n v="0"/>
    <n v="0"/>
    <n v="299355"/>
    <n v="100602"/>
    <n v="0"/>
    <n v="0"/>
    <n v="35"/>
    <n v="196719"/>
    <n v="302420.1680672269"/>
    <n v="20"/>
    <n v="23"/>
    <n v="12"/>
    <n v="0"/>
    <n v="0"/>
    <n v="0"/>
    <n v="196719"/>
    <n v="100602"/>
    <n v="0"/>
    <n v="0"/>
    <n v="23"/>
    <n v="196719"/>
    <n v="302420.1680672269"/>
    <n v="20"/>
    <n v="11"/>
    <n v="12"/>
    <n v="0"/>
    <n v="0"/>
    <m/>
    <n v="92218.5"/>
    <n v="100602"/>
    <n v="0"/>
    <n v="0"/>
    <n v="11"/>
    <n v="92218.5"/>
    <n v="302420.168067226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3"/>
    <x v="298"/>
    <x v="267"/>
    <x v="0"/>
    <x v="6"/>
    <n v="0.5"/>
    <x v="12"/>
    <n v="1"/>
    <m/>
    <n v="0"/>
    <n v="8553"/>
    <n v="8553"/>
    <n v="8.1"/>
    <n v="8849.25"/>
    <n v="25201.68067226891"/>
    <n v="21000"/>
    <s v="Shenzhen"/>
    <s v="30/70"/>
    <n v="30"/>
    <n v="1"/>
    <n v="0"/>
    <s v=""/>
    <n v="0"/>
    <s v=""/>
    <n v="0"/>
    <s v=""/>
    <n v="1"/>
    <n v="0.7454774587115013"/>
    <n v="0"/>
    <n v="-2.689114930428662e-05"/>
    <n v="3"/>
    <n v="0.500871637261958"/>
    <n v="5"/>
    <n v="0.4358480859034905"/>
    <n v="1"/>
    <n v="0.5927038095238095"/>
    <n v="2"/>
    <n v="0.6742002818725479"/>
    <n v="7"/>
    <n v="0.6480454283598058"/>
    <n v="0"/>
    <s v=""/>
    <n v="1"/>
    <n v="0.6606221728434252"/>
    <n v="1"/>
    <s v=""/>
    <n v="0"/>
    <s v=""/>
    <n v="1"/>
    <s v=""/>
    <n v="0"/>
    <s v=""/>
    <n v="0"/>
    <n v="0"/>
    <s v=""/>
    <n v="0"/>
    <n v="3"/>
    <s v=""/>
    <n v="0.2325581395348837"/>
    <n v="0"/>
    <s v=""/>
    <n v="0"/>
    <n v="5"/>
    <n v="6"/>
    <n v="5"/>
    <n v="0"/>
    <n v="0"/>
    <n v="0"/>
    <n v="51318"/>
    <n v="50301"/>
    <n v="42765"/>
    <n v="0"/>
    <n v="1"/>
    <n v="8553"/>
    <n v="105889.4145893652"/>
    <n v="5"/>
    <n v="5"/>
    <n v="0"/>
    <n v="0"/>
    <n v="0"/>
    <n v="0"/>
    <n v="8553"/>
    <n v="41917.5"/>
    <n v="0"/>
    <n v="0"/>
    <n v="1"/>
    <n v="8553"/>
    <n v="0"/>
    <n v="5"/>
    <n v="5"/>
    <n v="1"/>
    <n v="0"/>
    <n v="0"/>
    <n v="29511.75"/>
    <n v="42765"/>
    <n v="8553"/>
    <n v="0"/>
    <n v="1"/>
    <n v="8553"/>
    <n v="25201.68067226891"/>
    <n v="4"/>
    <n v="4"/>
    <n v="0"/>
    <n v="0"/>
    <n v="0"/>
    <n v="33534"/>
    <n v="0"/>
    <n v="0"/>
    <n v="0"/>
    <n v="1"/>
    <n v="8553"/>
    <n v="0"/>
    <n v="5"/>
    <n v="1"/>
    <n v="2.5"/>
    <m/>
    <n v="0"/>
    <n v="0"/>
    <n v="8553"/>
    <n v="20958.75"/>
    <n v="0"/>
    <n v="0"/>
    <n v="1"/>
    <n v="8553"/>
    <n v="63004.20168067227"/>
    <n v="12.9"/>
    <n v="4"/>
    <n v="3"/>
    <m/>
    <n v="0"/>
    <n v="0"/>
    <n v="34212"/>
    <n v="25150.5"/>
    <n v="0"/>
    <n v="0"/>
    <n v="4"/>
    <n v="8553"/>
    <n v="75605.04201680672"/>
    <n v="2"/>
    <n v="1"/>
    <n v="1"/>
    <n v="0"/>
    <n v="0"/>
    <n v="0"/>
    <n v="8553"/>
    <n v="8383.5"/>
    <n v="0"/>
    <n v="0"/>
    <n v="1"/>
    <n v="8553"/>
    <n v="25201.68067226891"/>
    <n v="2"/>
    <n v="0"/>
    <n v="1"/>
    <n v="0"/>
    <n v="0"/>
    <n v="0"/>
    <n v="0"/>
    <n v="8383.5"/>
    <n v="0"/>
    <n v="0"/>
    <n v="0"/>
    <n v="0"/>
    <n v="25201.68067226891"/>
    <n v="2"/>
    <n v="0"/>
    <n v="1"/>
    <n v="0"/>
    <n v="0"/>
    <m/>
    <n v="0"/>
    <n v="8383.5"/>
    <n v="0"/>
    <n v="0"/>
    <n v="0"/>
    <n v="0"/>
    <n v="25201.6806722689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299"/>
    <x v="268"/>
    <x v="0"/>
    <x v="6"/>
    <n v="1"/>
    <x v="12"/>
    <n v="46"/>
    <m/>
    <n v="0"/>
    <n v="14363"/>
    <n v="660698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0"/>
    <s v=""/>
    <n v="3"/>
    <n v="0.2565153475852788"/>
    <n v="0"/>
    <s v=""/>
    <n v="0"/>
    <s v=""/>
    <n v="1"/>
    <n v="-2.645686834221261e-05"/>
    <n v="0"/>
    <s v=""/>
    <n v="0"/>
    <s v=""/>
    <n v="3"/>
    <s v=""/>
    <n v="0"/>
    <s v=""/>
    <n v="0"/>
    <s v=""/>
    <n v="0"/>
    <s v=""/>
    <n v="0"/>
    <n v="0"/>
    <s v=""/>
    <n v="0"/>
    <n v="0"/>
    <s v=""/>
    <n v="0"/>
    <n v="1"/>
    <s v=""/>
    <n v="0.0625"/>
    <n v="3"/>
    <n v="33"/>
    <n v="3"/>
    <n v="0"/>
    <n v="0"/>
    <n v="0"/>
    <n v="43089"/>
    <n v="519155.9999999999"/>
    <n v="43089"/>
    <n v="0"/>
    <n v="46"/>
    <n v="660698"/>
    <n v="84718.59331968082"/>
    <n v="2"/>
    <n v="47"/>
    <n v="0"/>
    <n v="0"/>
    <n v="0"/>
    <n v="0"/>
    <n v="0"/>
    <n v="739403.9999999999"/>
    <n v="0"/>
    <n v="0"/>
    <n v="46"/>
    <n v="660698"/>
    <n v="0"/>
    <n v="3"/>
    <n v="47"/>
    <n v="0"/>
    <n v="0"/>
    <n v="0"/>
    <n v="47195.99999999999"/>
    <n v="675061"/>
    <n v="0"/>
    <n v="0"/>
    <n v="46"/>
    <n v="660698"/>
    <n v="0"/>
    <n v="3"/>
    <n v="47"/>
    <n v="0"/>
    <n v="0"/>
    <n v="0"/>
    <n v="739403.9999999999"/>
    <n v="0"/>
    <n v="0"/>
    <n v="0"/>
    <n v="46"/>
    <n v="660698"/>
    <n v="0"/>
    <n v="3"/>
    <n v="46"/>
    <n v="3"/>
    <m/>
    <n v="0"/>
    <n v="0"/>
    <n v="660698"/>
    <n v="47195.99999999999"/>
    <n v="0"/>
    <n v="0"/>
    <n v="46"/>
    <n v="660698"/>
    <n v="100815.1260504202"/>
    <n v="12"/>
    <n v="46"/>
    <n v="0"/>
    <m/>
    <n v="0"/>
    <n v="0"/>
    <n v="660698"/>
    <n v="0"/>
    <n v="0"/>
    <n v="0"/>
    <n v="46"/>
    <n v="660698"/>
    <n v="0"/>
    <n v="16"/>
    <n v="47"/>
    <n v="16"/>
    <n v="0"/>
    <n v="0"/>
    <n v="0"/>
    <n v="675061"/>
    <n v="251712"/>
    <n v="0"/>
    <n v="0"/>
    <n v="47"/>
    <n v="660698"/>
    <n v="537680.6722689075"/>
    <n v="16"/>
    <n v="31"/>
    <n v="16"/>
    <n v="0"/>
    <n v="0"/>
    <n v="0"/>
    <n v="445253"/>
    <n v="251712"/>
    <n v="0"/>
    <n v="0"/>
    <n v="31"/>
    <n v="445253"/>
    <n v="537680.6722689075"/>
    <n v="16"/>
    <n v="15"/>
    <n v="16"/>
    <n v="0"/>
    <n v="0"/>
    <m/>
    <n v="235980"/>
    <n v="251712"/>
    <n v="0"/>
    <n v="0"/>
    <n v="15"/>
    <n v="235980"/>
    <n v="537680.672268907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300"/>
    <x v="268"/>
    <x v="0"/>
    <x v="6"/>
    <n v="1"/>
    <x v="12"/>
    <n v="76"/>
    <m/>
    <n v="0"/>
    <n v="14363"/>
    <n v="1091588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3"/>
    <n v="0.4739448432464108"/>
    <n v="3"/>
    <n v="0.3250243493351649"/>
    <n v="1"/>
    <n v="0.6201060594038457"/>
    <n v="0"/>
    <s v=""/>
    <n v="1"/>
    <n v="0.6201060594038457"/>
    <n v="0"/>
    <s v=""/>
    <n v="0"/>
    <s v=""/>
    <n v="4"/>
    <s v=""/>
    <n v="0"/>
    <s v=""/>
    <n v="0"/>
    <s v=""/>
    <n v="0"/>
    <s v=""/>
    <n v="0"/>
    <n v="0"/>
    <s v=""/>
    <n v="0"/>
    <n v="2"/>
    <s v=""/>
    <n v="0.07407407407407407"/>
    <n v="0"/>
    <s v=""/>
    <n v="0"/>
    <n v="5"/>
    <n v="82"/>
    <n v="5"/>
    <n v="0"/>
    <n v="0"/>
    <n v="0"/>
    <n v="71815"/>
    <n v="1290024"/>
    <n v="71815"/>
    <n v="0"/>
    <n v="76"/>
    <n v="1091588"/>
    <n v="141197.6555328013"/>
    <n v="2"/>
    <n v="78"/>
    <n v="0"/>
    <n v="0"/>
    <n v="0"/>
    <n v="0"/>
    <n v="0"/>
    <n v="1227096"/>
    <n v="0"/>
    <n v="0"/>
    <n v="76"/>
    <n v="1091588"/>
    <n v="0"/>
    <n v="3"/>
    <n v="78"/>
    <n v="0"/>
    <n v="0"/>
    <n v="0"/>
    <n v="47195.99999999999"/>
    <n v="1120314"/>
    <n v="0"/>
    <n v="0"/>
    <n v="76"/>
    <n v="1091588"/>
    <n v="0"/>
    <n v="3"/>
    <n v="78"/>
    <n v="0"/>
    <n v="0"/>
    <n v="0"/>
    <n v="1227096"/>
    <n v="0"/>
    <n v="0"/>
    <n v="0"/>
    <n v="76"/>
    <n v="1091588"/>
    <n v="0"/>
    <n v="3"/>
    <n v="76"/>
    <n v="3"/>
    <m/>
    <n v="0"/>
    <n v="0"/>
    <n v="1091588"/>
    <n v="47195.99999999999"/>
    <n v="0"/>
    <n v="0"/>
    <n v="76"/>
    <n v="1091588"/>
    <n v="100815.1260504202"/>
    <n v="27"/>
    <n v="78"/>
    <n v="2"/>
    <m/>
    <n v="0"/>
    <n v="0"/>
    <n v="1120314"/>
    <n v="31464"/>
    <n v="0"/>
    <n v="0"/>
    <n v="78"/>
    <n v="1091588"/>
    <n v="67210.08403361344"/>
    <n v="26"/>
    <n v="76"/>
    <n v="26"/>
    <n v="0"/>
    <n v="0"/>
    <n v="0"/>
    <n v="1091588"/>
    <n v="409031.9999999999"/>
    <n v="0"/>
    <n v="0"/>
    <n v="76"/>
    <n v="1091588"/>
    <n v="873731.0924369748"/>
    <n v="26"/>
    <n v="50"/>
    <n v="26"/>
    <n v="0"/>
    <n v="0"/>
    <n v="0"/>
    <n v="718150"/>
    <n v="409031.9999999999"/>
    <n v="0"/>
    <n v="0"/>
    <n v="50"/>
    <n v="718150"/>
    <n v="873731.0924369748"/>
    <n v="26"/>
    <n v="24"/>
    <n v="26"/>
    <n v="0"/>
    <n v="0"/>
    <m/>
    <n v="377567.9999999999"/>
    <n v="409031.9999999999"/>
    <n v="0"/>
    <n v="0"/>
    <n v="24"/>
    <n v="377567.9999999999"/>
    <n v="873731.092436974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301"/>
    <x v="268"/>
    <x v="0"/>
    <x v="6"/>
    <n v="1"/>
    <x v="12"/>
    <n v="76"/>
    <m/>
    <n v="0"/>
    <n v="14363"/>
    <n v="1091588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1"/>
    <n v="0.658079413445058"/>
    <n v="2"/>
    <n v="0.5726092394592158"/>
    <n v="11"/>
    <n v="0.2046095147383751"/>
    <n v="-1"/>
    <n v="0.4300690421395127"/>
    <n v="0"/>
    <s v=""/>
    <n v="5"/>
    <n v="0.407166795991481"/>
    <n v="0"/>
    <s v=""/>
    <n v="1"/>
    <n v="0.6438542983956954"/>
    <n v="34"/>
    <s v=""/>
    <n v="1"/>
    <s v=""/>
    <n v="0"/>
    <s v=""/>
    <n v="0"/>
    <s v=""/>
    <n v="0"/>
    <n v="0"/>
    <s v=""/>
    <n v="0"/>
    <n v="2"/>
    <s v=""/>
    <n v="0.05128205128205128"/>
    <n v="4"/>
    <s v=""/>
    <n v="0.1481481481481481"/>
    <n v="5"/>
    <n v="113"/>
    <n v="5"/>
    <n v="0"/>
    <n v="0"/>
    <n v="0"/>
    <n v="93359.5"/>
    <n v="1777716"/>
    <n v="71815"/>
    <n v="0"/>
    <n v="76"/>
    <n v="1091588"/>
    <n v="141197.6555328013"/>
    <n v="2"/>
    <n v="83"/>
    <n v="1.5"/>
    <n v="0"/>
    <n v="0"/>
    <n v="0"/>
    <n v="21544.5"/>
    <n v="1305756"/>
    <n v="21544.5"/>
    <n v="0"/>
    <n v="76"/>
    <n v="1091588"/>
    <n v="42359.29665984041"/>
    <n v="3"/>
    <n v="82"/>
    <n v="0"/>
    <n v="0"/>
    <n v="0"/>
    <n v="47195.99999999999"/>
    <n v="1177766"/>
    <n v="0"/>
    <n v="0"/>
    <n v="76"/>
    <n v="1091588"/>
    <n v="0"/>
    <n v="3"/>
    <n v="82"/>
    <n v="0"/>
    <n v="0"/>
    <n v="0"/>
    <n v="1290024"/>
    <n v="0"/>
    <n v="0"/>
    <n v="0"/>
    <n v="76"/>
    <n v="1091588"/>
    <n v="0"/>
    <n v="3"/>
    <n v="76"/>
    <n v="3"/>
    <m/>
    <n v="0"/>
    <n v="0"/>
    <n v="1091588"/>
    <n v="47195.99999999999"/>
    <n v="0"/>
    <n v="0"/>
    <n v="76"/>
    <n v="1091588"/>
    <n v="100815.1260504202"/>
    <n v="39"/>
    <n v="78"/>
    <n v="2"/>
    <m/>
    <n v="0"/>
    <n v="0"/>
    <n v="1120314"/>
    <n v="31464"/>
    <n v="0"/>
    <n v="0"/>
    <n v="78"/>
    <n v="1091588"/>
    <n v="67210.08403361344"/>
    <n v="27"/>
    <n v="80"/>
    <n v="27"/>
    <n v="0"/>
    <n v="0"/>
    <n v="0"/>
    <n v="1149040"/>
    <n v="424763.9999999999"/>
    <n v="0"/>
    <n v="0"/>
    <n v="80"/>
    <n v="1091588"/>
    <n v="907336.1344537814"/>
    <n v="27"/>
    <n v="53"/>
    <n v="27"/>
    <n v="0"/>
    <n v="0"/>
    <n v="0"/>
    <n v="761239"/>
    <n v="424763.9999999999"/>
    <n v="0"/>
    <n v="0"/>
    <n v="53"/>
    <n v="761239"/>
    <n v="907336.1344537814"/>
    <n v="27"/>
    <n v="26"/>
    <n v="27"/>
    <n v="0"/>
    <n v="0"/>
    <m/>
    <n v="409031.9999999999"/>
    <n v="424763.9999999999"/>
    <n v="0"/>
    <n v="0"/>
    <n v="26"/>
    <n v="409031.9999999999"/>
    <n v="907336.134453781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302"/>
    <x v="268"/>
    <x v="0"/>
    <x v="6"/>
    <n v="1"/>
    <x v="12"/>
    <n v="4"/>
    <m/>
    <n v="0"/>
    <n v="14363"/>
    <n v="57452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2"/>
    <n v="0.5440989668470585"/>
    <n v="10"/>
    <n v="0.2784867862542887"/>
    <n v="0"/>
    <s v=""/>
    <n v="0"/>
    <s v=""/>
    <n v="3"/>
    <n v="0.3752364724419274"/>
    <n v="0"/>
    <s v=""/>
    <n v="1"/>
    <n v="0.6438448758957575"/>
    <n v="18"/>
    <s v=""/>
    <n v="0"/>
    <s v=""/>
    <n v="0"/>
    <s v=""/>
    <n v="0"/>
    <s v=""/>
    <n v="0"/>
    <n v="2"/>
    <s v=""/>
    <n v="0.6666666666666666"/>
    <n v="4"/>
    <s v=""/>
    <n v="0.2666666666666667"/>
    <n v="1"/>
    <s v=""/>
    <n v="0.3333333333333333"/>
    <n v="3"/>
    <n v="25"/>
    <n v="3"/>
    <n v="0"/>
    <n v="0"/>
    <n v="0"/>
    <n v="43089"/>
    <n v="393299.9999999999"/>
    <n v="43089"/>
    <n v="0"/>
    <n v="4"/>
    <n v="57452"/>
    <n v="84718.59331968082"/>
    <n v="2"/>
    <n v="12"/>
    <n v="0"/>
    <n v="0"/>
    <n v="0"/>
    <n v="0"/>
    <n v="0"/>
    <n v="188784"/>
    <n v="0"/>
    <n v="0"/>
    <n v="4"/>
    <n v="57452"/>
    <n v="0"/>
    <n v="3"/>
    <n v="12"/>
    <n v="0"/>
    <n v="0"/>
    <n v="0"/>
    <n v="47195.99999999999"/>
    <n v="172356"/>
    <n v="0"/>
    <n v="0"/>
    <n v="4"/>
    <n v="57452"/>
    <n v="0"/>
    <n v="3"/>
    <n v="12"/>
    <n v="0"/>
    <n v="0"/>
    <n v="0"/>
    <n v="188784"/>
    <n v="0"/>
    <n v="0"/>
    <n v="0"/>
    <n v="4"/>
    <n v="57452"/>
    <n v="0"/>
    <n v="3"/>
    <n v="6"/>
    <n v="3"/>
    <m/>
    <n v="0"/>
    <n v="0"/>
    <n v="86178"/>
    <n v="47195.99999999999"/>
    <n v="0"/>
    <n v="0"/>
    <n v="4"/>
    <n v="57452"/>
    <n v="100815.1260504202"/>
    <n v="15"/>
    <n v="8"/>
    <n v="4"/>
    <m/>
    <n v="0"/>
    <n v="0"/>
    <n v="114904"/>
    <n v="62927.99999999999"/>
    <n v="0"/>
    <n v="0"/>
    <n v="8"/>
    <n v="57452"/>
    <n v="134420.1680672269"/>
    <n v="3"/>
    <n v="5"/>
    <n v="3"/>
    <n v="0"/>
    <n v="0"/>
    <n v="0"/>
    <n v="71815"/>
    <n v="47195.99999999999"/>
    <n v="0"/>
    <n v="0"/>
    <n v="5"/>
    <n v="57452"/>
    <n v="100815.1260504202"/>
    <n v="3"/>
    <n v="2"/>
    <n v="3"/>
    <n v="0"/>
    <n v="0"/>
    <n v="0"/>
    <n v="28726"/>
    <n v="47195.99999999999"/>
    <n v="0"/>
    <n v="0"/>
    <n v="2"/>
    <n v="28726"/>
    <n v="100815.1260504202"/>
    <n v="3"/>
    <n v="0"/>
    <n v="3"/>
    <n v="0"/>
    <n v="0"/>
    <m/>
    <n v="0"/>
    <n v="47195.99999999999"/>
    <n v="0"/>
    <n v="0"/>
    <n v="0"/>
    <n v="0"/>
    <n v="100815.126050420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303"/>
    <x v="268"/>
    <x v="0"/>
    <x v="6"/>
    <n v="1"/>
    <x v="12"/>
    <n v="28"/>
    <m/>
    <n v="0"/>
    <n v="14363"/>
    <n v="402164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2"/>
    <n v="0.430069438933418"/>
    <n v="1"/>
    <n v="0.2565148299601429"/>
    <n v="0"/>
    <n v="-2.715310171965591e-05"/>
    <n v="0"/>
    <s v=""/>
    <n v="2"/>
    <n v="-2.715310171965591e-05"/>
    <n v="0"/>
    <s v=""/>
    <n v="0"/>
    <s v=""/>
    <n v="3"/>
    <s v=""/>
    <n v="0"/>
    <s v=""/>
    <n v="0"/>
    <s v=""/>
    <n v="0"/>
    <s v=""/>
    <n v="0"/>
    <n v="0"/>
    <s v=""/>
    <n v="0"/>
    <n v="1"/>
    <s v=""/>
    <n v="0.08333333333333333"/>
    <n v="4"/>
    <s v=""/>
    <n v="0.4"/>
    <n v="3"/>
    <n v="31"/>
    <n v="3"/>
    <n v="0"/>
    <n v="0"/>
    <n v="0"/>
    <n v="43089"/>
    <n v="487691.9999999999"/>
    <n v="43089"/>
    <n v="0"/>
    <n v="28"/>
    <n v="402164"/>
    <n v="84718.59331968082"/>
    <n v="2"/>
    <n v="31"/>
    <n v="0"/>
    <n v="0"/>
    <n v="0"/>
    <n v="0"/>
    <n v="0"/>
    <n v="487691.9999999999"/>
    <n v="0"/>
    <n v="0"/>
    <n v="28"/>
    <n v="402164"/>
    <n v="0"/>
    <n v="3"/>
    <n v="31"/>
    <n v="0"/>
    <n v="0"/>
    <n v="0"/>
    <n v="47195.99999999999"/>
    <n v="445253"/>
    <n v="0"/>
    <n v="0"/>
    <n v="28"/>
    <n v="402164"/>
    <n v="0"/>
    <n v="3"/>
    <n v="31"/>
    <n v="0"/>
    <n v="0"/>
    <n v="0"/>
    <n v="487691.9999999999"/>
    <n v="0"/>
    <n v="0"/>
    <n v="0"/>
    <n v="28"/>
    <n v="402164"/>
    <n v="0"/>
    <n v="3"/>
    <n v="28"/>
    <n v="3"/>
    <m/>
    <n v="0"/>
    <n v="0"/>
    <n v="402164"/>
    <n v="47195.99999999999"/>
    <n v="0"/>
    <n v="0"/>
    <n v="28"/>
    <n v="402164"/>
    <n v="100815.1260504202"/>
    <n v="12"/>
    <n v="29"/>
    <n v="1"/>
    <m/>
    <n v="0"/>
    <n v="0"/>
    <n v="416527"/>
    <n v="15732"/>
    <n v="0"/>
    <n v="0"/>
    <n v="29"/>
    <n v="402164"/>
    <n v="33605.04201680672"/>
    <n v="10"/>
    <n v="32"/>
    <n v="10"/>
    <n v="0"/>
    <n v="0"/>
    <n v="0"/>
    <n v="459616"/>
    <n v="157320"/>
    <n v="0"/>
    <n v="0"/>
    <n v="32"/>
    <n v="402164"/>
    <n v="336050.4201680672"/>
    <n v="10"/>
    <n v="22"/>
    <n v="10"/>
    <n v="0"/>
    <n v="0"/>
    <n v="0"/>
    <n v="315986"/>
    <n v="157320"/>
    <n v="0"/>
    <n v="0"/>
    <n v="22"/>
    <n v="315986"/>
    <n v="336050.4201680672"/>
    <n v="10"/>
    <n v="12"/>
    <n v="10"/>
    <n v="0"/>
    <n v="0"/>
    <m/>
    <n v="188784"/>
    <n v="157320"/>
    <n v="0"/>
    <n v="0"/>
    <n v="12"/>
    <n v="188784"/>
    <n v="336050.4201680672"/>
    <n v="0"/>
    <n v="2"/>
    <n v="0"/>
    <n v="0"/>
    <n v="0"/>
    <n v="0"/>
    <m/>
    <n v="31464"/>
    <n v="0"/>
    <n v="0"/>
    <n v="0"/>
    <n v="2"/>
    <n v="31464"/>
    <n v="0"/>
    <n v="0"/>
    <n v="2"/>
    <n v="0"/>
    <n v="0"/>
    <n v="0"/>
    <n v="31464"/>
    <n v="0"/>
    <n v="0"/>
    <n v="0"/>
    <n v="2"/>
    <n v="31464"/>
    <n v="0"/>
    <n v="0"/>
    <n v="2"/>
    <n v="0"/>
    <n v="0"/>
    <n v="0"/>
    <n v="31464"/>
    <n v="0"/>
    <n v="0"/>
    <n v="2"/>
    <n v="31464"/>
    <n v="0"/>
    <n v="0"/>
    <n v="2"/>
    <n v="0"/>
    <n v="0"/>
    <m/>
    <n v="31464"/>
    <n v="0"/>
    <n v="0"/>
    <n v="2"/>
    <n v="31464"/>
    <n v="0"/>
  </r>
  <r>
    <s v="Lhotse-Vestuario"/>
    <x v="1"/>
    <x v="16"/>
    <x v="39"/>
    <s v="LTW25-MKF04"/>
    <x v="304"/>
    <x v="268"/>
    <x v="0"/>
    <x v="6"/>
    <n v="1"/>
    <x v="12"/>
    <n v="67"/>
    <m/>
    <n v="0"/>
    <n v="14363"/>
    <n v="962321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1"/>
    <n v="0.4300690421395127"/>
    <n v="6"/>
    <n v="0.2900670545274251"/>
    <n v="0"/>
    <n v="6.962091412285571e-06"/>
    <n v="0"/>
    <s v=""/>
    <n v="0"/>
    <s v=""/>
    <n v="0"/>
    <s v=""/>
    <n v="0"/>
    <s v=""/>
    <n v="5"/>
    <s v=""/>
    <n v="0"/>
    <s v=""/>
    <n v="0"/>
    <s v=""/>
    <n v="1"/>
    <s v=""/>
    <n v="0.3333333333333333"/>
    <n v="0"/>
    <s v=""/>
    <n v="0"/>
    <n v="5"/>
    <s v=""/>
    <n v="0.1851851851851852"/>
    <n v="1"/>
    <s v=""/>
    <n v="0.04166666666666666"/>
    <n v="5"/>
    <n v="78"/>
    <n v="5"/>
    <n v="0"/>
    <n v="0"/>
    <n v="0"/>
    <n v="71815"/>
    <n v="1227096"/>
    <n v="71815"/>
    <n v="0"/>
    <n v="67"/>
    <n v="962321"/>
    <n v="141197.6555328013"/>
    <n v="2"/>
    <n v="73"/>
    <n v="0"/>
    <n v="0"/>
    <n v="0"/>
    <n v="0"/>
    <n v="14363"/>
    <n v="1148436"/>
    <n v="0"/>
    <n v="0"/>
    <n v="67"/>
    <n v="962321"/>
    <n v="0"/>
    <n v="3"/>
    <n v="73"/>
    <n v="0"/>
    <n v="0"/>
    <n v="0"/>
    <n v="61558.99999999999"/>
    <n v="1048499"/>
    <n v="0"/>
    <n v="0"/>
    <n v="67"/>
    <n v="962321"/>
    <n v="0"/>
    <n v="3"/>
    <n v="73"/>
    <n v="1"/>
    <n v="0"/>
    <n v="0"/>
    <n v="1148436"/>
    <n v="14363"/>
    <n v="0"/>
    <n v="0"/>
    <n v="67"/>
    <n v="962321"/>
    <n v="33605.04201680672"/>
    <n v="3"/>
    <n v="67"/>
    <n v="3"/>
    <m/>
    <n v="0"/>
    <n v="0"/>
    <n v="962321"/>
    <n v="47195.99999999999"/>
    <n v="0"/>
    <n v="0"/>
    <n v="67"/>
    <n v="962321"/>
    <n v="100815.1260504202"/>
    <n v="27"/>
    <n v="72"/>
    <n v="5"/>
    <m/>
    <n v="0"/>
    <n v="0"/>
    <n v="1034136"/>
    <n v="78659.99999999999"/>
    <n v="0"/>
    <n v="0"/>
    <n v="72"/>
    <n v="962321"/>
    <n v="168025.2100840336"/>
    <n v="24"/>
    <n v="68"/>
    <n v="24"/>
    <n v="0"/>
    <n v="0"/>
    <n v="0"/>
    <n v="976684"/>
    <n v="377567.9999999999"/>
    <n v="0"/>
    <n v="0"/>
    <n v="68"/>
    <n v="962321"/>
    <n v="806521.0084033613"/>
    <n v="24"/>
    <n v="44"/>
    <n v="24"/>
    <n v="0"/>
    <n v="0"/>
    <n v="0"/>
    <n v="631972"/>
    <n v="377567.9999999999"/>
    <n v="0"/>
    <n v="0"/>
    <n v="44"/>
    <n v="631972"/>
    <n v="806521.0084033613"/>
    <n v="24"/>
    <n v="20"/>
    <n v="24"/>
    <n v="0"/>
    <n v="0"/>
    <m/>
    <n v="314639.9999999999"/>
    <n v="377567.9999999999"/>
    <n v="0"/>
    <n v="0"/>
    <n v="20"/>
    <n v="314639.9999999999"/>
    <n v="806521.008403361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305"/>
    <x v="268"/>
    <x v="0"/>
    <x v="6"/>
    <n v="1"/>
    <x v="12"/>
    <n v="48"/>
    <m/>
    <n v="0"/>
    <n v="14364"/>
    <n v="689472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1"/>
    <n v="0.658079413445058"/>
    <n v="1"/>
    <n v="0.620106323891137"/>
    <n v="23"/>
    <n v="0.2565160616348917"/>
    <n v="1"/>
    <n v="0.2739340326045748"/>
    <n v="0"/>
    <s v=""/>
    <n v="7"/>
    <n v="0.5189913264793544"/>
    <n v="0"/>
    <n v="1.000031728404854"/>
    <n v="21"/>
    <n v="0.2472594962454238"/>
    <n v="31"/>
    <s v=""/>
    <n v="1"/>
    <s v=""/>
    <n v="0"/>
    <s v=""/>
    <n v="3"/>
    <s v=""/>
    <n v="1"/>
    <n v="1"/>
    <s v=""/>
    <n v="0.3333333333333333"/>
    <n v="4"/>
    <s v=""/>
    <n v="0.1025641025641026"/>
    <n v="3"/>
    <s v=""/>
    <n v="0.1578947368421053"/>
    <n v="5"/>
    <n v="72"/>
    <n v="5"/>
    <n v="0"/>
    <n v="0"/>
    <n v="0"/>
    <n v="93366"/>
    <n v="1132704"/>
    <n v="71820"/>
    <n v="0"/>
    <n v="48"/>
    <n v="689472"/>
    <n v="141197.6555328013"/>
    <n v="2"/>
    <n v="59"/>
    <n v="1.5"/>
    <n v="0"/>
    <n v="0"/>
    <n v="0"/>
    <n v="64638"/>
    <n v="928187.9999999999"/>
    <n v="21546"/>
    <n v="0"/>
    <n v="48"/>
    <n v="689472"/>
    <n v="42359.29665984041"/>
    <n v="3"/>
    <n v="58"/>
    <n v="0"/>
    <n v="0"/>
    <n v="0"/>
    <n v="90288"/>
    <n v="833112"/>
    <n v="0"/>
    <n v="0"/>
    <n v="48"/>
    <n v="689472"/>
    <n v="0"/>
    <n v="3"/>
    <n v="58"/>
    <n v="3"/>
    <n v="0"/>
    <n v="0"/>
    <n v="912455.9999999999"/>
    <n v="43092"/>
    <n v="0"/>
    <n v="0"/>
    <n v="48"/>
    <n v="689472"/>
    <n v="100815.1260504202"/>
    <n v="3"/>
    <n v="49"/>
    <n v="3"/>
    <m/>
    <n v="0"/>
    <n v="0"/>
    <n v="703836"/>
    <n v="47195.99999999999"/>
    <n v="0"/>
    <n v="0"/>
    <n v="48"/>
    <n v="689472"/>
    <n v="100815.1260504202"/>
    <n v="39"/>
    <n v="52"/>
    <n v="4"/>
    <m/>
    <n v="0"/>
    <n v="0"/>
    <n v="746928"/>
    <n v="62927.99999999999"/>
    <n v="0"/>
    <n v="0"/>
    <n v="52"/>
    <n v="689472"/>
    <n v="134420.1680672269"/>
    <n v="19"/>
    <n v="51"/>
    <n v="19"/>
    <n v="0"/>
    <n v="0"/>
    <n v="0"/>
    <n v="732564"/>
    <n v="298907.9999999999"/>
    <n v="0"/>
    <n v="0"/>
    <n v="51"/>
    <n v="689472"/>
    <n v="638495.7983193276"/>
    <n v="19"/>
    <n v="32"/>
    <n v="19"/>
    <n v="0"/>
    <n v="0"/>
    <n v="0"/>
    <n v="459648"/>
    <n v="298907.9999999999"/>
    <n v="0"/>
    <n v="0"/>
    <n v="32"/>
    <n v="459648"/>
    <n v="638495.7983193276"/>
    <n v="19"/>
    <n v="13"/>
    <n v="19"/>
    <n v="0"/>
    <n v="0"/>
    <m/>
    <n v="204516"/>
    <n v="298907.9999999999"/>
    <n v="0"/>
    <n v="0"/>
    <n v="13"/>
    <n v="204516"/>
    <n v="638495.798319327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4"/>
    <x v="306"/>
    <x v="268"/>
    <x v="0"/>
    <x v="6"/>
    <n v="1"/>
    <x v="12"/>
    <n v="0"/>
    <m/>
    <n v="0"/>
    <n v="14366"/>
    <n v="0"/>
    <n v="15.2"/>
    <n v="16606"/>
    <n v="33605.04201680672"/>
    <n v="21000"/>
    <s v="Shenzhen"/>
    <s v="30/70"/>
    <n v="30"/>
    <n v="1"/>
    <n v="0"/>
    <s v=""/>
    <n v="0"/>
    <s v=""/>
    <n v="0"/>
    <s v=""/>
    <n v="0"/>
    <n v="-2.784933509709923e-05"/>
    <n v="1"/>
    <n v="0.5929667309000227"/>
    <n v="2"/>
    <n v="0.5726016020614889"/>
    <n v="10"/>
    <n v="0.1680417168122229"/>
    <n v="0"/>
    <n v="-2.715310171965591e-05"/>
    <n v="2"/>
    <n v="0.1876599835986766"/>
    <n v="4"/>
    <n v="0.501200958474775"/>
    <n v="0"/>
    <s v=""/>
    <n v="14"/>
    <n v="0.1858171305481549"/>
    <n v="14"/>
    <s v=""/>
    <n v="0"/>
    <s v=""/>
    <n v="0"/>
    <s v=""/>
    <n v="1"/>
    <s v=""/>
    <n v="0.3333333333333333"/>
    <n v="0"/>
    <s v=""/>
    <n v="0"/>
    <n v="3"/>
    <s v=""/>
    <n v="0.25"/>
    <n v="0"/>
    <s v=""/>
    <n v="0"/>
    <n v="3"/>
    <n v="1"/>
    <n v="3"/>
    <n v="0"/>
    <n v="0"/>
    <n v="0"/>
    <n v="43098"/>
    <n v="15732"/>
    <n v="43098"/>
    <n v="0"/>
    <n v="0"/>
    <n v="0"/>
    <n v="84718.59331968082"/>
    <n v="2"/>
    <n v="4"/>
    <n v="0"/>
    <n v="0"/>
    <n v="0"/>
    <n v="0"/>
    <n v="14366"/>
    <n v="62927.99999999999"/>
    <n v="0"/>
    <n v="0"/>
    <n v="0"/>
    <n v="0"/>
    <n v="0"/>
    <n v="3"/>
    <n v="4"/>
    <n v="0"/>
    <n v="0"/>
    <n v="0"/>
    <n v="61561.99999999999"/>
    <n v="57464"/>
    <n v="0"/>
    <n v="0"/>
    <n v="0"/>
    <n v="0"/>
    <n v="0"/>
    <n v="3"/>
    <n v="4"/>
    <n v="1"/>
    <n v="0"/>
    <n v="0"/>
    <n v="62927.99999999999"/>
    <n v="14366"/>
    <n v="0"/>
    <n v="0"/>
    <n v="0"/>
    <n v="0"/>
    <n v="33605.04201680672"/>
    <n v="3"/>
    <n v="0"/>
    <n v="3"/>
    <m/>
    <n v="0"/>
    <n v="0"/>
    <n v="0"/>
    <n v="47195.99999999999"/>
    <n v="0"/>
    <n v="0"/>
    <n v="0"/>
    <n v="0"/>
    <n v="100815.1260504202"/>
    <n v="12"/>
    <n v="3"/>
    <n v="3"/>
    <m/>
    <n v="0"/>
    <n v="0"/>
    <n v="43098"/>
    <n v="47195.99999999999"/>
    <n v="0"/>
    <n v="0"/>
    <n v="3"/>
    <n v="0"/>
    <n v="100815.1260504202"/>
    <n v="2"/>
    <n v="0"/>
    <n v="2"/>
    <n v="0"/>
    <n v="0"/>
    <n v="0"/>
    <n v="0"/>
    <n v="31464"/>
    <n v="0"/>
    <n v="0"/>
    <n v="0"/>
    <n v="0"/>
    <n v="67210.08403361344"/>
    <n v="2"/>
    <n v="0"/>
    <n v="2"/>
    <n v="0"/>
    <n v="0"/>
    <n v="0"/>
    <n v="0"/>
    <n v="31464"/>
    <n v="0"/>
    <n v="0"/>
    <n v="0"/>
    <n v="0"/>
    <n v="67210.08403361344"/>
    <n v="2"/>
    <n v="0"/>
    <n v="2"/>
    <n v="0"/>
    <n v="0"/>
    <m/>
    <n v="0"/>
    <n v="31464"/>
    <n v="0"/>
    <n v="0"/>
    <n v="0"/>
    <n v="0"/>
    <n v="67210.0840336134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07"/>
    <x v="269"/>
    <x v="0"/>
    <x v="6"/>
    <n v="1"/>
    <x v="12"/>
    <n v="23"/>
    <m/>
    <n v="0"/>
    <n v="15472"/>
    <n v="355856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2632428571428572"/>
    <n v="0"/>
    <s v=""/>
    <n v="0"/>
    <s v=""/>
    <n v="0"/>
    <s v=""/>
    <n v="0"/>
    <s v=""/>
    <n v="0"/>
    <s v=""/>
    <n v="0"/>
    <s v=""/>
    <n v="0"/>
    <s v=""/>
    <n v="0"/>
    <n v="2"/>
    <s v=""/>
    <n v="1"/>
    <n v="0"/>
    <s v=""/>
    <n v="0"/>
    <n v="0"/>
    <s v=""/>
    <n v="0"/>
    <n v="2"/>
    <n v="32"/>
    <n v="2"/>
    <n v="0"/>
    <n v="0"/>
    <n v="0"/>
    <n v="30944"/>
    <n v="523295.9999999999"/>
    <n v="30944"/>
    <n v="0"/>
    <n v="23"/>
    <n v="355856"/>
    <n v="56479.06221312055"/>
    <n v="1"/>
    <n v="25"/>
    <n v="0"/>
    <n v="0"/>
    <n v="0"/>
    <n v="0"/>
    <n v="0"/>
    <n v="408824.9999999999"/>
    <n v="0"/>
    <n v="0"/>
    <n v="23"/>
    <n v="355856"/>
    <n v="0"/>
    <n v="2"/>
    <n v="25"/>
    <n v="0"/>
    <n v="0"/>
    <n v="0"/>
    <n v="32706"/>
    <n v="386800"/>
    <n v="0"/>
    <n v="0"/>
    <n v="23"/>
    <n v="355856"/>
    <n v="0"/>
    <n v="2"/>
    <n v="25"/>
    <n v="0"/>
    <n v="0"/>
    <n v="0"/>
    <n v="408824.9999999999"/>
    <n v="0"/>
    <n v="0"/>
    <n v="0"/>
    <n v="23"/>
    <n v="355856"/>
    <n v="0"/>
    <n v="2"/>
    <n v="25"/>
    <n v="2"/>
    <m/>
    <n v="0"/>
    <n v="0"/>
    <n v="386800"/>
    <n v="32706"/>
    <n v="0"/>
    <n v="0"/>
    <n v="23"/>
    <n v="355856"/>
    <n v="67210.08403361344"/>
    <n v="12"/>
    <n v="23"/>
    <n v="0"/>
    <m/>
    <n v="0"/>
    <n v="0"/>
    <n v="355856"/>
    <n v="0"/>
    <n v="0"/>
    <n v="0"/>
    <n v="23"/>
    <n v="355856"/>
    <n v="0"/>
    <n v="8"/>
    <n v="23"/>
    <n v="8"/>
    <n v="0"/>
    <n v="0"/>
    <n v="0"/>
    <n v="355856"/>
    <n v="130824"/>
    <n v="0"/>
    <n v="0"/>
    <n v="23"/>
    <n v="355856"/>
    <n v="268840.3361344538"/>
    <n v="8"/>
    <n v="15"/>
    <n v="8"/>
    <n v="0"/>
    <n v="0"/>
    <n v="0"/>
    <n v="232080"/>
    <n v="130824"/>
    <n v="0"/>
    <n v="0"/>
    <n v="15"/>
    <n v="232080"/>
    <n v="268840.3361344538"/>
    <n v="8"/>
    <n v="7"/>
    <n v="8"/>
    <n v="0"/>
    <n v="0"/>
    <m/>
    <n v="114471"/>
    <n v="130824"/>
    <n v="0"/>
    <n v="0"/>
    <n v="7"/>
    <n v="114471"/>
    <n v="268840.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08"/>
    <x v="269"/>
    <x v="0"/>
    <x v="6"/>
    <n v="1"/>
    <x v="12"/>
    <n v="54"/>
    <m/>
    <n v="0"/>
    <n v="15472"/>
    <n v="835488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n v="6.4632885212231e-06"/>
    <n v="0"/>
    <s v=""/>
    <n v="1"/>
    <n v="0.3860766588862954"/>
    <n v="2"/>
    <n v="0.1991355660230861"/>
    <n v="1"/>
    <n v="0.3860844377430363"/>
    <n v="1"/>
    <n v="0.5907879076410378"/>
    <n v="2"/>
    <n v="0.4333363854450894"/>
    <n v="0"/>
    <s v=""/>
    <n v="0"/>
    <s v=""/>
    <n v="0"/>
    <s v=""/>
    <n v="0"/>
    <s v=""/>
    <n v="0"/>
    <s v=""/>
    <n v="2"/>
    <s v=""/>
    <n v="0.6666666666666666"/>
    <n v="0"/>
    <s v=""/>
    <n v="0"/>
    <n v="5"/>
    <s v=""/>
    <n v="0.1851851851851852"/>
    <n v="3"/>
    <s v=""/>
    <n v="0.1363636363636364"/>
    <n v="4"/>
    <n v="64"/>
    <n v="4"/>
    <n v="0"/>
    <n v="0"/>
    <n v="0"/>
    <n v="61888"/>
    <n v="1046592"/>
    <n v="61888"/>
    <n v="0"/>
    <n v="54"/>
    <n v="835488"/>
    <n v="112958.1244262411"/>
    <n v="1"/>
    <n v="64"/>
    <n v="0"/>
    <n v="0"/>
    <n v="0"/>
    <n v="0"/>
    <n v="30944"/>
    <n v="1046592"/>
    <n v="0"/>
    <n v="0"/>
    <n v="54"/>
    <n v="835488"/>
    <n v="0"/>
    <n v="3"/>
    <n v="64"/>
    <n v="0"/>
    <n v="0"/>
    <n v="0"/>
    <n v="80003"/>
    <n v="990208"/>
    <n v="0"/>
    <n v="0"/>
    <n v="54"/>
    <n v="835488"/>
    <n v="0"/>
    <n v="3"/>
    <n v="64"/>
    <n v="2"/>
    <n v="0"/>
    <n v="0"/>
    <n v="1046592"/>
    <n v="30944"/>
    <n v="0"/>
    <n v="0"/>
    <n v="54"/>
    <n v="835488"/>
    <n v="67210.08403361344"/>
    <n v="3"/>
    <n v="54"/>
    <n v="3"/>
    <m/>
    <n v="0"/>
    <n v="0"/>
    <n v="835488"/>
    <n v="49058.99999999999"/>
    <n v="0"/>
    <n v="0"/>
    <n v="54"/>
    <n v="835488"/>
    <n v="100815.1260504202"/>
    <n v="27"/>
    <n v="59"/>
    <n v="5"/>
    <m/>
    <n v="0"/>
    <n v="0"/>
    <n v="912848"/>
    <n v="81764.99999999999"/>
    <n v="0"/>
    <n v="0"/>
    <n v="59"/>
    <n v="835488"/>
    <n v="168025.2100840336"/>
    <n v="22"/>
    <n v="57"/>
    <n v="22"/>
    <n v="0"/>
    <n v="0"/>
    <n v="0"/>
    <n v="881904"/>
    <n v="359765.9999999999"/>
    <n v="0"/>
    <n v="0"/>
    <n v="57"/>
    <n v="835488"/>
    <n v="739310.9243697479"/>
    <n v="22"/>
    <n v="35"/>
    <n v="22"/>
    <n v="0"/>
    <n v="0"/>
    <n v="0"/>
    <n v="541520"/>
    <n v="359765.9999999999"/>
    <n v="0"/>
    <n v="0"/>
    <n v="35"/>
    <n v="541520"/>
    <n v="739310.9243697479"/>
    <n v="22"/>
    <n v="13"/>
    <n v="22"/>
    <n v="0"/>
    <n v="0"/>
    <m/>
    <n v="212589"/>
    <n v="359765.9999999999"/>
    <n v="0"/>
    <n v="0"/>
    <n v="13"/>
    <n v="212589"/>
    <n v="739310.924369747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09"/>
    <x v="269"/>
    <x v="0"/>
    <x v="6"/>
    <n v="1"/>
    <x v="12"/>
    <n v="97"/>
    <m/>
    <n v="0"/>
    <n v="15472"/>
    <n v="1500784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1"/>
    <n v="0.09090428344791118"/>
    <n v="2"/>
    <n v="0.5089102407741731"/>
    <n v="5"/>
    <n v="0.319617414248021"/>
    <n v="0"/>
    <s v=""/>
    <n v="0"/>
    <s v=""/>
    <n v="2"/>
    <n v="0.4192338732381148"/>
    <n v="0"/>
    <s v=""/>
    <n v="0"/>
    <s v=""/>
    <n v="0"/>
    <s v=""/>
    <n v="0"/>
    <s v=""/>
    <n v="0"/>
    <s v=""/>
    <n v="0"/>
    <s v=""/>
    <n v="0"/>
    <n v="1"/>
    <s v=""/>
    <n v="0.3333333333333333"/>
    <n v="2"/>
    <s v=""/>
    <n v="0.05128205128205128"/>
    <n v="1"/>
    <s v=""/>
    <n v="0.02941176470588235"/>
    <n v="4"/>
    <n v="90"/>
    <n v="4"/>
    <n v="0"/>
    <n v="0"/>
    <n v="0"/>
    <n v="61888"/>
    <n v="1471770"/>
    <n v="61888"/>
    <n v="0"/>
    <n v="97"/>
    <n v="1500784"/>
    <n v="112958.1244262411"/>
    <n v="1"/>
    <n v="100"/>
    <n v="0"/>
    <n v="0"/>
    <n v="0"/>
    <n v="0"/>
    <n v="0"/>
    <n v="1635300"/>
    <n v="0"/>
    <n v="0"/>
    <n v="97"/>
    <n v="1500784"/>
    <n v="0"/>
    <n v="3"/>
    <n v="100"/>
    <n v="0"/>
    <n v="0"/>
    <n v="0"/>
    <n v="49058.99999999999"/>
    <n v="1547200"/>
    <n v="0"/>
    <n v="0"/>
    <n v="97"/>
    <n v="1500784"/>
    <n v="0"/>
    <n v="3"/>
    <n v="100"/>
    <n v="0"/>
    <n v="0"/>
    <n v="0"/>
    <n v="1635300"/>
    <n v="0"/>
    <n v="0"/>
    <n v="0"/>
    <n v="97"/>
    <n v="1500784"/>
    <n v="0"/>
    <n v="3"/>
    <n v="98"/>
    <n v="3"/>
    <m/>
    <n v="0"/>
    <n v="0"/>
    <n v="1516256"/>
    <n v="49058.99999999999"/>
    <n v="0"/>
    <n v="0"/>
    <n v="97"/>
    <n v="1500784"/>
    <n v="100815.1260504202"/>
    <n v="39"/>
    <n v="99"/>
    <n v="2"/>
    <m/>
    <n v="0"/>
    <n v="0"/>
    <n v="1531728"/>
    <n v="32706"/>
    <n v="0"/>
    <n v="0"/>
    <n v="99"/>
    <n v="1500784"/>
    <n v="67210.08403361344"/>
    <n v="34"/>
    <n v="98"/>
    <n v="34"/>
    <n v="0"/>
    <n v="0"/>
    <n v="0"/>
    <n v="1516256"/>
    <n v="556001.9999999999"/>
    <n v="0"/>
    <n v="0"/>
    <n v="98"/>
    <n v="1500784"/>
    <n v="1142571.428571429"/>
    <n v="34"/>
    <n v="64"/>
    <n v="34"/>
    <n v="0"/>
    <n v="0"/>
    <n v="0"/>
    <n v="990208"/>
    <n v="556001.9999999999"/>
    <n v="0"/>
    <n v="0"/>
    <n v="64"/>
    <n v="990208"/>
    <n v="1142571.428571429"/>
    <n v="34"/>
    <n v="30"/>
    <n v="34"/>
    <n v="0"/>
    <n v="0"/>
    <m/>
    <n v="490589.9999999999"/>
    <n v="556001.9999999999"/>
    <n v="0"/>
    <n v="0"/>
    <n v="30"/>
    <n v="490589.9999999999"/>
    <n v="1142571.42857142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10"/>
    <x v="269"/>
    <x v="0"/>
    <x v="6"/>
    <n v="1"/>
    <x v="12"/>
    <n v="0"/>
    <m/>
    <n v="0"/>
    <n v="15472"/>
    <n v="0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1"/>
    <n v="0.5907879076410378"/>
    <n v="4"/>
    <n v="0.1991355660230861"/>
    <n v="1"/>
    <n v="0.3860766588862954"/>
    <n v="0"/>
    <s v=""/>
    <n v="1"/>
    <n v="0.2632428571428572"/>
    <n v="0"/>
    <s v=""/>
    <n v="1"/>
    <n v="0.6163579558134344"/>
    <n v="0"/>
    <s v=""/>
    <n v="0"/>
    <s v=""/>
    <n v="1"/>
    <s v=""/>
    <n v="0"/>
    <s v=""/>
    <n v="0"/>
    <n v="1"/>
    <s v=""/>
    <n v="0.3333333333333333"/>
    <n v="1"/>
    <s v=""/>
    <n v="0.08333333333333333"/>
    <n v="2"/>
    <s v=""/>
    <n v="0.25"/>
    <n v="2"/>
    <n v="28"/>
    <n v="2"/>
    <n v="0"/>
    <n v="0"/>
    <n v="0"/>
    <n v="46416"/>
    <n v="457883.9999999999"/>
    <n v="30944"/>
    <n v="0"/>
    <n v="0"/>
    <n v="0"/>
    <n v="56479.06221312055"/>
    <n v="1"/>
    <n v="25"/>
    <n v="0"/>
    <n v="0"/>
    <n v="0"/>
    <n v="0"/>
    <n v="15472"/>
    <n v="408824.9999999999"/>
    <n v="0"/>
    <n v="0"/>
    <n v="0"/>
    <n v="0"/>
    <n v="0"/>
    <n v="3"/>
    <n v="25"/>
    <n v="1"/>
    <n v="0"/>
    <n v="0"/>
    <n v="64530.99999999999"/>
    <n v="386800"/>
    <n v="15472"/>
    <n v="0"/>
    <n v="0"/>
    <n v="0"/>
    <n v="33605.04201680672"/>
    <n v="3"/>
    <n v="24"/>
    <n v="0"/>
    <n v="0"/>
    <n v="0"/>
    <n v="392471.9999999999"/>
    <n v="0"/>
    <n v="0"/>
    <n v="0"/>
    <n v="0"/>
    <n v="0"/>
    <n v="0"/>
    <n v="3"/>
    <n v="1"/>
    <n v="3"/>
    <m/>
    <n v="0"/>
    <n v="0"/>
    <n v="15472"/>
    <n v="49058.99999999999"/>
    <n v="0"/>
    <n v="0"/>
    <n v="0"/>
    <n v="0"/>
    <n v="100815.1260504202"/>
    <n v="12"/>
    <n v="1"/>
    <n v="1"/>
    <m/>
    <n v="0"/>
    <n v="0"/>
    <n v="15472"/>
    <n v="16353"/>
    <n v="0"/>
    <n v="0"/>
    <n v="1"/>
    <n v="0"/>
    <n v="33605.04201680672"/>
    <n v="8"/>
    <n v="2"/>
    <n v="8"/>
    <n v="0"/>
    <n v="0"/>
    <n v="0"/>
    <n v="30944"/>
    <n v="130824"/>
    <n v="0"/>
    <n v="0"/>
    <n v="2"/>
    <n v="0"/>
    <n v="268840.3361344538"/>
    <n v="8"/>
    <n v="0"/>
    <n v="8"/>
    <n v="0"/>
    <n v="0"/>
    <n v="0"/>
    <n v="0"/>
    <n v="130824"/>
    <n v="0"/>
    <n v="0"/>
    <n v="0"/>
    <n v="0"/>
    <n v="268840.3361344538"/>
    <n v="8"/>
    <n v="0"/>
    <n v="8"/>
    <n v="0"/>
    <n v="0"/>
    <m/>
    <n v="0"/>
    <n v="130824"/>
    <n v="0"/>
    <n v="0"/>
    <n v="0"/>
    <n v="0"/>
    <n v="268840.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11"/>
    <x v="269"/>
    <x v="0"/>
    <x v="6"/>
    <n v="1"/>
    <x v="12"/>
    <n v="4"/>
    <m/>
    <n v="0"/>
    <n v="15472"/>
    <n v="61888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1"/>
    <n v="0.3860848345369415"/>
    <n v="1"/>
    <n v="0.3860848345369415"/>
    <n v="0"/>
    <s v=""/>
    <n v="0"/>
    <s v=""/>
    <n v="3"/>
    <n v="7.109617373357167e-06"/>
    <n v="2"/>
    <n v="0.3860826521704627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2"/>
    <n v="31"/>
    <n v="2"/>
    <n v="0"/>
    <n v="0"/>
    <n v="0"/>
    <n v="30944"/>
    <n v="506942.9999999999"/>
    <n v="30944"/>
    <n v="0"/>
    <n v="4"/>
    <n v="61888"/>
    <n v="56479.06221312055"/>
    <n v="1"/>
    <n v="22"/>
    <n v="0"/>
    <n v="0"/>
    <n v="0"/>
    <n v="0"/>
    <n v="0"/>
    <n v="359765.9999999999"/>
    <n v="0"/>
    <n v="0"/>
    <n v="4"/>
    <n v="61888"/>
    <n v="0"/>
    <n v="2"/>
    <n v="22"/>
    <n v="0"/>
    <n v="0"/>
    <n v="0"/>
    <n v="32706"/>
    <n v="340384"/>
    <n v="0"/>
    <n v="0"/>
    <n v="4"/>
    <n v="61888"/>
    <n v="0"/>
    <n v="2"/>
    <n v="22"/>
    <n v="0"/>
    <n v="0"/>
    <n v="0"/>
    <n v="359765.9999999999"/>
    <n v="0"/>
    <n v="0"/>
    <n v="0"/>
    <n v="4"/>
    <n v="61888"/>
    <n v="0"/>
    <n v="2"/>
    <n v="4"/>
    <n v="2"/>
    <m/>
    <n v="0"/>
    <n v="0"/>
    <n v="61888"/>
    <n v="32706"/>
    <n v="0"/>
    <n v="0"/>
    <n v="4"/>
    <n v="61888"/>
    <n v="67210.08403361344"/>
    <n v="12"/>
    <n v="4"/>
    <n v="0"/>
    <m/>
    <n v="0"/>
    <n v="0"/>
    <n v="61888"/>
    <n v="0"/>
    <n v="0"/>
    <n v="0"/>
    <n v="4"/>
    <n v="61888"/>
    <n v="0"/>
    <n v="7"/>
    <n v="4"/>
    <n v="7"/>
    <n v="0"/>
    <n v="0"/>
    <n v="0"/>
    <n v="61888"/>
    <n v="114471"/>
    <n v="0"/>
    <n v="0"/>
    <n v="4"/>
    <n v="61888"/>
    <n v="235235.294117647"/>
    <n v="7"/>
    <n v="0"/>
    <n v="7"/>
    <n v="0"/>
    <n v="0"/>
    <n v="0"/>
    <n v="0"/>
    <n v="114471"/>
    <n v="0"/>
    <n v="0"/>
    <n v="0"/>
    <n v="0"/>
    <n v="235235.294117647"/>
    <n v="7"/>
    <n v="0"/>
    <n v="7"/>
    <n v="0"/>
    <n v="0"/>
    <m/>
    <n v="0"/>
    <n v="114471"/>
    <n v="0"/>
    <n v="0"/>
    <n v="0"/>
    <n v="0"/>
    <n v="235235.29411764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12"/>
    <x v="269"/>
    <x v="0"/>
    <x v="6"/>
    <n v="1"/>
    <x v="12"/>
    <n v="2"/>
    <m/>
    <n v="0"/>
    <n v="15472"/>
    <n v="30944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0"/>
    <s v=""/>
    <n v="5"/>
    <n v="0.3507446624840415"/>
    <n v="1"/>
    <n v="0.2632433333333334"/>
    <n v="1"/>
    <n v="0.2632433333333334"/>
    <n v="4"/>
    <n v="7.109617373357167e-06"/>
    <n v="0"/>
    <s v=""/>
    <n v="0"/>
    <s v=""/>
    <n v="0"/>
    <s v=""/>
    <n v="0"/>
    <s v=""/>
    <n v="0"/>
    <s v=""/>
    <n v="0"/>
    <s v=""/>
    <n v="0"/>
    <n v="0"/>
    <s v=""/>
    <n v="0"/>
    <n v="1"/>
    <s v=""/>
    <n v="0.03703703703703703"/>
    <n v="3"/>
    <s v=""/>
    <n v="0.1875"/>
    <n v="4"/>
    <n v="64"/>
    <n v="4"/>
    <n v="0"/>
    <n v="0"/>
    <n v="0"/>
    <n v="61888"/>
    <n v="1046592"/>
    <n v="61888"/>
    <n v="0"/>
    <n v="2"/>
    <n v="30944"/>
    <n v="112958.1244262411"/>
    <n v="1"/>
    <n v="48"/>
    <n v="0"/>
    <n v="0"/>
    <n v="0"/>
    <n v="0"/>
    <n v="0"/>
    <n v="784943.9999999999"/>
    <n v="0"/>
    <n v="0"/>
    <n v="2"/>
    <n v="30944"/>
    <n v="0"/>
    <n v="3"/>
    <n v="48"/>
    <n v="0"/>
    <n v="0"/>
    <n v="0"/>
    <n v="49058.99999999999"/>
    <n v="742656"/>
    <n v="0"/>
    <n v="0"/>
    <n v="2"/>
    <n v="30944"/>
    <n v="0"/>
    <n v="3"/>
    <n v="48"/>
    <n v="0"/>
    <n v="0"/>
    <n v="0"/>
    <n v="784943.9999999999"/>
    <n v="0"/>
    <n v="0"/>
    <n v="0"/>
    <n v="2"/>
    <n v="30944"/>
    <n v="0"/>
    <n v="3"/>
    <n v="2"/>
    <n v="3"/>
    <m/>
    <n v="0"/>
    <n v="0"/>
    <n v="30944"/>
    <n v="49058.99999999999"/>
    <n v="0"/>
    <n v="0"/>
    <n v="2"/>
    <n v="30944"/>
    <n v="100815.1260504202"/>
    <n v="27"/>
    <n v="3"/>
    <n v="1"/>
    <m/>
    <n v="0"/>
    <n v="0"/>
    <n v="46416"/>
    <n v="16353"/>
    <n v="0"/>
    <n v="0"/>
    <n v="3"/>
    <n v="30944"/>
    <n v="33605.04201680672"/>
    <n v="16"/>
    <n v="5"/>
    <n v="16"/>
    <n v="0"/>
    <n v="0"/>
    <n v="0"/>
    <n v="77360"/>
    <n v="261648"/>
    <n v="0"/>
    <n v="0"/>
    <n v="5"/>
    <n v="30944"/>
    <n v="537680.6722689075"/>
    <n v="16"/>
    <n v="0"/>
    <n v="16"/>
    <n v="0"/>
    <n v="0"/>
    <n v="0"/>
    <n v="0"/>
    <n v="261648"/>
    <n v="0"/>
    <n v="0"/>
    <n v="0"/>
    <n v="0"/>
    <n v="537680.6722689075"/>
    <n v="16"/>
    <n v="0"/>
    <n v="16"/>
    <n v="0"/>
    <n v="0"/>
    <m/>
    <n v="0"/>
    <n v="261648"/>
    <n v="0"/>
    <n v="0"/>
    <n v="0"/>
    <n v="0"/>
    <n v="537680.672268907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13"/>
    <x v="269"/>
    <x v="0"/>
    <x v="6"/>
    <n v="1"/>
    <x v="12"/>
    <n v="14"/>
    <m/>
    <n v="0"/>
    <n v="15472"/>
    <n v="216608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n v="7.109617373357167e-06"/>
    <n v="1"/>
    <n v="0.6316953570714143"/>
    <n v="1"/>
    <n v="0.3860770556852284"/>
    <n v="4"/>
    <n v="0.3537627132802874"/>
    <n v="1"/>
    <n v="0.3860848345369415"/>
    <n v="0"/>
    <s v=""/>
    <n v="6"/>
    <n v="0.3463042039293008"/>
    <n v="0"/>
    <s v=""/>
    <n v="18"/>
    <n v="0.2280031046861357"/>
    <n v="15"/>
    <s v=""/>
    <n v="2"/>
    <s v=""/>
    <n v="1"/>
    <s v=""/>
    <n v="0"/>
    <s v=""/>
    <n v="0"/>
    <n v="1"/>
    <s v=""/>
    <n v="0.3333333333333333"/>
    <n v="3"/>
    <s v=""/>
    <n v="0.07692307692307693"/>
    <n v="3"/>
    <s v=""/>
    <n v="0.1111111111111111"/>
    <n v="4"/>
    <n v="78"/>
    <n v="4"/>
    <n v="0"/>
    <n v="0"/>
    <n v="0"/>
    <n v="123776"/>
    <n v="1275534"/>
    <n v="61888"/>
    <n v="0"/>
    <n v="14"/>
    <n v="216608"/>
    <n v="112958.1244262411"/>
    <n v="1"/>
    <n v="81"/>
    <n v="3"/>
    <n v="0"/>
    <n v="0"/>
    <n v="0"/>
    <n v="61888"/>
    <n v="1324593"/>
    <n v="46416"/>
    <n v="0"/>
    <n v="14"/>
    <n v="216608"/>
    <n v="84718.59331968082"/>
    <n v="3"/>
    <n v="79"/>
    <n v="1"/>
    <n v="0"/>
    <n v="0"/>
    <n v="64530.99999999999"/>
    <n v="1222288"/>
    <n v="15472"/>
    <n v="0"/>
    <n v="14"/>
    <n v="216608"/>
    <n v="33605.04201680672"/>
    <n v="3"/>
    <n v="79"/>
    <n v="0"/>
    <n v="0"/>
    <n v="0"/>
    <n v="1291887"/>
    <n v="0"/>
    <n v="0"/>
    <n v="0"/>
    <n v="14"/>
    <n v="216608"/>
    <n v="0"/>
    <n v="3"/>
    <n v="15"/>
    <n v="3"/>
    <m/>
    <n v="0"/>
    <n v="0"/>
    <n v="232080"/>
    <n v="49058.99999999999"/>
    <n v="0"/>
    <n v="0"/>
    <n v="14"/>
    <n v="216608"/>
    <n v="100815.1260504202"/>
    <n v="39"/>
    <n v="17"/>
    <n v="3"/>
    <m/>
    <n v="0"/>
    <n v="0"/>
    <n v="263024"/>
    <n v="49058.99999999999"/>
    <n v="0"/>
    <n v="0"/>
    <n v="17"/>
    <n v="216608"/>
    <n v="100815.1260504202"/>
    <n v="27"/>
    <n v="17"/>
    <n v="27"/>
    <n v="0"/>
    <n v="0"/>
    <n v="0"/>
    <n v="263024"/>
    <n v="441530.9999999999"/>
    <n v="0"/>
    <n v="0"/>
    <n v="17"/>
    <n v="216608"/>
    <n v="907336.1344537814"/>
    <n v="27"/>
    <n v="0"/>
    <n v="27"/>
    <n v="0"/>
    <n v="0"/>
    <n v="0"/>
    <n v="0"/>
    <n v="441530.9999999999"/>
    <n v="0"/>
    <n v="0"/>
    <n v="0"/>
    <n v="0"/>
    <n v="907336.1344537814"/>
    <n v="27"/>
    <n v="0"/>
    <n v="27"/>
    <n v="0"/>
    <n v="0"/>
    <m/>
    <n v="0"/>
    <n v="441530.9999999999"/>
    <n v="0"/>
    <n v="0"/>
    <n v="0"/>
    <n v="0"/>
    <n v="907336.134453781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5"/>
    <x v="314"/>
    <x v="269"/>
    <x v="0"/>
    <x v="6"/>
    <n v="1"/>
    <x v="12"/>
    <n v="1"/>
    <m/>
    <n v="0"/>
    <n v="15472"/>
    <n v="15472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3"/>
    <n v="0.3302629286308512"/>
    <n v="6"/>
    <n v="0.2378166671898787"/>
    <n v="0"/>
    <n v="0.2254367959949937"/>
    <n v="1"/>
    <n v="0.2632428571428572"/>
    <n v="6"/>
    <n v="0.3313400368791057"/>
    <n v="0"/>
    <s v=""/>
    <n v="14"/>
    <n v="0.1151814709666878"/>
    <n v="13"/>
    <s v=""/>
    <n v="0"/>
    <s v=""/>
    <n v="0"/>
    <s v=""/>
    <n v="1"/>
    <s v=""/>
    <n v="0.3333333333333333"/>
    <n v="1"/>
    <s v=""/>
    <n v="0.3333333333333333"/>
    <n v="4"/>
    <s v=""/>
    <n v="0.3333333333333333"/>
    <n v="1"/>
    <s v=""/>
    <n v="0.5"/>
    <n v="2"/>
    <n v="4"/>
    <n v="2"/>
    <n v="0"/>
    <n v="0"/>
    <n v="0"/>
    <n v="30944"/>
    <n v="65411.99999999999"/>
    <n v="30944"/>
    <n v="0"/>
    <n v="1"/>
    <n v="15472"/>
    <n v="56479.06221312055"/>
    <n v="1"/>
    <n v="9"/>
    <n v="0"/>
    <n v="0"/>
    <n v="0"/>
    <n v="0"/>
    <n v="15472"/>
    <n v="147177"/>
    <n v="0"/>
    <n v="0"/>
    <n v="1"/>
    <n v="15472"/>
    <n v="0"/>
    <n v="3"/>
    <n v="9"/>
    <n v="0"/>
    <n v="0"/>
    <n v="0"/>
    <n v="64530.99999999999"/>
    <n v="139248"/>
    <n v="0"/>
    <n v="0"/>
    <n v="1"/>
    <n v="15472"/>
    <n v="0"/>
    <n v="3"/>
    <n v="8"/>
    <n v="1"/>
    <n v="0"/>
    <n v="0"/>
    <n v="130824"/>
    <n v="15472"/>
    <n v="0"/>
    <n v="0"/>
    <n v="1"/>
    <n v="15472"/>
    <n v="33605.04201680672"/>
    <n v="3"/>
    <n v="2"/>
    <n v="3"/>
    <m/>
    <n v="0"/>
    <n v="0"/>
    <n v="30944"/>
    <n v="49058.99999999999"/>
    <n v="0"/>
    <n v="0"/>
    <n v="1"/>
    <n v="15472"/>
    <n v="100815.1260504202"/>
    <n v="12"/>
    <n v="5"/>
    <n v="4"/>
    <m/>
    <n v="0"/>
    <n v="0"/>
    <n v="77360"/>
    <n v="65411.99999999999"/>
    <n v="0"/>
    <n v="0"/>
    <n v="5"/>
    <n v="15472"/>
    <n v="134420.1680672269"/>
    <n v="2"/>
    <n v="2"/>
    <n v="2"/>
    <n v="0"/>
    <n v="0"/>
    <n v="0"/>
    <n v="30944"/>
    <n v="32706"/>
    <n v="0"/>
    <n v="0"/>
    <n v="2"/>
    <n v="15472"/>
    <n v="67210.08403361344"/>
    <n v="2"/>
    <n v="0"/>
    <n v="2"/>
    <n v="0"/>
    <n v="0"/>
    <n v="0"/>
    <n v="0"/>
    <n v="32706"/>
    <n v="0"/>
    <n v="0"/>
    <n v="0"/>
    <n v="0"/>
    <n v="67210.08403361344"/>
    <n v="2"/>
    <n v="0"/>
    <n v="2"/>
    <n v="0"/>
    <n v="0"/>
    <m/>
    <n v="0"/>
    <n v="32706"/>
    <n v="0"/>
    <n v="0"/>
    <n v="0"/>
    <n v="0"/>
    <n v="67210.0840336134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15"/>
    <x v="270"/>
    <x v="0"/>
    <x v="6"/>
    <n v="1"/>
    <x v="12"/>
    <n v="20"/>
    <m/>
    <n v="0"/>
    <n v="14101"/>
    <n v="282020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5"/>
    <n v="0.2700983487758166"/>
    <n v="2"/>
    <n v="0.2931844611528822"/>
    <n v="0"/>
    <s v=""/>
    <n v="2"/>
    <n v="0.5524354091284199"/>
    <n v="1"/>
    <n v="0.2006705969049374"/>
    <n v="0"/>
    <s v=""/>
    <n v="3"/>
    <s v=""/>
    <n v="0"/>
    <s v=""/>
    <n v="1"/>
    <s v=""/>
    <n v="0"/>
    <s v=""/>
    <n v="0"/>
    <n v="0"/>
    <s v=""/>
    <n v="0"/>
    <n v="0"/>
    <s v=""/>
    <n v="0"/>
    <n v="0"/>
    <s v=""/>
    <n v="0"/>
    <n v="3"/>
    <n v="22"/>
    <n v="3"/>
    <n v="0"/>
    <n v="0"/>
    <n v="0"/>
    <n v="56404"/>
    <n v="327887.9999999999"/>
    <n v="42303"/>
    <n v="0"/>
    <n v="20"/>
    <n v="282020"/>
    <n v="63533.6487536191"/>
    <n v="3"/>
    <n v="21"/>
    <n v="0"/>
    <n v="0"/>
    <n v="0"/>
    <n v="0"/>
    <n v="14101"/>
    <n v="312983.9999999999"/>
    <n v="0"/>
    <n v="0"/>
    <n v="20"/>
    <n v="282020"/>
    <n v="0"/>
    <n v="4"/>
    <n v="21"/>
    <n v="1"/>
    <n v="0"/>
    <n v="0"/>
    <n v="43909"/>
    <n v="296121"/>
    <n v="14101"/>
    <n v="0"/>
    <n v="20"/>
    <n v="282020"/>
    <n v="25201.68067226891"/>
    <n v="2"/>
    <n v="20"/>
    <n v="0"/>
    <n v="0"/>
    <n v="0"/>
    <n v="298079.9999999999"/>
    <n v="0"/>
    <n v="0"/>
    <n v="0"/>
    <n v="20"/>
    <n v="282020"/>
    <n v="0"/>
    <n v="2"/>
    <n v="20"/>
    <n v="2"/>
    <m/>
    <n v="0"/>
    <n v="0"/>
    <n v="282020"/>
    <n v="29808"/>
    <n v="0"/>
    <n v="0"/>
    <n v="20"/>
    <n v="282020"/>
    <n v="50403.36134453781"/>
    <n v="12"/>
    <n v="20"/>
    <n v="0"/>
    <m/>
    <n v="0"/>
    <n v="0"/>
    <n v="282020"/>
    <n v="0"/>
    <n v="0"/>
    <n v="0"/>
    <n v="20"/>
    <n v="282020"/>
    <n v="0"/>
    <n v="7"/>
    <n v="20"/>
    <n v="7"/>
    <n v="0"/>
    <n v="0"/>
    <n v="0"/>
    <n v="282020"/>
    <n v="104328"/>
    <n v="0"/>
    <n v="0"/>
    <n v="20"/>
    <n v="282020"/>
    <n v="176411.7647058823"/>
    <n v="7"/>
    <n v="13"/>
    <n v="7"/>
    <n v="0"/>
    <n v="0"/>
    <n v="0"/>
    <n v="183313"/>
    <n v="104328"/>
    <n v="0"/>
    <n v="0"/>
    <n v="13"/>
    <n v="183313"/>
    <n v="176411.7647058823"/>
    <n v="7"/>
    <n v="6"/>
    <n v="7"/>
    <n v="0"/>
    <n v="0"/>
    <m/>
    <n v="89423.99999999999"/>
    <n v="104328"/>
    <n v="0"/>
    <n v="0"/>
    <n v="6"/>
    <n v="89423.99999999999"/>
    <n v="176411.764705882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16"/>
    <x v="270"/>
    <x v="0"/>
    <x v="6"/>
    <n v="1"/>
    <x v="12"/>
    <n v="52"/>
    <m/>
    <n v="0"/>
    <n v="14101"/>
    <n v="733252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6"/>
    <n v="0.3696842590421117"/>
    <n v="2"/>
    <n v="0.3895948227349466"/>
    <n v="0"/>
    <s v=""/>
    <n v="9"/>
    <n v="0.5087530773399396"/>
    <n v="0"/>
    <s v=""/>
    <n v="0"/>
    <s v=""/>
    <n v="5"/>
    <s v=""/>
    <n v="0"/>
    <s v=""/>
    <n v="1"/>
    <s v=""/>
    <n v="0"/>
    <s v=""/>
    <n v="0"/>
    <n v="0"/>
    <s v=""/>
    <n v="0"/>
    <n v="3"/>
    <s v=""/>
    <n v="0.1111111111111111"/>
    <n v="1"/>
    <s v=""/>
    <n v="0.05263157894736842"/>
    <n v="5"/>
    <n v="60"/>
    <n v="5"/>
    <n v="0"/>
    <n v="0"/>
    <n v="0"/>
    <n v="84606"/>
    <n v="894239.9999999999"/>
    <n v="70505"/>
    <n v="0"/>
    <n v="52"/>
    <n v="733252"/>
    <n v="105889.4145893652"/>
    <n v="3"/>
    <n v="57"/>
    <n v="0"/>
    <n v="0"/>
    <n v="0"/>
    <n v="0"/>
    <n v="14101"/>
    <n v="849527.9999999999"/>
    <n v="0"/>
    <n v="0"/>
    <n v="52"/>
    <n v="733252"/>
    <n v="0"/>
    <n v="4"/>
    <n v="57"/>
    <n v="1"/>
    <n v="0"/>
    <n v="0"/>
    <n v="43909"/>
    <n v="803757"/>
    <n v="14101"/>
    <n v="0"/>
    <n v="52"/>
    <n v="733252"/>
    <n v="25201.68067226891"/>
    <n v="2"/>
    <n v="56"/>
    <n v="0"/>
    <n v="0"/>
    <n v="0"/>
    <n v="834623.9999999999"/>
    <n v="0"/>
    <n v="0"/>
    <n v="0"/>
    <n v="52"/>
    <n v="733252"/>
    <n v="0"/>
    <n v="2"/>
    <n v="52"/>
    <n v="2"/>
    <m/>
    <n v="0"/>
    <n v="0"/>
    <n v="733252"/>
    <n v="29808"/>
    <n v="0"/>
    <n v="0"/>
    <n v="52"/>
    <n v="733252"/>
    <n v="50403.36134453781"/>
    <n v="27"/>
    <n v="55"/>
    <n v="3"/>
    <m/>
    <n v="0"/>
    <n v="0"/>
    <n v="775555"/>
    <n v="44711.99999999999"/>
    <n v="0"/>
    <n v="0"/>
    <n v="55"/>
    <n v="733252"/>
    <n v="75605.04201680672"/>
    <n v="19"/>
    <n v="53"/>
    <n v="19"/>
    <n v="0"/>
    <n v="0"/>
    <n v="0"/>
    <n v="747353"/>
    <n v="283175.9999999999"/>
    <n v="0"/>
    <n v="0"/>
    <n v="53"/>
    <n v="733252"/>
    <n v="478831.9327731092"/>
    <n v="19"/>
    <n v="34"/>
    <n v="19"/>
    <n v="0"/>
    <n v="0"/>
    <n v="0"/>
    <n v="479434"/>
    <n v="283175.9999999999"/>
    <n v="0"/>
    <n v="0"/>
    <n v="34"/>
    <n v="479434"/>
    <n v="478831.9327731092"/>
    <n v="19"/>
    <n v="15"/>
    <n v="19"/>
    <n v="0"/>
    <n v="0"/>
    <m/>
    <n v="223560"/>
    <n v="283175.9999999999"/>
    <n v="0"/>
    <n v="0"/>
    <n v="15"/>
    <n v="223560"/>
    <n v="478831.932773109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17"/>
    <x v="270"/>
    <x v="0"/>
    <x v="6"/>
    <n v="1"/>
    <x v="12"/>
    <n v="61"/>
    <m/>
    <n v="0"/>
    <n v="14101"/>
    <n v="860161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1"/>
    <n v="0.4358032249029729"/>
    <n v="2"/>
    <n v="2.127508687373579e-06"/>
    <n v="9"/>
    <n v="0.3439769244636741"/>
    <n v="1"/>
    <n v="0.4404821045948735"/>
    <n v="2"/>
    <n v="0.1115260538088338"/>
    <n v="8"/>
    <n v="0.5524354091284199"/>
    <n v="0"/>
    <s v=""/>
    <n v="1"/>
    <n v="0.5804156872080221"/>
    <n v="12"/>
    <s v=""/>
    <n v="2"/>
    <s v=""/>
    <n v="0"/>
    <s v=""/>
    <n v="1"/>
    <s v=""/>
    <n v="0.3333333333333333"/>
    <n v="1"/>
    <s v=""/>
    <n v="0.3333333333333333"/>
    <n v="1"/>
    <s v=""/>
    <n v="0.02564102564102564"/>
    <n v="2"/>
    <s v=""/>
    <n v="0.09090909090909091"/>
    <n v="5"/>
    <n v="76"/>
    <n v="5"/>
    <n v="0"/>
    <n v="0"/>
    <n v="0"/>
    <n v="112808"/>
    <n v="1132704"/>
    <n v="70505"/>
    <n v="0"/>
    <n v="61"/>
    <n v="860161"/>
    <n v="105889.4145893652"/>
    <n v="3"/>
    <n v="68"/>
    <n v="3"/>
    <n v="0"/>
    <n v="0"/>
    <n v="0"/>
    <n v="56404"/>
    <n v="1013472"/>
    <n v="42303"/>
    <n v="0"/>
    <n v="61"/>
    <n v="860161"/>
    <n v="63533.6487536191"/>
    <n v="4"/>
    <n v="66"/>
    <n v="0"/>
    <n v="0"/>
    <n v="0"/>
    <n v="58812.99999999999"/>
    <n v="930666"/>
    <n v="0"/>
    <n v="0"/>
    <n v="61"/>
    <n v="860161"/>
    <n v="0"/>
    <n v="3"/>
    <n v="66"/>
    <n v="1"/>
    <n v="0"/>
    <n v="0"/>
    <n v="983663.9999999999"/>
    <n v="14101"/>
    <n v="0"/>
    <n v="0"/>
    <n v="61"/>
    <n v="860161"/>
    <n v="25201.68067226891"/>
    <n v="3"/>
    <n v="62"/>
    <n v="3"/>
    <m/>
    <n v="0"/>
    <n v="0"/>
    <n v="874262"/>
    <n v="44711.99999999999"/>
    <n v="0"/>
    <n v="0"/>
    <n v="61"/>
    <n v="860161"/>
    <n v="75605.04201680672"/>
    <n v="39"/>
    <n v="62"/>
    <n v="1"/>
    <m/>
    <n v="0"/>
    <n v="0"/>
    <n v="874262"/>
    <n v="14904"/>
    <n v="0"/>
    <n v="0"/>
    <n v="62"/>
    <n v="860161"/>
    <n v="25201.68067226891"/>
    <n v="22"/>
    <n v="63"/>
    <n v="22"/>
    <n v="0"/>
    <n v="0"/>
    <n v="0"/>
    <n v="888363"/>
    <n v="327887.9999999999"/>
    <n v="0"/>
    <n v="0"/>
    <n v="63"/>
    <n v="860161"/>
    <n v="554436.974789916"/>
    <n v="22"/>
    <n v="41"/>
    <n v="22"/>
    <n v="0"/>
    <n v="0"/>
    <n v="0"/>
    <n v="578141"/>
    <n v="327887.9999999999"/>
    <n v="0"/>
    <n v="0"/>
    <n v="41"/>
    <n v="578141"/>
    <n v="554436.974789916"/>
    <n v="22"/>
    <n v="19"/>
    <n v="22"/>
    <n v="0"/>
    <n v="0"/>
    <m/>
    <n v="283175.9999999999"/>
    <n v="327887.9999999999"/>
    <n v="0"/>
    <n v="0"/>
    <n v="19"/>
    <n v="283175.9999999999"/>
    <n v="554436.97478991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18"/>
    <x v="270"/>
    <x v="0"/>
    <x v="6"/>
    <n v="1"/>
    <x v="12"/>
    <n v="4"/>
    <m/>
    <n v="0"/>
    <n v="14101"/>
    <n v="56404"/>
    <n v="14.4"/>
    <n v="15732"/>
    <n v="25201.68067226891"/>
    <n v="21000"/>
    <s v="Shenzhen"/>
    <s v="30/70"/>
    <n v="30"/>
    <n v="1"/>
    <n v="0"/>
    <s v=""/>
    <n v="0"/>
    <s v=""/>
    <n v="0"/>
    <s v=""/>
    <n v="0"/>
    <n v="2.127508687373579e-06"/>
    <n v="0"/>
    <n v="0.5204241063837024"/>
    <n v="1"/>
    <n v="1"/>
    <n v="11"/>
    <n v="0.3761862303890222"/>
    <n v="1"/>
    <n v="0.2539169312169313"/>
    <n v="0"/>
    <s v=""/>
    <n v="5"/>
    <n v="0.3543925755675003"/>
    <n v="0"/>
    <s v=""/>
    <n v="2"/>
    <n v="0.3605423667324218"/>
    <n v="4"/>
    <s v=""/>
    <n v="1"/>
    <s v=""/>
    <n v="0"/>
    <s v=""/>
    <n v="0"/>
    <s v=""/>
    <n v="0"/>
    <n v="0"/>
    <s v=""/>
    <n v="0"/>
    <n v="2"/>
    <s v=""/>
    <n v="0.1666666666666667"/>
    <n v="1"/>
    <s v=""/>
    <n v="0.3333333333333333"/>
    <n v="3"/>
    <n v="5"/>
    <n v="3"/>
    <n v="0"/>
    <n v="0"/>
    <n v="0"/>
    <n v="63454.5"/>
    <n v="74519.99999999999"/>
    <n v="42303"/>
    <n v="0"/>
    <n v="4"/>
    <n v="56404"/>
    <n v="63533.6487536191"/>
    <n v="3"/>
    <n v="8"/>
    <n v="1.5"/>
    <n v="0"/>
    <n v="0"/>
    <n v="0"/>
    <n v="21151.5"/>
    <n v="119232"/>
    <n v="21151.5"/>
    <n v="0"/>
    <n v="4"/>
    <n v="56404"/>
    <n v="31766.82437680955"/>
    <n v="4"/>
    <n v="7"/>
    <n v="0"/>
    <n v="0"/>
    <n v="0"/>
    <n v="44711.99999999999"/>
    <n v="98707"/>
    <n v="0"/>
    <n v="0"/>
    <n v="4"/>
    <n v="56404"/>
    <n v="0"/>
    <n v="3"/>
    <n v="7"/>
    <n v="0"/>
    <n v="0"/>
    <n v="0"/>
    <n v="104328"/>
    <n v="0"/>
    <n v="0"/>
    <n v="0"/>
    <n v="4"/>
    <n v="56404"/>
    <n v="0"/>
    <n v="3"/>
    <n v="4"/>
    <n v="3"/>
    <m/>
    <n v="0"/>
    <n v="0"/>
    <n v="56404"/>
    <n v="44711.99999999999"/>
    <n v="0"/>
    <n v="0"/>
    <n v="4"/>
    <n v="56404"/>
    <n v="75605.04201680672"/>
    <n v="12"/>
    <n v="6"/>
    <n v="2"/>
    <m/>
    <n v="0"/>
    <n v="0"/>
    <n v="84606"/>
    <n v="29808"/>
    <n v="0"/>
    <n v="0"/>
    <n v="6"/>
    <n v="56404"/>
    <n v="50403.36134453781"/>
    <n v="3"/>
    <n v="5"/>
    <n v="3"/>
    <n v="0"/>
    <n v="0"/>
    <n v="0"/>
    <n v="70505"/>
    <n v="44711.99999999999"/>
    <n v="0"/>
    <n v="0"/>
    <n v="5"/>
    <n v="56404"/>
    <n v="75605.04201680672"/>
    <n v="3"/>
    <n v="2"/>
    <n v="3"/>
    <n v="0"/>
    <n v="0"/>
    <n v="0"/>
    <n v="28202"/>
    <n v="44711.99999999999"/>
    <n v="0"/>
    <n v="0"/>
    <n v="2"/>
    <n v="28202"/>
    <n v="75605.04201680672"/>
    <n v="3"/>
    <n v="0"/>
    <n v="3"/>
    <n v="0"/>
    <n v="0"/>
    <m/>
    <n v="0"/>
    <n v="44711.99999999999"/>
    <n v="0"/>
    <n v="0"/>
    <n v="0"/>
    <n v="0"/>
    <n v="75605.0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19"/>
    <x v="270"/>
    <x v="0"/>
    <x v="6"/>
    <n v="1"/>
    <x v="12"/>
    <n v="30"/>
    <m/>
    <n v="0"/>
    <n v="14101"/>
    <n v="423030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1"/>
    <n v="0.5803904180925458"/>
    <n v="0"/>
    <s v=""/>
    <n v="3"/>
    <n v="0.3932713738651521"/>
    <n v="0"/>
    <s v=""/>
    <n v="0"/>
    <s v=""/>
    <n v="1"/>
    <n v="0.3285247619047619"/>
    <n v="0"/>
    <s v=""/>
    <n v="1"/>
    <n v="0.5804153896509656"/>
    <n v="2"/>
    <s v=""/>
    <n v="1"/>
    <s v=""/>
    <n v="0"/>
    <s v=""/>
    <n v="0"/>
    <s v=""/>
    <n v="0"/>
    <n v="0"/>
    <s v=""/>
    <n v="0"/>
    <n v="0"/>
    <s v=""/>
    <n v="0"/>
    <n v="0"/>
    <s v=""/>
    <n v="0"/>
    <n v="3"/>
    <n v="31"/>
    <n v="3"/>
    <n v="0"/>
    <n v="0"/>
    <n v="0"/>
    <n v="63454.5"/>
    <n v="462023.9999999999"/>
    <n v="42303"/>
    <n v="0"/>
    <n v="30"/>
    <n v="423030"/>
    <n v="63533.6487536191"/>
    <n v="3"/>
    <n v="31"/>
    <n v="1.5"/>
    <n v="0"/>
    <n v="0"/>
    <n v="0"/>
    <n v="21151.5"/>
    <n v="462023.9999999999"/>
    <n v="21151.5"/>
    <n v="0"/>
    <n v="30"/>
    <n v="423030"/>
    <n v="31766.82437680955"/>
    <n v="4"/>
    <n v="30"/>
    <n v="0"/>
    <n v="0"/>
    <n v="0"/>
    <n v="29808"/>
    <n v="423030"/>
    <n v="0"/>
    <n v="0"/>
    <n v="30"/>
    <n v="423030"/>
    <n v="0"/>
    <n v="2"/>
    <n v="30"/>
    <n v="0"/>
    <n v="0"/>
    <n v="0"/>
    <n v="447119.9999999999"/>
    <n v="0"/>
    <n v="0"/>
    <n v="0"/>
    <n v="30"/>
    <n v="423030"/>
    <n v="0"/>
    <n v="2"/>
    <n v="30"/>
    <n v="2"/>
    <m/>
    <n v="0"/>
    <n v="0"/>
    <n v="423030"/>
    <n v="29808"/>
    <n v="0"/>
    <n v="0"/>
    <n v="30"/>
    <n v="423030"/>
    <n v="50403.36134453781"/>
    <n v="12"/>
    <n v="30"/>
    <n v="0"/>
    <m/>
    <n v="0"/>
    <n v="0"/>
    <n v="423030"/>
    <n v="0"/>
    <n v="0"/>
    <n v="0"/>
    <n v="30"/>
    <n v="423030"/>
    <n v="0"/>
    <n v="10"/>
    <n v="30"/>
    <n v="10"/>
    <n v="0"/>
    <n v="0"/>
    <n v="0"/>
    <n v="423030"/>
    <n v="149040"/>
    <n v="0"/>
    <n v="0"/>
    <n v="30"/>
    <n v="423030"/>
    <n v="252016.8067226891"/>
    <n v="10"/>
    <n v="20"/>
    <n v="10"/>
    <n v="0"/>
    <n v="0"/>
    <n v="0"/>
    <n v="282020"/>
    <n v="149040"/>
    <n v="0"/>
    <n v="0"/>
    <n v="20"/>
    <n v="282020"/>
    <n v="252016.8067226891"/>
    <n v="10"/>
    <n v="10"/>
    <n v="10"/>
    <n v="0"/>
    <n v="0"/>
    <m/>
    <n v="149040"/>
    <n v="149040"/>
    <n v="0"/>
    <n v="0"/>
    <n v="10"/>
    <n v="149040"/>
    <n v="252016.806722689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20"/>
    <x v="270"/>
    <x v="0"/>
    <x v="6"/>
    <n v="1"/>
    <x v="12"/>
    <n v="71"/>
    <m/>
    <n v="0"/>
    <n v="14101"/>
    <n v="1001171"/>
    <n v="14.4"/>
    <n v="15732"/>
    <n v="25201.68067226891"/>
    <n v="21000"/>
    <s v="Shenzhen"/>
    <s v="30/70"/>
    <n v="30"/>
    <n v="1"/>
    <n v="0"/>
    <s v=""/>
    <n v="0"/>
    <s v=""/>
    <n v="0"/>
    <s v=""/>
    <n v="0"/>
    <n v="2.127508687373579e-06"/>
    <n v="1"/>
    <n v="0.520473032714412"/>
    <n v="0"/>
    <n v="2.127508687373579e-06"/>
    <n v="3"/>
    <n v="0.2172433317605263"/>
    <n v="1"/>
    <n v="0.3285252380952381"/>
    <n v="1"/>
    <n v="0.5524354091284199"/>
    <n v="4"/>
    <n v="0.4628815754389974"/>
    <n v="0"/>
    <s v=""/>
    <n v="0"/>
    <s v=""/>
    <n v="2"/>
    <s v=""/>
    <n v="0"/>
    <s v=""/>
    <n v="0"/>
    <s v=""/>
    <n v="0"/>
    <s v=""/>
    <n v="0"/>
    <n v="0"/>
    <s v=""/>
    <n v="0"/>
    <n v="0"/>
    <s v=""/>
    <n v="0"/>
    <n v="0"/>
    <s v=""/>
    <n v="0"/>
    <n v="5"/>
    <n v="68"/>
    <n v="5"/>
    <n v="0"/>
    <n v="0"/>
    <n v="0"/>
    <n v="70505"/>
    <n v="1013472"/>
    <n v="70505"/>
    <n v="0"/>
    <n v="71"/>
    <n v="1001171"/>
    <n v="105889.4145893652"/>
    <n v="3"/>
    <n v="72"/>
    <n v="0"/>
    <n v="0"/>
    <n v="0"/>
    <n v="0"/>
    <n v="0"/>
    <n v="1073088"/>
    <n v="0"/>
    <n v="0"/>
    <n v="71"/>
    <n v="1001171"/>
    <n v="0"/>
    <n v="4"/>
    <n v="72"/>
    <n v="0"/>
    <n v="0"/>
    <n v="0"/>
    <n v="29808"/>
    <n v="1015272"/>
    <n v="0"/>
    <n v="0"/>
    <n v="71"/>
    <n v="1001171"/>
    <n v="0"/>
    <n v="2"/>
    <n v="72"/>
    <n v="0"/>
    <n v="0"/>
    <n v="0"/>
    <n v="1073088"/>
    <n v="0"/>
    <n v="0"/>
    <n v="0"/>
    <n v="71"/>
    <n v="1001171"/>
    <n v="0"/>
    <n v="2"/>
    <n v="71"/>
    <n v="2"/>
    <m/>
    <n v="0"/>
    <n v="0"/>
    <n v="1001171"/>
    <n v="29808"/>
    <n v="0"/>
    <n v="0"/>
    <n v="71"/>
    <n v="1001171"/>
    <n v="50403.36134453781"/>
    <n v="27"/>
    <n v="71"/>
    <n v="0"/>
    <m/>
    <n v="0"/>
    <n v="0"/>
    <n v="1001171"/>
    <n v="0"/>
    <n v="0"/>
    <n v="0"/>
    <n v="71"/>
    <n v="1001171"/>
    <n v="0"/>
    <n v="24"/>
    <n v="71"/>
    <n v="24"/>
    <n v="0"/>
    <n v="0"/>
    <n v="0"/>
    <n v="1001171"/>
    <n v="357695.9999999999"/>
    <n v="0"/>
    <n v="0"/>
    <n v="71"/>
    <n v="1001171"/>
    <n v="604840.3361344538"/>
    <n v="24"/>
    <n v="47"/>
    <n v="24"/>
    <n v="0"/>
    <n v="0"/>
    <n v="0"/>
    <n v="662747"/>
    <n v="357695.9999999999"/>
    <n v="0"/>
    <n v="0"/>
    <n v="47"/>
    <n v="662747"/>
    <n v="604840.3361344538"/>
    <n v="24"/>
    <n v="23"/>
    <n v="24"/>
    <n v="0"/>
    <n v="0"/>
    <m/>
    <n v="342791.9999999999"/>
    <n v="357695.9999999999"/>
    <n v="0"/>
    <n v="0"/>
    <n v="23"/>
    <n v="342791.9999999999"/>
    <n v="604840.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SW06"/>
    <x v="321"/>
    <x v="270"/>
    <x v="0"/>
    <x v="6"/>
    <n v="1"/>
    <x v="12"/>
    <n v="192"/>
    <m/>
    <n v="0"/>
    <n v="14101"/>
    <n v="2707392"/>
    <n v="14.4"/>
    <n v="15732"/>
    <n v="25201.68067226891"/>
    <n v="21000"/>
    <s v="Shenzhen"/>
    <s v="30/70"/>
    <n v="30"/>
    <n v="1"/>
    <n v="0"/>
    <s v=""/>
    <n v="0"/>
    <s v=""/>
    <n v="0"/>
    <s v=""/>
    <n v="0"/>
    <n v="2.127508687373579e-06"/>
    <n v="1"/>
    <n v="0.440548700654632"/>
    <n v="3"/>
    <n v="0.3357212342480274"/>
    <n v="5"/>
    <n v="0.3617810063704358"/>
    <n v="0"/>
    <n v="2.127508687373579e-06"/>
    <n v="2"/>
    <n v="0.5524354091284199"/>
    <n v="9"/>
    <n v="0.5524354091284199"/>
    <n v="0"/>
    <s v=""/>
    <n v="4"/>
    <n v="0.5524318576767733"/>
    <n v="2"/>
    <s v=""/>
    <n v="2"/>
    <s v=""/>
    <n v="0"/>
    <s v=""/>
    <n v="0"/>
    <s v=""/>
    <n v="0"/>
    <n v="1"/>
    <s v=""/>
    <n v="0.3333333333333333"/>
    <n v="0"/>
    <s v=""/>
    <n v="0"/>
    <n v="1"/>
    <s v=""/>
    <n v="0.03125"/>
    <n v="5"/>
    <n v="99"/>
    <n v="5"/>
    <n v="0"/>
    <n v="0"/>
    <n v="0"/>
    <n v="112808"/>
    <n v="1475496"/>
    <n v="70505"/>
    <n v="0"/>
    <n v="192"/>
    <n v="2707392"/>
    <n v="105889.4145893652"/>
    <n v="3"/>
    <n v="99"/>
    <n v="3"/>
    <n v="0"/>
    <n v="0"/>
    <n v="0"/>
    <n v="42303"/>
    <n v="1475496"/>
    <n v="42303"/>
    <n v="0"/>
    <n v="192"/>
    <n v="2707392"/>
    <n v="63533.6487536191"/>
    <n v="4"/>
    <n v="97"/>
    <n v="0"/>
    <n v="0"/>
    <n v="0"/>
    <n v="44711.99999999999"/>
    <n v="1367797"/>
    <n v="0"/>
    <n v="0"/>
    <n v="192"/>
    <n v="2707392"/>
    <n v="0"/>
    <n v="3"/>
    <n v="194"/>
    <n v="0"/>
    <n v="0"/>
    <n v="0"/>
    <n v="2891376"/>
    <n v="0"/>
    <n v="0"/>
    <n v="0"/>
    <n v="192"/>
    <n v="2707392"/>
    <n v="0"/>
    <n v="3"/>
    <n v="193"/>
    <n v="3"/>
    <m/>
    <n v="0"/>
    <n v="0"/>
    <n v="2721493"/>
    <n v="44711.99999999999"/>
    <n v="0"/>
    <n v="0"/>
    <n v="192"/>
    <n v="2707392"/>
    <n v="75605.04201680672"/>
    <n v="39"/>
    <n v="192"/>
    <n v="0"/>
    <m/>
    <n v="0"/>
    <n v="0"/>
    <n v="2707392"/>
    <n v="0"/>
    <n v="0"/>
    <n v="0"/>
    <n v="192"/>
    <n v="2707392"/>
    <n v="0"/>
    <n v="32"/>
    <n v="193"/>
    <n v="32"/>
    <n v="0"/>
    <n v="0"/>
    <n v="0"/>
    <n v="2721493"/>
    <n v="476927.9999999999"/>
    <n v="0"/>
    <n v="0"/>
    <n v="193"/>
    <n v="2707392"/>
    <n v="806453.781512605"/>
    <n v="32"/>
    <n v="161"/>
    <n v="32"/>
    <n v="0"/>
    <n v="0"/>
    <n v="0"/>
    <n v="2270261"/>
    <n v="476927.9999999999"/>
    <n v="0"/>
    <n v="0"/>
    <n v="161"/>
    <n v="2270261"/>
    <n v="806453.781512605"/>
    <n v="32"/>
    <n v="129"/>
    <n v="32"/>
    <n v="0"/>
    <n v="0"/>
    <m/>
    <n v="1922616"/>
    <n v="476927.9999999999"/>
    <n v="0"/>
    <n v="0"/>
    <n v="129"/>
    <n v="1922616"/>
    <n v="806453.781512605"/>
    <n v="0"/>
    <n v="97"/>
    <n v="0"/>
    <n v="0"/>
    <n v="0"/>
    <n v="0"/>
    <m/>
    <n v="1445688"/>
    <n v="0"/>
    <n v="0"/>
    <n v="0"/>
    <n v="97"/>
    <n v="1445688"/>
    <n v="0"/>
    <n v="0"/>
    <n v="97"/>
    <n v="0"/>
    <n v="0"/>
    <n v="0"/>
    <n v="1445688"/>
    <n v="0"/>
    <n v="0"/>
    <n v="0"/>
    <n v="97"/>
    <n v="1445688"/>
    <n v="0"/>
    <n v="0"/>
    <n v="97"/>
    <n v="0"/>
    <n v="0"/>
    <n v="0"/>
    <n v="1445688"/>
    <n v="0"/>
    <n v="0"/>
    <n v="97"/>
    <n v="1445688"/>
    <n v="0"/>
    <n v="0"/>
    <n v="97"/>
    <n v="0"/>
    <n v="0"/>
    <m/>
    <n v="1445688"/>
    <n v="0"/>
    <n v="0"/>
    <n v="97"/>
    <n v="1445688"/>
    <n v="0"/>
  </r>
  <r>
    <s v="Lhotse-Vestuario"/>
    <x v="1"/>
    <x v="16"/>
    <x v="39"/>
    <s v="LTW25-MSW06"/>
    <x v="322"/>
    <x v="270"/>
    <x v="0"/>
    <x v="6"/>
    <n v="1"/>
    <x v="12"/>
    <n v="23"/>
    <m/>
    <n v="0"/>
    <n v="14101"/>
    <n v="324323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5"/>
    <n v="0.5063342412424117"/>
    <n v="5"/>
    <n v="0.2700983487758166"/>
    <n v="2"/>
    <n v="0.04068508061772914"/>
    <n v="1"/>
    <n v="0.5524354091284199"/>
    <n v="2"/>
    <n v="0.4628815754389974"/>
    <n v="1"/>
    <n v="0.1999903551571542"/>
    <n v="2"/>
    <n v="0.5804156872080221"/>
    <n v="3"/>
    <s v=""/>
    <n v="0"/>
    <s v=""/>
    <n v="0"/>
    <s v=""/>
    <n v="0"/>
    <s v=""/>
    <n v="0"/>
    <n v="2"/>
    <s v=""/>
    <n v="0.6666666666666666"/>
    <n v="2"/>
    <s v=""/>
    <n v="0.1666666666666667"/>
    <n v="1"/>
    <s v=""/>
    <n v="0.25"/>
    <n v="3"/>
    <n v="16"/>
    <n v="3"/>
    <n v="0"/>
    <n v="0"/>
    <n v="0"/>
    <n v="42303"/>
    <n v="238464"/>
    <n v="42303"/>
    <n v="0"/>
    <n v="23"/>
    <n v="324323"/>
    <n v="63533.6487536191"/>
    <n v="3"/>
    <n v="14"/>
    <n v="0"/>
    <n v="0"/>
    <n v="0"/>
    <n v="0"/>
    <n v="0"/>
    <n v="208656"/>
    <n v="0"/>
    <n v="0"/>
    <n v="23"/>
    <n v="324323"/>
    <n v="0"/>
    <n v="0"/>
    <n v="14"/>
    <n v="0"/>
    <n v="0"/>
    <n v="0"/>
    <n v="44711.99999999999"/>
    <n v="197414"/>
    <n v="0"/>
    <n v="0"/>
    <n v="23"/>
    <n v="324323"/>
    <n v="0"/>
    <n v="3"/>
    <n v="28"/>
    <n v="0"/>
    <n v="0"/>
    <n v="0"/>
    <n v="417311.9999999999"/>
    <n v="0"/>
    <n v="0"/>
    <n v="0"/>
    <n v="23"/>
    <n v="324323"/>
    <n v="0"/>
    <n v="3"/>
    <n v="25"/>
    <n v="3"/>
    <m/>
    <n v="0"/>
    <n v="0"/>
    <n v="352525"/>
    <n v="44711.99999999999"/>
    <n v="0"/>
    <n v="0"/>
    <n v="23"/>
    <n v="324323"/>
    <n v="75605.04201680672"/>
    <n v="12"/>
    <n v="25"/>
    <n v="2"/>
    <m/>
    <n v="0"/>
    <n v="0"/>
    <n v="352525"/>
    <n v="29808"/>
    <n v="0"/>
    <n v="0"/>
    <n v="25"/>
    <n v="324323"/>
    <n v="50403.36134453781"/>
    <n v="4"/>
    <n v="24"/>
    <n v="4"/>
    <n v="0"/>
    <n v="0"/>
    <n v="0"/>
    <n v="338424"/>
    <n v="59615.99999999999"/>
    <n v="0"/>
    <n v="0"/>
    <n v="24"/>
    <n v="324323"/>
    <n v="100806.7226890756"/>
    <n v="4"/>
    <n v="20"/>
    <n v="4"/>
    <n v="0"/>
    <n v="0"/>
    <n v="0"/>
    <n v="282020"/>
    <n v="59615.99999999999"/>
    <n v="0"/>
    <n v="0"/>
    <n v="20"/>
    <n v="282020"/>
    <n v="100806.7226890756"/>
    <n v="4"/>
    <n v="16"/>
    <n v="4"/>
    <n v="0"/>
    <n v="0"/>
    <m/>
    <n v="238464"/>
    <n v="59615.99999999999"/>
    <n v="0"/>
    <n v="0"/>
    <n v="16"/>
    <n v="238464"/>
    <n v="100806.7226890756"/>
    <n v="0"/>
    <n v="12"/>
    <n v="0"/>
    <n v="0"/>
    <n v="0"/>
    <n v="0"/>
    <m/>
    <n v="178848"/>
    <n v="0"/>
    <n v="0"/>
    <n v="0"/>
    <n v="12"/>
    <n v="178848"/>
    <n v="0"/>
    <n v="0"/>
    <n v="12"/>
    <n v="0"/>
    <n v="0"/>
    <n v="0"/>
    <n v="178848"/>
    <n v="0"/>
    <n v="0"/>
    <n v="0"/>
    <n v="12"/>
    <n v="178848"/>
    <n v="0"/>
    <n v="0"/>
    <n v="12"/>
    <n v="0"/>
    <n v="0"/>
    <n v="0"/>
    <n v="178848"/>
    <n v="0"/>
    <n v="0"/>
    <n v="12"/>
    <n v="178848"/>
    <n v="0"/>
    <n v="0"/>
    <n v="12"/>
    <n v="0"/>
    <n v="0"/>
    <m/>
    <n v="178848"/>
    <n v="0"/>
    <n v="0"/>
    <n v="12"/>
    <n v="178848"/>
    <n v="0"/>
  </r>
  <r>
    <s v="Lhotse-Vestuario"/>
    <x v="1"/>
    <x v="16"/>
    <x v="39"/>
    <s v="LTW25-MKF07"/>
    <x v="323"/>
    <x v="271"/>
    <x v="0"/>
    <x v="6"/>
    <n v="1"/>
    <x v="12"/>
    <n v="43"/>
    <m/>
    <n v="0"/>
    <n v="17137"/>
    <n v="736891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1"/>
    <n v="0.4171703567663164"/>
    <n v="2"/>
    <n v="0.3523987984120037"/>
    <n v="0"/>
    <s v=""/>
    <n v="0"/>
    <s v=""/>
    <n v="1"/>
    <n v="0.4900461240886773"/>
    <n v="0"/>
    <s v=""/>
    <n v="0"/>
    <s v=""/>
    <n v="0"/>
    <s v=""/>
    <n v="0"/>
    <s v=""/>
    <n v="0"/>
    <s v=""/>
    <n v="0"/>
    <s v=""/>
    <n v="0"/>
    <n v="1"/>
    <s v=""/>
    <n v="0.5"/>
    <n v="0"/>
    <s v=""/>
    <n v="0"/>
    <n v="1"/>
    <s v=""/>
    <n v="0.07142857142857142"/>
    <n v="1"/>
    <n v="34"/>
    <n v="1"/>
    <n v="0"/>
    <n v="0"/>
    <n v="0"/>
    <n v="17137"/>
    <n v="615825"/>
    <n v="17137"/>
    <n v="0"/>
    <n v="43"/>
    <n v="736891"/>
    <n v="35301.17929524752"/>
    <n v="1"/>
    <n v="44"/>
    <n v="0"/>
    <n v="0"/>
    <n v="0"/>
    <n v="0"/>
    <n v="0"/>
    <n v="796950"/>
    <n v="0"/>
    <n v="0"/>
    <n v="43"/>
    <n v="736891"/>
    <n v="0"/>
    <n v="1"/>
    <n v="44"/>
    <n v="0"/>
    <n v="0"/>
    <n v="0"/>
    <n v="36225"/>
    <n v="754028"/>
    <n v="0"/>
    <n v="0"/>
    <n v="43"/>
    <n v="736891"/>
    <n v="0"/>
    <n v="1"/>
    <n v="44"/>
    <n v="0"/>
    <n v="0"/>
    <n v="0"/>
    <n v="796950"/>
    <n v="0"/>
    <n v="0"/>
    <n v="0"/>
    <n v="43"/>
    <n v="736891"/>
    <n v="0"/>
    <n v="2"/>
    <n v="44"/>
    <n v="2"/>
    <m/>
    <n v="0"/>
    <n v="0"/>
    <n v="754028"/>
    <n v="36225"/>
    <n v="0"/>
    <n v="0"/>
    <n v="43"/>
    <n v="736891"/>
    <n v="84016.80672268909"/>
    <n v="12"/>
    <n v="43"/>
    <n v="0"/>
    <m/>
    <n v="0"/>
    <n v="0"/>
    <n v="736891"/>
    <n v="0"/>
    <n v="0"/>
    <n v="0"/>
    <n v="43"/>
    <n v="736891"/>
    <n v="0"/>
    <n v="14"/>
    <n v="44"/>
    <n v="14"/>
    <n v="0"/>
    <n v="0"/>
    <n v="0"/>
    <n v="754028"/>
    <n v="253575"/>
    <n v="0"/>
    <n v="0"/>
    <n v="44"/>
    <n v="736891"/>
    <n v="588117.6470588236"/>
    <n v="14"/>
    <n v="30"/>
    <n v="14"/>
    <n v="0"/>
    <n v="0"/>
    <n v="0"/>
    <n v="514110"/>
    <n v="253575"/>
    <n v="0"/>
    <n v="0"/>
    <n v="30"/>
    <n v="514110"/>
    <n v="588117.6470588236"/>
    <n v="14"/>
    <n v="16"/>
    <n v="14"/>
    <n v="0"/>
    <n v="0"/>
    <m/>
    <n v="289800"/>
    <n v="253575"/>
    <n v="0"/>
    <n v="0"/>
    <n v="16"/>
    <n v="289800"/>
    <n v="588117.6470588236"/>
    <n v="0"/>
    <n v="2"/>
    <n v="0"/>
    <n v="0"/>
    <n v="0"/>
    <n v="0"/>
    <m/>
    <n v="36225"/>
    <n v="0"/>
    <n v="0"/>
    <n v="0"/>
    <n v="2"/>
    <n v="36225"/>
    <n v="0"/>
    <n v="0"/>
    <n v="2"/>
    <n v="0"/>
    <n v="0"/>
    <n v="0"/>
    <n v="36225"/>
    <n v="0"/>
    <n v="0"/>
    <n v="0"/>
    <n v="2"/>
    <n v="36225"/>
    <n v="0"/>
    <n v="0"/>
    <n v="2"/>
    <n v="0"/>
    <n v="0"/>
    <n v="0"/>
    <n v="36225"/>
    <n v="0"/>
    <n v="0"/>
    <n v="2"/>
    <n v="36225"/>
    <n v="0"/>
    <n v="0"/>
    <n v="2"/>
    <n v="0"/>
    <n v="0"/>
    <m/>
    <n v="36225"/>
    <n v="0"/>
    <n v="0"/>
    <n v="2"/>
    <n v="36225"/>
    <n v="0"/>
  </r>
  <r>
    <s v="Lhotse-Vestuario"/>
    <x v="1"/>
    <x v="16"/>
    <x v="39"/>
    <s v="LTW25-MKF07"/>
    <x v="324"/>
    <x v="271"/>
    <x v="0"/>
    <x v="6"/>
    <n v="1"/>
    <x v="12"/>
    <n v="56"/>
    <m/>
    <n v="0"/>
    <n v="17137"/>
    <n v="959672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3"/>
    <n v="0.4171822806516148"/>
    <n v="10"/>
    <n v="0.3222713516528981"/>
    <n v="1"/>
    <n v="0.2359875167186804"/>
    <n v="1"/>
    <n v="0.6115073337716216"/>
    <n v="1"/>
    <n v="0.6115073337716216"/>
    <n v="0"/>
    <s v=""/>
    <n v="0"/>
    <s v=""/>
    <n v="0"/>
    <s v=""/>
    <n v="0"/>
    <s v=""/>
    <n v="0"/>
    <s v=""/>
    <n v="0"/>
    <s v=""/>
    <n v="0"/>
    <n v="0"/>
    <s v=""/>
    <n v="0"/>
    <n v="3"/>
    <s v=""/>
    <n v="0.1111111111111111"/>
    <n v="2"/>
    <s v=""/>
    <n v="0.1"/>
    <n v="1"/>
    <n v="74"/>
    <n v="1"/>
    <n v="0"/>
    <n v="0"/>
    <n v="0"/>
    <n v="17137"/>
    <n v="1340325"/>
    <n v="17137"/>
    <n v="0"/>
    <n v="56"/>
    <n v="959672"/>
    <n v="35301.17929524752"/>
    <n v="1"/>
    <n v="60"/>
    <n v="0"/>
    <n v="0"/>
    <n v="0"/>
    <n v="0"/>
    <n v="0"/>
    <n v="1086750"/>
    <n v="0"/>
    <n v="0"/>
    <n v="56"/>
    <n v="959672"/>
    <n v="0"/>
    <n v="1"/>
    <n v="60"/>
    <n v="0"/>
    <n v="0"/>
    <n v="0"/>
    <n v="54337.5"/>
    <n v="1028220"/>
    <n v="0"/>
    <n v="0"/>
    <n v="56"/>
    <n v="959672"/>
    <n v="0"/>
    <n v="1"/>
    <n v="60"/>
    <n v="0"/>
    <n v="0"/>
    <n v="0"/>
    <n v="1086750"/>
    <n v="0"/>
    <n v="0"/>
    <n v="0"/>
    <n v="56"/>
    <n v="959672"/>
    <n v="0"/>
    <n v="3"/>
    <n v="56"/>
    <n v="3"/>
    <m/>
    <n v="0"/>
    <n v="0"/>
    <n v="959672"/>
    <n v="54337.5"/>
    <n v="0"/>
    <n v="0"/>
    <n v="56"/>
    <n v="959672"/>
    <n v="126025.2100840336"/>
    <n v="27"/>
    <n v="59"/>
    <n v="3"/>
    <m/>
    <n v="0"/>
    <n v="0"/>
    <n v="1011083"/>
    <n v="54337.5"/>
    <n v="0"/>
    <n v="0"/>
    <n v="59"/>
    <n v="959672"/>
    <n v="126025.2100840336"/>
    <n v="20"/>
    <n v="58"/>
    <n v="20"/>
    <n v="0"/>
    <n v="0"/>
    <n v="0"/>
    <n v="993946"/>
    <n v="362250"/>
    <n v="0"/>
    <n v="0"/>
    <n v="58"/>
    <n v="959672"/>
    <n v="840168.0672268908"/>
    <n v="20"/>
    <n v="38"/>
    <n v="20"/>
    <n v="0"/>
    <n v="0"/>
    <n v="0"/>
    <n v="651206"/>
    <n v="362250"/>
    <n v="0"/>
    <n v="0"/>
    <n v="38"/>
    <n v="651206"/>
    <n v="840168.0672268908"/>
    <n v="20"/>
    <n v="18"/>
    <n v="20"/>
    <n v="0"/>
    <n v="0"/>
    <m/>
    <n v="326025"/>
    <n v="362250"/>
    <n v="0"/>
    <n v="0"/>
    <n v="18"/>
    <n v="326025"/>
    <n v="840168.067226890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7"/>
    <x v="325"/>
    <x v="271"/>
    <x v="0"/>
    <x v="6"/>
    <n v="1"/>
    <x v="12"/>
    <n v="106"/>
    <m/>
    <n v="0"/>
    <n v="17137"/>
    <n v="1816522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7"/>
    <n v="0.4684671717298421"/>
    <n v="11"/>
    <n v="0.3028063240471598"/>
    <n v="0"/>
    <s v=""/>
    <n v="2"/>
    <n v="0.3200167789263087"/>
    <n v="2"/>
    <n v="0.6115091473782049"/>
    <n v="0"/>
    <s v=""/>
    <n v="3"/>
    <n v="0.5540181824490787"/>
    <n v="0"/>
    <s v=""/>
    <n v="1"/>
    <s v=""/>
    <n v="1"/>
    <s v=""/>
    <n v="0"/>
    <s v=""/>
    <n v="0"/>
    <n v="1"/>
    <s v=""/>
    <n v="0.3333333333333333"/>
    <n v="6"/>
    <s v=""/>
    <n v="0.1538461538461539"/>
    <n v="3"/>
    <s v=""/>
    <n v="1.5"/>
    <n v="1"/>
    <n v="105"/>
    <n v="1"/>
    <n v="0"/>
    <n v="0"/>
    <n v="0"/>
    <n v="59979.5"/>
    <n v="1901812.5"/>
    <n v="17137"/>
    <n v="0"/>
    <n v="106"/>
    <n v="1816522"/>
    <n v="35301.17929524752"/>
    <n v="1"/>
    <n v="109"/>
    <n v="1.5"/>
    <n v="0"/>
    <n v="0"/>
    <n v="0"/>
    <n v="42842.5"/>
    <n v="1974262.5"/>
    <n v="25705.5"/>
    <n v="0"/>
    <n v="106"/>
    <n v="1816522"/>
    <n v="52951.76894287128"/>
    <n v="1"/>
    <n v="108"/>
    <n v="1"/>
    <n v="0"/>
    <n v="0"/>
    <n v="71474.5"/>
    <n v="1850796"/>
    <n v="17137"/>
    <n v="0"/>
    <n v="106"/>
    <n v="1816522"/>
    <n v="42008.40336134454"/>
    <n v="1"/>
    <n v="115"/>
    <n v="0"/>
    <n v="0"/>
    <n v="0"/>
    <n v="2082937.5"/>
    <n v="0"/>
    <n v="0"/>
    <n v="0"/>
    <n v="106"/>
    <n v="1816522"/>
    <n v="0"/>
    <n v="3"/>
    <n v="107"/>
    <n v="3"/>
    <m/>
    <n v="0"/>
    <n v="0"/>
    <n v="1833659"/>
    <n v="54337.5"/>
    <n v="0"/>
    <n v="0"/>
    <n v="106"/>
    <n v="1816522"/>
    <n v="126025.2100840336"/>
    <n v="39"/>
    <n v="112"/>
    <n v="6"/>
    <m/>
    <n v="0"/>
    <n v="0"/>
    <n v="1919344"/>
    <n v="108675"/>
    <n v="0"/>
    <n v="0"/>
    <n v="112"/>
    <n v="1816522"/>
    <n v="252050.4201680673"/>
    <n v="2"/>
    <n v="109"/>
    <n v="2"/>
    <n v="0"/>
    <n v="0"/>
    <n v="0"/>
    <n v="1867933"/>
    <n v="36225"/>
    <n v="0"/>
    <n v="0"/>
    <n v="109"/>
    <n v="1816522"/>
    <n v="84016.80672268909"/>
    <n v="2"/>
    <n v="107"/>
    <n v="2"/>
    <n v="0"/>
    <n v="0"/>
    <n v="0"/>
    <n v="1833659"/>
    <n v="36225"/>
    <n v="0"/>
    <n v="0"/>
    <n v="107"/>
    <n v="1833659"/>
    <n v="84016.80672268909"/>
    <n v="2"/>
    <n v="105"/>
    <n v="2"/>
    <n v="0"/>
    <n v="0"/>
    <m/>
    <n v="1901812.5"/>
    <n v="36225"/>
    <n v="0"/>
    <n v="0"/>
    <n v="105"/>
    <n v="1901812.5"/>
    <n v="84016.80672268909"/>
    <n v="0"/>
    <n v="103"/>
    <n v="0"/>
    <n v="0"/>
    <n v="0"/>
    <n v="0"/>
    <m/>
    <n v="1865587.5"/>
    <n v="0"/>
    <n v="0"/>
    <n v="0"/>
    <n v="103"/>
    <n v="1865587.5"/>
    <n v="0"/>
    <n v="0"/>
    <n v="103"/>
    <n v="0"/>
    <n v="0"/>
    <n v="0"/>
    <n v="1865587.5"/>
    <n v="0"/>
    <n v="0"/>
    <n v="0"/>
    <n v="103"/>
    <n v="1865587.5"/>
    <n v="0"/>
    <n v="0"/>
    <n v="103"/>
    <n v="0"/>
    <n v="0"/>
    <n v="0"/>
    <n v="1865587.5"/>
    <n v="0"/>
    <n v="0"/>
    <n v="103"/>
    <n v="1865587.5"/>
    <n v="0"/>
    <n v="0"/>
    <n v="103"/>
    <n v="0"/>
    <n v="0"/>
    <m/>
    <n v="1865587.5"/>
    <n v="0"/>
    <n v="0"/>
    <n v="103"/>
    <n v="1865587.5"/>
    <n v="0"/>
  </r>
  <r>
    <s v="Lhotse-Vestuario"/>
    <x v="1"/>
    <x v="16"/>
    <x v="39"/>
    <s v="LTW25-MKF07"/>
    <x v="326"/>
    <x v="271"/>
    <x v="0"/>
    <x v="6"/>
    <n v="1"/>
    <x v="12"/>
    <n v="14"/>
    <m/>
    <n v="0"/>
    <n v="17137"/>
    <n v="239918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4"/>
    <n v="0.4520830025199584"/>
    <n v="12"/>
    <n v="0.3321572526083726"/>
    <n v="0"/>
    <s v=""/>
    <n v="4"/>
    <n v="0.4274167534675365"/>
    <n v="0"/>
    <s v=""/>
    <n v="0"/>
    <s v=""/>
    <n v="0"/>
    <s v=""/>
    <n v="0"/>
    <s v=""/>
    <n v="1"/>
    <s v=""/>
    <n v="2"/>
    <s v=""/>
    <n v="1"/>
    <s v=""/>
    <n v="1"/>
    <n v="0"/>
    <s v=""/>
    <n v="0"/>
    <n v="13"/>
    <s v=""/>
    <n v="1.083333333333333"/>
    <n v="3"/>
    <s v=""/>
    <n v="0.75"/>
    <n v="1"/>
    <n v="17"/>
    <n v="1"/>
    <n v="0"/>
    <n v="0"/>
    <n v="0"/>
    <n v="77116.5"/>
    <n v="307912.5"/>
    <n v="17137"/>
    <n v="0"/>
    <n v="14"/>
    <n v="239918"/>
    <n v="35301.17929524752"/>
    <n v="1"/>
    <n v="17"/>
    <n v="1.5"/>
    <n v="0"/>
    <n v="0"/>
    <n v="0"/>
    <n v="77116.5"/>
    <n v="307912.5"/>
    <n v="25705.5"/>
    <n v="0"/>
    <n v="14"/>
    <n v="239918"/>
    <n v="52951.76894287128"/>
    <n v="1"/>
    <n v="16"/>
    <n v="2"/>
    <n v="0"/>
    <n v="0"/>
    <n v="87636"/>
    <n v="274192"/>
    <n v="34274"/>
    <n v="0"/>
    <n v="14"/>
    <n v="239918"/>
    <n v="84016.80672268909"/>
    <n v="1"/>
    <n v="28"/>
    <n v="1"/>
    <n v="0"/>
    <n v="0"/>
    <n v="507150"/>
    <n v="17137"/>
    <n v="0"/>
    <n v="0"/>
    <n v="14"/>
    <n v="239918"/>
    <n v="42008.40336134454"/>
    <n v="2"/>
    <n v="14"/>
    <n v="2"/>
    <m/>
    <n v="0"/>
    <n v="0"/>
    <n v="239918"/>
    <n v="36225"/>
    <n v="0"/>
    <n v="0"/>
    <n v="14"/>
    <n v="239918"/>
    <n v="84016.80672268909"/>
    <n v="12"/>
    <n v="27"/>
    <n v="13"/>
    <m/>
    <n v="0"/>
    <n v="0"/>
    <n v="462699"/>
    <n v="235462.5"/>
    <n v="0"/>
    <n v="0"/>
    <n v="27"/>
    <n v="239918"/>
    <n v="546109.243697479"/>
    <n v="4"/>
    <n v="17"/>
    <n v="4"/>
    <n v="0"/>
    <n v="0"/>
    <n v="0"/>
    <n v="291329"/>
    <n v="72450"/>
    <n v="0"/>
    <n v="0"/>
    <n v="17"/>
    <n v="239918"/>
    <n v="168033.6134453782"/>
    <n v="4"/>
    <n v="13"/>
    <n v="4"/>
    <n v="0"/>
    <n v="0"/>
    <n v="0"/>
    <n v="222781"/>
    <n v="72450"/>
    <n v="0"/>
    <n v="0"/>
    <n v="13"/>
    <n v="222781"/>
    <n v="168033.6134453782"/>
    <n v="4"/>
    <n v="9"/>
    <n v="4"/>
    <n v="0"/>
    <n v="0"/>
    <m/>
    <n v="163012.5"/>
    <n v="72450"/>
    <n v="0"/>
    <n v="0"/>
    <n v="9"/>
    <n v="163012.5"/>
    <n v="168033.6134453782"/>
    <n v="0"/>
    <n v="5"/>
    <n v="0"/>
    <n v="0"/>
    <n v="0"/>
    <n v="0"/>
    <m/>
    <n v="90562.5"/>
    <n v="0"/>
    <n v="0"/>
    <n v="0"/>
    <n v="5"/>
    <n v="90562.5"/>
    <n v="0"/>
    <n v="0"/>
    <n v="5"/>
    <n v="0"/>
    <n v="0"/>
    <n v="0"/>
    <n v="90562.5"/>
    <n v="0"/>
    <n v="0"/>
    <n v="0"/>
    <n v="5"/>
    <n v="90562.5"/>
    <n v="0"/>
    <n v="0"/>
    <n v="5"/>
    <n v="0"/>
    <n v="0"/>
    <n v="0"/>
    <n v="90562.5"/>
    <n v="0"/>
    <n v="0"/>
    <n v="5"/>
    <n v="90562.5"/>
    <n v="0"/>
    <n v="0"/>
    <n v="5"/>
    <n v="0"/>
    <n v="0"/>
    <m/>
    <n v="90562.5"/>
    <n v="0"/>
    <n v="0"/>
    <n v="5"/>
    <n v="90562.5"/>
    <n v="0"/>
  </r>
  <r>
    <s v="Lhotse-Vestuario"/>
    <x v="1"/>
    <x v="16"/>
    <x v="39"/>
    <s v="LTW25-MKF07"/>
    <x v="327"/>
    <x v="271"/>
    <x v="0"/>
    <x v="6"/>
    <n v="1"/>
    <x v="12"/>
    <n v="28"/>
    <m/>
    <n v="0"/>
    <n v="17137"/>
    <n v="479836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1"/>
    <n v="0.05002550030489494"/>
    <n v="3"/>
    <n v="0.2559552789637455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2"/>
    <s v=""/>
    <n v="0.1666666666666667"/>
    <n v="4"/>
    <s v=""/>
    <n v="0.3636363636363636"/>
    <n v="1"/>
    <n v="34"/>
    <n v="1"/>
    <n v="0"/>
    <n v="0"/>
    <n v="0"/>
    <n v="17137"/>
    <n v="615825"/>
    <n v="17137"/>
    <n v="0"/>
    <n v="28"/>
    <n v="479836"/>
    <n v="35301.17929524752"/>
    <n v="1"/>
    <n v="34"/>
    <n v="0"/>
    <n v="0"/>
    <n v="0"/>
    <n v="0"/>
    <n v="0"/>
    <n v="615825"/>
    <n v="0"/>
    <n v="0"/>
    <n v="28"/>
    <n v="479836"/>
    <n v="0"/>
    <n v="1"/>
    <n v="34"/>
    <n v="0"/>
    <n v="0"/>
    <n v="0"/>
    <n v="36225"/>
    <n v="582658"/>
    <n v="0"/>
    <n v="0"/>
    <n v="28"/>
    <n v="479836"/>
    <n v="0"/>
    <n v="1"/>
    <n v="34"/>
    <n v="0"/>
    <n v="0"/>
    <n v="0"/>
    <n v="615825"/>
    <n v="0"/>
    <n v="0"/>
    <n v="0"/>
    <n v="28"/>
    <n v="479836"/>
    <n v="0"/>
    <n v="2"/>
    <n v="28"/>
    <n v="2"/>
    <m/>
    <n v="0"/>
    <n v="0"/>
    <n v="479836"/>
    <n v="36225"/>
    <n v="0"/>
    <n v="0"/>
    <n v="28"/>
    <n v="479836"/>
    <n v="84016.80672268909"/>
    <n v="12"/>
    <n v="30"/>
    <n v="2"/>
    <m/>
    <n v="0"/>
    <n v="0"/>
    <n v="514110"/>
    <n v="36225"/>
    <n v="0"/>
    <n v="0"/>
    <n v="30"/>
    <n v="479836"/>
    <n v="84016.80672268909"/>
    <n v="11"/>
    <n v="32"/>
    <n v="11"/>
    <n v="0"/>
    <n v="0"/>
    <n v="0"/>
    <n v="548384"/>
    <n v="199237.5"/>
    <n v="0"/>
    <n v="0"/>
    <n v="32"/>
    <n v="479836"/>
    <n v="462092.4369747899"/>
    <n v="11"/>
    <n v="21"/>
    <n v="11"/>
    <n v="0"/>
    <n v="0"/>
    <n v="0"/>
    <n v="359877"/>
    <n v="199237.5"/>
    <n v="0"/>
    <n v="0"/>
    <n v="21"/>
    <n v="359877"/>
    <n v="462092.4369747899"/>
    <n v="11"/>
    <n v="10"/>
    <n v="11"/>
    <n v="0"/>
    <n v="0"/>
    <m/>
    <n v="181125"/>
    <n v="199237.5"/>
    <n v="0"/>
    <n v="0"/>
    <n v="10"/>
    <n v="181125"/>
    <n v="462092.436974789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7"/>
    <x v="328"/>
    <x v="271"/>
    <x v="0"/>
    <x v="6"/>
    <n v="1"/>
    <x v="12"/>
    <n v="49"/>
    <m/>
    <n v="0"/>
    <n v="17137"/>
    <n v="839713"/>
    <n v="17.5"/>
    <n v="19118.75"/>
    <n v="42008.40336134454"/>
    <n v="25201.68067226891"/>
    <s v="Shenzhen"/>
    <s v="30/70"/>
    <n v="30"/>
    <n v="1"/>
    <n v="0"/>
    <s v=""/>
    <n v="0"/>
    <s v=""/>
    <n v="0"/>
    <s v=""/>
    <n v="1"/>
    <n v="0.6600690311830517"/>
    <n v="0"/>
    <s v=""/>
    <n v="3"/>
    <n v="0.5629360929279958"/>
    <n v="4"/>
    <n v="0.3040858846348594"/>
    <n v="2"/>
    <n v="0.4171819202122233"/>
    <n v="4"/>
    <n v="0.320025848452444"/>
    <n v="1"/>
    <n v="0.1839709523809523"/>
    <n v="0"/>
    <s v=""/>
    <n v="1"/>
    <n v="0.1905819006234649"/>
    <n v="0"/>
    <s v=""/>
    <n v="0"/>
    <s v=""/>
    <n v="0"/>
    <s v=""/>
    <n v="0"/>
    <s v=""/>
    <n v="0"/>
    <n v="1"/>
    <s v=""/>
    <n v="0.3333333333333333"/>
    <n v="9"/>
    <s v=""/>
    <n v="0.3333333333333333"/>
    <n v="7"/>
    <s v=""/>
    <n v="0.3181818181818182"/>
    <n v="1"/>
    <n v="66"/>
    <n v="1"/>
    <n v="0"/>
    <n v="0"/>
    <n v="0"/>
    <n v="17137"/>
    <n v="1195425"/>
    <n v="17137"/>
    <n v="0"/>
    <n v="49"/>
    <n v="839713"/>
    <n v="35301.17929524752"/>
    <n v="1"/>
    <n v="66"/>
    <n v="0"/>
    <n v="0"/>
    <n v="0"/>
    <n v="0"/>
    <n v="0"/>
    <n v="1195425"/>
    <n v="0"/>
    <n v="0"/>
    <n v="49"/>
    <n v="839713"/>
    <n v="0"/>
    <n v="1"/>
    <n v="66"/>
    <n v="0"/>
    <n v="0"/>
    <n v="0"/>
    <n v="54337.5"/>
    <n v="1131042"/>
    <n v="0"/>
    <n v="0"/>
    <n v="49"/>
    <n v="839713"/>
    <n v="0"/>
    <n v="1"/>
    <n v="67"/>
    <n v="0"/>
    <n v="0"/>
    <n v="0"/>
    <n v="1213537.5"/>
    <n v="0"/>
    <n v="0"/>
    <n v="0"/>
    <n v="49"/>
    <n v="839713"/>
    <n v="0"/>
    <n v="3"/>
    <n v="50"/>
    <n v="3"/>
    <m/>
    <n v="0"/>
    <n v="0"/>
    <n v="856850"/>
    <n v="54337.5"/>
    <n v="0"/>
    <n v="0"/>
    <n v="49"/>
    <n v="839713"/>
    <n v="126025.2100840336"/>
    <n v="27"/>
    <n v="58"/>
    <n v="9"/>
    <m/>
    <n v="0"/>
    <n v="0"/>
    <n v="993946"/>
    <n v="163012.5"/>
    <n v="0"/>
    <n v="0"/>
    <n v="58"/>
    <n v="839713"/>
    <n v="378075.6302521009"/>
    <n v="22"/>
    <n v="56"/>
    <n v="22"/>
    <n v="0"/>
    <n v="0"/>
    <n v="0"/>
    <n v="959672"/>
    <n v="398475"/>
    <n v="0"/>
    <n v="0"/>
    <n v="56"/>
    <n v="839713"/>
    <n v="924184.8739495799"/>
    <n v="22"/>
    <n v="34"/>
    <n v="22"/>
    <n v="0"/>
    <n v="0"/>
    <n v="0"/>
    <n v="582658"/>
    <n v="398475"/>
    <n v="0"/>
    <n v="0"/>
    <n v="34"/>
    <n v="582658"/>
    <n v="924184.8739495799"/>
    <n v="22"/>
    <n v="12"/>
    <n v="22"/>
    <n v="0"/>
    <n v="0"/>
    <m/>
    <n v="217350"/>
    <n v="398475"/>
    <n v="0"/>
    <n v="0"/>
    <n v="12"/>
    <n v="217350"/>
    <n v="924184.873949579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7"/>
    <x v="329"/>
    <x v="271"/>
    <x v="0"/>
    <x v="6"/>
    <n v="1"/>
    <x v="12"/>
    <n v="76"/>
    <m/>
    <n v="0"/>
    <n v="17137"/>
    <n v="1302412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1"/>
    <n v="0.6600692295485202"/>
    <n v="3"/>
    <n v="0.2635815664112275"/>
    <n v="6"/>
    <n v="0.4812407291925241"/>
    <n v="1"/>
    <n v="0.4171822603135734"/>
    <n v="0"/>
    <s v=""/>
    <n v="2"/>
    <n v="0.44041960553814"/>
    <n v="0"/>
    <s v=""/>
    <n v="2"/>
    <n v="0.497625469043152"/>
    <n v="0"/>
    <s v=""/>
    <n v="0"/>
    <s v=""/>
    <n v="0"/>
    <s v=""/>
    <n v="1"/>
    <s v=""/>
    <n v="1"/>
    <n v="0"/>
    <s v=""/>
    <n v="0"/>
    <n v="6"/>
    <s v=""/>
    <n v="0.1538461538461539"/>
    <n v="5"/>
    <s v=""/>
    <n v="0.1724137931034483"/>
    <n v="1"/>
    <n v="105"/>
    <n v="1"/>
    <n v="0"/>
    <n v="0"/>
    <n v="0"/>
    <n v="17137"/>
    <n v="1901812.5"/>
    <n v="17137"/>
    <n v="0"/>
    <n v="76"/>
    <n v="1302412"/>
    <n v="35301.17929524752"/>
    <n v="1"/>
    <n v="87"/>
    <n v="0"/>
    <n v="0"/>
    <n v="0"/>
    <n v="0"/>
    <n v="17137"/>
    <n v="1575787.5"/>
    <n v="0"/>
    <n v="0"/>
    <n v="76"/>
    <n v="1302412"/>
    <n v="0"/>
    <n v="1"/>
    <n v="87"/>
    <n v="0"/>
    <n v="0"/>
    <n v="0"/>
    <n v="71474.5"/>
    <n v="1490919"/>
    <n v="0"/>
    <n v="0"/>
    <n v="76"/>
    <n v="1302412"/>
    <n v="0"/>
    <n v="1"/>
    <n v="87"/>
    <n v="1"/>
    <n v="0"/>
    <n v="0"/>
    <n v="1575787.5"/>
    <n v="17137"/>
    <n v="0"/>
    <n v="0"/>
    <n v="76"/>
    <n v="1302412"/>
    <n v="42008.40336134454"/>
    <n v="3"/>
    <n v="76"/>
    <n v="3"/>
    <m/>
    <n v="0"/>
    <n v="0"/>
    <n v="1302412"/>
    <n v="54337.5"/>
    <n v="0"/>
    <n v="0"/>
    <n v="76"/>
    <n v="1302412"/>
    <n v="126025.2100840336"/>
    <n v="39"/>
    <n v="82"/>
    <n v="6"/>
    <m/>
    <n v="0"/>
    <n v="0"/>
    <n v="1405234"/>
    <n v="108675"/>
    <n v="0"/>
    <n v="0"/>
    <n v="82"/>
    <n v="1302412"/>
    <n v="252050.4201680673"/>
    <n v="29"/>
    <n v="81"/>
    <n v="29"/>
    <n v="0"/>
    <n v="0"/>
    <n v="0"/>
    <n v="1388097"/>
    <n v="525262.5"/>
    <n v="0"/>
    <n v="0"/>
    <n v="81"/>
    <n v="1302412"/>
    <n v="1218243.697478992"/>
    <n v="29"/>
    <n v="52"/>
    <n v="29"/>
    <n v="0"/>
    <n v="0"/>
    <n v="0"/>
    <n v="891124"/>
    <n v="525262.5"/>
    <n v="0"/>
    <n v="0"/>
    <n v="52"/>
    <n v="891124"/>
    <n v="1218243.697478992"/>
    <n v="29"/>
    <n v="23"/>
    <n v="29"/>
    <n v="0"/>
    <n v="0"/>
    <m/>
    <n v="416587.5"/>
    <n v="525262.5"/>
    <n v="0"/>
    <n v="0"/>
    <n v="23"/>
    <n v="416587.5"/>
    <n v="1218243.69747899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39"/>
    <s v="LTW25-MKF07"/>
    <x v="330"/>
    <x v="271"/>
    <x v="0"/>
    <x v="6"/>
    <n v="1"/>
    <x v="12"/>
    <n v="19"/>
    <m/>
    <n v="0"/>
    <n v="17137"/>
    <n v="325603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0"/>
    <s v=""/>
    <n v="4"/>
    <n v="0.3419610187355473"/>
    <n v="2"/>
    <n v="0.4171819202122233"/>
    <n v="1"/>
    <n v="0.6115118677880801"/>
    <n v="2"/>
    <n v="0.4736185897928153"/>
    <n v="0"/>
    <s v=""/>
    <n v="0"/>
    <s v=""/>
    <n v="1"/>
    <s v=""/>
    <n v="0"/>
    <s v=""/>
    <n v="0"/>
    <s v=""/>
    <n v="0"/>
    <s v=""/>
    <n v="0"/>
    <n v="0"/>
    <s v=""/>
    <n v="0"/>
    <n v="2"/>
    <s v=""/>
    <n v="0.1666666666666667"/>
    <n v="4"/>
    <s v=""/>
    <n v="0.5"/>
    <n v="1"/>
    <n v="27"/>
    <n v="1"/>
    <n v="0"/>
    <n v="0"/>
    <n v="0"/>
    <n v="17137"/>
    <n v="489037.5"/>
    <n v="17137"/>
    <n v="0"/>
    <n v="19"/>
    <n v="325603"/>
    <n v="35301.17929524752"/>
    <n v="1"/>
    <n v="25"/>
    <n v="0"/>
    <n v="0"/>
    <n v="0"/>
    <n v="0"/>
    <n v="0"/>
    <n v="452812.5"/>
    <n v="0"/>
    <n v="0"/>
    <n v="19"/>
    <n v="325603"/>
    <n v="0"/>
    <n v="1"/>
    <n v="25"/>
    <n v="0"/>
    <n v="0"/>
    <n v="0"/>
    <n v="36225"/>
    <n v="428425"/>
    <n v="0"/>
    <n v="0"/>
    <n v="19"/>
    <n v="325603"/>
    <n v="0"/>
    <n v="1"/>
    <n v="24"/>
    <n v="0"/>
    <n v="0"/>
    <n v="0"/>
    <n v="434700"/>
    <n v="0"/>
    <n v="0"/>
    <n v="0"/>
    <n v="19"/>
    <n v="325603"/>
    <n v="0"/>
    <n v="2"/>
    <n v="19"/>
    <n v="2"/>
    <m/>
    <n v="0"/>
    <n v="0"/>
    <n v="325603"/>
    <n v="36225"/>
    <n v="0"/>
    <n v="0"/>
    <n v="19"/>
    <n v="325603"/>
    <n v="84016.80672268909"/>
    <n v="12"/>
    <n v="21"/>
    <n v="2"/>
    <m/>
    <n v="0"/>
    <n v="0"/>
    <n v="359877"/>
    <n v="36225"/>
    <n v="0"/>
    <n v="0"/>
    <n v="21"/>
    <n v="325603"/>
    <n v="84016.80672268909"/>
    <n v="8"/>
    <n v="23"/>
    <n v="8"/>
    <n v="0"/>
    <n v="0"/>
    <n v="0"/>
    <n v="394151"/>
    <n v="144900"/>
    <n v="0"/>
    <n v="0"/>
    <n v="23"/>
    <n v="325603"/>
    <n v="336067.2268907563"/>
    <n v="8"/>
    <n v="15"/>
    <n v="8"/>
    <n v="0"/>
    <n v="0"/>
    <n v="0"/>
    <n v="257055"/>
    <n v="144900"/>
    <n v="0"/>
    <n v="0"/>
    <n v="15"/>
    <n v="257055"/>
    <n v="336067.2268907563"/>
    <n v="8"/>
    <n v="7"/>
    <n v="8"/>
    <n v="0"/>
    <n v="0"/>
    <m/>
    <n v="126787.5"/>
    <n v="144900"/>
    <n v="0"/>
    <n v="0"/>
    <n v="7"/>
    <n v="126787.5"/>
    <n v="336067.226890756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1"/>
    <x v="272"/>
    <x v="0"/>
    <x v="6"/>
    <n v="1"/>
    <x v="12"/>
    <n v="0"/>
    <m/>
    <n v="0"/>
    <n v="21445"/>
    <n v="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1"/>
    <n v="0.5746264008727562"/>
    <n v="1"/>
    <n v="0.4327714444415056"/>
    <n v="14"/>
    <n v="0.3442891712567215"/>
    <n v="3"/>
    <n v="0.3639550368513932"/>
    <n v="0"/>
    <s v=""/>
    <n v="8"/>
    <n v="0.248070756743016"/>
    <n v="-1"/>
    <n v="0.3618446659723256"/>
    <n v="1"/>
    <n v="0.2707270625042508"/>
    <n v="0"/>
    <s v=""/>
    <n v="1"/>
    <s v=""/>
    <n v="0"/>
    <s v=""/>
    <n v="0"/>
    <s v=""/>
    <n v="0"/>
    <n v="2"/>
    <s v=""/>
    <n v="0.5"/>
    <n v="4"/>
    <s v=""/>
    <n v="0.2666666666666667"/>
    <n v="1"/>
    <s v=""/>
    <n v="0.5"/>
    <n v="1"/>
    <n v="6"/>
    <n v="1"/>
    <n v="0"/>
    <n v="0"/>
    <n v="0"/>
    <n v="53612.5"/>
    <n v="135999"/>
    <n v="21445"/>
    <n v="0"/>
    <n v="0"/>
    <n v="0"/>
    <n v="49424.47567262199"/>
    <n v="1"/>
    <n v="7"/>
    <n v="1.5"/>
    <n v="0"/>
    <n v="0"/>
    <n v="0"/>
    <n v="32167.5"/>
    <n v="158665.5"/>
    <n v="32167.5"/>
    <n v="0"/>
    <n v="0"/>
    <n v="0"/>
    <n v="74136.713508933"/>
    <n v="2"/>
    <n v="7"/>
    <n v="0"/>
    <n v="0"/>
    <n v="0"/>
    <n v="90666"/>
    <n v="150115"/>
    <n v="0"/>
    <n v="0"/>
    <n v="0"/>
    <n v="0"/>
    <n v="0"/>
    <n v="2"/>
    <n v="8"/>
    <n v="0"/>
    <n v="0"/>
    <n v="0"/>
    <n v="181332"/>
    <n v="0"/>
    <n v="0"/>
    <n v="0"/>
    <n v="0"/>
    <n v="0"/>
    <n v="0"/>
    <n v="4"/>
    <n v="2"/>
    <n v="4"/>
    <m/>
    <n v="0"/>
    <n v="0"/>
    <n v="42890"/>
    <n v="90666"/>
    <n v="0"/>
    <n v="0"/>
    <n v="0"/>
    <n v="0"/>
    <n v="235260.5042016807"/>
    <n v="15"/>
    <n v="4"/>
    <n v="4"/>
    <m/>
    <n v="0"/>
    <n v="0"/>
    <n v="85780"/>
    <n v="90666"/>
    <n v="0"/>
    <n v="0"/>
    <n v="4"/>
    <n v="0"/>
    <n v="235260.5042016807"/>
    <n v="2"/>
    <n v="1"/>
    <n v="2"/>
    <n v="0"/>
    <n v="0"/>
    <n v="0"/>
    <n v="21445"/>
    <n v="45333"/>
    <n v="0"/>
    <n v="0"/>
    <n v="1"/>
    <n v="0"/>
    <n v="117630.2521008403"/>
    <n v="2"/>
    <n v="0"/>
    <n v="2"/>
    <n v="0"/>
    <n v="0"/>
    <n v="0"/>
    <n v="0"/>
    <n v="45333"/>
    <n v="0"/>
    <n v="0"/>
    <n v="0"/>
    <n v="0"/>
    <n v="117630.2521008403"/>
    <n v="2"/>
    <n v="0"/>
    <n v="2"/>
    <n v="0"/>
    <n v="0"/>
    <m/>
    <n v="0"/>
    <n v="45333"/>
    <n v="0"/>
    <n v="0"/>
    <n v="0"/>
    <n v="0"/>
    <n v="117630.252100840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2"/>
    <x v="272"/>
    <x v="0"/>
    <x v="6"/>
    <n v="1"/>
    <x v="12"/>
    <n v="1"/>
    <m/>
    <n v="0"/>
    <n v="21445"/>
    <n v="21445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1"/>
    <n v="0.6809601594810913"/>
    <n v="5"/>
    <n v="0.3789420725848797"/>
    <n v="20"/>
    <n v="0.3138081136819685"/>
    <n v="5"/>
    <n v="0.4682477425366603"/>
    <n v="1"/>
    <n v="0.3618443683975598"/>
    <n v="15"/>
    <n v="0.4419246816919294"/>
    <n v="-1"/>
    <n v="0.4894967625214245"/>
    <n v="0"/>
    <n v="1"/>
    <n v="0"/>
    <s v=""/>
    <n v="1"/>
    <s v=""/>
    <n v="3"/>
    <s v=""/>
    <n v="1"/>
    <s v=""/>
    <n v="0.3333333333333333"/>
    <n v="2"/>
    <s v=""/>
    <n v="0.3333333333333333"/>
    <n v="15"/>
    <s v=""/>
    <n v="0.5555555555555556"/>
    <n v="11"/>
    <s v=""/>
    <n v="1.222222222222222"/>
    <n v="2"/>
    <n v="22"/>
    <n v="2"/>
    <n v="0"/>
    <n v="0"/>
    <n v="0"/>
    <n v="139392.5"/>
    <n v="498663"/>
    <n v="42890"/>
    <n v="0"/>
    <n v="1"/>
    <n v="21445"/>
    <n v="98848.95134524399"/>
    <n v="2"/>
    <n v="33"/>
    <n v="1.5"/>
    <n v="0"/>
    <n v="0"/>
    <n v="0"/>
    <n v="117947.5"/>
    <n v="747994.5"/>
    <n v="32167.5"/>
    <n v="0"/>
    <n v="1"/>
    <n v="21445"/>
    <n v="74136.713508933"/>
    <n v="4"/>
    <n v="32"/>
    <n v="3"/>
    <n v="0"/>
    <n v="0"/>
    <n v="221779"/>
    <n v="686240"/>
    <n v="64335"/>
    <n v="0"/>
    <n v="1"/>
    <n v="21445"/>
    <n v="176445.3781512605"/>
    <n v="3"/>
    <n v="30"/>
    <n v="1"/>
    <n v="0"/>
    <n v="0"/>
    <n v="679995"/>
    <n v="21445"/>
    <n v="0"/>
    <n v="0"/>
    <n v="1"/>
    <n v="21445"/>
    <n v="58815.12605042017"/>
    <n v="6"/>
    <n v="3"/>
    <n v="6"/>
    <m/>
    <n v="0"/>
    <n v="0"/>
    <n v="64335"/>
    <n v="135999"/>
    <n v="0"/>
    <n v="0"/>
    <n v="1"/>
    <n v="21445"/>
    <n v="352890.756302521"/>
    <n v="27"/>
    <n v="16"/>
    <n v="15"/>
    <m/>
    <n v="0"/>
    <n v="0"/>
    <n v="343120"/>
    <n v="339997.5"/>
    <n v="0"/>
    <n v="0"/>
    <n v="16"/>
    <n v="21445"/>
    <n v="882226.8907563025"/>
    <n v="9"/>
    <n v="12"/>
    <n v="9"/>
    <n v="0"/>
    <n v="0"/>
    <n v="0"/>
    <n v="257340"/>
    <n v="203998.5"/>
    <n v="0"/>
    <n v="0"/>
    <n v="12"/>
    <n v="21445"/>
    <n v="529336.1344537815"/>
    <n v="9"/>
    <n v="3"/>
    <n v="9"/>
    <n v="0"/>
    <n v="0"/>
    <n v="0"/>
    <n v="64335"/>
    <n v="203998.5"/>
    <n v="0"/>
    <n v="0"/>
    <n v="3"/>
    <n v="64335"/>
    <n v="529336.1344537815"/>
    <n v="9"/>
    <n v="0"/>
    <n v="9"/>
    <n v="0"/>
    <n v="0"/>
    <m/>
    <n v="0"/>
    <n v="203998.5"/>
    <n v="0"/>
    <n v="0"/>
    <n v="0"/>
    <n v="0"/>
    <n v="529336.134453781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3"/>
    <x v="272"/>
    <x v="0"/>
    <x v="6"/>
    <n v="1"/>
    <x v="12"/>
    <n v="1"/>
    <m/>
    <n v="0"/>
    <n v="22503"/>
    <n v="22503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1"/>
    <n v="0.4048092996191282"/>
    <n v="8"/>
    <n v="0.432809988556974"/>
    <n v="35"/>
    <n v="0.2392187051399177"/>
    <n v="6"/>
    <n v="0.3818932996651662"/>
    <n v="2"/>
    <n v="0.4047935567487502"/>
    <n v="12"/>
    <n v="0.4079463494847621"/>
    <n v="0"/>
    <s v=""/>
    <n v="5"/>
    <n v="0.6249024876484355"/>
    <n v="1"/>
    <s v=""/>
    <n v="3"/>
    <s v=""/>
    <n v="1"/>
    <s v=""/>
    <n v="4"/>
    <s v=""/>
    <n v="1.333333333333333"/>
    <n v="8"/>
    <s v=""/>
    <n v="1.333333333333333"/>
    <n v="25"/>
    <s v=""/>
    <n v="0.6410256410256411"/>
    <n v="9"/>
    <s v=""/>
    <n v="0.3333333333333333"/>
    <n v="2"/>
    <n v="39"/>
    <n v="2"/>
    <n v="0"/>
    <n v="0"/>
    <n v="0"/>
    <n v="168772.5"/>
    <n v="883993.5"/>
    <n v="45006"/>
    <n v="0"/>
    <n v="1"/>
    <n v="22503"/>
    <n v="98848.95134524399"/>
    <n v="2"/>
    <n v="92"/>
    <n v="4.5"/>
    <n v="0"/>
    <n v="0"/>
    <n v="0"/>
    <n v="213778.5"/>
    <n v="2085318"/>
    <n v="101263.5"/>
    <n v="0"/>
    <n v="1"/>
    <n v="22503"/>
    <n v="222410.140526799"/>
    <n v="4"/>
    <n v="90"/>
    <n v="1"/>
    <n v="0"/>
    <n v="0"/>
    <n v="248514"/>
    <n v="2025270"/>
    <n v="22503"/>
    <n v="0"/>
    <n v="1"/>
    <n v="22503"/>
    <n v="58815.12605042017"/>
    <n v="3"/>
    <n v="93"/>
    <n v="4"/>
    <n v="0"/>
    <n v="0"/>
    <n v="2107984.5"/>
    <n v="90012"/>
    <n v="0"/>
    <n v="0"/>
    <n v="1"/>
    <n v="22503"/>
    <n v="235260.5042016807"/>
    <n v="6"/>
    <n v="9"/>
    <n v="6"/>
    <m/>
    <n v="0"/>
    <n v="0"/>
    <n v="202527"/>
    <n v="135999"/>
    <n v="0"/>
    <n v="0"/>
    <n v="1"/>
    <n v="22503"/>
    <n v="352890.756302521"/>
    <n v="39"/>
    <n v="26"/>
    <n v="25"/>
    <m/>
    <n v="0"/>
    <n v="0"/>
    <n v="585078"/>
    <n v="566662.5"/>
    <n v="0"/>
    <n v="0"/>
    <n v="26"/>
    <n v="22503"/>
    <n v="1470378.151260504"/>
    <n v="27"/>
    <n v="10"/>
    <n v="27"/>
    <n v="0"/>
    <n v="0"/>
    <n v="0"/>
    <n v="225030"/>
    <n v="611995.5"/>
    <n v="0"/>
    <n v="0"/>
    <n v="10"/>
    <n v="22503"/>
    <n v="1588008.403361345"/>
    <n v="27"/>
    <n v="0"/>
    <n v="27"/>
    <n v="0"/>
    <n v="0"/>
    <n v="0"/>
    <n v="0"/>
    <n v="611995.5"/>
    <n v="0"/>
    <n v="0"/>
    <n v="0"/>
    <n v="0"/>
    <n v="1588008.403361345"/>
    <n v="27"/>
    <n v="0"/>
    <n v="27"/>
    <n v="0"/>
    <n v="0"/>
    <m/>
    <n v="0"/>
    <n v="611995.5"/>
    <n v="0"/>
    <n v="0"/>
    <n v="0"/>
    <n v="0"/>
    <n v="1588008.40336134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4"/>
    <x v="272"/>
    <x v="0"/>
    <x v="6"/>
    <n v="1"/>
    <x v="12"/>
    <n v="25"/>
    <m/>
    <n v="0"/>
    <n v="21445"/>
    <n v="536125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0"/>
    <s v=""/>
    <n v="0"/>
    <s v=""/>
    <n v="1"/>
    <n v="0.01223990159511155"/>
    <n v="0"/>
    <s v=""/>
    <n v="0"/>
    <s v=""/>
    <n v="1"/>
    <n v="1.888005141805914e-05"/>
    <n v="0"/>
    <s v=""/>
    <n v="0"/>
    <s v=""/>
    <n v="0"/>
    <s v=""/>
    <n v="0"/>
    <s v=""/>
    <n v="1"/>
    <s v=""/>
    <n v="1"/>
    <s v=""/>
    <n v="0.5"/>
    <n v="0"/>
    <s v=""/>
    <n v="0"/>
    <n v="4"/>
    <s v=""/>
    <n v="0.3333333333333333"/>
    <n v="3"/>
    <s v=""/>
    <n v="0.3"/>
    <n v="1"/>
    <n v="29"/>
    <n v="1"/>
    <n v="0"/>
    <n v="0"/>
    <n v="0"/>
    <n v="42890"/>
    <n v="657328.5"/>
    <n v="21445"/>
    <n v="0"/>
    <n v="25"/>
    <n v="536125"/>
    <n v="49424.47567262199"/>
    <n v="1"/>
    <n v="33"/>
    <n v="0"/>
    <n v="0"/>
    <n v="0"/>
    <n v="0"/>
    <n v="42890"/>
    <n v="747994.5"/>
    <n v="0"/>
    <n v="0"/>
    <n v="25"/>
    <n v="536125"/>
    <n v="0"/>
    <n v="2"/>
    <n v="33"/>
    <n v="1"/>
    <n v="0"/>
    <n v="0"/>
    <n v="133556"/>
    <n v="707685"/>
    <n v="21445"/>
    <n v="0"/>
    <n v="25"/>
    <n v="536125"/>
    <n v="58815.12605042017"/>
    <n v="2"/>
    <n v="32"/>
    <n v="1"/>
    <n v="0"/>
    <n v="0"/>
    <n v="725328"/>
    <n v="21445"/>
    <n v="0"/>
    <n v="0"/>
    <n v="25"/>
    <n v="536125"/>
    <n v="58815.12605042017"/>
    <n v="4"/>
    <n v="25"/>
    <n v="4"/>
    <m/>
    <n v="0"/>
    <n v="0"/>
    <n v="536125"/>
    <n v="90666"/>
    <n v="0"/>
    <n v="0"/>
    <n v="25"/>
    <n v="536125"/>
    <n v="235260.5042016807"/>
    <n v="12"/>
    <n v="29"/>
    <n v="4"/>
    <m/>
    <n v="0"/>
    <n v="0"/>
    <n v="621905"/>
    <n v="90666"/>
    <n v="0"/>
    <n v="0"/>
    <n v="29"/>
    <n v="536125"/>
    <n v="235260.5042016807"/>
    <n v="10"/>
    <n v="28"/>
    <n v="10"/>
    <n v="0"/>
    <n v="0"/>
    <n v="0"/>
    <n v="600460"/>
    <n v="226665"/>
    <n v="0"/>
    <n v="0"/>
    <n v="28"/>
    <n v="536125"/>
    <n v="588151.2605042018"/>
    <n v="10"/>
    <n v="18"/>
    <n v="10"/>
    <n v="0"/>
    <n v="0"/>
    <n v="0"/>
    <n v="386010"/>
    <n v="226665"/>
    <n v="0"/>
    <n v="0"/>
    <n v="18"/>
    <n v="386010"/>
    <n v="588151.2605042018"/>
    <n v="10"/>
    <n v="8"/>
    <n v="10"/>
    <n v="0"/>
    <n v="0"/>
    <m/>
    <n v="181332"/>
    <n v="226665"/>
    <n v="0"/>
    <n v="0"/>
    <n v="8"/>
    <n v="181332"/>
    <n v="588151.260504201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5"/>
    <x v="272"/>
    <x v="0"/>
    <x v="6"/>
    <n v="1"/>
    <x v="12"/>
    <n v="40"/>
    <m/>
    <n v="0"/>
    <n v="21445"/>
    <n v="85780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0"/>
    <s v=""/>
    <n v="0"/>
    <s v=""/>
    <n v="7"/>
    <n v="0.08547823234701274"/>
    <n v="0"/>
    <s v=""/>
    <n v="1"/>
    <n v="0.6597023120011425"/>
    <n v="5"/>
    <n v="0.5522189417065827"/>
    <n v="0"/>
    <s v=""/>
    <n v="0"/>
    <s v=""/>
    <n v="0"/>
    <s v=""/>
    <n v="0"/>
    <s v=""/>
    <n v="0"/>
    <s v=""/>
    <n v="0"/>
    <s v=""/>
    <n v="0"/>
    <n v="1"/>
    <s v=""/>
    <n v="0.1666666666666667"/>
    <n v="3"/>
    <s v=""/>
    <n v="0.1111111111111111"/>
    <n v="6"/>
    <s v=""/>
    <n v="0.375"/>
    <n v="2"/>
    <n v="46"/>
    <n v="2"/>
    <n v="0"/>
    <n v="0"/>
    <n v="0"/>
    <n v="42890"/>
    <n v="1042659"/>
    <n v="42890"/>
    <n v="0"/>
    <n v="40"/>
    <n v="857800"/>
    <n v="98848.95134524399"/>
    <n v="2"/>
    <n v="49"/>
    <n v="0"/>
    <n v="0"/>
    <n v="0"/>
    <n v="0"/>
    <n v="0"/>
    <n v="1110658.5"/>
    <n v="0"/>
    <n v="0"/>
    <n v="40"/>
    <n v="857800"/>
    <n v="0"/>
    <n v="4"/>
    <n v="49"/>
    <n v="0"/>
    <n v="0"/>
    <n v="0"/>
    <n v="135999"/>
    <n v="1050805"/>
    <n v="0"/>
    <n v="0"/>
    <n v="40"/>
    <n v="857800"/>
    <n v="0"/>
    <n v="3"/>
    <n v="49"/>
    <n v="0"/>
    <n v="0"/>
    <n v="0"/>
    <n v="1110658.5"/>
    <n v="0"/>
    <n v="0"/>
    <n v="0"/>
    <n v="40"/>
    <n v="857800"/>
    <n v="0"/>
    <n v="6"/>
    <n v="41"/>
    <n v="6"/>
    <m/>
    <n v="0"/>
    <n v="0"/>
    <n v="879245"/>
    <n v="135999"/>
    <n v="0"/>
    <n v="0"/>
    <n v="40"/>
    <n v="857800"/>
    <n v="352890.756302521"/>
    <n v="27"/>
    <n v="43"/>
    <n v="3"/>
    <m/>
    <n v="0"/>
    <n v="0"/>
    <n v="922135"/>
    <n v="67999.5"/>
    <n v="0"/>
    <n v="0"/>
    <n v="43"/>
    <n v="857800"/>
    <n v="176445.3781512605"/>
    <n v="16"/>
    <n v="46"/>
    <n v="16"/>
    <n v="0"/>
    <n v="0"/>
    <n v="0"/>
    <n v="986470"/>
    <n v="362664"/>
    <n v="0"/>
    <n v="0"/>
    <n v="46"/>
    <n v="857800"/>
    <n v="941042.0168067227"/>
    <n v="16"/>
    <n v="30"/>
    <n v="16"/>
    <n v="0"/>
    <n v="0"/>
    <n v="0"/>
    <n v="643350"/>
    <n v="362664"/>
    <n v="0"/>
    <n v="0"/>
    <n v="30"/>
    <n v="643350"/>
    <n v="941042.0168067227"/>
    <n v="16"/>
    <n v="14"/>
    <n v="16"/>
    <n v="0"/>
    <n v="0"/>
    <m/>
    <n v="317331"/>
    <n v="362664"/>
    <n v="0"/>
    <n v="0"/>
    <n v="14"/>
    <n v="317331"/>
    <n v="941042.016806722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6"/>
    <x v="272"/>
    <x v="0"/>
    <x v="6"/>
    <n v="1"/>
    <x v="12"/>
    <n v="30"/>
    <m/>
    <n v="0"/>
    <n v="21445"/>
    <n v="64335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0"/>
    <s v=""/>
    <n v="3"/>
    <n v="0.2761331200955784"/>
    <n v="8"/>
    <n v="0.1894964203569925"/>
    <n v="0"/>
    <s v=""/>
    <n v="1"/>
    <n v="0.6597021533188404"/>
    <n v="1"/>
    <n v="0.6597021533188404"/>
    <n v="0"/>
    <s v=""/>
    <n v="1"/>
    <n v="0.6809729247247843"/>
    <n v="0"/>
    <s v=""/>
    <n v="1"/>
    <s v=""/>
    <n v="0"/>
    <s v=""/>
    <n v="0"/>
    <s v=""/>
    <n v="0"/>
    <n v="3"/>
    <s v=""/>
    <n v="0.5"/>
    <n v="9"/>
    <s v=""/>
    <n v="0.2307692307692308"/>
    <n v="10"/>
    <s v=""/>
    <n v="0.625"/>
    <n v="2"/>
    <n v="73"/>
    <n v="2"/>
    <n v="0"/>
    <n v="0"/>
    <n v="0"/>
    <n v="75057.5"/>
    <n v="1654654.5"/>
    <n v="42890"/>
    <n v="0"/>
    <n v="30"/>
    <n v="643350"/>
    <n v="98848.95134524399"/>
    <n v="2"/>
    <n v="54"/>
    <n v="1.5"/>
    <n v="0"/>
    <n v="0"/>
    <n v="0"/>
    <n v="32167.5"/>
    <n v="1223991"/>
    <n v="32167.5"/>
    <n v="0"/>
    <n v="30"/>
    <n v="643350"/>
    <n v="74136.713508933"/>
    <n v="4"/>
    <n v="53"/>
    <n v="0"/>
    <n v="0"/>
    <n v="0"/>
    <n v="135999"/>
    <n v="1136585"/>
    <n v="0"/>
    <n v="0"/>
    <n v="30"/>
    <n v="643350"/>
    <n v="0"/>
    <n v="3"/>
    <n v="53"/>
    <n v="0"/>
    <n v="0"/>
    <n v="0"/>
    <n v="1201324.5"/>
    <n v="0"/>
    <n v="0"/>
    <n v="0"/>
    <n v="30"/>
    <n v="643350"/>
    <n v="0"/>
    <n v="6"/>
    <n v="33"/>
    <n v="6"/>
    <m/>
    <n v="0"/>
    <n v="0"/>
    <n v="707685"/>
    <n v="135999"/>
    <n v="0"/>
    <n v="0"/>
    <n v="30"/>
    <n v="643350"/>
    <n v="352890.756302521"/>
    <n v="39"/>
    <n v="39"/>
    <n v="9"/>
    <m/>
    <n v="0"/>
    <n v="0"/>
    <n v="836355"/>
    <n v="203998.5"/>
    <n v="0"/>
    <n v="0"/>
    <n v="39"/>
    <n v="643350"/>
    <n v="529336.1344537815"/>
    <n v="16"/>
    <n v="40"/>
    <n v="16"/>
    <n v="0"/>
    <n v="0"/>
    <n v="0"/>
    <n v="857800"/>
    <n v="362664"/>
    <n v="0"/>
    <n v="0"/>
    <n v="40"/>
    <n v="643350"/>
    <n v="941042.0168067227"/>
    <n v="16"/>
    <n v="24"/>
    <n v="16"/>
    <n v="0"/>
    <n v="0"/>
    <n v="0"/>
    <n v="514680"/>
    <n v="362664"/>
    <n v="0"/>
    <n v="0"/>
    <n v="24"/>
    <n v="514680"/>
    <n v="941042.0168067227"/>
    <n v="16"/>
    <n v="8"/>
    <n v="16"/>
    <n v="0"/>
    <n v="0"/>
    <m/>
    <n v="181332"/>
    <n v="362664"/>
    <n v="0"/>
    <n v="0"/>
    <n v="8"/>
    <n v="181332"/>
    <n v="941042.016806722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8"/>
    <x v="337"/>
    <x v="272"/>
    <x v="0"/>
    <x v="6"/>
    <n v="1"/>
    <x v="12"/>
    <n v="15"/>
    <m/>
    <n v="0"/>
    <n v="21445.2"/>
    <n v="321678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n v="-1.072511074840585e-05"/>
    <n v="0"/>
    <s v=""/>
    <n v="1"/>
    <n v="0.5538034865293184"/>
    <n v="15"/>
    <n v="0.1649483964344168"/>
    <n v="0"/>
    <s v=""/>
    <n v="0"/>
    <s v=""/>
    <n v="3"/>
    <n v="0.5637802322979598"/>
    <n v="0"/>
    <s v=""/>
    <n v="0"/>
    <s v=""/>
    <n v="0"/>
    <s v=""/>
    <n v="0"/>
    <s v=""/>
    <n v="0"/>
    <s v=""/>
    <n v="0"/>
    <s v=""/>
    <n v="0"/>
    <n v="1"/>
    <s v=""/>
    <n v="0.25"/>
    <n v="0"/>
    <s v=""/>
    <n v="0"/>
    <n v="1"/>
    <s v=""/>
    <n v="1"/>
    <n v="1"/>
    <n v="9"/>
    <n v="1"/>
    <n v="0"/>
    <n v="0"/>
    <n v="0"/>
    <n v="21445.2"/>
    <n v="203998.5"/>
    <n v="21445.2"/>
    <n v="0"/>
    <n v="15"/>
    <n v="321678"/>
    <n v="49424.47567262199"/>
    <n v="1"/>
    <n v="15"/>
    <n v="0"/>
    <n v="0"/>
    <n v="0"/>
    <n v="0"/>
    <n v="0"/>
    <n v="339997.5"/>
    <n v="0"/>
    <n v="0"/>
    <n v="15"/>
    <n v="321678"/>
    <n v="0"/>
    <n v="2"/>
    <n v="15"/>
    <n v="0"/>
    <n v="0"/>
    <n v="0"/>
    <n v="90666"/>
    <n v="321678"/>
    <n v="0"/>
    <n v="0"/>
    <n v="15"/>
    <n v="321678"/>
    <n v="0"/>
    <n v="2"/>
    <n v="15"/>
    <n v="0"/>
    <n v="0"/>
    <n v="0"/>
    <n v="339997.5"/>
    <n v="0"/>
    <n v="0"/>
    <n v="0"/>
    <n v="15"/>
    <n v="321678"/>
    <n v="0"/>
    <n v="4"/>
    <n v="16"/>
    <n v="4"/>
    <m/>
    <n v="0"/>
    <n v="0"/>
    <n v="343123.2"/>
    <n v="90666"/>
    <n v="0"/>
    <n v="0"/>
    <n v="15"/>
    <n v="321678"/>
    <n v="235260.5042016807"/>
    <n v="12"/>
    <n v="15"/>
    <n v="0"/>
    <m/>
    <n v="0"/>
    <n v="0"/>
    <n v="321678"/>
    <n v="0"/>
    <n v="0"/>
    <n v="0"/>
    <n v="15"/>
    <n v="321678"/>
    <n v="0"/>
    <n v="1"/>
    <n v="16"/>
    <n v="1"/>
    <n v="0"/>
    <n v="0"/>
    <n v="0"/>
    <n v="343123.2"/>
    <n v="22666.5"/>
    <n v="0"/>
    <n v="0"/>
    <n v="16"/>
    <n v="321678"/>
    <n v="58815.12605042017"/>
    <n v="1"/>
    <n v="15"/>
    <n v="1"/>
    <n v="0"/>
    <n v="0"/>
    <n v="0"/>
    <n v="321678"/>
    <n v="22666.5"/>
    <n v="0"/>
    <n v="0"/>
    <n v="15"/>
    <n v="321678"/>
    <n v="58815.12605042017"/>
    <n v="1"/>
    <n v="14"/>
    <n v="1"/>
    <n v="0"/>
    <n v="0"/>
    <m/>
    <n v="317331"/>
    <n v="22666.5"/>
    <n v="0"/>
    <n v="0"/>
    <n v="14"/>
    <n v="317331"/>
    <n v="58815.12605042017"/>
    <n v="0"/>
    <n v="13"/>
    <n v="0"/>
    <n v="0"/>
    <n v="0"/>
    <n v="0"/>
    <m/>
    <n v="294664.5"/>
    <n v="0"/>
    <n v="0"/>
    <n v="0"/>
    <n v="13"/>
    <n v="294664.5"/>
    <n v="0"/>
    <n v="0"/>
    <n v="13"/>
    <n v="0"/>
    <n v="0"/>
    <n v="0"/>
    <n v="294664.5"/>
    <n v="0"/>
    <n v="0"/>
    <n v="0"/>
    <n v="13"/>
    <n v="294664.5"/>
    <n v="0"/>
    <n v="0"/>
    <n v="13"/>
    <n v="0"/>
    <n v="0"/>
    <n v="0"/>
    <n v="294664.5"/>
    <n v="0"/>
    <n v="0"/>
    <n v="13"/>
    <n v="294664.5"/>
    <n v="0"/>
    <n v="0"/>
    <n v="13"/>
    <n v="0"/>
    <n v="0"/>
    <m/>
    <n v="294664.5"/>
    <n v="0"/>
    <n v="0"/>
    <n v="13"/>
    <n v="294664.5"/>
    <n v="0"/>
  </r>
  <r>
    <s v="Lhotse-Vestuario"/>
    <x v="1"/>
    <x v="16"/>
    <x v="40"/>
    <s v="LTW25-MPK10"/>
    <x v="338"/>
    <x v="273"/>
    <x v="0"/>
    <x v="6"/>
    <n v="1"/>
    <x v="12"/>
    <n v="2"/>
    <m/>
    <n v="0"/>
    <n v="28202"/>
    <n v="56404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n v="2.48209346853801e-06"/>
    <n v="0"/>
    <s v=""/>
    <n v="7"/>
    <n v="0.3897020459348806"/>
    <n v="15"/>
    <n v="0.2853877626068691"/>
    <n v="7"/>
    <n v="0.3189271549904677"/>
    <n v="-1"/>
    <n v="0.3286526375928395"/>
    <n v="0"/>
    <s v=""/>
    <n v="0"/>
    <s v=""/>
    <n v="0"/>
    <s v=""/>
    <n v="0"/>
    <s v=""/>
    <n v="0"/>
    <s v=""/>
    <n v="0"/>
    <s v=""/>
    <n v="1"/>
    <s v=""/>
    <n v="0"/>
    <n v="1"/>
    <s v=""/>
    <n v="0"/>
    <n v="0"/>
    <s v=""/>
    <n v="0"/>
    <n v="3"/>
    <s v=""/>
    <n v="3"/>
    <n v="0"/>
    <n v="4"/>
    <n v="0"/>
    <n v="0"/>
    <n v="0"/>
    <n v="0"/>
    <n v="0"/>
    <n v="119232"/>
    <n v="0"/>
    <n v="0"/>
    <n v="2"/>
    <n v="56404"/>
    <n v="0"/>
    <n v="0"/>
    <n v="4"/>
    <n v="0"/>
    <n v="0"/>
    <n v="0"/>
    <n v="0"/>
    <n v="28202"/>
    <n v="119232"/>
    <n v="0"/>
    <n v="0"/>
    <n v="2"/>
    <n v="56404"/>
    <n v="0"/>
    <n v="0"/>
    <n v="4"/>
    <n v="0"/>
    <n v="0"/>
    <n v="0"/>
    <n v="28202"/>
    <n v="112808"/>
    <n v="0"/>
    <n v="0"/>
    <n v="2"/>
    <n v="56404"/>
    <n v="0"/>
    <n v="0"/>
    <n v="4"/>
    <n v="1"/>
    <n v="0"/>
    <n v="0"/>
    <n v="119232"/>
    <n v="28202"/>
    <n v="0"/>
    <n v="0"/>
    <n v="2"/>
    <n v="56404"/>
    <n v="75621.84873949581"/>
    <n v="0"/>
    <n v="3"/>
    <n v="0"/>
    <m/>
    <n v="0"/>
    <n v="0"/>
    <n v="84606"/>
    <n v="0"/>
    <n v="0"/>
    <n v="0"/>
    <n v="2"/>
    <n v="56404"/>
    <n v="0"/>
    <n v="12"/>
    <n v="2"/>
    <n v="0"/>
    <m/>
    <n v="0"/>
    <n v="0"/>
    <n v="56404"/>
    <n v="0"/>
    <n v="0"/>
    <n v="0"/>
    <n v="2"/>
    <n v="56404"/>
    <n v="0"/>
    <n v="1"/>
    <n v="5"/>
    <n v="1"/>
    <n v="0"/>
    <n v="0"/>
    <n v="0"/>
    <n v="141010"/>
    <n v="29808"/>
    <n v="0"/>
    <n v="0"/>
    <n v="5"/>
    <n v="56404"/>
    <n v="75621.84873949581"/>
    <n v="1"/>
    <n v="4"/>
    <n v="1"/>
    <n v="0"/>
    <n v="0"/>
    <n v="0"/>
    <n v="112808"/>
    <n v="29808"/>
    <n v="0"/>
    <n v="0"/>
    <n v="4"/>
    <n v="112808"/>
    <n v="75621.84873949581"/>
    <n v="1"/>
    <n v="3"/>
    <n v="1"/>
    <n v="0"/>
    <n v="0"/>
    <m/>
    <n v="89423.99999999999"/>
    <n v="29808"/>
    <n v="0"/>
    <n v="0"/>
    <n v="3"/>
    <n v="89423.99999999999"/>
    <n v="75621.84873949581"/>
    <n v="0"/>
    <n v="2"/>
    <n v="0"/>
    <n v="0"/>
    <n v="0"/>
    <n v="0"/>
    <m/>
    <n v="59615.99999999999"/>
    <n v="0"/>
    <n v="0"/>
    <n v="0"/>
    <n v="2"/>
    <n v="59615.99999999999"/>
    <n v="0"/>
    <n v="0"/>
    <n v="2"/>
    <n v="0"/>
    <n v="0"/>
    <n v="0"/>
    <n v="59615.99999999999"/>
    <n v="0"/>
    <n v="0"/>
    <n v="0"/>
    <n v="2"/>
    <n v="59615.99999999999"/>
    <n v="0"/>
    <n v="0"/>
    <n v="2"/>
    <n v="0"/>
    <n v="0"/>
    <n v="0"/>
    <n v="59615.99999999999"/>
    <n v="0"/>
    <n v="0"/>
    <n v="2"/>
    <n v="59615.99999999999"/>
    <n v="0"/>
    <n v="0"/>
    <n v="2"/>
    <n v="0"/>
    <n v="0"/>
    <m/>
    <n v="59615.99999999999"/>
    <n v="0"/>
    <n v="0"/>
    <n v="2"/>
    <n v="59615.99999999999"/>
    <n v="0"/>
  </r>
  <r>
    <s v="Lhotse-Vestuario"/>
    <x v="1"/>
    <x v="16"/>
    <x v="40"/>
    <s v="LTW25-MPK10"/>
    <x v="339"/>
    <x v="273"/>
    <x v="0"/>
    <x v="6"/>
    <n v="1"/>
    <x v="12"/>
    <n v="2"/>
    <m/>
    <n v="0"/>
    <n v="28202"/>
    <n v="56404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s v=""/>
    <n v="2"/>
    <n v="0.6643625111573936"/>
    <n v="9"/>
    <n v="0.4663687549758151"/>
    <n v="29"/>
    <n v="0.3392328217077007"/>
    <n v="16"/>
    <n v="0.2644062087109049"/>
    <n v="4"/>
    <n v="0.328656098769028"/>
    <n v="5"/>
    <n v="0.2703171054810399"/>
    <n v="0"/>
    <s v=""/>
    <n v="0"/>
    <s v=""/>
    <n v="0"/>
    <s v=""/>
    <n v="0"/>
    <s v=""/>
    <n v="0"/>
    <s v=""/>
    <n v="1"/>
    <s v=""/>
    <n v="0"/>
    <n v="0"/>
    <s v=""/>
    <n v="0"/>
    <n v="3"/>
    <s v=""/>
    <n v="0.1111111111111111"/>
    <n v="4"/>
    <s v=""/>
    <n v="2"/>
    <n v="0"/>
    <n v="3"/>
    <n v="0"/>
    <n v="0"/>
    <n v="0"/>
    <n v="0"/>
    <n v="0"/>
    <n v="89423.99999999999"/>
    <n v="0"/>
    <n v="0"/>
    <n v="2"/>
    <n v="56404"/>
    <n v="0"/>
    <n v="0"/>
    <n v="5"/>
    <n v="0"/>
    <n v="0"/>
    <n v="0"/>
    <n v="0"/>
    <n v="28202"/>
    <n v="149040"/>
    <n v="0"/>
    <n v="0"/>
    <n v="2"/>
    <n v="56404"/>
    <n v="0"/>
    <n v="0"/>
    <n v="6"/>
    <n v="0"/>
    <n v="0"/>
    <n v="0"/>
    <n v="87818"/>
    <n v="169212"/>
    <n v="0"/>
    <n v="0"/>
    <n v="2"/>
    <n v="56404"/>
    <n v="0"/>
    <n v="0"/>
    <n v="6"/>
    <n v="1"/>
    <n v="0"/>
    <n v="0"/>
    <n v="178848"/>
    <n v="28202"/>
    <n v="0"/>
    <n v="0"/>
    <n v="2"/>
    <n v="56404"/>
    <n v="75621.84873949581"/>
    <n v="2"/>
    <n v="2"/>
    <n v="2"/>
    <m/>
    <n v="0"/>
    <n v="0"/>
    <n v="56404"/>
    <n v="59615.99999999999"/>
    <n v="0"/>
    <n v="0"/>
    <n v="2"/>
    <n v="56404"/>
    <n v="151243.6974789916"/>
    <n v="27"/>
    <n v="5"/>
    <n v="3"/>
    <m/>
    <n v="0"/>
    <n v="0"/>
    <n v="141010"/>
    <n v="89423.99999999999"/>
    <n v="0"/>
    <n v="0"/>
    <n v="5"/>
    <n v="56404"/>
    <n v="226865.5462184874"/>
    <n v="2"/>
    <n v="6"/>
    <n v="2"/>
    <n v="0"/>
    <n v="0"/>
    <n v="0"/>
    <n v="169212"/>
    <n v="59615.99999999999"/>
    <n v="0"/>
    <n v="0"/>
    <n v="6"/>
    <n v="56404"/>
    <n v="151243.6974789916"/>
    <n v="2"/>
    <n v="4"/>
    <n v="2"/>
    <n v="0"/>
    <n v="0"/>
    <n v="0"/>
    <n v="112808"/>
    <n v="59615.99999999999"/>
    <n v="0"/>
    <n v="0"/>
    <n v="4"/>
    <n v="112808"/>
    <n v="151243.6974789916"/>
    <n v="2"/>
    <n v="2"/>
    <n v="2"/>
    <n v="0"/>
    <n v="0"/>
    <m/>
    <n v="59615.99999999999"/>
    <n v="59615.99999999999"/>
    <n v="0"/>
    <n v="0"/>
    <n v="2"/>
    <n v="59615.99999999999"/>
    <n v="151243.697478991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10"/>
    <x v="340"/>
    <x v="273"/>
    <x v="0"/>
    <x v="6"/>
    <n v="1"/>
    <x v="12"/>
    <n v="11"/>
    <m/>
    <n v="0"/>
    <n v="28202"/>
    <n v="310222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n v="2.48209346853801e-06"/>
    <n v="0"/>
    <s v=""/>
    <n v="20"/>
    <n v="0.337777255987288"/>
    <n v="48"/>
    <n v="0.2831544559328653"/>
    <n v="8"/>
    <n v="0.3286533517425253"/>
    <n v="0"/>
    <s v=""/>
    <n v="6"/>
    <n v="0.28073426395076"/>
    <n v="0"/>
    <s v=""/>
    <n v="0"/>
    <s v=""/>
    <n v="0"/>
    <s v=""/>
    <n v="0"/>
    <s v=""/>
    <n v="2"/>
    <s v=""/>
    <n v="2"/>
    <s v=""/>
    <n v="0"/>
    <n v="3"/>
    <s v=""/>
    <n v="0"/>
    <n v="14"/>
    <s v=""/>
    <n v="0.358974358974359"/>
    <n v="4"/>
    <s v=""/>
    <n v="0.6666666666666666"/>
    <n v="0"/>
    <n v="22"/>
    <n v="0"/>
    <n v="0"/>
    <n v="0"/>
    <n v="0"/>
    <n v="56404"/>
    <n v="655775.9999999999"/>
    <n v="0"/>
    <n v="0"/>
    <n v="11"/>
    <n v="310222"/>
    <n v="0"/>
    <n v="0"/>
    <n v="23"/>
    <n v="0"/>
    <n v="0"/>
    <n v="0"/>
    <n v="0"/>
    <n v="112808"/>
    <n v="685583.9999999999"/>
    <n v="0"/>
    <n v="0"/>
    <n v="11"/>
    <n v="310222"/>
    <n v="0"/>
    <n v="0"/>
    <n v="23"/>
    <n v="2"/>
    <n v="0"/>
    <n v="0"/>
    <n v="112808"/>
    <n v="648646"/>
    <n v="56404"/>
    <n v="0"/>
    <n v="11"/>
    <n v="310222"/>
    <n v="151243.6974789916"/>
    <n v="0"/>
    <n v="21"/>
    <n v="2"/>
    <n v="0"/>
    <n v="0"/>
    <n v="625967.9999999999"/>
    <n v="56404"/>
    <n v="0"/>
    <n v="0"/>
    <n v="11"/>
    <n v="310222"/>
    <n v="151243.6974789916"/>
    <n v="0"/>
    <n v="14"/>
    <n v="0"/>
    <m/>
    <n v="0"/>
    <n v="0"/>
    <n v="394828"/>
    <n v="0"/>
    <n v="0"/>
    <n v="0"/>
    <n v="11"/>
    <n v="310222"/>
    <n v="0"/>
    <n v="39"/>
    <n v="25"/>
    <n v="14"/>
    <m/>
    <n v="0"/>
    <n v="0"/>
    <n v="705050"/>
    <n v="417311.9999999999"/>
    <n v="0"/>
    <n v="0"/>
    <n v="25"/>
    <n v="310222"/>
    <n v="1058705.882352941"/>
    <n v="6"/>
    <n v="15"/>
    <n v="6"/>
    <n v="0"/>
    <n v="0"/>
    <n v="0"/>
    <n v="423030"/>
    <n v="178848"/>
    <n v="0"/>
    <n v="0"/>
    <n v="15"/>
    <n v="310222"/>
    <n v="453731.0924369749"/>
    <n v="6"/>
    <n v="9"/>
    <n v="6"/>
    <n v="0"/>
    <n v="0"/>
    <n v="0"/>
    <n v="253818"/>
    <n v="178848"/>
    <n v="0"/>
    <n v="0"/>
    <n v="9"/>
    <n v="253818"/>
    <n v="453731.0924369749"/>
    <n v="6"/>
    <n v="3"/>
    <n v="6"/>
    <n v="0"/>
    <n v="0"/>
    <m/>
    <n v="89423.99999999999"/>
    <n v="178848"/>
    <n v="0"/>
    <n v="0"/>
    <n v="3"/>
    <n v="89423.99999999999"/>
    <n v="453731.092436974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10"/>
    <x v="341"/>
    <x v="273"/>
    <x v="0"/>
    <x v="6"/>
    <n v="1"/>
    <x v="12"/>
    <n v="2"/>
    <m/>
    <n v="0"/>
    <n v="28202"/>
    <n v="56404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s v=""/>
    <n v="1"/>
    <n v="0.5804439254074399"/>
    <n v="3"/>
    <n v="0.3156269102527536"/>
    <n v="16"/>
    <n v="0.2890499800576751"/>
    <n v="5"/>
    <n v="0.3271481939668764"/>
    <n v="2"/>
    <n v="0.3286562177934041"/>
    <n v="6"/>
    <n v="0.3055358330118444"/>
    <n v="-3"/>
    <n v="0.4965196200949763"/>
    <n v="0"/>
    <s v=""/>
    <n v="0"/>
    <s v=""/>
    <n v="0"/>
    <s v=""/>
    <n v="1"/>
    <s v=""/>
    <n v="0"/>
    <s v=""/>
    <n v="0"/>
    <n v="2"/>
    <s v=""/>
    <n v="2"/>
    <n v="-1"/>
    <s v=""/>
    <n v="-0.08333333333333333"/>
    <n v="3"/>
    <s v=""/>
    <n v="3"/>
    <n v="0"/>
    <n v="6"/>
    <n v="0"/>
    <n v="0"/>
    <n v="0"/>
    <n v="0"/>
    <n v="28202"/>
    <n v="178848"/>
    <n v="0"/>
    <n v="0"/>
    <n v="2"/>
    <n v="56404"/>
    <n v="0"/>
    <n v="0"/>
    <n v="6"/>
    <n v="0"/>
    <n v="0"/>
    <n v="0"/>
    <n v="0"/>
    <n v="28202"/>
    <n v="178848"/>
    <n v="0"/>
    <n v="0"/>
    <n v="2"/>
    <n v="56404"/>
    <n v="0"/>
    <n v="0"/>
    <n v="6"/>
    <n v="1"/>
    <n v="0"/>
    <n v="0"/>
    <n v="58010"/>
    <n v="169212"/>
    <n v="28202"/>
    <n v="0"/>
    <n v="2"/>
    <n v="56404"/>
    <n v="75621.84873949581"/>
    <n v="0"/>
    <n v="5"/>
    <n v="0"/>
    <n v="0"/>
    <n v="0"/>
    <n v="149040"/>
    <n v="0"/>
    <n v="0"/>
    <n v="0"/>
    <n v="2"/>
    <n v="56404"/>
    <n v="0"/>
    <n v="1"/>
    <n v="4"/>
    <n v="1"/>
    <m/>
    <n v="0"/>
    <n v="0"/>
    <n v="112808"/>
    <n v="29808"/>
    <n v="0"/>
    <n v="0"/>
    <n v="2"/>
    <n v="56404"/>
    <n v="75621.84873949581"/>
    <n v="12"/>
    <n v="1"/>
    <n v="-1"/>
    <m/>
    <n v="0"/>
    <n v="0"/>
    <n v="28202"/>
    <n v="-29808"/>
    <n v="0"/>
    <n v="0"/>
    <n v="1"/>
    <n v="56404"/>
    <n v="-75621.84873949581"/>
    <n v="1"/>
    <n v="5"/>
    <n v="1"/>
    <n v="0"/>
    <n v="0"/>
    <n v="0"/>
    <n v="141010"/>
    <n v="29808"/>
    <n v="0"/>
    <n v="0"/>
    <n v="5"/>
    <n v="56404"/>
    <n v="75621.84873949581"/>
    <n v="1"/>
    <n v="4"/>
    <n v="1"/>
    <n v="0"/>
    <n v="0"/>
    <n v="0"/>
    <n v="112808"/>
    <n v="29808"/>
    <n v="0"/>
    <n v="0"/>
    <n v="4"/>
    <n v="112808"/>
    <n v="75621.84873949581"/>
    <n v="1"/>
    <n v="3"/>
    <n v="1"/>
    <n v="0"/>
    <n v="0"/>
    <m/>
    <n v="89423.99999999999"/>
    <n v="29808"/>
    <n v="0"/>
    <n v="0"/>
    <n v="3"/>
    <n v="89423.99999999999"/>
    <n v="75621.84873949581"/>
    <n v="0"/>
    <n v="2"/>
    <n v="0"/>
    <n v="0"/>
    <n v="0"/>
    <n v="0"/>
    <m/>
    <n v="59615.99999999999"/>
    <n v="0"/>
    <n v="0"/>
    <n v="0"/>
    <n v="2"/>
    <n v="59615.99999999999"/>
    <n v="0"/>
    <n v="0"/>
    <n v="2"/>
    <n v="0"/>
    <n v="0"/>
    <n v="0"/>
    <n v="59615.99999999999"/>
    <n v="0"/>
    <n v="0"/>
    <n v="0"/>
    <n v="2"/>
    <n v="59615.99999999999"/>
    <n v="0"/>
    <n v="0"/>
    <n v="2"/>
    <n v="0"/>
    <n v="0"/>
    <n v="0"/>
    <n v="59615.99999999999"/>
    <n v="0"/>
    <n v="0"/>
    <n v="2"/>
    <n v="59615.99999999999"/>
    <n v="0"/>
    <n v="0"/>
    <n v="2"/>
    <n v="0"/>
    <n v="0"/>
    <m/>
    <n v="59615.99999999999"/>
    <n v="0"/>
    <n v="0"/>
    <n v="2"/>
    <n v="59615.99999999999"/>
    <n v="0"/>
  </r>
  <r>
    <s v="Lhotse-Vestuario"/>
    <x v="1"/>
    <x v="16"/>
    <x v="41"/>
    <s v="LTW25-MPT11"/>
    <x v="342"/>
    <x v="274"/>
    <x v="0"/>
    <x v="6"/>
    <n v="1"/>
    <x v="12"/>
    <n v="1"/>
    <m/>
    <n v="0"/>
    <n v="19438"/>
    <n v="19438"/>
    <n v="19.85"/>
    <n v="21686.125"/>
    <n v="42008.40336134454"/>
    <n v="33605.04201680672"/>
    <s v="Shenzhen"/>
    <s v="30/70"/>
    <n v="30"/>
    <n v="1"/>
    <n v="0"/>
    <s v=""/>
    <n v="0"/>
    <s v=""/>
    <n v="0"/>
    <s v=""/>
    <n v="1"/>
    <n v="0.5372871034206842"/>
    <n v="1"/>
    <n v="0.5372871034206842"/>
    <n v="1"/>
    <n v="0.4215792292813569"/>
    <n v="1"/>
    <n v="0.421579952488122"/>
    <n v="1"/>
    <n v="0.2670921854805721"/>
    <n v="1"/>
    <n v="0.4215792292813569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1"/>
    <s v=""/>
    <n v="1"/>
    <n v="0"/>
    <n v="1"/>
    <n v="0"/>
    <n v="0"/>
    <n v="0"/>
    <n v="0"/>
    <n v="0"/>
    <n v="20544.75"/>
    <n v="0"/>
    <n v="0"/>
    <n v="1"/>
    <n v="19438"/>
    <n v="0"/>
    <n v="0"/>
    <n v="2"/>
    <n v="0"/>
    <n v="0"/>
    <n v="0"/>
    <n v="0"/>
    <n v="0"/>
    <n v="41089.5"/>
    <n v="0"/>
    <n v="0"/>
    <n v="1"/>
    <n v="19438"/>
    <n v="0"/>
    <n v="0"/>
    <n v="2"/>
    <n v="0"/>
    <n v="0"/>
    <n v="0"/>
    <n v="20544.75"/>
    <n v="38876"/>
    <n v="0"/>
    <n v="0"/>
    <n v="1"/>
    <n v="19438"/>
    <n v="0"/>
    <n v="0"/>
    <n v="2"/>
    <n v="0"/>
    <n v="0"/>
    <n v="0"/>
    <n v="41089.5"/>
    <n v="0"/>
    <n v="0"/>
    <n v="0"/>
    <n v="1"/>
    <n v="19438"/>
    <n v="0"/>
    <n v="1"/>
    <n v="1"/>
    <n v="1"/>
    <m/>
    <n v="0"/>
    <n v="0"/>
    <n v="19438"/>
    <n v="20544.75"/>
    <n v="0"/>
    <n v="0"/>
    <n v="1"/>
    <n v="19438"/>
    <n v="42008.40336134454"/>
    <n v="6"/>
    <n v="1"/>
    <n v="0"/>
    <m/>
    <n v="0"/>
    <n v="0"/>
    <n v="19438"/>
    <n v="0"/>
    <n v="0"/>
    <n v="0"/>
    <n v="1"/>
    <n v="19438"/>
    <n v="0"/>
    <n v="1"/>
    <n v="2"/>
    <n v="1"/>
    <n v="0"/>
    <n v="0"/>
    <n v="0"/>
    <n v="38876"/>
    <n v="20544.75"/>
    <n v="0"/>
    <n v="0"/>
    <n v="2"/>
    <n v="19438"/>
    <n v="42008.40336134454"/>
    <n v="1"/>
    <n v="1"/>
    <n v="1"/>
    <n v="0"/>
    <n v="0"/>
    <n v="0"/>
    <n v="19438"/>
    <n v="20544.75"/>
    <n v="0"/>
    <n v="0"/>
    <n v="1"/>
    <n v="19438"/>
    <n v="42008.40336134454"/>
    <n v="1"/>
    <n v="0"/>
    <n v="1"/>
    <n v="0"/>
    <n v="0"/>
    <m/>
    <n v="0"/>
    <n v="20544.75"/>
    <n v="0"/>
    <n v="0"/>
    <n v="0"/>
    <n v="0"/>
    <n v="42008.403361344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1"/>
    <s v="LTW25-MPT11"/>
    <x v="343"/>
    <x v="274"/>
    <x v="0"/>
    <x v="6"/>
    <n v="1"/>
    <x v="12"/>
    <n v="2"/>
    <m/>
    <n v="0"/>
    <n v="19438"/>
    <n v="38876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n v="1.286140549439243e-05"/>
    <n v="0"/>
    <n v="1.286140549439243e-05"/>
    <n v="1"/>
    <n v="0.3572940087290041"/>
    <n v="2"/>
    <n v="0.4215816098794822"/>
    <n v="2"/>
    <n v="0.4215823330832708"/>
    <n v="1"/>
    <n v="0.4357528520421493"/>
    <n v="5"/>
    <n v="0.2690816587449612"/>
    <n v="0"/>
    <s v=""/>
    <n v="0"/>
    <s v=""/>
    <n v="0"/>
    <s v=""/>
    <n v="0"/>
    <s v=""/>
    <n v="0"/>
    <s v=""/>
    <n v="0"/>
    <s v=""/>
    <n v="0"/>
    <n v="1"/>
    <s v=""/>
    <n v="0"/>
    <n v="0"/>
    <s v=""/>
    <n v="0"/>
    <n v="5"/>
    <s v=""/>
    <n v="1.666666666666667"/>
    <n v="0"/>
    <n v="1"/>
    <n v="0"/>
    <n v="0"/>
    <n v="0"/>
    <n v="0"/>
    <n v="0"/>
    <n v="20544.75"/>
    <n v="0"/>
    <n v="0"/>
    <n v="2"/>
    <n v="38876"/>
    <n v="0"/>
    <n v="0"/>
    <n v="6"/>
    <n v="0"/>
    <n v="0"/>
    <n v="0"/>
    <n v="0"/>
    <n v="0"/>
    <n v="123268.5"/>
    <n v="0"/>
    <n v="0"/>
    <n v="2"/>
    <n v="38876"/>
    <n v="0"/>
    <n v="0"/>
    <n v="7"/>
    <n v="0"/>
    <n v="0"/>
    <n v="0"/>
    <n v="0"/>
    <n v="136066"/>
    <n v="0"/>
    <n v="0"/>
    <n v="2"/>
    <n v="38876"/>
    <n v="0"/>
    <n v="0"/>
    <n v="8"/>
    <n v="0"/>
    <n v="0"/>
    <n v="0"/>
    <n v="164358"/>
    <n v="0"/>
    <n v="0"/>
    <n v="0"/>
    <n v="2"/>
    <n v="38876"/>
    <n v="0"/>
    <n v="0"/>
    <n v="3"/>
    <n v="0"/>
    <m/>
    <n v="0"/>
    <n v="0"/>
    <n v="58314"/>
    <n v="0"/>
    <n v="0"/>
    <n v="0"/>
    <n v="2"/>
    <n v="38876"/>
    <n v="0"/>
    <n v="13.5"/>
    <n v="2"/>
    <n v="0"/>
    <m/>
    <n v="0"/>
    <n v="0"/>
    <n v="38876"/>
    <n v="0"/>
    <n v="0"/>
    <n v="0"/>
    <n v="2"/>
    <n v="38876"/>
    <n v="0"/>
    <n v="3"/>
    <n v="7"/>
    <n v="3"/>
    <n v="0"/>
    <n v="0"/>
    <n v="0"/>
    <n v="136066"/>
    <n v="61634.25"/>
    <n v="0"/>
    <n v="0"/>
    <n v="7"/>
    <n v="38876"/>
    <n v="126025.2100840336"/>
    <n v="3"/>
    <n v="4"/>
    <n v="3"/>
    <n v="0"/>
    <n v="0"/>
    <n v="0"/>
    <n v="77752"/>
    <n v="61634.25"/>
    <n v="0"/>
    <n v="0"/>
    <n v="4"/>
    <n v="77752"/>
    <n v="126025.2100840336"/>
    <n v="3"/>
    <n v="1"/>
    <n v="3"/>
    <n v="0"/>
    <n v="0"/>
    <m/>
    <n v="20544.75"/>
    <n v="61634.25"/>
    <n v="0"/>
    <n v="0"/>
    <n v="1"/>
    <n v="20544.75"/>
    <n v="126025.210084033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1"/>
    <s v="LTW25-MPT11"/>
    <x v="344"/>
    <x v="274"/>
    <x v="0"/>
    <x v="6"/>
    <n v="1"/>
    <x v="12"/>
    <n v="6"/>
    <m/>
    <n v="0"/>
    <n v="19438"/>
    <n v="116628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s v=""/>
    <n v="1"/>
    <n v="0.5372871034206842"/>
    <n v="3"/>
    <n v="0.444722308554053"/>
    <n v="4"/>
    <n v="0.3830143782933042"/>
    <n v="1"/>
    <n v="0.421579952488122"/>
    <n v="1"/>
    <n v="0.3473730862207897"/>
    <n v="7"/>
    <n v="0.3396928123923267"/>
    <n v="0"/>
    <s v=""/>
    <n v="2"/>
    <n v="0.53727861359741"/>
    <n v="0"/>
    <s v=""/>
    <n v="1"/>
    <s v=""/>
    <n v="0"/>
    <s v=""/>
    <n v="1"/>
    <s v=""/>
    <n v="0"/>
    <n v="2"/>
    <s v=""/>
    <n v="2"/>
    <n v="3"/>
    <s v=""/>
    <n v="0.1538461538461539"/>
    <n v="2"/>
    <s v=""/>
    <n v="0.5"/>
    <n v="0"/>
    <n v="7"/>
    <n v="0"/>
    <n v="0"/>
    <n v="0"/>
    <n v="0"/>
    <n v="29157"/>
    <n v="143813.25"/>
    <n v="0"/>
    <n v="0"/>
    <n v="6"/>
    <n v="116628"/>
    <n v="0"/>
    <n v="0"/>
    <n v="13"/>
    <n v="1.5"/>
    <n v="0"/>
    <n v="0"/>
    <n v="0"/>
    <n v="48595"/>
    <n v="267081.75"/>
    <n v="29157"/>
    <n v="0"/>
    <n v="6"/>
    <n v="116628"/>
    <n v="52951.76894287128"/>
    <n v="0"/>
    <n v="13"/>
    <n v="0"/>
    <n v="0"/>
    <n v="0"/>
    <n v="39982.75"/>
    <n v="252694"/>
    <n v="0"/>
    <n v="0"/>
    <n v="6"/>
    <n v="116628"/>
    <n v="0"/>
    <n v="0"/>
    <n v="14"/>
    <n v="1"/>
    <n v="0"/>
    <n v="0"/>
    <n v="287626.5"/>
    <n v="19438"/>
    <n v="0"/>
    <n v="0"/>
    <n v="6"/>
    <n v="116628"/>
    <n v="42008.40336134454"/>
    <n v="1"/>
    <n v="8"/>
    <n v="1"/>
    <m/>
    <n v="0"/>
    <n v="0"/>
    <n v="155504"/>
    <n v="20544.75"/>
    <n v="0"/>
    <n v="0"/>
    <n v="6"/>
    <n v="116628"/>
    <n v="42008.40336134454"/>
    <n v="19.5"/>
    <n v="9"/>
    <n v="3"/>
    <m/>
    <n v="0"/>
    <n v="0"/>
    <n v="174942"/>
    <n v="61634.25"/>
    <n v="0"/>
    <n v="0"/>
    <n v="9"/>
    <n v="116628"/>
    <n v="126025.2100840336"/>
    <n v="4"/>
    <n v="8"/>
    <n v="4"/>
    <n v="0"/>
    <n v="0"/>
    <n v="0"/>
    <n v="155504"/>
    <n v="82179"/>
    <n v="0"/>
    <n v="0"/>
    <n v="8"/>
    <n v="116628"/>
    <n v="168033.6134453782"/>
    <n v="4"/>
    <n v="4"/>
    <n v="4"/>
    <n v="0"/>
    <n v="0"/>
    <n v="0"/>
    <n v="77752"/>
    <n v="82179"/>
    <n v="0"/>
    <n v="0"/>
    <n v="4"/>
    <n v="77752"/>
    <n v="168033.6134453782"/>
    <n v="4"/>
    <n v="0"/>
    <n v="4"/>
    <n v="0"/>
    <n v="0"/>
    <m/>
    <n v="0"/>
    <n v="82179"/>
    <n v="0"/>
    <n v="0"/>
    <n v="0"/>
    <n v="0"/>
    <n v="168033.613445378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1"/>
    <s v="LTW25-MPT11"/>
    <x v="345"/>
    <x v="274"/>
    <x v="0"/>
    <x v="6"/>
    <n v="1"/>
    <x v="12"/>
    <n v="8"/>
    <m/>
    <n v="0"/>
    <n v="19438"/>
    <n v="155504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s v=""/>
    <n v="0"/>
    <n v="9.774668175670868e-06"/>
    <n v="1"/>
    <n v="0.1291498846352008"/>
    <n v="0"/>
    <s v=""/>
    <n v="1"/>
    <n v="0.2469905282119821"/>
    <n v="0"/>
    <n v="1"/>
    <n v="0"/>
    <s v=""/>
    <n v="0"/>
    <s v=""/>
    <n v="1"/>
    <n v="0.5180190433682957"/>
    <n v="0"/>
    <s v=""/>
    <n v="0"/>
    <s v=""/>
    <n v="0"/>
    <s v=""/>
    <n v="1"/>
    <s v=""/>
    <n v="1"/>
    <n v="1"/>
    <s v=""/>
    <n v="1"/>
    <n v="0"/>
    <s v=""/>
    <n v="0"/>
    <n v="0"/>
    <s v=""/>
    <n v="0"/>
    <n v="2"/>
    <n v="8"/>
    <n v="2"/>
    <n v="0"/>
    <n v="0"/>
    <n v="0"/>
    <n v="38876"/>
    <n v="164358"/>
    <n v="38876"/>
    <n v="0"/>
    <n v="8"/>
    <n v="155504"/>
    <n v="70602.35859049503"/>
    <n v="0"/>
    <n v="9"/>
    <n v="0"/>
    <n v="0"/>
    <n v="0"/>
    <n v="0"/>
    <n v="19438"/>
    <n v="184902.75"/>
    <n v="0"/>
    <n v="0"/>
    <n v="8"/>
    <n v="155504"/>
    <n v="0"/>
    <n v="0"/>
    <n v="9"/>
    <n v="0"/>
    <n v="0"/>
    <n v="0"/>
    <n v="39982.75"/>
    <n v="174942"/>
    <n v="0"/>
    <n v="0"/>
    <n v="8"/>
    <n v="155504"/>
    <n v="0"/>
    <n v="1"/>
    <n v="8"/>
    <n v="1"/>
    <n v="0"/>
    <n v="0"/>
    <n v="164358"/>
    <n v="19438"/>
    <n v="0"/>
    <n v="0"/>
    <n v="8"/>
    <n v="155504"/>
    <n v="42008.40336134454"/>
    <n v="1"/>
    <n v="9"/>
    <n v="1"/>
    <m/>
    <n v="0"/>
    <n v="0"/>
    <n v="174942"/>
    <n v="20544.75"/>
    <n v="0"/>
    <n v="0"/>
    <n v="8"/>
    <n v="155504"/>
    <n v="42008.40336134454"/>
    <n v="1"/>
    <n v="8"/>
    <n v="0"/>
    <m/>
    <n v="0"/>
    <n v="0"/>
    <n v="155504"/>
    <n v="0"/>
    <n v="0"/>
    <n v="0"/>
    <n v="8"/>
    <n v="155504"/>
    <n v="0"/>
    <n v="0"/>
    <n v="8"/>
    <n v="0"/>
    <n v="0"/>
    <n v="0"/>
    <n v="0"/>
    <n v="155504"/>
    <n v="0"/>
    <n v="0"/>
    <n v="0"/>
    <n v="8"/>
    <n v="155504"/>
    <n v="0"/>
    <n v="0"/>
    <n v="8"/>
    <n v="0"/>
    <n v="0"/>
    <n v="0"/>
    <n v="0"/>
    <n v="155504"/>
    <n v="0"/>
    <n v="0"/>
    <n v="0"/>
    <n v="8"/>
    <n v="155504"/>
    <n v="0"/>
    <n v="0"/>
    <n v="8"/>
    <n v="0"/>
    <n v="0"/>
    <n v="0"/>
    <m/>
    <n v="164358"/>
    <n v="0"/>
    <n v="0"/>
    <n v="0"/>
    <n v="8"/>
    <n v="164358"/>
    <n v="0"/>
    <n v="0"/>
    <n v="8"/>
    <n v="0"/>
    <n v="0"/>
    <n v="0"/>
    <n v="0"/>
    <m/>
    <n v="164358"/>
    <n v="0"/>
    <n v="0"/>
    <n v="0"/>
    <n v="8"/>
    <n v="164358"/>
    <n v="0"/>
    <n v="0"/>
    <n v="8"/>
    <n v="0"/>
    <n v="0"/>
    <n v="0"/>
    <n v="164358"/>
    <n v="0"/>
    <n v="0"/>
    <n v="0"/>
    <n v="8"/>
    <n v="164358"/>
    <n v="0"/>
    <n v="0"/>
    <n v="8"/>
    <n v="0"/>
    <n v="0"/>
    <n v="0"/>
    <n v="164358"/>
    <n v="0"/>
    <n v="0"/>
    <n v="8"/>
    <n v="164358"/>
    <n v="0"/>
    <n v="0"/>
    <n v="8"/>
    <n v="0"/>
    <n v="0"/>
    <m/>
    <n v="164358"/>
    <n v="0"/>
    <n v="0"/>
    <n v="8"/>
    <n v="164358"/>
    <n v="0"/>
  </r>
  <r>
    <s v="Lhotse-Vestuario"/>
    <x v="1"/>
    <x v="16"/>
    <x v="41"/>
    <s v="LTW25-MPT11"/>
    <x v="346"/>
    <x v="274"/>
    <x v="0"/>
    <x v="6"/>
    <n v="1"/>
    <x v="12"/>
    <n v="18"/>
    <m/>
    <n v="0"/>
    <n v="19438"/>
    <n v="349884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n v="1.028912439555137e-05"/>
    <n v="0"/>
    <s v=""/>
    <n v="4"/>
    <n v="0.4067448248498767"/>
    <n v="0"/>
    <s v=""/>
    <n v="1"/>
    <n v="0.4215798244308882"/>
    <n v="1"/>
    <n v="0.4215805476369092"/>
    <n v="5"/>
    <n v="0.4619705600673166"/>
    <n v="0"/>
    <s v=""/>
    <n v="2"/>
    <n v="0.5180143321183268"/>
    <n v="0"/>
    <s v=""/>
    <n v="1"/>
    <s v=""/>
    <n v="1"/>
    <s v=""/>
    <n v="0"/>
    <s v=""/>
    <n v="0"/>
    <n v="1"/>
    <s v=""/>
    <n v="0.3333333333333333"/>
    <n v="1"/>
    <s v=""/>
    <n v="0.25"/>
    <n v="7"/>
    <s v=""/>
    <n v="0.7777777777777778"/>
    <n v="4"/>
    <n v="25"/>
    <n v="4"/>
    <n v="0"/>
    <n v="0"/>
    <n v="0"/>
    <n v="126347"/>
    <n v="513618.75"/>
    <n v="77752"/>
    <n v="0"/>
    <n v="18"/>
    <n v="349884"/>
    <n v="141204.7171809901"/>
    <n v="5"/>
    <n v="26"/>
    <n v="1.5"/>
    <n v="0"/>
    <n v="0"/>
    <n v="0"/>
    <n v="48595"/>
    <n v="534163.5"/>
    <n v="29157"/>
    <n v="0"/>
    <n v="18"/>
    <n v="349884"/>
    <n v="52951.76894287128"/>
    <n v="2"/>
    <n v="25"/>
    <n v="1"/>
    <n v="0"/>
    <n v="0"/>
    <n v="81072.25"/>
    <n v="485950"/>
    <n v="19438"/>
    <n v="0"/>
    <n v="18"/>
    <n v="349884"/>
    <n v="42008.40336134454"/>
    <n v="1"/>
    <n v="22"/>
    <n v="0"/>
    <n v="0"/>
    <n v="0"/>
    <n v="451984.5"/>
    <n v="0"/>
    <n v="0"/>
    <n v="0"/>
    <n v="18"/>
    <n v="349884"/>
    <n v="0"/>
    <n v="3"/>
    <n v="19"/>
    <n v="3"/>
    <m/>
    <n v="0"/>
    <n v="0"/>
    <n v="369322"/>
    <n v="61634.25"/>
    <n v="0"/>
    <n v="0"/>
    <n v="18"/>
    <n v="349884"/>
    <n v="126025.2100840336"/>
    <n v="4"/>
    <n v="19"/>
    <n v="1"/>
    <m/>
    <n v="0"/>
    <n v="0"/>
    <n v="369322"/>
    <n v="20544.75"/>
    <n v="0"/>
    <n v="0"/>
    <n v="19"/>
    <n v="349884"/>
    <n v="42008.40336134454"/>
    <n v="9"/>
    <n v="25"/>
    <n v="9"/>
    <n v="0"/>
    <n v="0"/>
    <n v="0"/>
    <n v="485950"/>
    <n v="184902.75"/>
    <n v="0"/>
    <n v="0"/>
    <n v="25"/>
    <n v="349884"/>
    <n v="378075.6302521009"/>
    <n v="9"/>
    <n v="16"/>
    <n v="9"/>
    <n v="0"/>
    <n v="0"/>
    <n v="0"/>
    <n v="311008"/>
    <n v="184902.75"/>
    <n v="0"/>
    <n v="0"/>
    <n v="16"/>
    <n v="311008"/>
    <n v="378075.6302521009"/>
    <n v="9"/>
    <n v="7"/>
    <n v="9"/>
    <n v="0"/>
    <n v="0"/>
    <m/>
    <n v="143813.25"/>
    <n v="184902.75"/>
    <n v="0"/>
    <n v="0"/>
    <n v="7"/>
    <n v="143813.25"/>
    <n v="378075.630252100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1"/>
    <s v="LTW25-MPT11"/>
    <x v="347"/>
    <x v="274"/>
    <x v="0"/>
    <x v="6"/>
    <n v="1"/>
    <x v="12"/>
    <n v="33"/>
    <m/>
    <n v="0"/>
    <n v="19438"/>
    <n v="641454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n v="1.028912439555137e-05"/>
    <n v="0"/>
    <s v=""/>
    <n v="1"/>
    <n v="0.4215804195804195"/>
    <n v="8"/>
    <n v="0.3617275376595657"/>
    <n v="1"/>
    <n v="0.4215811427856964"/>
    <n v="3"/>
    <n v="0.4215809017174717"/>
    <n v="6"/>
    <n v="0.4491541306329496"/>
    <n v="1"/>
    <n v="0.5372836126452104"/>
    <n v="2"/>
    <n v="0.5180143321183268"/>
    <n v="0"/>
    <s v=""/>
    <n v="1"/>
    <s v=""/>
    <n v="0"/>
    <s v=""/>
    <n v="0"/>
    <s v=""/>
    <n v="0"/>
    <n v="2"/>
    <s v=""/>
    <n v="0.4"/>
    <n v="2"/>
    <s v=""/>
    <n v="0.25"/>
    <n v="5"/>
    <s v=""/>
    <n v="0.3846153846153846"/>
    <n v="5"/>
    <n v="40"/>
    <n v="5"/>
    <n v="0"/>
    <n v="0"/>
    <n v="0"/>
    <n v="126347"/>
    <n v="821790"/>
    <n v="97190"/>
    <n v="0"/>
    <n v="33"/>
    <n v="641454"/>
    <n v="176505.8964762376"/>
    <n v="4"/>
    <n v="40"/>
    <n v="1.5"/>
    <n v="0"/>
    <n v="0"/>
    <n v="0"/>
    <n v="29157"/>
    <n v="821790"/>
    <n v="29157"/>
    <n v="0"/>
    <n v="33"/>
    <n v="641454"/>
    <n v="52951.76894287128"/>
    <n v="5"/>
    <n v="40"/>
    <n v="0"/>
    <n v="0"/>
    <n v="0"/>
    <n v="102723.75"/>
    <n v="777520"/>
    <n v="0"/>
    <n v="0"/>
    <n v="33"/>
    <n v="641454"/>
    <n v="0"/>
    <n v="3"/>
    <n v="41"/>
    <n v="0"/>
    <n v="0"/>
    <n v="0"/>
    <n v="842334.75"/>
    <n v="0"/>
    <n v="0"/>
    <n v="0"/>
    <n v="33"/>
    <n v="641454"/>
    <n v="0"/>
    <n v="5"/>
    <n v="35"/>
    <n v="5"/>
    <m/>
    <n v="0"/>
    <n v="0"/>
    <n v="680330"/>
    <n v="102723.75"/>
    <n v="0"/>
    <n v="0"/>
    <n v="33"/>
    <n v="641454"/>
    <n v="210042.0168067227"/>
    <n v="8"/>
    <n v="35"/>
    <n v="2"/>
    <m/>
    <n v="0"/>
    <n v="0"/>
    <n v="680330"/>
    <n v="41089.5"/>
    <n v="0"/>
    <n v="0"/>
    <n v="35"/>
    <n v="641454"/>
    <n v="84016.80672268909"/>
    <n v="13"/>
    <n v="38"/>
    <n v="13"/>
    <n v="0"/>
    <n v="0"/>
    <n v="0"/>
    <n v="738644"/>
    <n v="267081.75"/>
    <n v="0"/>
    <n v="0"/>
    <n v="38"/>
    <n v="641454"/>
    <n v="546109.243697479"/>
    <n v="13"/>
    <n v="25"/>
    <n v="13"/>
    <n v="0"/>
    <n v="0"/>
    <n v="0"/>
    <n v="485950"/>
    <n v="267081.75"/>
    <n v="0"/>
    <n v="0"/>
    <n v="25"/>
    <n v="485950"/>
    <n v="546109.243697479"/>
    <n v="13"/>
    <n v="12"/>
    <n v="13"/>
    <n v="0"/>
    <n v="0"/>
    <m/>
    <n v="246537"/>
    <n v="267081.75"/>
    <n v="0"/>
    <n v="0"/>
    <n v="12"/>
    <n v="246537"/>
    <n v="546109.24369747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1"/>
    <s v="LTW25-MPT11"/>
    <x v="348"/>
    <x v="274"/>
    <x v="0"/>
    <x v="6"/>
    <n v="1"/>
    <x v="12"/>
    <n v="1"/>
    <m/>
    <n v="0"/>
    <n v="19437"/>
    <n v="19437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s v=""/>
    <n v="1"/>
    <n v="0.5372878175635127"/>
    <n v="0"/>
    <s v=""/>
    <n v="1"/>
    <n v="0.17370302669614"/>
    <n v="1"/>
    <n v="0.4215795268561226"/>
    <n v="1"/>
    <n v="0.4858943637758206"/>
    <n v="5"/>
    <n v="0.3846494620399497"/>
    <n v="0"/>
    <s v=""/>
    <n v="3"/>
    <n v="0.5246144816004434"/>
    <n v="0"/>
    <s v=""/>
    <n v="1"/>
    <s v=""/>
    <n v="0"/>
    <s v=""/>
    <n v="0"/>
    <s v=""/>
    <n v="0"/>
    <n v="0"/>
    <s v=""/>
    <n v="0"/>
    <n v="0"/>
    <s v=""/>
    <n v="0"/>
    <n v="2"/>
    <s v=""/>
    <n v="2"/>
    <n v="0"/>
    <n v="5"/>
    <n v="0"/>
    <n v="0"/>
    <n v="0"/>
    <n v="0"/>
    <n v="29155.5"/>
    <n v="102723.75"/>
    <n v="0"/>
    <n v="0"/>
    <n v="1"/>
    <n v="19437"/>
    <n v="0"/>
    <n v="0"/>
    <n v="3"/>
    <n v="1.5"/>
    <n v="0"/>
    <n v="0"/>
    <n v="0"/>
    <n v="29155.5"/>
    <n v="61634.25"/>
    <n v="29155.5"/>
    <n v="0"/>
    <n v="1"/>
    <n v="19437"/>
    <n v="52951.76894287128"/>
    <n v="0"/>
    <n v="3"/>
    <n v="0"/>
    <n v="0"/>
    <n v="0"/>
    <n v="20544.75"/>
    <n v="58311"/>
    <n v="0"/>
    <n v="0"/>
    <n v="1"/>
    <n v="19437"/>
    <n v="0"/>
    <n v="2"/>
    <n v="3"/>
    <n v="0"/>
    <n v="0"/>
    <n v="0"/>
    <n v="61634.25"/>
    <n v="0"/>
    <n v="0"/>
    <n v="0"/>
    <n v="1"/>
    <n v="19437"/>
    <n v="0"/>
    <n v="1"/>
    <n v="1"/>
    <n v="1"/>
    <m/>
    <n v="0"/>
    <n v="0"/>
    <n v="19437"/>
    <n v="20544.75"/>
    <n v="0"/>
    <n v="0"/>
    <n v="1"/>
    <n v="19437"/>
    <n v="42008.40336134454"/>
    <n v="0"/>
    <n v="1"/>
    <n v="0"/>
    <m/>
    <n v="0"/>
    <n v="0"/>
    <n v="19437"/>
    <n v="0"/>
    <n v="0"/>
    <n v="0"/>
    <n v="1"/>
    <n v="19437"/>
    <n v="0"/>
    <n v="1"/>
    <n v="3"/>
    <n v="1"/>
    <n v="0"/>
    <n v="0"/>
    <n v="0"/>
    <n v="58311"/>
    <n v="20544.75"/>
    <n v="0"/>
    <n v="0"/>
    <n v="3"/>
    <n v="19437"/>
    <n v="42008.40336134454"/>
    <n v="1"/>
    <n v="2"/>
    <n v="1"/>
    <n v="0"/>
    <n v="0"/>
    <n v="0"/>
    <n v="38874"/>
    <n v="20544.75"/>
    <n v="0"/>
    <n v="0"/>
    <n v="2"/>
    <n v="38874"/>
    <n v="42008.40336134454"/>
    <n v="1"/>
    <n v="1"/>
    <n v="1"/>
    <n v="0"/>
    <n v="0"/>
    <m/>
    <n v="20544.75"/>
    <n v="20544.75"/>
    <n v="0"/>
    <n v="0"/>
    <n v="1"/>
    <n v="20544.75"/>
    <n v="42008.403361344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9"/>
    <x v="349"/>
    <x v="275"/>
    <x v="0"/>
    <x v="6"/>
    <n v="1"/>
    <x v="12"/>
    <n v="0"/>
    <m/>
    <n v="0"/>
    <n v="29567"/>
    <n v="0"/>
    <n v="28"/>
    <n v="30590"/>
    <n v="58815.12605042017"/>
    <n v="42008.40336134454"/>
    <s v="Shenzhen"/>
    <s v="30/70"/>
    <n v="30"/>
    <n v="1"/>
    <n v="0"/>
    <s v=""/>
    <n v="0"/>
    <s v=""/>
    <n v="0"/>
    <s v=""/>
    <n v="0"/>
    <s v=""/>
    <n v="3"/>
    <n v="0.6090191163948516"/>
    <n v="0"/>
    <s v=""/>
    <n v="7"/>
    <n v="0.1949652846657409"/>
    <n v="0"/>
    <s v=""/>
    <n v="0"/>
    <s v=""/>
    <n v="2"/>
    <n v="0.436968779456711"/>
    <n v="0"/>
    <s v=""/>
    <n v="0"/>
    <n v="0.9999381541389157"/>
    <n v="1"/>
    <s v=""/>
    <n v="2"/>
    <s v=""/>
    <n v="1"/>
    <s v=""/>
    <n v="0"/>
    <s v=""/>
    <n v="0"/>
    <n v="5"/>
    <s v=""/>
    <n v="0"/>
    <n v="0"/>
    <s v=""/>
    <n v="0"/>
    <n v="0"/>
    <s v=""/>
    <n v="0"/>
    <n v="5"/>
    <n v="11"/>
    <n v="5"/>
    <n v="0"/>
    <n v="0"/>
    <n v="0"/>
    <n v="266103"/>
    <n v="318779.9999999999"/>
    <n v="147835"/>
    <n v="0"/>
    <n v="0"/>
    <n v="0"/>
    <n v="247122.37836311"/>
    <n v="1"/>
    <n v="6"/>
    <n v="3"/>
    <n v="0"/>
    <n v="0"/>
    <n v="0"/>
    <n v="118268"/>
    <n v="173880"/>
    <n v="88701"/>
    <n v="0"/>
    <n v="0"/>
    <n v="0"/>
    <n v="148273.427017866"/>
    <n v="1"/>
    <n v="5"/>
    <n v="1"/>
    <n v="0"/>
    <n v="0"/>
    <n v="29567"/>
    <n v="147835"/>
    <n v="29567"/>
    <n v="0"/>
    <n v="0"/>
    <n v="0"/>
    <n v="58815.12605042017"/>
    <n v="2"/>
    <n v="5"/>
    <n v="0"/>
    <n v="0"/>
    <n v="0"/>
    <n v="144900"/>
    <n v="0"/>
    <n v="0"/>
    <n v="0"/>
    <n v="0"/>
    <n v="0"/>
    <n v="0"/>
    <n v="0"/>
    <n v="5"/>
    <n v="0"/>
    <m/>
    <n v="0"/>
    <n v="0"/>
    <n v="147835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"/>
    <n v="0"/>
    <n v="1"/>
    <n v="0"/>
    <n v="0"/>
    <n v="0"/>
    <n v="0"/>
    <n v="28980"/>
    <n v="0"/>
    <n v="0"/>
    <n v="0"/>
    <n v="0"/>
    <n v="58815.12605042017"/>
    <n v="1"/>
    <n v="0"/>
    <n v="1"/>
    <n v="0"/>
    <n v="0"/>
    <n v="0"/>
    <n v="0"/>
    <n v="28980"/>
    <n v="0"/>
    <n v="0"/>
    <n v="0"/>
    <n v="0"/>
    <n v="58815.12605042017"/>
    <n v="1"/>
    <n v="0"/>
    <n v="1"/>
    <n v="0"/>
    <n v="0"/>
    <m/>
    <n v="0"/>
    <n v="28980"/>
    <n v="0"/>
    <n v="0"/>
    <n v="0"/>
    <n v="0"/>
    <n v="58815.1260504201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9"/>
    <x v="350"/>
    <x v="275"/>
    <x v="0"/>
    <x v="6"/>
    <n v="1"/>
    <x v="12"/>
    <n v="0"/>
    <m/>
    <n v="0"/>
    <n v="29567"/>
    <n v="0"/>
    <n v="28"/>
    <n v="30590"/>
    <n v="58815.12605042017"/>
    <n v="42008.40336134454"/>
    <s v="Shenzhen"/>
    <s v="30/70"/>
    <n v="30"/>
    <n v="1"/>
    <n v="0"/>
    <s v=""/>
    <n v="0"/>
    <s v=""/>
    <n v="0"/>
    <s v=""/>
    <n v="1"/>
    <n v="0.4378347067335397"/>
    <n v="0"/>
    <s v=""/>
    <n v="3"/>
    <n v="0.4193045716534075"/>
    <n v="30"/>
    <n v="0.2237221804200072"/>
    <n v="2"/>
    <n v="0.4134962112107091"/>
    <n v="0"/>
    <s v=""/>
    <n v="5"/>
    <n v="0.4973075719862353"/>
    <n v="0"/>
    <s v=""/>
    <n v="2"/>
    <n v="0.3890295184270615"/>
    <n v="0"/>
    <s v=""/>
    <n v="2"/>
    <s v=""/>
    <n v="2"/>
    <s v=""/>
    <n v="0"/>
    <s v=""/>
    <n v="0"/>
    <n v="3"/>
    <s v=""/>
    <n v="0.1666666666666667"/>
    <n v="10"/>
    <s v=""/>
    <n v="2.5"/>
    <n v="6"/>
    <s v=""/>
    <n v="0.75"/>
    <n v="7"/>
    <n v="14"/>
    <n v="7"/>
    <n v="0"/>
    <n v="0"/>
    <n v="0"/>
    <n v="354804"/>
    <n v="405719.9999999999"/>
    <n v="206969"/>
    <n v="0"/>
    <n v="0"/>
    <n v="0"/>
    <n v="345971.329708354"/>
    <n v="2"/>
    <n v="26"/>
    <n v="3"/>
    <n v="0"/>
    <n v="0"/>
    <n v="0"/>
    <n v="147835"/>
    <n v="753479.9999999999"/>
    <n v="88701"/>
    <n v="0"/>
    <n v="0"/>
    <n v="0"/>
    <n v="148273.427017866"/>
    <n v="3"/>
    <n v="25"/>
    <n v="2"/>
    <n v="0"/>
    <n v="0"/>
    <n v="580774"/>
    <n v="739175"/>
    <n v="59134"/>
    <n v="0"/>
    <n v="0"/>
    <n v="0"/>
    <n v="117630.2521008403"/>
    <n v="3"/>
    <n v="23"/>
    <n v="0"/>
    <n v="0"/>
    <n v="0"/>
    <n v="666539.9999999999"/>
    <n v="0"/>
    <n v="0"/>
    <n v="0"/>
    <n v="0"/>
    <n v="0"/>
    <n v="0"/>
    <n v="18"/>
    <n v="3"/>
    <n v="18"/>
    <m/>
    <n v="0"/>
    <n v="0"/>
    <n v="88701"/>
    <n v="521639.9999999999"/>
    <n v="0"/>
    <n v="0"/>
    <n v="0"/>
    <n v="0"/>
    <n v="1058672.268907563"/>
    <n v="4"/>
    <n v="10"/>
    <n v="10"/>
    <m/>
    <n v="0"/>
    <n v="0"/>
    <n v="295670"/>
    <n v="289799.9999999999"/>
    <n v="0"/>
    <n v="0"/>
    <n v="10"/>
    <n v="0"/>
    <n v="588151.2605042018"/>
    <n v="8"/>
    <n v="6"/>
    <n v="8"/>
    <n v="0"/>
    <n v="0"/>
    <n v="0"/>
    <n v="177402"/>
    <n v="231840"/>
    <n v="0"/>
    <n v="0"/>
    <n v="6"/>
    <n v="0"/>
    <n v="470521.0084033614"/>
    <n v="8"/>
    <n v="0"/>
    <n v="8"/>
    <n v="0"/>
    <n v="0"/>
    <n v="0"/>
    <n v="0"/>
    <n v="231840"/>
    <n v="0"/>
    <n v="0"/>
    <n v="0"/>
    <n v="0"/>
    <n v="470521.0084033614"/>
    <n v="8"/>
    <n v="0"/>
    <n v="8"/>
    <n v="0"/>
    <n v="0"/>
    <m/>
    <n v="0"/>
    <n v="231840"/>
    <n v="0"/>
    <n v="0"/>
    <n v="0"/>
    <n v="0"/>
    <n v="470521.008403361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9"/>
    <x v="351"/>
    <x v="275"/>
    <x v="0"/>
    <x v="6"/>
    <n v="1"/>
    <x v="12"/>
    <n v="32"/>
    <m/>
    <n v="0"/>
    <n v="29567"/>
    <n v="946144"/>
    <n v="28"/>
    <n v="30590"/>
    <n v="58815.12605042017"/>
    <n v="42008.40336134454"/>
    <s v="Shenzhen"/>
    <s v="30/70"/>
    <n v="30"/>
    <n v="1"/>
    <n v="0"/>
    <s v=""/>
    <n v="0"/>
    <s v=""/>
    <n v="0"/>
    <s v=""/>
    <n v="1"/>
    <n v="8.117157642019844e-06"/>
    <n v="1"/>
    <n v="0.4747422277491563"/>
    <n v="9"/>
    <n v="0.3339218282624749"/>
    <n v="28"/>
    <n v="0.138655424414443"/>
    <n v="5"/>
    <n v="0.4134975799412839"/>
    <n v="1"/>
    <n v="0.4134975799412838"/>
    <n v="11"/>
    <n v="0.3789112616776026"/>
    <n v="0"/>
    <n v="0.9999714392002974"/>
    <n v="0"/>
    <s v=""/>
    <n v="0"/>
    <s v=""/>
    <n v="3"/>
    <s v=""/>
    <n v="2"/>
    <s v=""/>
    <n v="1"/>
    <s v=""/>
    <n v="0.2"/>
    <n v="1"/>
    <s v=""/>
    <n v="0.2"/>
    <n v="4"/>
    <s v=""/>
    <n v="0.4444444444444444"/>
    <n v="10"/>
    <s v=""/>
    <n v="0.625"/>
    <n v="20"/>
    <n v="48"/>
    <n v="20"/>
    <n v="0"/>
    <n v="0"/>
    <n v="0"/>
    <n v="783525.5"/>
    <n v="1391040"/>
    <n v="591340"/>
    <n v="0"/>
    <n v="32"/>
    <n v="946144"/>
    <n v="988489.5134524398"/>
    <n v="3"/>
    <n v="54"/>
    <n v="4.5"/>
    <n v="0"/>
    <n v="0"/>
    <n v="0"/>
    <n v="221752.5"/>
    <n v="1564920"/>
    <n v="133051.5"/>
    <n v="0"/>
    <n v="32"/>
    <n v="946144"/>
    <n v="222410.140526799"/>
    <n v="8"/>
    <n v="51"/>
    <n v="2"/>
    <n v="0"/>
    <n v="0"/>
    <n v="233601"/>
    <n v="1507917"/>
    <n v="59134"/>
    <n v="0"/>
    <n v="32"/>
    <n v="946144"/>
    <n v="117630.2521008403"/>
    <n v="5"/>
    <n v="47"/>
    <n v="1"/>
    <n v="0"/>
    <n v="0"/>
    <n v="1362060"/>
    <n v="29567"/>
    <n v="0"/>
    <n v="0"/>
    <n v="32"/>
    <n v="946144"/>
    <n v="58815.12605042017"/>
    <n v="5"/>
    <n v="33"/>
    <n v="5"/>
    <m/>
    <n v="0"/>
    <n v="0"/>
    <n v="975711"/>
    <n v="144900"/>
    <n v="0"/>
    <n v="0"/>
    <n v="32"/>
    <n v="946144"/>
    <n v="294075.6302521009"/>
    <n v="9"/>
    <n v="36"/>
    <n v="4"/>
    <m/>
    <n v="0"/>
    <n v="0"/>
    <n v="1064412"/>
    <n v="115920"/>
    <n v="0"/>
    <n v="0"/>
    <n v="36"/>
    <n v="946144"/>
    <n v="235260.5042016807"/>
    <n v="16"/>
    <n v="42"/>
    <n v="16"/>
    <n v="0"/>
    <n v="0"/>
    <n v="0"/>
    <n v="1241814"/>
    <n v="463679.9999999999"/>
    <n v="0"/>
    <n v="0"/>
    <n v="42"/>
    <n v="946144"/>
    <n v="941042.0168067227"/>
    <n v="16"/>
    <n v="26"/>
    <n v="16"/>
    <n v="0"/>
    <n v="0"/>
    <n v="0"/>
    <n v="768742"/>
    <n v="463679.9999999999"/>
    <n v="0"/>
    <n v="0"/>
    <n v="26"/>
    <n v="768742"/>
    <n v="941042.0168067227"/>
    <n v="16"/>
    <n v="10"/>
    <n v="16"/>
    <n v="0"/>
    <n v="0"/>
    <m/>
    <n v="289799.9999999999"/>
    <n v="463679.9999999999"/>
    <n v="0"/>
    <n v="0"/>
    <n v="10"/>
    <n v="289799.9999999999"/>
    <n v="941042.016806722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9"/>
    <x v="352"/>
    <x v="275"/>
    <x v="0"/>
    <x v="6"/>
    <n v="1"/>
    <x v="12"/>
    <n v="1"/>
    <m/>
    <n v="0"/>
    <n v="29567"/>
    <n v="29567"/>
    <n v="28"/>
    <n v="30590"/>
    <n v="58815.12605042017"/>
    <n v="42008.40336134454"/>
    <s v="Shenzhen"/>
    <s v="30/70"/>
    <n v="30"/>
    <n v="1"/>
    <n v="0"/>
    <s v=""/>
    <n v="0"/>
    <s v=""/>
    <n v="0"/>
    <s v=""/>
    <n v="0"/>
    <s v=""/>
    <n v="0"/>
    <s v=""/>
    <n v="2"/>
    <n v="0.4586333424883274"/>
    <n v="3"/>
    <n v="0.1201684273173634"/>
    <n v="0"/>
    <s v=""/>
    <n v="2"/>
    <n v="0.5601396936855181"/>
    <n v="2"/>
    <n v="0.4369662086891942"/>
    <n v="3"/>
    <n v="0.02247906105355962"/>
    <n v="3"/>
    <n v="0.4697910253268218"/>
    <n v="0"/>
    <s v=""/>
    <n v="2"/>
    <s v=""/>
    <n v="0"/>
    <s v=""/>
    <n v="0"/>
    <s v=""/>
    <n v="0"/>
    <n v="1"/>
    <s v=""/>
    <n v="0.3333333333333333"/>
    <n v="1"/>
    <s v=""/>
    <n v="1"/>
    <n v="4"/>
    <s v=""/>
    <n v="1.333333333333333"/>
    <n v="5"/>
    <n v="8"/>
    <n v="5"/>
    <n v="0"/>
    <n v="0"/>
    <n v="0"/>
    <n v="236536"/>
    <n v="231840"/>
    <n v="147835"/>
    <n v="0"/>
    <n v="1"/>
    <n v="29567"/>
    <n v="247122.37836311"/>
    <n v="0"/>
    <n v="8"/>
    <n v="3"/>
    <n v="0"/>
    <n v="0"/>
    <n v="0"/>
    <n v="88701"/>
    <n v="231840"/>
    <n v="88701"/>
    <n v="0"/>
    <n v="1"/>
    <n v="29567"/>
    <n v="148273.427017866"/>
    <n v="0"/>
    <n v="7"/>
    <n v="0"/>
    <n v="0"/>
    <n v="0"/>
    <n v="86939.99999999999"/>
    <n v="206969"/>
    <n v="0"/>
    <n v="0"/>
    <n v="1"/>
    <n v="29567"/>
    <n v="0"/>
    <n v="0"/>
    <n v="7"/>
    <n v="0"/>
    <n v="0"/>
    <n v="0"/>
    <n v="202860"/>
    <n v="0"/>
    <n v="0"/>
    <n v="0"/>
    <n v="1"/>
    <n v="29567"/>
    <n v="0"/>
    <n v="3"/>
    <n v="2"/>
    <n v="3"/>
    <m/>
    <n v="0"/>
    <n v="0"/>
    <n v="59134"/>
    <n v="86939.99999999999"/>
    <n v="0"/>
    <n v="0"/>
    <n v="1"/>
    <n v="29567"/>
    <n v="176445.3781512605"/>
    <n v="1"/>
    <n v="2"/>
    <n v="1"/>
    <m/>
    <n v="0"/>
    <n v="0"/>
    <n v="59134"/>
    <n v="28980"/>
    <n v="0"/>
    <n v="0"/>
    <n v="2"/>
    <n v="29567"/>
    <n v="58815.12605042017"/>
    <n v="3"/>
    <n v="5"/>
    <n v="3"/>
    <n v="0"/>
    <n v="0"/>
    <n v="0"/>
    <n v="147835"/>
    <n v="86939.99999999999"/>
    <n v="0"/>
    <n v="0"/>
    <n v="5"/>
    <n v="29567"/>
    <n v="176445.3781512605"/>
    <n v="3"/>
    <n v="2"/>
    <n v="3"/>
    <n v="0"/>
    <n v="0"/>
    <n v="0"/>
    <n v="59134"/>
    <n v="86939.99999999999"/>
    <n v="0"/>
    <n v="0"/>
    <n v="2"/>
    <n v="59134"/>
    <n v="176445.3781512605"/>
    <n v="3"/>
    <n v="0"/>
    <n v="3"/>
    <n v="0"/>
    <n v="0"/>
    <m/>
    <n v="0"/>
    <n v="86939.99999999999"/>
    <n v="0"/>
    <n v="0"/>
    <n v="0"/>
    <n v="0"/>
    <n v="176445.378151260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9"/>
    <x v="353"/>
    <x v="275"/>
    <x v="0"/>
    <x v="6"/>
    <n v="1"/>
    <x v="12"/>
    <n v="21"/>
    <m/>
    <n v="0"/>
    <n v="29567"/>
    <n v="620907"/>
    <n v="28"/>
    <n v="30590"/>
    <n v="58815.12605042017"/>
    <n v="42008.40336134454"/>
    <s v="Shenzhen"/>
    <s v="30/70"/>
    <n v="30"/>
    <n v="1"/>
    <n v="0"/>
    <s v=""/>
    <n v="0"/>
    <s v=""/>
    <n v="0"/>
    <s v=""/>
    <n v="0"/>
    <s v=""/>
    <n v="2"/>
    <n v="0.541026606919248"/>
    <n v="2"/>
    <n v="0.1815136751190344"/>
    <n v="2"/>
    <n v="0.4134975799412838"/>
    <n v="1"/>
    <n v="0.3826238750495918"/>
    <n v="2"/>
    <n v="0.5308278455703836"/>
    <n v="2"/>
    <n v="0.2961664444867645"/>
    <n v="23"/>
    <n v="0.1621299025164362"/>
    <n v="2"/>
    <n v="0.4323808061125562"/>
    <n v="0"/>
    <s v=""/>
    <n v="1"/>
    <s v=""/>
    <n v="0"/>
    <s v=""/>
    <n v="0"/>
    <s v=""/>
    <n v="0"/>
    <n v="2"/>
    <s v=""/>
    <n v="1"/>
    <n v="2"/>
    <s v=""/>
    <n v="1"/>
    <n v="5"/>
    <s v=""/>
    <n v="0.5"/>
    <n v="0"/>
    <n v="26"/>
    <n v="0"/>
    <n v="0"/>
    <n v="0"/>
    <n v="0"/>
    <n v="44350.5"/>
    <n v="753479.9999999999"/>
    <n v="0"/>
    <n v="0"/>
    <n v="21"/>
    <n v="620907"/>
    <n v="0"/>
    <n v="0"/>
    <n v="29"/>
    <n v="1.5"/>
    <n v="0"/>
    <n v="0"/>
    <n v="0"/>
    <n v="44350.5"/>
    <n v="840419.9999999999"/>
    <n v="44350.5"/>
    <n v="0"/>
    <n v="21"/>
    <n v="620907"/>
    <n v="74136.713508933"/>
    <n v="0"/>
    <n v="30"/>
    <n v="0"/>
    <n v="0"/>
    <n v="0"/>
    <n v="57959.99999999999"/>
    <n v="887010"/>
    <n v="0"/>
    <n v="0"/>
    <n v="21"/>
    <n v="620907"/>
    <n v="0"/>
    <n v="0"/>
    <n v="30"/>
    <n v="0"/>
    <n v="0"/>
    <n v="0"/>
    <n v="869399.9999999999"/>
    <n v="0"/>
    <n v="0"/>
    <n v="0"/>
    <n v="21"/>
    <n v="620907"/>
    <n v="0"/>
    <n v="2"/>
    <n v="23"/>
    <n v="2"/>
    <m/>
    <n v="0"/>
    <n v="0"/>
    <n v="680041"/>
    <n v="57959.99999999999"/>
    <n v="0"/>
    <n v="0"/>
    <n v="21"/>
    <n v="620907"/>
    <n v="117630.2521008403"/>
    <n v="2"/>
    <n v="23"/>
    <n v="2"/>
    <m/>
    <n v="0"/>
    <n v="0"/>
    <n v="680041"/>
    <n v="57959.99999999999"/>
    <n v="0"/>
    <n v="0"/>
    <n v="23"/>
    <n v="620907"/>
    <n v="117630.2521008403"/>
    <n v="10"/>
    <n v="26"/>
    <n v="10"/>
    <n v="0"/>
    <n v="0"/>
    <n v="0"/>
    <n v="768742"/>
    <n v="289799.9999999999"/>
    <n v="0"/>
    <n v="0"/>
    <n v="26"/>
    <n v="620907"/>
    <n v="588151.2605042018"/>
    <n v="10"/>
    <n v="16"/>
    <n v="10"/>
    <n v="0"/>
    <n v="0"/>
    <n v="0"/>
    <n v="473072"/>
    <n v="289799.9999999999"/>
    <n v="0"/>
    <n v="0"/>
    <n v="16"/>
    <n v="473072"/>
    <n v="588151.2605042018"/>
    <n v="10"/>
    <n v="6"/>
    <n v="10"/>
    <n v="0"/>
    <n v="0"/>
    <m/>
    <n v="173880"/>
    <n v="289799.9999999999"/>
    <n v="0"/>
    <n v="0"/>
    <n v="6"/>
    <n v="173880"/>
    <n v="588151.260504201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1"/>
    <x v="16"/>
    <x v="40"/>
    <s v="LTW25-MPK09"/>
    <x v="354"/>
    <x v="275"/>
    <x v="0"/>
    <x v="6"/>
    <n v="1"/>
    <x v="12"/>
    <n v="58"/>
    <m/>
    <n v="0"/>
    <n v="29567"/>
    <n v="1714886"/>
    <n v="28"/>
    <n v="30590"/>
    <n v="58815.12605042017"/>
    <n v="42008.40336134454"/>
    <s v="Shenzhen"/>
    <s v="30/70"/>
    <n v="30"/>
    <n v="1"/>
    <n v="0"/>
    <s v=""/>
    <n v="0"/>
    <s v=""/>
    <n v="0"/>
    <s v=""/>
    <n v="1"/>
    <s v=""/>
    <n v="1"/>
    <n v="0.4747422277491563"/>
    <n v="7"/>
    <n v="0.365433928788605"/>
    <n v="9"/>
    <n v="0.3247417789827767"/>
    <n v="2"/>
    <n v="0.3297115199328958"/>
    <n v="0"/>
    <n v="1"/>
    <n v="6"/>
    <n v="0.4708495921015347"/>
    <n v="14"/>
    <n v="0.1621299025164363"/>
    <n v="3"/>
    <n v="0.4827791059745531"/>
    <n v="0"/>
    <s v=""/>
    <n v="0"/>
    <s v=""/>
    <n v="2"/>
    <s v=""/>
    <n v="2"/>
    <s v=""/>
    <n v="0.3333333333333333"/>
    <n v="4"/>
    <s v=""/>
    <n v="4"/>
    <n v="2"/>
    <s v=""/>
    <n v="0.2857142857142857"/>
    <n v="4"/>
    <s v=""/>
    <n v="0.1818181818181818"/>
    <n v="20"/>
    <n v="65"/>
    <n v="20"/>
    <n v="0"/>
    <n v="0"/>
    <n v="0"/>
    <n v="650474"/>
    <n v="1883700"/>
    <n v="591340"/>
    <n v="0"/>
    <n v="58"/>
    <n v="1714886"/>
    <n v="988489.5134524398"/>
    <n v="3"/>
    <n v="70"/>
    <n v="0"/>
    <n v="0"/>
    <n v="0"/>
    <n v="0"/>
    <n v="118268"/>
    <n v="2028600"/>
    <n v="0"/>
    <n v="0"/>
    <n v="58"/>
    <n v="1714886"/>
    <n v="0"/>
    <n v="6"/>
    <n v="70"/>
    <n v="2"/>
    <n v="0"/>
    <n v="0"/>
    <n v="147248"/>
    <n v="2069690"/>
    <n v="59134"/>
    <n v="0"/>
    <n v="58"/>
    <n v="1714886"/>
    <n v="117630.2521008403"/>
    <n v="6"/>
    <n v="69"/>
    <n v="2"/>
    <n v="0"/>
    <n v="0"/>
    <n v="1999620"/>
    <n v="59134"/>
    <n v="0"/>
    <n v="0"/>
    <n v="58"/>
    <n v="1714886"/>
    <n v="117630.2521008403"/>
    <n v="1"/>
    <n v="62"/>
    <n v="1"/>
    <m/>
    <n v="0"/>
    <n v="0"/>
    <n v="1833154"/>
    <n v="28980"/>
    <n v="0"/>
    <n v="0"/>
    <n v="58"/>
    <n v="1714886"/>
    <n v="58815.12605042017"/>
    <n v="7"/>
    <n v="60"/>
    <n v="2"/>
    <m/>
    <n v="0"/>
    <n v="0"/>
    <n v="1774020"/>
    <n v="57959.99999999999"/>
    <n v="0"/>
    <n v="0"/>
    <n v="60"/>
    <n v="1714886"/>
    <n v="117630.2521008403"/>
    <n v="22"/>
    <n v="62"/>
    <n v="22"/>
    <n v="0"/>
    <n v="0"/>
    <n v="0"/>
    <n v="1833154"/>
    <n v="637559.9999999999"/>
    <n v="0"/>
    <n v="0"/>
    <n v="62"/>
    <n v="1714886"/>
    <n v="1293932.773109244"/>
    <n v="22"/>
    <n v="40"/>
    <n v="22"/>
    <n v="0"/>
    <n v="0"/>
    <n v="0"/>
    <n v="1182680"/>
    <n v="637559.9999999999"/>
    <n v="0"/>
    <n v="0"/>
    <n v="40"/>
    <n v="1182680"/>
    <n v="1293932.773109244"/>
    <n v="22"/>
    <n v="18"/>
    <n v="22"/>
    <n v="0"/>
    <n v="0"/>
    <m/>
    <n v="521639.9999999999"/>
    <n v="637559.9999999999"/>
    <n v="0"/>
    <n v="0"/>
    <n v="18"/>
    <n v="521639.9999999999"/>
    <n v="1293932.77310924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55"/>
    <x v="276"/>
    <x v="0"/>
    <x v="0"/>
    <n v="1"/>
    <x v="177"/>
    <n v="24"/>
    <m/>
    <n v="0"/>
    <n v="3853"/>
    <n v="92472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1"/>
    <s v=""/>
    <n v="0"/>
    <s v=""/>
    <n v="0"/>
    <s v=""/>
    <n v="0"/>
    <n v="0"/>
    <s v=""/>
    <n v="0"/>
    <n v="1"/>
    <s v=""/>
    <n v="0.2380952380952381"/>
    <n v="0"/>
    <s v=""/>
    <n v="0"/>
    <n v="4"/>
    <n v="33"/>
    <n v="4"/>
    <n v="0"/>
    <n v="0"/>
    <n v="0"/>
    <n v="21191.5"/>
    <n v="122958"/>
    <n v="15412"/>
    <n v="0"/>
    <n v="24"/>
    <n v="92472"/>
    <n v="28218.34616199421"/>
    <n v="2"/>
    <n v="27"/>
    <n v="1.5"/>
    <n v="0"/>
    <n v="0"/>
    <n v="0"/>
    <n v="5779.5"/>
    <n v="100602"/>
    <n v="5779.5"/>
    <n v="0"/>
    <n v="24"/>
    <n v="92472"/>
    <n v="10581.87981074783"/>
    <n v="1.62"/>
    <n v="26"/>
    <n v="0"/>
    <n v="0"/>
    <n v="0"/>
    <n v="5216.399999999999"/>
    <n v="100178"/>
    <n v="0"/>
    <n v="0"/>
    <n v="24"/>
    <n v="92472"/>
    <n v="0"/>
    <n v="1.4"/>
    <n v="26"/>
    <n v="0"/>
    <n v="0"/>
    <n v="0"/>
    <n v="96875.99999999999"/>
    <n v="0"/>
    <n v="0"/>
    <n v="0"/>
    <n v="24"/>
    <n v="92472"/>
    <n v="0"/>
    <n v="1.4"/>
    <n v="24"/>
    <n v="1.4"/>
    <m/>
    <n v="0"/>
    <n v="0"/>
    <n v="92472"/>
    <n v="5216.399999999999"/>
    <n v="0"/>
    <n v="0"/>
    <n v="24"/>
    <n v="92472"/>
    <n v="11752.94117647059"/>
    <n v="4.2"/>
    <n v="25"/>
    <n v="1"/>
    <m/>
    <n v="0"/>
    <n v="0"/>
    <n v="96325"/>
    <n v="3726"/>
    <n v="0"/>
    <n v="0"/>
    <n v="25"/>
    <n v="92472"/>
    <n v="8394.957983193277"/>
    <n v="8"/>
    <n v="24"/>
    <n v="8"/>
    <n v="0"/>
    <n v="0"/>
    <n v="0"/>
    <n v="92472"/>
    <n v="29808"/>
    <n v="0"/>
    <n v="0"/>
    <n v="24"/>
    <n v="92472"/>
    <n v="67159.66386554622"/>
    <n v="8"/>
    <n v="16"/>
    <n v="8"/>
    <n v="0"/>
    <n v="0"/>
    <n v="0"/>
    <n v="61648"/>
    <n v="29808"/>
    <n v="0"/>
    <n v="0"/>
    <n v="16"/>
    <n v="61648"/>
    <n v="67159.66386554622"/>
    <n v="8"/>
    <n v="8"/>
    <n v="8"/>
    <n v="0"/>
    <n v="0"/>
    <m/>
    <n v="29808"/>
    <n v="29808"/>
    <n v="0"/>
    <n v="0"/>
    <n v="8"/>
    <n v="29808"/>
    <n v="67159.6638655462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56"/>
    <x v="276"/>
    <x v="0"/>
    <x v="0"/>
    <n v="1"/>
    <x v="178"/>
    <n v="39"/>
    <m/>
    <n v="0"/>
    <n v="3853"/>
    <n v="150267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410363311494938"/>
    <n v="14"/>
    <s v=""/>
    <n v="1"/>
    <s v=""/>
    <n v="0"/>
    <s v=""/>
    <n v="0"/>
    <s v=""/>
    <n v="0"/>
    <n v="0"/>
    <s v=""/>
    <n v="0"/>
    <n v="1"/>
    <s v=""/>
    <n v="0.1666666666666667"/>
    <n v="2"/>
    <s v=""/>
    <n v="0.1428571428571428"/>
    <n v="5"/>
    <n v="58"/>
    <n v="5"/>
    <n v="0"/>
    <n v="0"/>
    <n v="0"/>
    <n v="25044.5"/>
    <n v="216108"/>
    <n v="19265"/>
    <n v="0"/>
    <n v="39"/>
    <n v="150267"/>
    <n v="35272.93270249276"/>
    <n v="4"/>
    <n v="44"/>
    <n v="1.5"/>
    <n v="0"/>
    <n v="0"/>
    <n v="0"/>
    <n v="5779.5"/>
    <n v="163944"/>
    <n v="5779.5"/>
    <n v="0"/>
    <n v="39"/>
    <n v="150267"/>
    <n v="10581.87981074783"/>
    <n v="3.402"/>
    <n v="43"/>
    <n v="0"/>
    <n v="0"/>
    <n v="0"/>
    <n v="7451.999999999999"/>
    <n v="165679"/>
    <n v="0"/>
    <n v="0"/>
    <n v="39"/>
    <n v="150267"/>
    <n v="0"/>
    <n v="2.9"/>
    <n v="43"/>
    <n v="0"/>
    <n v="0"/>
    <n v="0"/>
    <n v="160218"/>
    <n v="0"/>
    <n v="0"/>
    <n v="0"/>
    <n v="39"/>
    <n v="150267"/>
    <n v="0"/>
    <n v="2"/>
    <n v="39"/>
    <n v="2"/>
    <m/>
    <n v="0"/>
    <n v="0"/>
    <n v="150267"/>
    <n v="7451.999999999999"/>
    <n v="0"/>
    <n v="0"/>
    <n v="39"/>
    <n v="150267"/>
    <n v="16789.91596638655"/>
    <n v="6"/>
    <n v="40"/>
    <n v="1"/>
    <m/>
    <n v="0"/>
    <n v="0"/>
    <n v="154120"/>
    <n v="3726"/>
    <n v="0"/>
    <n v="0"/>
    <n v="40"/>
    <n v="150267"/>
    <n v="8394.957983193277"/>
    <n v="14"/>
    <n v="41"/>
    <n v="14"/>
    <n v="0"/>
    <n v="0"/>
    <n v="0"/>
    <n v="157973"/>
    <n v="52163.99999999999"/>
    <n v="0"/>
    <n v="0"/>
    <n v="41"/>
    <n v="150267"/>
    <n v="117529.4117647059"/>
    <n v="14"/>
    <n v="27"/>
    <n v="14"/>
    <n v="0"/>
    <n v="0"/>
    <n v="0"/>
    <n v="104031"/>
    <n v="52163.99999999999"/>
    <n v="0"/>
    <n v="0"/>
    <n v="27"/>
    <n v="104031"/>
    <n v="117529.4117647059"/>
    <n v="14"/>
    <n v="13"/>
    <n v="14"/>
    <n v="0"/>
    <n v="0"/>
    <m/>
    <n v="48437.99999999999"/>
    <n v="52163.99999999999"/>
    <n v="0"/>
    <n v="0"/>
    <n v="13"/>
    <n v="48437.99999999999"/>
    <n v="117529.411764705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57"/>
    <x v="276"/>
    <x v="0"/>
    <x v="0"/>
    <n v="1"/>
    <x v="179"/>
    <n v="13"/>
    <m/>
    <n v="0"/>
    <n v="3853"/>
    <n v="50089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090416892257715"/>
    <n v="8"/>
    <n v="0.1497985211846172"/>
    <n v="24"/>
    <s v=""/>
    <n v="1"/>
    <s v=""/>
    <n v="4"/>
    <s v=""/>
    <n v="1"/>
    <s v=""/>
    <n v="0.25"/>
    <n v="2"/>
    <s v=""/>
    <n v="0.6666666666666666"/>
    <n v="1"/>
    <s v=""/>
    <n v="0.1204819277108434"/>
    <n v="0"/>
    <s v=""/>
    <n v="0"/>
    <n v="5"/>
    <n v="49"/>
    <n v="5"/>
    <n v="0"/>
    <n v="0"/>
    <n v="0"/>
    <n v="40456.5"/>
    <n v="182574"/>
    <n v="19265"/>
    <n v="0"/>
    <n v="13"/>
    <n v="50089"/>
    <n v="35272.93270249276"/>
    <n v="4"/>
    <n v="25"/>
    <n v="1.5"/>
    <n v="0"/>
    <n v="0"/>
    <n v="0"/>
    <n v="25044.5"/>
    <n v="93149.99999999999"/>
    <n v="5779.5"/>
    <n v="0"/>
    <n v="13"/>
    <n v="50089"/>
    <n v="10581.87981074783"/>
    <n v="2.916"/>
    <n v="24"/>
    <n v="4"/>
    <n v="0"/>
    <n v="0"/>
    <n v="30443"/>
    <n v="92472"/>
    <n v="15412"/>
    <n v="0"/>
    <n v="13"/>
    <n v="50089"/>
    <n v="33579.83193277311"/>
    <n v="4"/>
    <n v="19"/>
    <n v="1"/>
    <n v="0"/>
    <n v="0"/>
    <n v="70793.99999999999"/>
    <n v="3853"/>
    <n v="0"/>
    <n v="0"/>
    <n v="13"/>
    <n v="50089"/>
    <n v="8394.957983193277"/>
    <n v="3"/>
    <n v="15"/>
    <n v="3"/>
    <m/>
    <n v="0"/>
    <n v="0"/>
    <n v="57795"/>
    <n v="11178"/>
    <n v="0"/>
    <n v="0"/>
    <n v="13"/>
    <n v="50089"/>
    <n v="25184.87394957983"/>
    <n v="8.300000000000001"/>
    <n v="14"/>
    <n v="1"/>
    <m/>
    <n v="0"/>
    <n v="0"/>
    <n v="53942"/>
    <n v="3726"/>
    <n v="0"/>
    <n v="0"/>
    <n v="14"/>
    <n v="50089"/>
    <n v="8394.957983193277"/>
    <n v="5"/>
    <n v="13"/>
    <n v="5"/>
    <n v="0"/>
    <n v="0"/>
    <n v="0"/>
    <n v="50089"/>
    <n v="18630"/>
    <n v="0"/>
    <n v="0"/>
    <n v="13"/>
    <n v="50089"/>
    <n v="41974.78991596639"/>
    <n v="5"/>
    <n v="8"/>
    <n v="5"/>
    <n v="0"/>
    <n v="0"/>
    <n v="0"/>
    <n v="30824"/>
    <n v="18630"/>
    <n v="0"/>
    <n v="0"/>
    <n v="8"/>
    <n v="30824"/>
    <n v="41974.78991596639"/>
    <n v="5"/>
    <n v="3"/>
    <n v="5"/>
    <n v="0"/>
    <n v="0"/>
    <m/>
    <n v="11178"/>
    <n v="18630"/>
    <n v="0"/>
    <n v="0"/>
    <n v="3"/>
    <n v="11178"/>
    <n v="41974.7899159663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58"/>
    <x v="276"/>
    <x v="0"/>
    <x v="0"/>
    <n v="1"/>
    <x v="180"/>
    <n v="0"/>
    <m/>
    <n v="0"/>
    <n v="3853"/>
    <n v="0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2528038293490663"/>
    <n v="14"/>
    <s v=""/>
    <n v="0"/>
    <s v=""/>
    <n v="0"/>
    <s v=""/>
    <n v="2"/>
    <s v=""/>
    <n v="0.5"/>
    <n v="2"/>
    <s v=""/>
    <n v="0.6666666666666666"/>
    <n v="6"/>
    <s v=""/>
    <n v="0.75"/>
    <n v="0"/>
    <s v=""/>
    <n v="0"/>
    <n v="4"/>
    <n v="26"/>
    <n v="4"/>
    <n v="0"/>
    <n v="0"/>
    <n v="0"/>
    <n v="15412"/>
    <n v="96875.99999999999"/>
    <n v="15412"/>
    <n v="0"/>
    <n v="0"/>
    <n v="0"/>
    <n v="28218.34616199421"/>
    <n v="2"/>
    <n v="12"/>
    <n v="0"/>
    <n v="0"/>
    <n v="0"/>
    <n v="0"/>
    <n v="7706"/>
    <n v="44711.99999999999"/>
    <n v="0"/>
    <n v="0"/>
    <n v="0"/>
    <n v="0"/>
    <n v="0"/>
    <n v="2"/>
    <n v="12"/>
    <n v="0"/>
    <n v="0"/>
    <n v="0"/>
    <n v="18884"/>
    <n v="46236"/>
    <n v="0"/>
    <n v="0"/>
    <n v="0"/>
    <n v="0"/>
    <n v="0"/>
    <n v="4"/>
    <n v="12"/>
    <n v="2"/>
    <n v="0"/>
    <n v="0"/>
    <n v="44711.99999999999"/>
    <n v="7706"/>
    <n v="0"/>
    <n v="0"/>
    <n v="0"/>
    <n v="0"/>
    <n v="16789.91596638655"/>
    <n v="3"/>
    <n v="2"/>
    <n v="3"/>
    <m/>
    <n v="0"/>
    <n v="0"/>
    <n v="7706"/>
    <n v="11178"/>
    <n v="0"/>
    <n v="0"/>
    <n v="0"/>
    <n v="0"/>
    <n v="25184.87394957983"/>
    <n v="8"/>
    <n v="6"/>
    <n v="6"/>
    <m/>
    <n v="0"/>
    <n v="0"/>
    <n v="23118"/>
    <n v="22356"/>
    <n v="0"/>
    <n v="0"/>
    <n v="6"/>
    <n v="0"/>
    <n v="50369.74789915966"/>
    <n v="2"/>
    <n v="0"/>
    <n v="2"/>
    <n v="0"/>
    <n v="0"/>
    <n v="0"/>
    <n v="0"/>
    <n v="7451.999999999999"/>
    <n v="0"/>
    <n v="0"/>
    <n v="0"/>
    <n v="0"/>
    <n v="16789.91596638655"/>
    <n v="2"/>
    <n v="0"/>
    <n v="2"/>
    <n v="0"/>
    <n v="0"/>
    <n v="0"/>
    <n v="0"/>
    <n v="7451.999999999999"/>
    <n v="0"/>
    <n v="0"/>
    <n v="0"/>
    <n v="0"/>
    <n v="16789.91596638655"/>
    <n v="2"/>
    <n v="0"/>
    <n v="2"/>
    <n v="0"/>
    <n v="0"/>
    <m/>
    <n v="0"/>
    <n v="7451.999999999999"/>
    <n v="0"/>
    <n v="0"/>
    <n v="0"/>
    <n v="0"/>
    <n v="16789.9159663865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59"/>
    <x v="276"/>
    <x v="0"/>
    <x v="0"/>
    <n v="1"/>
    <x v="181"/>
    <n v="25"/>
    <m/>
    <n v="0"/>
    <n v="3853"/>
    <n v="96325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154452180285819"/>
    <n v="1"/>
    <n v="0.5410363311494938"/>
    <n v="4"/>
    <s v=""/>
    <n v="1"/>
    <s v=""/>
    <n v="0"/>
    <s v=""/>
    <n v="1"/>
    <s v=""/>
    <n v="0.3333333333333333"/>
    <n v="0"/>
    <s v=""/>
    <n v="0"/>
    <n v="0"/>
    <s v=""/>
    <n v="0"/>
    <n v="0"/>
    <s v=""/>
    <n v="0"/>
    <n v="4"/>
    <n v="33"/>
    <n v="4"/>
    <n v="0"/>
    <n v="0"/>
    <n v="0"/>
    <n v="21191.5"/>
    <n v="122958"/>
    <n v="15412"/>
    <n v="0"/>
    <n v="25"/>
    <n v="96325"/>
    <n v="28218.34616199421"/>
    <n v="2"/>
    <n v="29"/>
    <n v="1.5"/>
    <n v="0"/>
    <n v="0"/>
    <n v="0"/>
    <n v="9632.5"/>
    <n v="108054"/>
    <n v="5779.5"/>
    <n v="0"/>
    <n v="25"/>
    <n v="96325"/>
    <n v="10581.87981074783"/>
    <n v="2"/>
    <n v="28"/>
    <n v="0"/>
    <n v="0"/>
    <n v="0"/>
    <n v="11305"/>
    <n v="107884"/>
    <n v="0"/>
    <n v="0"/>
    <n v="25"/>
    <n v="96325"/>
    <n v="0"/>
    <n v="3"/>
    <n v="28"/>
    <n v="1"/>
    <n v="0"/>
    <n v="0"/>
    <n v="104328"/>
    <n v="3853"/>
    <n v="0"/>
    <n v="0"/>
    <n v="25"/>
    <n v="96325"/>
    <n v="8394.957983193277"/>
    <n v="2"/>
    <n v="25"/>
    <n v="2"/>
    <m/>
    <n v="0"/>
    <n v="0"/>
    <n v="96325"/>
    <n v="7451.999999999999"/>
    <n v="0"/>
    <n v="0"/>
    <n v="25"/>
    <n v="96325"/>
    <n v="16789.91596638655"/>
    <n v="6"/>
    <n v="25"/>
    <n v="0"/>
    <m/>
    <n v="0"/>
    <n v="0"/>
    <n v="96325"/>
    <n v="0"/>
    <n v="0"/>
    <n v="0"/>
    <n v="25"/>
    <n v="96325"/>
    <n v="0"/>
    <n v="8"/>
    <n v="25"/>
    <n v="8"/>
    <n v="0"/>
    <n v="0"/>
    <n v="0"/>
    <n v="96325"/>
    <n v="29808"/>
    <n v="0"/>
    <n v="0"/>
    <n v="25"/>
    <n v="96325"/>
    <n v="67159.66386554622"/>
    <n v="8"/>
    <n v="17"/>
    <n v="8"/>
    <n v="0"/>
    <n v="0"/>
    <n v="0"/>
    <n v="65501"/>
    <n v="29808"/>
    <n v="0"/>
    <n v="0"/>
    <n v="17"/>
    <n v="65501"/>
    <n v="67159.66386554622"/>
    <n v="8"/>
    <n v="9"/>
    <n v="8"/>
    <n v="0"/>
    <n v="0"/>
    <m/>
    <n v="33533.99999999999"/>
    <n v="29808"/>
    <n v="0"/>
    <n v="0"/>
    <n v="9"/>
    <n v="33533.99999999999"/>
    <n v="67159.66386554622"/>
    <n v="0"/>
    <n v="1"/>
    <n v="0"/>
    <n v="0"/>
    <n v="0"/>
    <n v="0"/>
    <m/>
    <n v="3726"/>
    <n v="0"/>
    <n v="0"/>
    <n v="0"/>
    <n v="1"/>
    <n v="3726"/>
    <n v="0"/>
    <n v="0"/>
    <n v="1"/>
    <n v="0"/>
    <n v="0"/>
    <n v="0"/>
    <n v="3726"/>
    <n v="0"/>
    <n v="0"/>
    <n v="0"/>
    <n v="1"/>
    <n v="3726"/>
    <n v="0"/>
    <n v="0"/>
    <n v="1"/>
    <n v="0"/>
    <n v="0"/>
    <n v="0"/>
    <n v="3726"/>
    <n v="0"/>
    <n v="0"/>
    <n v="1"/>
    <n v="3726"/>
    <n v="0"/>
    <n v="0"/>
    <n v="1"/>
    <n v="0"/>
    <n v="0"/>
    <m/>
    <n v="3726"/>
    <n v="0"/>
    <n v="0"/>
    <n v="1"/>
    <n v="3726"/>
    <n v="0"/>
  </r>
  <r>
    <m/>
    <x v="1"/>
    <x v="16"/>
    <x v="38"/>
    <s v="LTS26-MTS01"/>
    <x v="360"/>
    <x v="276"/>
    <x v="0"/>
    <x v="0"/>
    <n v="1"/>
    <x v="182"/>
    <n v="46"/>
    <m/>
    <n v="0"/>
    <n v="3853"/>
    <n v="177238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2871273335190861"/>
    <n v="8"/>
    <s v=""/>
    <n v="1"/>
    <s v=""/>
    <n v="0"/>
    <s v=""/>
    <n v="0"/>
    <s v=""/>
    <n v="0"/>
    <n v="0"/>
    <s v=""/>
    <n v="0"/>
    <n v="3"/>
    <s v=""/>
    <n v="0.5"/>
    <n v="2"/>
    <s v=""/>
    <n v="0.1176470588235294"/>
    <n v="5"/>
    <n v="61"/>
    <n v="5"/>
    <n v="0"/>
    <n v="0"/>
    <n v="0"/>
    <n v="25044.5"/>
    <n v="227286"/>
    <n v="19265"/>
    <n v="0"/>
    <n v="46"/>
    <n v="177238"/>
    <n v="35272.93270249276"/>
    <n v="4"/>
    <n v="53"/>
    <n v="1.5"/>
    <n v="0"/>
    <n v="0"/>
    <n v="0"/>
    <n v="5779.5"/>
    <n v="197478"/>
    <n v="5779.5"/>
    <n v="0"/>
    <n v="46"/>
    <n v="177238"/>
    <n v="10581.87981074783"/>
    <n v="3"/>
    <n v="52"/>
    <n v="0"/>
    <n v="0"/>
    <n v="0"/>
    <n v="7451.999999999999"/>
    <n v="200356"/>
    <n v="0"/>
    <n v="0"/>
    <n v="46"/>
    <n v="177238"/>
    <n v="0"/>
    <n v="3"/>
    <n v="52"/>
    <n v="0"/>
    <n v="0"/>
    <n v="0"/>
    <n v="193752"/>
    <n v="0"/>
    <n v="0"/>
    <n v="0"/>
    <n v="46"/>
    <n v="177238"/>
    <n v="0"/>
    <n v="2"/>
    <n v="46"/>
    <n v="2"/>
    <m/>
    <n v="0"/>
    <n v="0"/>
    <n v="177238"/>
    <n v="7451.999999999999"/>
    <n v="0"/>
    <n v="0"/>
    <n v="46"/>
    <n v="177238"/>
    <n v="16789.91596638655"/>
    <n v="6"/>
    <n v="49"/>
    <n v="3"/>
    <m/>
    <n v="0"/>
    <n v="0"/>
    <n v="188797"/>
    <n v="11178"/>
    <n v="0"/>
    <n v="0"/>
    <n v="49"/>
    <n v="177238"/>
    <n v="25184.87394957983"/>
    <n v="17"/>
    <n v="48"/>
    <n v="17"/>
    <n v="0"/>
    <n v="0"/>
    <n v="0"/>
    <n v="184944"/>
    <n v="63341.99999999999"/>
    <n v="0"/>
    <n v="0"/>
    <n v="48"/>
    <n v="177238"/>
    <n v="142714.2857142857"/>
    <n v="17"/>
    <n v="31"/>
    <n v="17"/>
    <n v="0"/>
    <n v="0"/>
    <n v="0"/>
    <n v="119443"/>
    <n v="63341.99999999999"/>
    <n v="0"/>
    <n v="0"/>
    <n v="31"/>
    <n v="119443"/>
    <n v="142714.2857142857"/>
    <n v="17"/>
    <n v="14"/>
    <n v="17"/>
    <n v="0"/>
    <n v="0"/>
    <m/>
    <n v="52163.99999999999"/>
    <n v="63341.99999999999"/>
    <n v="0"/>
    <n v="0"/>
    <n v="14"/>
    <n v="52163.99999999999"/>
    <n v="142714.285714285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1"/>
    <x v="276"/>
    <x v="0"/>
    <x v="0"/>
    <n v="1"/>
    <x v="183"/>
    <n v="24"/>
    <m/>
    <n v="0"/>
    <n v="3853"/>
    <n v="92472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3090416892257715"/>
    <n v="1"/>
    <n v="0.516925777331996"/>
    <n v="17"/>
    <s v=""/>
    <n v="4"/>
    <s v=""/>
    <n v="1"/>
    <s v=""/>
    <n v="2"/>
    <s v=""/>
    <n v="0.5"/>
    <n v="1"/>
    <s v=""/>
    <n v="0.3333333333333333"/>
    <n v="7"/>
    <s v=""/>
    <n v="0.875"/>
    <n v="0"/>
    <s v=""/>
    <n v="0"/>
    <n v="5"/>
    <n v="61"/>
    <n v="5"/>
    <n v="0"/>
    <n v="0"/>
    <n v="0"/>
    <n v="46236"/>
    <n v="227286"/>
    <n v="19265"/>
    <n v="0"/>
    <n v="24"/>
    <n v="92472"/>
    <n v="35272.93270249276"/>
    <n v="4"/>
    <n v="40"/>
    <n v="6"/>
    <n v="0"/>
    <n v="0"/>
    <n v="0"/>
    <n v="34677"/>
    <n v="149040"/>
    <n v="23118"/>
    <n v="0"/>
    <n v="24"/>
    <n v="92472"/>
    <n v="42327.51924299131"/>
    <n v="6"/>
    <n v="36"/>
    <n v="1"/>
    <n v="0"/>
    <n v="0"/>
    <n v="22737"/>
    <n v="138708"/>
    <n v="3853"/>
    <n v="0"/>
    <n v="24"/>
    <n v="92472"/>
    <n v="8394.957983193277"/>
    <n v="4"/>
    <n v="35"/>
    <n v="2"/>
    <n v="0"/>
    <n v="0"/>
    <n v="130410"/>
    <n v="7706"/>
    <n v="0"/>
    <n v="0"/>
    <n v="24"/>
    <n v="92472"/>
    <n v="16789.91596638655"/>
    <n v="3"/>
    <n v="25"/>
    <n v="3"/>
    <m/>
    <n v="0"/>
    <n v="0"/>
    <n v="96325"/>
    <n v="11178"/>
    <n v="0"/>
    <n v="0"/>
    <n v="24"/>
    <n v="92472"/>
    <n v="25184.87394957983"/>
    <n v="8"/>
    <n v="31"/>
    <n v="7"/>
    <m/>
    <n v="0"/>
    <n v="0"/>
    <n v="119443"/>
    <n v="26082"/>
    <n v="0"/>
    <n v="0"/>
    <n v="31"/>
    <n v="92472"/>
    <n v="58764.70588235294"/>
    <n v="11"/>
    <n v="24"/>
    <n v="11"/>
    <n v="0"/>
    <n v="0"/>
    <n v="0"/>
    <n v="92472"/>
    <n v="40985.99999999999"/>
    <n v="0"/>
    <n v="0"/>
    <n v="24"/>
    <n v="92472"/>
    <n v="92344.53781512605"/>
    <n v="11"/>
    <n v="13"/>
    <n v="11"/>
    <n v="0"/>
    <n v="0"/>
    <n v="0"/>
    <n v="50089"/>
    <n v="40985.99999999999"/>
    <n v="0"/>
    <n v="0"/>
    <n v="13"/>
    <n v="50089"/>
    <n v="92344.53781512605"/>
    <n v="11"/>
    <n v="2"/>
    <n v="11"/>
    <n v="0"/>
    <n v="0"/>
    <m/>
    <n v="7451.999999999999"/>
    <n v="40985.99999999999"/>
    <n v="0"/>
    <n v="0"/>
    <n v="2"/>
    <n v="7451.999999999999"/>
    <n v="92344.5378151260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2"/>
    <x v="276"/>
    <x v="0"/>
    <x v="0"/>
    <n v="1"/>
    <x v="184"/>
    <n v="0"/>
    <m/>
    <n v="0"/>
    <n v="3853"/>
    <n v="0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00066181336863"/>
    <n v="22"/>
    <s v=""/>
    <n v="2"/>
    <s v=""/>
    <n v="0"/>
    <s v=""/>
    <n v="0"/>
    <s v=""/>
    <n v="0"/>
    <n v="0"/>
    <s v=""/>
    <n v="0"/>
    <n v="2"/>
    <s v=""/>
    <n v="0.25"/>
    <n v="-1"/>
    <s v=""/>
    <n v="-1"/>
    <n v="4"/>
    <n v="29"/>
    <n v="4"/>
    <n v="0"/>
    <n v="0"/>
    <n v="0"/>
    <n v="26971"/>
    <n v="108054"/>
    <n v="15412"/>
    <n v="0"/>
    <n v="0"/>
    <n v="0"/>
    <n v="28218.34616199421"/>
    <n v="2"/>
    <n v="4"/>
    <n v="3"/>
    <n v="0"/>
    <n v="0"/>
    <n v="0"/>
    <n v="11559"/>
    <n v="14904"/>
    <n v="11559"/>
    <n v="0"/>
    <n v="0"/>
    <n v="0"/>
    <n v="21163.75962149566"/>
    <n v="2"/>
    <n v="2"/>
    <n v="0"/>
    <n v="0"/>
    <n v="0"/>
    <n v="11178"/>
    <n v="7706"/>
    <n v="0"/>
    <n v="0"/>
    <n v="0"/>
    <n v="0"/>
    <n v="0"/>
    <n v="4"/>
    <n v="0"/>
    <n v="0"/>
    <n v="0"/>
    <n v="0"/>
    <n v="0"/>
    <n v="0"/>
    <n v="0"/>
    <n v="0"/>
    <n v="0"/>
    <n v="0"/>
    <n v="0"/>
    <n v="3"/>
    <n v="0"/>
    <n v="3"/>
    <m/>
    <n v="0"/>
    <n v="0"/>
    <n v="0"/>
    <n v="11178"/>
    <n v="0"/>
    <n v="0"/>
    <n v="0"/>
    <n v="0"/>
    <n v="25184.87394957983"/>
    <n v="8"/>
    <n v="2"/>
    <n v="2"/>
    <m/>
    <n v="0"/>
    <n v="0"/>
    <n v="7706"/>
    <n v="7451.999999999999"/>
    <n v="0"/>
    <n v="0"/>
    <n v="2"/>
    <n v="0"/>
    <n v="16789.91596638655"/>
    <n v="1"/>
    <n v="-1"/>
    <n v="1"/>
    <n v="0"/>
    <n v="0"/>
    <n v="0"/>
    <n v="-3853"/>
    <n v="3726"/>
    <n v="0"/>
    <n v="0"/>
    <n v="-1"/>
    <n v="0"/>
    <n v="8394.957983193277"/>
    <n v="1"/>
    <n v="0"/>
    <n v="1"/>
    <n v="0"/>
    <n v="0"/>
    <n v="0"/>
    <n v="0"/>
    <n v="3726"/>
    <n v="0"/>
    <n v="0"/>
    <n v="0"/>
    <n v="0"/>
    <n v="8394.957983193277"/>
    <n v="1"/>
    <n v="0"/>
    <n v="1"/>
    <n v="0"/>
    <n v="0"/>
    <m/>
    <n v="0"/>
    <n v="3726"/>
    <n v="0"/>
    <n v="0"/>
    <n v="0"/>
    <n v="0"/>
    <n v="8394.9579831932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3"/>
    <x v="276"/>
    <x v="0"/>
    <x v="0"/>
    <n v="1"/>
    <x v="185"/>
    <n v="23"/>
    <m/>
    <n v="0"/>
    <n v="3853"/>
    <n v="88619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10363311494938"/>
    <n v="4"/>
    <s v=""/>
    <n v="0"/>
    <s v=""/>
    <n v="1"/>
    <s v=""/>
    <n v="1"/>
    <s v=""/>
    <n v="0.3333333333333333"/>
    <n v="0"/>
    <s v=""/>
    <n v="0"/>
    <n v="0"/>
    <s v=""/>
    <n v="0"/>
    <n v="0"/>
    <s v=""/>
    <n v="0"/>
    <n v="4"/>
    <n v="32"/>
    <n v="4"/>
    <n v="0"/>
    <n v="0"/>
    <n v="0"/>
    <n v="19265"/>
    <n v="119232"/>
    <n v="15412"/>
    <n v="0"/>
    <n v="23"/>
    <n v="88619"/>
    <n v="36692.3239884189"/>
    <n v="2"/>
    <n v="26"/>
    <n v="0"/>
    <n v="0"/>
    <n v="0"/>
    <n v="0"/>
    <n v="7706"/>
    <n v="96875.99999999999"/>
    <n v="0"/>
    <n v="0"/>
    <n v="23"/>
    <n v="88619"/>
    <n v="0"/>
    <n v="2"/>
    <n v="26"/>
    <n v="1"/>
    <n v="0"/>
    <n v="0"/>
    <n v="15158"/>
    <n v="100178"/>
    <n v="3853"/>
    <n v="0"/>
    <n v="23"/>
    <n v="88619"/>
    <n v="10915.96638655462"/>
    <n v="3"/>
    <n v="24"/>
    <n v="1"/>
    <n v="0"/>
    <n v="0"/>
    <n v="89423.99999999999"/>
    <n v="3853"/>
    <n v="0"/>
    <n v="0"/>
    <n v="23"/>
    <n v="88619"/>
    <n v="10915.96638655462"/>
    <n v="2"/>
    <n v="23"/>
    <n v="2"/>
    <m/>
    <n v="0"/>
    <n v="0"/>
    <n v="88619"/>
    <n v="7451.999999999999"/>
    <n v="0"/>
    <n v="0"/>
    <n v="23"/>
    <n v="88619"/>
    <n v="21831.93277310925"/>
    <n v="6"/>
    <n v="23"/>
    <n v="0"/>
    <m/>
    <n v="0"/>
    <n v="0"/>
    <n v="88619"/>
    <n v="0"/>
    <n v="0"/>
    <n v="0"/>
    <n v="23"/>
    <n v="88619"/>
    <n v="0"/>
    <n v="8"/>
    <n v="23"/>
    <n v="8"/>
    <n v="0"/>
    <n v="0"/>
    <n v="0"/>
    <n v="88619"/>
    <n v="29808"/>
    <n v="0"/>
    <n v="0"/>
    <n v="23"/>
    <n v="88619"/>
    <n v="87327.73109243698"/>
    <n v="8"/>
    <n v="15"/>
    <n v="8"/>
    <n v="0"/>
    <n v="0"/>
    <n v="0"/>
    <n v="57795"/>
    <n v="29808"/>
    <n v="0"/>
    <n v="0"/>
    <n v="15"/>
    <n v="57795"/>
    <n v="87327.73109243698"/>
    <n v="8"/>
    <n v="7"/>
    <n v="8"/>
    <n v="0"/>
    <n v="0"/>
    <m/>
    <n v="26082"/>
    <n v="29808"/>
    <n v="0"/>
    <n v="0"/>
    <n v="7"/>
    <n v="26082"/>
    <n v="87327.7310924369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4"/>
    <x v="276"/>
    <x v="0"/>
    <x v="0"/>
    <n v="1"/>
    <x v="186"/>
    <n v="39"/>
    <m/>
    <n v="0"/>
    <n v="3853"/>
    <n v="150267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154452180285819"/>
    <n v="0"/>
    <s v=""/>
    <n v="10"/>
    <s v=""/>
    <n v="0"/>
    <s v=""/>
    <n v="2"/>
    <s v=""/>
    <n v="1"/>
    <s v=""/>
    <n v="0.3333333333333333"/>
    <n v="0"/>
    <s v=""/>
    <n v="0"/>
    <n v="5"/>
    <s v=""/>
    <n v="0.8333333333333334"/>
    <n v="3"/>
    <s v=""/>
    <n v="0.1764705882352941"/>
    <n v="5"/>
    <n v="62"/>
    <n v="5"/>
    <n v="0"/>
    <n v="0"/>
    <n v="0"/>
    <n v="26971"/>
    <n v="231012"/>
    <n v="19265"/>
    <n v="0"/>
    <n v="39"/>
    <n v="150267"/>
    <n v="45865.40498552363"/>
    <n v="4"/>
    <n v="52"/>
    <n v="0"/>
    <n v="0"/>
    <n v="0"/>
    <n v="0"/>
    <n v="11559"/>
    <n v="193752"/>
    <n v="0"/>
    <n v="0"/>
    <n v="39"/>
    <n v="150267"/>
    <n v="0"/>
    <n v="3"/>
    <n v="52"/>
    <n v="2"/>
    <n v="0"/>
    <n v="0"/>
    <n v="19011"/>
    <n v="200356"/>
    <n v="7706"/>
    <n v="0"/>
    <n v="39"/>
    <n v="150267"/>
    <n v="21831.93277310925"/>
    <n v="3"/>
    <n v="49"/>
    <n v="1"/>
    <n v="0"/>
    <n v="0"/>
    <n v="182574"/>
    <n v="3853"/>
    <n v="0"/>
    <n v="0"/>
    <n v="39"/>
    <n v="150267"/>
    <n v="10915.96638655462"/>
    <n v="2"/>
    <n v="39"/>
    <n v="2"/>
    <m/>
    <n v="0"/>
    <n v="0"/>
    <n v="150267"/>
    <n v="7451.999999999999"/>
    <n v="0"/>
    <n v="0"/>
    <n v="39"/>
    <n v="150267"/>
    <n v="21831.93277310925"/>
    <n v="6"/>
    <n v="44"/>
    <n v="5"/>
    <m/>
    <n v="0"/>
    <n v="0"/>
    <n v="169532"/>
    <n v="18630"/>
    <n v="0"/>
    <n v="0"/>
    <n v="44"/>
    <n v="150267"/>
    <n v="54579.83193277312"/>
    <n v="17"/>
    <n v="42"/>
    <n v="17"/>
    <n v="0"/>
    <n v="0"/>
    <n v="0"/>
    <n v="161826"/>
    <n v="63341.99999999999"/>
    <n v="0"/>
    <n v="0"/>
    <n v="42"/>
    <n v="150267"/>
    <n v="185571.4285714286"/>
    <n v="17"/>
    <n v="25"/>
    <n v="17"/>
    <n v="0"/>
    <n v="0"/>
    <n v="0"/>
    <n v="96325"/>
    <n v="63341.99999999999"/>
    <n v="0"/>
    <n v="0"/>
    <n v="25"/>
    <n v="96325"/>
    <n v="185571.4285714286"/>
    <n v="17"/>
    <n v="8"/>
    <n v="17"/>
    <n v="0"/>
    <n v="0"/>
    <m/>
    <n v="29808"/>
    <n v="63341.99999999999"/>
    <n v="0"/>
    <n v="0"/>
    <n v="8"/>
    <n v="29808"/>
    <n v="185571.428571428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5"/>
    <x v="276"/>
    <x v="0"/>
    <x v="0"/>
    <n v="1"/>
    <x v="187"/>
    <n v="0"/>
    <m/>
    <n v="0"/>
    <n v="3853"/>
    <n v="0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485673449942149"/>
    <n v="2"/>
    <n v="0.3708360548661006"/>
    <n v="29"/>
    <s v=""/>
    <n v="3"/>
    <s v=""/>
    <n v="7"/>
    <s v=""/>
    <n v="3"/>
    <s v=""/>
    <n v="0.75"/>
    <n v="1"/>
    <s v=""/>
    <n v="0.3333333333333333"/>
    <n v="8"/>
    <s v=""/>
    <n v="1"/>
    <n v="1"/>
    <s v=""/>
    <n v="0.25"/>
    <n v="5"/>
    <n v="52"/>
    <n v="5"/>
    <n v="0"/>
    <n v="0"/>
    <n v="0"/>
    <n v="63574.5"/>
    <n v="193752"/>
    <n v="19265"/>
    <n v="0"/>
    <n v="0"/>
    <n v="0"/>
    <n v="45865.40498552363"/>
    <n v="4"/>
    <n v="23"/>
    <n v="4.5"/>
    <n v="0"/>
    <n v="0"/>
    <n v="0"/>
    <n v="55868.5"/>
    <n v="85697.99999999999"/>
    <n v="17338.5"/>
    <n v="0"/>
    <n v="0"/>
    <n v="0"/>
    <n v="41278.86448697127"/>
    <n v="2.9"/>
    <n v="20"/>
    <n v="7"/>
    <n v="0"/>
    <n v="0"/>
    <n v="49708"/>
    <n v="77060"/>
    <n v="26971"/>
    <n v="0"/>
    <n v="0"/>
    <n v="0"/>
    <n v="76411.76470588236"/>
    <n v="4"/>
    <n v="12"/>
    <n v="3"/>
    <n v="0"/>
    <n v="0"/>
    <n v="44711.99999999999"/>
    <n v="11559"/>
    <n v="0"/>
    <n v="0"/>
    <n v="0"/>
    <n v="0"/>
    <n v="32747.89915966387"/>
    <n v="3"/>
    <n v="1"/>
    <n v="3"/>
    <m/>
    <n v="0"/>
    <n v="0"/>
    <n v="3853"/>
    <n v="11178"/>
    <n v="0"/>
    <n v="0"/>
    <n v="0"/>
    <n v="0"/>
    <n v="32747.89915966387"/>
    <n v="8"/>
    <n v="8"/>
    <n v="8"/>
    <m/>
    <n v="0"/>
    <n v="0"/>
    <n v="30824"/>
    <n v="29808"/>
    <n v="0"/>
    <n v="0"/>
    <n v="8"/>
    <n v="0"/>
    <n v="87327.73109243698"/>
    <n v="4"/>
    <n v="1"/>
    <n v="4"/>
    <n v="0"/>
    <n v="0"/>
    <n v="0"/>
    <n v="3853"/>
    <n v="14904"/>
    <n v="0"/>
    <n v="0"/>
    <n v="1"/>
    <n v="0"/>
    <n v="43663.86554621849"/>
    <n v="4"/>
    <n v="0"/>
    <n v="4"/>
    <n v="0"/>
    <n v="0"/>
    <n v="0"/>
    <n v="0"/>
    <n v="14904"/>
    <n v="0"/>
    <n v="0"/>
    <n v="0"/>
    <n v="0"/>
    <n v="43663.86554621849"/>
    <n v="4"/>
    <n v="0"/>
    <n v="4"/>
    <n v="0"/>
    <n v="0"/>
    <m/>
    <n v="0"/>
    <n v="14904"/>
    <n v="0"/>
    <n v="0"/>
    <n v="0"/>
    <n v="0"/>
    <n v="43663.8655462184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1"/>
    <x v="366"/>
    <x v="276"/>
    <x v="0"/>
    <x v="0"/>
    <n v="1"/>
    <x v="188"/>
    <n v="0"/>
    <m/>
    <n v="0"/>
    <n v="3853"/>
    <n v="0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5168652037617555"/>
    <n v="21"/>
    <s v=""/>
    <n v="0"/>
    <s v=""/>
    <n v="0"/>
    <s v=""/>
    <n v="0"/>
    <s v=""/>
    <n v="0"/>
    <n v="0"/>
    <s v=""/>
    <n v="0"/>
    <n v="3"/>
    <s v=""/>
    <n v="0.375"/>
    <n v="0"/>
    <s v=""/>
    <n v="0"/>
    <n v="4"/>
    <n v="29"/>
    <n v="4"/>
    <n v="0"/>
    <n v="0"/>
    <n v="0"/>
    <n v="15412"/>
    <n v="108054"/>
    <n v="15412"/>
    <n v="0"/>
    <n v="0"/>
    <n v="0"/>
    <n v="36692.3239884189"/>
    <n v="2"/>
    <n v="6"/>
    <n v="0"/>
    <n v="0"/>
    <n v="0"/>
    <n v="0"/>
    <n v="0"/>
    <n v="22356"/>
    <n v="0"/>
    <n v="0"/>
    <n v="0"/>
    <n v="0"/>
    <n v="0"/>
    <n v="2"/>
    <n v="3"/>
    <n v="0"/>
    <n v="0"/>
    <n v="0"/>
    <n v="11178"/>
    <n v="11559"/>
    <n v="0"/>
    <n v="0"/>
    <n v="0"/>
    <n v="0"/>
    <n v="0"/>
    <n v="4"/>
    <n v="0"/>
    <n v="0"/>
    <n v="0"/>
    <n v="0"/>
    <n v="0"/>
    <n v="0"/>
    <n v="0"/>
    <n v="0"/>
    <n v="0"/>
    <n v="0"/>
    <n v="0"/>
    <n v="3"/>
    <n v="0"/>
    <n v="3"/>
    <m/>
    <n v="0"/>
    <n v="0"/>
    <n v="0"/>
    <n v="11178"/>
    <n v="0"/>
    <n v="0"/>
    <n v="0"/>
    <n v="0"/>
    <n v="32747.89915966387"/>
    <n v="8"/>
    <n v="3"/>
    <n v="3"/>
    <m/>
    <n v="0"/>
    <n v="0"/>
    <n v="11559"/>
    <n v="11178"/>
    <n v="0"/>
    <n v="0"/>
    <n v="3"/>
    <n v="0"/>
    <n v="32747.89915966387"/>
    <n v="1"/>
    <n v="0"/>
    <n v="1"/>
    <n v="0"/>
    <n v="0"/>
    <n v="0"/>
    <n v="0"/>
    <n v="3726"/>
    <n v="0"/>
    <n v="0"/>
    <n v="0"/>
    <n v="0"/>
    <n v="10915.96638655462"/>
    <n v="1"/>
    <n v="0"/>
    <n v="1"/>
    <n v="0"/>
    <n v="0"/>
    <n v="0"/>
    <n v="0"/>
    <n v="3726"/>
    <n v="0"/>
    <n v="0"/>
    <n v="0"/>
    <n v="0"/>
    <n v="10915.96638655462"/>
    <n v="1"/>
    <n v="0"/>
    <n v="1"/>
    <n v="0"/>
    <n v="0"/>
    <m/>
    <n v="0"/>
    <n v="3726"/>
    <n v="0"/>
    <n v="0"/>
    <n v="0"/>
    <n v="0"/>
    <n v="10915.9663865546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D"/>
    <x v="367"/>
    <x v="277"/>
    <x v="0"/>
    <x v="0"/>
    <n v="1"/>
    <x v="189"/>
    <n v="20"/>
    <m/>
    <n v="0"/>
    <n v="5500"/>
    <n v="11000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378988326848249"/>
    <n v="4"/>
    <n v="0.4375496126789478"/>
    <n v="6"/>
    <s v=""/>
    <n v="1"/>
    <s v=""/>
    <n v="0"/>
    <s v=""/>
    <n v="0"/>
    <s v=""/>
    <n v="0"/>
    <n v="0"/>
    <s v=""/>
    <n v="0"/>
    <n v="0"/>
    <s v=""/>
    <n v="0"/>
    <n v="0"/>
    <s v=""/>
    <n v="0"/>
    <n v="3"/>
    <n v="22"/>
    <n v="4"/>
    <n v="0"/>
    <n v="0"/>
    <n v="0"/>
    <n v="30250"/>
    <n v="109296"/>
    <n v="22000"/>
    <n v="0"/>
    <n v="20"/>
    <n v="110000"/>
    <n v="42341.64253936869"/>
    <n v="2"/>
    <n v="21"/>
    <n v="1.5"/>
    <n v="0"/>
    <n v="0"/>
    <n v="0"/>
    <n v="8250"/>
    <n v="104328"/>
    <n v="8250"/>
    <n v="0"/>
    <n v="20"/>
    <n v="110000"/>
    <n v="15878.11595226326"/>
    <n v="2"/>
    <n v="20"/>
    <n v="0"/>
    <n v="0"/>
    <n v="0"/>
    <n v="9936"/>
    <n v="110000"/>
    <n v="0"/>
    <n v="0"/>
    <n v="20"/>
    <n v="110000"/>
    <n v="0"/>
    <n v="2"/>
    <n v="20"/>
    <n v="0"/>
    <n v="0"/>
    <n v="0"/>
    <n v="99360"/>
    <n v="0"/>
    <n v="0"/>
    <n v="0"/>
    <n v="20"/>
    <n v="110000"/>
    <n v="0"/>
    <n v="2"/>
    <n v="20"/>
    <n v="2"/>
    <m/>
    <n v="0"/>
    <n v="0"/>
    <n v="110000"/>
    <n v="9936"/>
    <n v="0"/>
    <n v="0"/>
    <n v="20"/>
    <n v="110000"/>
    <n v="25193.27731092437"/>
    <n v="6"/>
    <n v="20"/>
    <n v="0"/>
    <m/>
    <n v="0"/>
    <n v="0"/>
    <n v="110000"/>
    <n v="0"/>
    <n v="0"/>
    <n v="0"/>
    <n v="20"/>
    <n v="110000"/>
    <n v="0"/>
    <n v="7"/>
    <n v="20"/>
    <n v="7"/>
    <n v="0"/>
    <n v="0"/>
    <n v="0"/>
    <n v="110000"/>
    <n v="34776"/>
    <n v="0"/>
    <n v="0"/>
    <n v="20"/>
    <n v="110000"/>
    <n v="88176.4705882353"/>
    <n v="7"/>
    <n v="13"/>
    <n v="7"/>
    <n v="0"/>
    <n v="0"/>
    <n v="0"/>
    <n v="71500"/>
    <n v="34776"/>
    <n v="0"/>
    <n v="0"/>
    <n v="13"/>
    <n v="71500"/>
    <n v="88176.4705882353"/>
    <n v="7"/>
    <n v="6"/>
    <n v="7"/>
    <n v="0"/>
    <n v="0"/>
    <m/>
    <n v="29808"/>
    <n v="34776"/>
    <n v="0"/>
    <n v="0"/>
    <n v="6"/>
    <n v="29808"/>
    <n v="88176.470588235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D"/>
    <x v="368"/>
    <x v="277"/>
    <x v="0"/>
    <x v="0"/>
    <n v="1"/>
    <x v="190"/>
    <n v="30"/>
    <m/>
    <n v="0"/>
    <n v="5381"/>
    <n v="16143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2415973111395647"/>
    <n v="23"/>
    <n v="0.4723093138962582"/>
    <n v="4"/>
    <s v=""/>
    <n v="1"/>
    <s v=""/>
    <n v="0"/>
    <s v=""/>
    <n v="2"/>
    <s v=""/>
    <n v="0.6666666666666666"/>
    <n v="1"/>
    <s v=""/>
    <n v="0.3333333333333333"/>
    <n v="3"/>
    <s v=""/>
    <n v="0.3"/>
    <n v="0"/>
    <s v=""/>
    <n v="0"/>
    <n v="8"/>
    <n v="37"/>
    <n v="2"/>
    <n v="0"/>
    <n v="0"/>
    <n v="0"/>
    <n v="18833.5"/>
    <n v="183816"/>
    <n v="10762"/>
    <n v="0"/>
    <n v="30"/>
    <n v="161430"/>
    <n v="21170.82126968435"/>
    <n v="5"/>
    <n v="38"/>
    <n v="1.5"/>
    <n v="0"/>
    <n v="0"/>
    <n v="0"/>
    <n v="18833.5"/>
    <n v="188784"/>
    <n v="8071.5"/>
    <n v="0"/>
    <n v="30"/>
    <n v="161430"/>
    <n v="15878.11595226326"/>
    <n v="5"/>
    <n v="37"/>
    <n v="0"/>
    <n v="0"/>
    <n v="0"/>
    <n v="25666"/>
    <n v="199097"/>
    <n v="0"/>
    <n v="0"/>
    <n v="30"/>
    <n v="161430"/>
    <n v="0"/>
    <n v="3"/>
    <n v="37"/>
    <n v="2"/>
    <n v="0"/>
    <n v="0"/>
    <n v="183816"/>
    <n v="10762"/>
    <n v="0"/>
    <n v="0"/>
    <n v="30"/>
    <n v="161430"/>
    <n v="25193.27731092437"/>
    <n v="3"/>
    <n v="31"/>
    <n v="3"/>
    <m/>
    <n v="0"/>
    <n v="0"/>
    <n v="166811"/>
    <n v="14904"/>
    <n v="0"/>
    <n v="0"/>
    <n v="30"/>
    <n v="161430"/>
    <n v="37789.91596638656"/>
    <n v="10"/>
    <n v="33"/>
    <n v="3"/>
    <m/>
    <n v="0"/>
    <n v="0"/>
    <n v="177573"/>
    <n v="14904"/>
    <n v="0"/>
    <n v="0"/>
    <n v="33"/>
    <n v="161430"/>
    <n v="37789.91596638656"/>
    <n v="11"/>
    <n v="30"/>
    <n v="11"/>
    <n v="0"/>
    <n v="0"/>
    <n v="0"/>
    <n v="161430"/>
    <n v="54648"/>
    <n v="0"/>
    <n v="0"/>
    <n v="30"/>
    <n v="161430"/>
    <n v="138563.025210084"/>
    <n v="11"/>
    <n v="19"/>
    <n v="11"/>
    <n v="0"/>
    <n v="0"/>
    <n v="0"/>
    <n v="102239"/>
    <n v="54648"/>
    <n v="0"/>
    <n v="0"/>
    <n v="19"/>
    <n v="102239"/>
    <n v="138563.025210084"/>
    <n v="11"/>
    <n v="8"/>
    <n v="11"/>
    <n v="0"/>
    <n v="0"/>
    <m/>
    <n v="39744"/>
    <n v="54648"/>
    <n v="0"/>
    <n v="0"/>
    <n v="8"/>
    <n v="39744"/>
    <n v="138563.02521008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D"/>
    <x v="369"/>
    <x v="277"/>
    <x v="0"/>
    <x v="0"/>
    <n v="1"/>
    <x v="191"/>
    <n v="3"/>
    <m/>
    <n v="0"/>
    <n v="6238"/>
    <n v="18714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2614781415408743"/>
    <n v="39"/>
    <n v="0.4440758152935239"/>
    <n v="4"/>
    <s v=""/>
    <n v="2"/>
    <s v=""/>
    <n v="1"/>
    <s v=""/>
    <n v="1"/>
    <s v=""/>
    <n v="0.3333333333333333"/>
    <n v="0"/>
    <s v=""/>
    <n v="0"/>
    <n v="2"/>
    <s v=""/>
    <n v="0.2"/>
    <n v="0"/>
    <s v=""/>
    <n v="0"/>
    <n v="8"/>
    <n v="6"/>
    <n v="5"/>
    <n v="0"/>
    <n v="0"/>
    <n v="0"/>
    <n v="56142"/>
    <n v="29808"/>
    <n v="31190"/>
    <n v="0"/>
    <n v="3"/>
    <n v="18714"/>
    <n v="52927.05317421087"/>
    <n v="5"/>
    <n v="9"/>
    <n v="3"/>
    <n v="0"/>
    <n v="0"/>
    <n v="0"/>
    <n v="31190"/>
    <n v="44712"/>
    <n v="18714"/>
    <n v="0"/>
    <n v="3"/>
    <n v="18714"/>
    <n v="31756.23190452652"/>
    <n v="5"/>
    <n v="7"/>
    <n v="1"/>
    <n v="0"/>
    <n v="0"/>
    <n v="27380"/>
    <n v="43666"/>
    <n v="6238"/>
    <n v="0"/>
    <n v="3"/>
    <n v="18714"/>
    <n v="12596.63865546219"/>
    <n v="3"/>
    <n v="4"/>
    <n v="1"/>
    <n v="0"/>
    <n v="0"/>
    <n v="19872"/>
    <n v="6238"/>
    <n v="0"/>
    <n v="0"/>
    <n v="3"/>
    <n v="18714"/>
    <n v="12596.63865546219"/>
    <n v="3"/>
    <n v="3"/>
    <n v="3"/>
    <m/>
    <n v="0"/>
    <n v="0"/>
    <n v="18714"/>
    <n v="14904"/>
    <n v="0"/>
    <n v="0"/>
    <n v="3"/>
    <n v="18714"/>
    <n v="37789.91596638656"/>
    <n v="10"/>
    <n v="5"/>
    <n v="2"/>
    <m/>
    <n v="0"/>
    <n v="0"/>
    <n v="31190"/>
    <n v="9936"/>
    <n v="0"/>
    <n v="0"/>
    <n v="5"/>
    <n v="18714"/>
    <n v="25193.27731092437"/>
    <n v="2"/>
    <n v="3"/>
    <n v="2"/>
    <n v="0"/>
    <n v="0"/>
    <n v="0"/>
    <n v="18714"/>
    <n v="9936"/>
    <n v="0"/>
    <n v="0"/>
    <n v="3"/>
    <n v="18714"/>
    <n v="25193.27731092437"/>
    <n v="2"/>
    <n v="1"/>
    <n v="2"/>
    <n v="0"/>
    <n v="0"/>
    <n v="0"/>
    <n v="6238"/>
    <n v="9936"/>
    <n v="0"/>
    <n v="0"/>
    <n v="1"/>
    <n v="6238"/>
    <n v="25193.27731092437"/>
    <n v="2"/>
    <n v="0"/>
    <n v="2"/>
    <n v="0"/>
    <n v="0"/>
    <m/>
    <n v="0"/>
    <n v="9936"/>
    <n v="0"/>
    <n v="0"/>
    <n v="0"/>
    <n v="0"/>
    <n v="25193.2773109243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D"/>
    <x v="370"/>
    <x v="277"/>
    <x v="0"/>
    <x v="0"/>
    <n v="1"/>
    <x v="192"/>
    <n v="0"/>
    <m/>
    <n v="0"/>
    <n v="6151"/>
    <n v="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4"/>
    <n v="0.4494473842856186"/>
    <n v="6"/>
    <s v=""/>
    <n v="2"/>
    <s v=""/>
    <n v="0"/>
    <s v=""/>
    <n v="1"/>
    <s v=""/>
    <n v="0.3333333333333333"/>
    <n v="1"/>
    <s v=""/>
    <n v="0.3333333333333333"/>
    <n v="1"/>
    <s v=""/>
    <n v="0.1"/>
    <n v="0"/>
    <s v=""/>
    <n v="0"/>
    <n v="10"/>
    <n v="7"/>
    <n v="7"/>
    <n v="0"/>
    <n v="0"/>
    <n v="0"/>
    <n v="61510"/>
    <n v="34776"/>
    <n v="43057"/>
    <n v="0"/>
    <n v="0"/>
    <n v="0"/>
    <n v="74097.87444389521"/>
    <n v="5"/>
    <n v="5"/>
    <n v="3"/>
    <n v="0"/>
    <n v="0"/>
    <n v="0"/>
    <n v="24604"/>
    <n v="24840"/>
    <n v="18453"/>
    <n v="0"/>
    <n v="0"/>
    <n v="0"/>
    <n v="31756.23190452652"/>
    <n v="5"/>
    <n v="3"/>
    <n v="0"/>
    <n v="0"/>
    <n v="0"/>
    <n v="21055"/>
    <n v="18453"/>
    <n v="0"/>
    <n v="0"/>
    <n v="0"/>
    <n v="0"/>
    <n v="0"/>
    <n v="3"/>
    <n v="1"/>
    <n v="1"/>
    <n v="0"/>
    <n v="0"/>
    <n v="4968"/>
    <n v="6151"/>
    <n v="0"/>
    <n v="0"/>
    <n v="0"/>
    <n v="0"/>
    <n v="12596.63865546219"/>
    <n v="3"/>
    <n v="1"/>
    <n v="3"/>
    <m/>
    <n v="0"/>
    <n v="0"/>
    <n v="6151"/>
    <n v="14904"/>
    <n v="0"/>
    <n v="0"/>
    <n v="0"/>
    <n v="0"/>
    <n v="37789.91596638656"/>
    <n v="10"/>
    <n v="1"/>
    <n v="1"/>
    <m/>
    <n v="0"/>
    <n v="0"/>
    <n v="6151"/>
    <n v="4968"/>
    <n v="0"/>
    <n v="0"/>
    <n v="1"/>
    <n v="0"/>
    <n v="12596.638655462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Y"/>
    <x v="371"/>
    <x v="278"/>
    <x v="0"/>
    <x v="0"/>
    <n v="1"/>
    <x v="193"/>
    <n v="26"/>
    <m/>
    <n v="0"/>
    <n v="5602"/>
    <n v="145652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971531119993474"/>
    <n v="1"/>
    <s v=""/>
    <n v="0"/>
    <s v=""/>
    <n v="0"/>
    <s v=""/>
    <n v="0"/>
    <s v=""/>
    <n v="0"/>
    <n v="0"/>
    <s v=""/>
    <n v="0"/>
    <n v="0"/>
    <s v=""/>
    <n v="0"/>
    <n v="0"/>
    <s v=""/>
    <n v="0"/>
    <n v="3"/>
    <n v="24"/>
    <n v="3"/>
    <n v="0"/>
    <n v="0"/>
    <n v="0"/>
    <n v="16806"/>
    <n v="119232"/>
    <n v="16806"/>
    <n v="0"/>
    <n v="26"/>
    <n v="145652"/>
    <n v="31756.23190452652"/>
    <n v="2"/>
    <n v="26"/>
    <n v="0"/>
    <n v="0"/>
    <n v="0"/>
    <n v="0"/>
    <n v="0"/>
    <n v="129168"/>
    <n v="0"/>
    <n v="0"/>
    <n v="26"/>
    <n v="145652"/>
    <n v="0"/>
    <n v="2.106"/>
    <n v="26"/>
    <n v="0"/>
    <n v="0"/>
    <n v="0"/>
    <n v="7948.8"/>
    <n v="145652"/>
    <n v="0"/>
    <n v="0"/>
    <n v="26"/>
    <n v="145652"/>
    <n v="0"/>
    <n v="1.55"/>
    <n v="26"/>
    <n v="0"/>
    <n v="0"/>
    <n v="0"/>
    <n v="129168"/>
    <n v="0"/>
    <n v="0"/>
    <n v="0"/>
    <n v="26"/>
    <n v="145652"/>
    <n v="0"/>
    <n v="1.6"/>
    <n v="26"/>
    <n v="1.6"/>
    <m/>
    <n v="0"/>
    <n v="0"/>
    <n v="145652"/>
    <n v="7948.8"/>
    <n v="0"/>
    <n v="0"/>
    <n v="26"/>
    <n v="145652"/>
    <n v="20154.6218487395"/>
    <n v="4.7"/>
    <n v="26"/>
    <n v="0"/>
    <m/>
    <n v="0"/>
    <n v="0"/>
    <n v="145652"/>
    <n v="0"/>
    <n v="0"/>
    <n v="0"/>
    <n v="26"/>
    <n v="145652"/>
    <n v="0"/>
    <n v="9"/>
    <n v="26"/>
    <n v="9"/>
    <n v="0"/>
    <n v="0"/>
    <n v="0"/>
    <n v="145652"/>
    <n v="44712"/>
    <n v="0"/>
    <n v="0"/>
    <n v="26"/>
    <n v="145652"/>
    <n v="113369.7478991597"/>
    <n v="9"/>
    <n v="17"/>
    <n v="9"/>
    <n v="0"/>
    <n v="0"/>
    <n v="0"/>
    <n v="95234"/>
    <n v="44712"/>
    <n v="0"/>
    <n v="0"/>
    <n v="17"/>
    <n v="95234"/>
    <n v="113369.7478991597"/>
    <n v="9"/>
    <n v="8"/>
    <n v="9"/>
    <n v="0"/>
    <n v="0"/>
    <m/>
    <n v="39744"/>
    <n v="44712"/>
    <n v="0"/>
    <n v="0"/>
    <n v="8"/>
    <n v="39744"/>
    <n v="113369.747899159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Y"/>
    <x v="372"/>
    <x v="278"/>
    <x v="0"/>
    <x v="0"/>
    <n v="1"/>
    <x v="194"/>
    <n v="44"/>
    <m/>
    <n v="0"/>
    <n v="5401"/>
    <n v="237644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615668883961567"/>
    <n v="10"/>
    <n v="0.4287080594757504"/>
    <n v="5"/>
    <s v=""/>
    <n v="3"/>
    <s v=""/>
    <n v="0"/>
    <s v=""/>
    <n v="1"/>
    <s v=""/>
    <n v="0.2985074626865671"/>
    <n v="1"/>
    <s v=""/>
    <n v="0.2941176470588235"/>
    <n v="0"/>
    <s v=""/>
    <n v="0"/>
    <n v="1"/>
    <s v=""/>
    <n v="0.06666666666666667"/>
    <n v="2"/>
    <n v="48"/>
    <n v="2"/>
    <n v="0"/>
    <n v="0"/>
    <n v="0"/>
    <n v="35106.5"/>
    <n v="238464"/>
    <n v="10802"/>
    <n v="0"/>
    <n v="44"/>
    <n v="237644"/>
    <n v="21170.82126968435"/>
    <n v="2.7"/>
    <n v="48"/>
    <n v="4.5"/>
    <n v="0"/>
    <n v="0"/>
    <n v="0"/>
    <n v="29705.5"/>
    <n v="238464"/>
    <n v="24304.5"/>
    <n v="0"/>
    <n v="44"/>
    <n v="237644"/>
    <n v="47634.34785678978"/>
    <n v="4.86"/>
    <n v="45"/>
    <n v="0"/>
    <n v="0"/>
    <n v="0"/>
    <n v="22292.2"/>
    <n v="243045"/>
    <n v="0"/>
    <n v="0"/>
    <n v="44"/>
    <n v="237644"/>
    <n v="0"/>
    <n v="3.35"/>
    <n v="47"/>
    <n v="1"/>
    <n v="0"/>
    <n v="0"/>
    <n v="233496"/>
    <n v="5401"/>
    <n v="0"/>
    <n v="0"/>
    <n v="44"/>
    <n v="237644"/>
    <n v="12596.63865546219"/>
    <n v="3.4"/>
    <n v="45"/>
    <n v="3.4"/>
    <m/>
    <n v="0"/>
    <n v="0"/>
    <n v="243045"/>
    <n v="16891.2"/>
    <n v="0"/>
    <n v="0"/>
    <n v="44"/>
    <n v="237644"/>
    <n v="42828.57142857143"/>
    <n v="10.1"/>
    <n v="44"/>
    <n v="0"/>
    <m/>
    <n v="0"/>
    <n v="0"/>
    <n v="237644"/>
    <n v="0"/>
    <n v="0"/>
    <n v="0"/>
    <n v="44"/>
    <n v="237644"/>
    <n v="0"/>
    <n v="15"/>
    <n v="45"/>
    <n v="15"/>
    <n v="0"/>
    <n v="0"/>
    <n v="0"/>
    <n v="243045"/>
    <n v="74520"/>
    <n v="0"/>
    <n v="0"/>
    <n v="45"/>
    <n v="237644"/>
    <n v="188949.5798319328"/>
    <n v="15"/>
    <n v="30"/>
    <n v="15"/>
    <n v="0"/>
    <n v="0"/>
    <n v="0"/>
    <n v="162030"/>
    <n v="74520"/>
    <n v="0"/>
    <n v="0"/>
    <n v="30"/>
    <n v="162030"/>
    <n v="188949.5798319328"/>
    <n v="15"/>
    <n v="15"/>
    <n v="15"/>
    <n v="0"/>
    <n v="0"/>
    <m/>
    <n v="74520"/>
    <n v="74520"/>
    <n v="0"/>
    <n v="0"/>
    <n v="15"/>
    <n v="74520"/>
    <n v="188949.579831932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Y"/>
    <x v="373"/>
    <x v="278"/>
    <x v="0"/>
    <x v="0"/>
    <n v="1"/>
    <x v="195"/>
    <n v="29"/>
    <m/>
    <n v="0"/>
    <n v="5558"/>
    <n v="161182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426844014510278"/>
    <n v="19"/>
    <n v="0.4120761627101492"/>
    <n v="3"/>
    <s v=""/>
    <n v="1"/>
    <s v=""/>
    <n v="0"/>
    <s v=""/>
    <n v="2"/>
    <s v=""/>
    <n v="0.5970149253731343"/>
    <n v="1"/>
    <s v=""/>
    <n v="0.2941176470588235"/>
    <n v="1"/>
    <s v=""/>
    <n v="0.09900990099009901"/>
    <n v="1"/>
    <s v=""/>
    <n v="0.09090909090909091"/>
    <n v="3"/>
    <n v="26"/>
    <n v="3"/>
    <n v="0"/>
    <n v="0"/>
    <n v="0"/>
    <n v="25011"/>
    <n v="129168"/>
    <n v="16674"/>
    <n v="0"/>
    <n v="29"/>
    <n v="161182"/>
    <n v="31756.23190452652"/>
    <n v="2.7"/>
    <n v="32"/>
    <n v="1.5"/>
    <n v="0"/>
    <n v="0"/>
    <n v="0"/>
    <n v="19453"/>
    <n v="158976"/>
    <n v="8337"/>
    <n v="0"/>
    <n v="29"/>
    <n v="161182"/>
    <n v="15878.11595226326"/>
    <n v="4.86"/>
    <n v="30"/>
    <n v="0"/>
    <n v="0"/>
    <n v="0"/>
    <n v="28007.2"/>
    <n v="166740"/>
    <n v="0"/>
    <n v="0"/>
    <n v="29"/>
    <n v="161182"/>
    <n v="0"/>
    <n v="3.35"/>
    <n v="35"/>
    <n v="2"/>
    <n v="0"/>
    <n v="0"/>
    <n v="173880"/>
    <n v="11116"/>
    <n v="0"/>
    <n v="0"/>
    <n v="29"/>
    <n v="161182"/>
    <n v="25193.27731092437"/>
    <n v="3.4"/>
    <n v="30"/>
    <n v="3.4"/>
    <m/>
    <n v="0"/>
    <n v="0"/>
    <n v="166740"/>
    <n v="16891.2"/>
    <n v="0"/>
    <n v="0"/>
    <n v="29"/>
    <n v="161182"/>
    <n v="42828.57142857143"/>
    <n v="10.1"/>
    <n v="30"/>
    <n v="1"/>
    <m/>
    <n v="0"/>
    <n v="0"/>
    <n v="166740"/>
    <n v="4968"/>
    <n v="0"/>
    <n v="0"/>
    <n v="30"/>
    <n v="161182"/>
    <n v="12596.63865546219"/>
    <n v="11"/>
    <n v="30"/>
    <n v="11"/>
    <n v="0"/>
    <n v="0"/>
    <n v="0"/>
    <n v="166740"/>
    <n v="54648"/>
    <n v="0"/>
    <n v="0"/>
    <n v="30"/>
    <n v="161182"/>
    <n v="138563.025210084"/>
    <n v="11"/>
    <n v="19"/>
    <n v="11"/>
    <n v="0"/>
    <n v="0"/>
    <n v="0"/>
    <n v="105602"/>
    <n v="54648"/>
    <n v="0"/>
    <n v="0"/>
    <n v="19"/>
    <n v="105602"/>
    <n v="138563.025210084"/>
    <n v="11"/>
    <n v="8"/>
    <n v="11"/>
    <n v="0"/>
    <n v="0"/>
    <m/>
    <n v="39744"/>
    <n v="54648"/>
    <n v="0"/>
    <n v="0"/>
    <n v="8"/>
    <n v="39744"/>
    <n v="138563.02521008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Y"/>
    <x v="374"/>
    <x v="278"/>
    <x v="0"/>
    <x v="0"/>
    <n v="1"/>
    <x v="196"/>
    <n v="13"/>
    <m/>
    <n v="0"/>
    <n v="5699"/>
    <n v="74087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434754347001788"/>
    <n v="7"/>
    <s v=""/>
    <n v="2"/>
    <s v=""/>
    <n v="1"/>
    <s v=""/>
    <n v="0"/>
    <s v=""/>
    <n v="0"/>
    <n v="0"/>
    <s v=""/>
    <n v="0"/>
    <n v="0"/>
    <s v=""/>
    <n v="0"/>
    <n v="1"/>
    <s v=""/>
    <n v="0.2"/>
    <n v="3"/>
    <n v="18"/>
    <n v="3"/>
    <n v="0"/>
    <n v="0"/>
    <n v="0"/>
    <n v="39893"/>
    <n v="89424"/>
    <n v="17097"/>
    <n v="0"/>
    <n v="13"/>
    <n v="74087"/>
    <n v="31756.23190452652"/>
    <n v="2"/>
    <n v="17"/>
    <n v="3"/>
    <n v="0"/>
    <n v="0"/>
    <n v="0"/>
    <n v="22796"/>
    <n v="84456"/>
    <n v="17097"/>
    <n v="0"/>
    <n v="13"/>
    <n v="74087"/>
    <n v="31756.23190452652"/>
    <n v="2.106"/>
    <n v="15"/>
    <n v="1"/>
    <n v="0"/>
    <n v="0"/>
    <n v="13647.8"/>
    <n v="85485"/>
    <n v="5699"/>
    <n v="0"/>
    <n v="13"/>
    <n v="74087"/>
    <n v="12596.63865546219"/>
    <n v="1.55"/>
    <n v="15"/>
    <n v="0"/>
    <n v="0"/>
    <n v="0"/>
    <n v="74520"/>
    <n v="0"/>
    <n v="0"/>
    <n v="0"/>
    <n v="13"/>
    <n v="74087"/>
    <n v="0"/>
    <n v="1.6"/>
    <n v="13"/>
    <n v="1.6"/>
    <m/>
    <n v="0"/>
    <n v="0"/>
    <n v="74087"/>
    <n v="7948.8"/>
    <n v="0"/>
    <n v="0"/>
    <n v="13"/>
    <n v="74087"/>
    <n v="20154.6218487395"/>
    <n v="4.7"/>
    <n v="13"/>
    <n v="0"/>
    <m/>
    <n v="0"/>
    <n v="0"/>
    <n v="74087"/>
    <n v="0"/>
    <n v="0"/>
    <n v="0"/>
    <n v="13"/>
    <n v="74087"/>
    <n v="0"/>
    <n v="5"/>
    <n v="14"/>
    <n v="5"/>
    <n v="0"/>
    <n v="0"/>
    <n v="0"/>
    <n v="79786"/>
    <n v="24840"/>
    <n v="0"/>
    <n v="0"/>
    <n v="14"/>
    <n v="74087"/>
    <n v="62983.19327731093"/>
    <n v="5"/>
    <n v="9"/>
    <n v="5"/>
    <n v="0"/>
    <n v="0"/>
    <n v="0"/>
    <n v="51291"/>
    <n v="24840"/>
    <n v="0"/>
    <n v="0"/>
    <n v="9"/>
    <n v="51291"/>
    <n v="62983.19327731093"/>
    <n v="5"/>
    <n v="4"/>
    <n v="5"/>
    <n v="0"/>
    <n v="0"/>
    <m/>
    <n v="19872"/>
    <n v="24840"/>
    <n v="0"/>
    <n v="0"/>
    <n v="4"/>
    <n v="19872"/>
    <n v="62983.1932773109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E"/>
    <x v="375"/>
    <x v="279"/>
    <x v="0"/>
    <x v="0"/>
    <n v="1"/>
    <x v="197"/>
    <n v="24"/>
    <m/>
    <n v="0"/>
    <n v="5676"/>
    <n v="136224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161007075672757"/>
    <n v="2"/>
    <s v=""/>
    <n v="1"/>
    <s v=""/>
    <n v="0"/>
    <s v=""/>
    <n v="0"/>
    <s v=""/>
    <n v="0"/>
    <n v="0"/>
    <s v=""/>
    <n v="0"/>
    <n v="0"/>
    <s v=""/>
    <n v="0"/>
    <n v="1"/>
    <s v=""/>
    <n v="0.125"/>
    <n v="1.3"/>
    <n v="19"/>
    <n v="1.3"/>
    <n v="0"/>
    <n v="0"/>
    <n v="0"/>
    <n v="15892.8"/>
    <n v="94392"/>
    <n v="7378.8"/>
    <n v="0"/>
    <n v="24"/>
    <n v="136224"/>
    <n v="13761.03382529483"/>
    <n v="1.17"/>
    <n v="23"/>
    <n v="1.5"/>
    <n v="0"/>
    <n v="0"/>
    <n v="0"/>
    <n v="8514"/>
    <n v="114264"/>
    <n v="8514"/>
    <n v="0"/>
    <n v="24"/>
    <n v="136224"/>
    <n v="15878.11595226326"/>
    <n v="2.106"/>
    <n v="22"/>
    <n v="0"/>
    <n v="0"/>
    <n v="0"/>
    <n v="7948.8"/>
    <n v="124872"/>
    <n v="0"/>
    <n v="0"/>
    <n v="24"/>
    <n v="136224"/>
    <n v="0"/>
    <n v="1.55"/>
    <n v="24"/>
    <n v="0"/>
    <n v="0"/>
    <n v="0"/>
    <n v="119232"/>
    <n v="0"/>
    <n v="0"/>
    <n v="0"/>
    <n v="24"/>
    <n v="136224"/>
    <n v="0"/>
    <n v="1.6"/>
    <n v="24"/>
    <n v="1.6"/>
    <m/>
    <n v="0"/>
    <n v="0"/>
    <n v="136224"/>
    <n v="7948.8"/>
    <n v="0"/>
    <n v="0"/>
    <n v="24"/>
    <n v="136224"/>
    <n v="20154.6218487395"/>
    <n v="4.7"/>
    <n v="24"/>
    <n v="0"/>
    <m/>
    <n v="0"/>
    <n v="0"/>
    <n v="136224"/>
    <n v="0"/>
    <n v="0"/>
    <n v="0"/>
    <n v="24"/>
    <n v="136224"/>
    <n v="0"/>
    <n v="8"/>
    <n v="25"/>
    <n v="8"/>
    <n v="0"/>
    <n v="0"/>
    <n v="0"/>
    <n v="141900"/>
    <n v="39744"/>
    <n v="0"/>
    <n v="0"/>
    <n v="25"/>
    <n v="136224"/>
    <n v="100773.1092436975"/>
    <n v="8"/>
    <n v="17"/>
    <n v="8"/>
    <n v="0"/>
    <n v="0"/>
    <n v="0"/>
    <n v="96492"/>
    <n v="39744"/>
    <n v="0"/>
    <n v="0"/>
    <n v="17"/>
    <n v="96492"/>
    <n v="100773.1092436975"/>
    <n v="8"/>
    <n v="9"/>
    <n v="8"/>
    <n v="0"/>
    <n v="0"/>
    <m/>
    <n v="44712"/>
    <n v="39744"/>
    <n v="0"/>
    <n v="0"/>
    <n v="9"/>
    <n v="44712"/>
    <n v="100773.1092436975"/>
    <n v="0"/>
    <n v="1"/>
    <n v="0"/>
    <n v="0"/>
    <n v="0"/>
    <n v="0"/>
    <m/>
    <n v="4968"/>
    <n v="0"/>
    <n v="0"/>
    <n v="0"/>
    <n v="1"/>
    <n v="4968"/>
    <n v="0"/>
    <n v="0"/>
    <n v="1"/>
    <n v="0"/>
    <n v="0"/>
    <n v="0"/>
    <n v="4968"/>
    <n v="0"/>
    <n v="0"/>
    <n v="0"/>
    <n v="1"/>
    <n v="4968"/>
    <n v="0"/>
    <n v="0"/>
    <n v="1"/>
    <n v="0"/>
    <n v="0"/>
    <n v="0"/>
    <n v="4968"/>
    <n v="0"/>
    <n v="0"/>
    <n v="1"/>
    <n v="4968"/>
    <n v="0"/>
    <n v="0"/>
    <n v="1"/>
    <n v="0"/>
    <n v="0"/>
    <m/>
    <n v="4968"/>
    <n v="0"/>
    <n v="0"/>
    <n v="1"/>
    <n v="4968"/>
    <n v="0"/>
  </r>
  <r>
    <m/>
    <x v="1"/>
    <x v="16"/>
    <x v="38"/>
    <s v="LTS26-MTS02BE"/>
    <x v="376"/>
    <x v="279"/>
    <x v="0"/>
    <x v="0"/>
    <n v="1"/>
    <x v="198"/>
    <n v="48"/>
    <m/>
    <n v="0"/>
    <n v="5356"/>
    <n v="257088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1491718426501035"/>
    <n v="10"/>
    <n v="0.4741367838095141"/>
    <n v="5"/>
    <s v=""/>
    <n v="3"/>
    <s v=""/>
    <n v="0"/>
    <s v=""/>
    <n v="0"/>
    <s v=""/>
    <n v="0"/>
    <n v="0"/>
    <s v=""/>
    <n v="0"/>
    <n v="2"/>
    <s v=""/>
    <n v="0.2040816326530612"/>
    <n v="0"/>
    <s v=""/>
    <n v="0"/>
    <n v="4"/>
    <n v="56"/>
    <n v="4"/>
    <n v="0"/>
    <n v="0"/>
    <n v="0"/>
    <n v="45526"/>
    <n v="278208"/>
    <n v="21424"/>
    <n v="0"/>
    <n v="48"/>
    <n v="257088"/>
    <n v="42341.64253936869"/>
    <n v="4"/>
    <n v="52"/>
    <n v="4.5"/>
    <n v="0"/>
    <n v="0"/>
    <n v="0"/>
    <n v="24102"/>
    <n v="258336"/>
    <n v="24102"/>
    <n v="0"/>
    <n v="48"/>
    <n v="257088"/>
    <n v="47634.34785678978"/>
    <n v="4.536"/>
    <n v="49"/>
    <n v="0"/>
    <n v="0"/>
    <n v="0"/>
    <n v="16394.4"/>
    <n v="262444"/>
    <n v="0"/>
    <n v="0"/>
    <n v="48"/>
    <n v="257088"/>
    <n v="0"/>
    <n v="3.25"/>
    <n v="49"/>
    <n v="0"/>
    <n v="0"/>
    <n v="0"/>
    <n v="243432"/>
    <n v="0"/>
    <n v="0"/>
    <n v="0"/>
    <n v="48"/>
    <n v="257088"/>
    <n v="0"/>
    <n v="3.3"/>
    <n v="48"/>
    <n v="3.3"/>
    <m/>
    <n v="0"/>
    <n v="0"/>
    <n v="257088"/>
    <n v="16394.4"/>
    <n v="0"/>
    <n v="0"/>
    <n v="48"/>
    <n v="257088"/>
    <n v="41568.90756302521"/>
    <n v="9.800000000000001"/>
    <n v="50"/>
    <n v="2"/>
    <m/>
    <n v="0"/>
    <n v="0"/>
    <n v="267800"/>
    <n v="9936"/>
    <n v="0"/>
    <n v="0"/>
    <n v="50"/>
    <n v="257088"/>
    <n v="25193.27731092437"/>
    <n v="17"/>
    <n v="48"/>
    <n v="17"/>
    <n v="0"/>
    <n v="0"/>
    <n v="0"/>
    <n v="257088"/>
    <n v="84456"/>
    <n v="0"/>
    <n v="0"/>
    <n v="48"/>
    <n v="257088"/>
    <n v="214142.8571428572"/>
    <n v="17"/>
    <n v="31"/>
    <n v="17"/>
    <n v="0"/>
    <n v="0"/>
    <n v="0"/>
    <n v="166036"/>
    <n v="84456"/>
    <n v="0"/>
    <n v="0"/>
    <n v="31"/>
    <n v="166036"/>
    <n v="214142.8571428572"/>
    <n v="17"/>
    <n v="14"/>
    <n v="17"/>
    <n v="0"/>
    <n v="0"/>
    <m/>
    <n v="69552"/>
    <n v="84456"/>
    <n v="0"/>
    <n v="0"/>
    <n v="14"/>
    <n v="69552"/>
    <n v="214142.85714285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E"/>
    <x v="377"/>
    <x v="279"/>
    <x v="0"/>
    <x v="0"/>
    <n v="1"/>
    <x v="199"/>
    <n v="34"/>
    <m/>
    <n v="0"/>
    <n v="5548"/>
    <n v="188632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24"/>
    <n v="0.4252843557710237"/>
    <n v="1"/>
    <s v=""/>
    <n v="4"/>
    <s v=""/>
    <n v="3"/>
    <s v=""/>
    <n v="0"/>
    <s v=""/>
    <n v="0"/>
    <n v="0"/>
    <s v=""/>
    <n v="0"/>
    <n v="0"/>
    <s v=""/>
    <n v="0"/>
    <n v="1"/>
    <s v=""/>
    <n v="0.08333333333333333"/>
    <n v="6"/>
    <n v="28"/>
    <n v="6"/>
    <n v="0"/>
    <n v="0"/>
    <n v="0"/>
    <n v="83220"/>
    <n v="139104"/>
    <n v="33288"/>
    <n v="0"/>
    <n v="34"/>
    <n v="188632"/>
    <n v="63512.46380905304"/>
    <n v="2.07"/>
    <n v="42"/>
    <n v="6"/>
    <n v="0"/>
    <n v="0"/>
    <n v="0"/>
    <n v="49932"/>
    <n v="208656"/>
    <n v="33288"/>
    <n v="0"/>
    <n v="34"/>
    <n v="188632"/>
    <n v="63512.46380905304"/>
    <n v="3.726"/>
    <n v="38"/>
    <n v="3"/>
    <n v="0"/>
    <n v="0"/>
    <n v="31548"/>
    <n v="210824"/>
    <n v="16644"/>
    <n v="0"/>
    <n v="34"/>
    <n v="188632"/>
    <n v="37789.91596638656"/>
    <n v="3"/>
    <n v="35"/>
    <n v="0"/>
    <n v="0"/>
    <n v="0"/>
    <n v="173880"/>
    <n v="0"/>
    <n v="0"/>
    <n v="0"/>
    <n v="34"/>
    <n v="188632"/>
    <n v="0"/>
    <n v="3"/>
    <n v="34"/>
    <n v="3"/>
    <m/>
    <n v="0"/>
    <n v="0"/>
    <n v="188632"/>
    <n v="14904"/>
    <n v="0"/>
    <n v="0"/>
    <n v="34"/>
    <n v="188632"/>
    <n v="37789.91596638656"/>
    <n v="9"/>
    <n v="34"/>
    <n v="0"/>
    <m/>
    <n v="0"/>
    <n v="0"/>
    <n v="188632"/>
    <n v="0"/>
    <n v="0"/>
    <n v="0"/>
    <n v="34"/>
    <n v="188632"/>
    <n v="0"/>
    <n v="12"/>
    <n v="35"/>
    <n v="12"/>
    <n v="0"/>
    <n v="0"/>
    <n v="0"/>
    <n v="194180"/>
    <n v="59616"/>
    <n v="0"/>
    <n v="0"/>
    <n v="35"/>
    <n v="188632"/>
    <n v="151159.6638655462"/>
    <n v="12"/>
    <n v="23"/>
    <n v="12"/>
    <n v="0"/>
    <n v="0"/>
    <n v="0"/>
    <n v="127604"/>
    <n v="59616"/>
    <n v="0"/>
    <n v="0"/>
    <n v="23"/>
    <n v="127604"/>
    <n v="151159.6638655462"/>
    <n v="12"/>
    <n v="11"/>
    <n v="12"/>
    <n v="0"/>
    <n v="0"/>
    <m/>
    <n v="54648"/>
    <n v="59616"/>
    <n v="0"/>
    <n v="0"/>
    <n v="11"/>
    <n v="54648"/>
    <n v="151159.663865546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E"/>
    <x v="378"/>
    <x v="279"/>
    <x v="0"/>
    <x v="0"/>
    <n v="1"/>
    <x v="200"/>
    <n v="4"/>
    <m/>
    <n v="0"/>
    <n v="6077"/>
    <n v="24308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59347442680776"/>
    <n v="13"/>
    <n v="0.4462190379049846"/>
    <n v="7"/>
    <s v=""/>
    <n v="1"/>
    <s v=""/>
    <n v="0"/>
    <s v=""/>
    <n v="2"/>
    <s v=""/>
    <n v="1.333333333333333"/>
    <n v="1"/>
    <s v=""/>
    <n v="0.6666666666666666"/>
    <n v="0"/>
    <s v=""/>
    <n v="0"/>
    <n v="1"/>
    <s v=""/>
    <n v="0.5"/>
    <n v="4"/>
    <n v="11"/>
    <n v="4"/>
    <n v="0"/>
    <n v="0"/>
    <n v="0"/>
    <n v="33423.5"/>
    <n v="54648"/>
    <n v="24308"/>
    <n v="0"/>
    <n v="4"/>
    <n v="24308"/>
    <n v="42341.64253936869"/>
    <n v="4"/>
    <n v="8"/>
    <n v="1.5"/>
    <n v="0"/>
    <n v="0"/>
    <n v="0"/>
    <n v="21269.5"/>
    <n v="39744"/>
    <n v="9115.5"/>
    <n v="0"/>
    <n v="4"/>
    <n v="24308"/>
    <n v="15878.11595226326"/>
    <n v="1.944"/>
    <n v="7"/>
    <n v="0"/>
    <n v="0"/>
    <n v="0"/>
    <n v="19606"/>
    <n v="42539"/>
    <n v="0"/>
    <n v="0"/>
    <n v="4"/>
    <n v="24308"/>
    <n v="0"/>
    <n v="1.5"/>
    <n v="9"/>
    <n v="2"/>
    <n v="0"/>
    <n v="0"/>
    <n v="44712"/>
    <n v="12154"/>
    <n v="0"/>
    <n v="0"/>
    <n v="4"/>
    <n v="24308"/>
    <n v="25193.27731092437"/>
    <n v="1.5"/>
    <n v="5"/>
    <n v="1.5"/>
    <m/>
    <n v="0"/>
    <n v="0"/>
    <n v="30385"/>
    <n v="7452"/>
    <n v="0"/>
    <n v="0"/>
    <n v="4"/>
    <n v="24308"/>
    <n v="18894.95798319328"/>
    <n v="4.5"/>
    <n v="4"/>
    <n v="0"/>
    <m/>
    <n v="0"/>
    <n v="0"/>
    <n v="24308"/>
    <n v="0"/>
    <n v="0"/>
    <n v="0"/>
    <n v="4"/>
    <n v="24308"/>
    <n v="0"/>
    <n v="2"/>
    <n v="5"/>
    <n v="2"/>
    <n v="0"/>
    <n v="0"/>
    <n v="0"/>
    <n v="30385"/>
    <n v="9936"/>
    <n v="0"/>
    <n v="0"/>
    <n v="5"/>
    <n v="24308"/>
    <n v="25193.27731092437"/>
    <n v="2"/>
    <n v="3"/>
    <n v="2"/>
    <n v="0"/>
    <n v="0"/>
    <n v="0"/>
    <n v="18231"/>
    <n v="9936"/>
    <n v="0"/>
    <n v="0"/>
    <n v="3"/>
    <n v="18231"/>
    <n v="25193.27731092437"/>
    <n v="2"/>
    <n v="1"/>
    <n v="2"/>
    <n v="0"/>
    <n v="0"/>
    <m/>
    <n v="4968"/>
    <n v="9936"/>
    <n v="0"/>
    <n v="0"/>
    <n v="1"/>
    <n v="4968"/>
    <n v="25193.2773109243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L"/>
    <x v="379"/>
    <x v="280"/>
    <x v="0"/>
    <x v="0"/>
    <n v="1"/>
    <x v="201"/>
    <n v="29"/>
    <m/>
    <n v="0"/>
    <n v="5355"/>
    <n v="155295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859915949569742"/>
    <n v="3"/>
    <s v=""/>
    <n v="0"/>
    <s v=""/>
    <n v="0"/>
    <s v=""/>
    <n v="0"/>
    <s v=""/>
    <n v="0"/>
    <n v="0"/>
    <s v=""/>
    <n v="0"/>
    <n v="0"/>
    <s v=""/>
    <n v="0"/>
    <n v="0"/>
    <s v=""/>
    <n v="0"/>
    <n v="1.3"/>
    <n v="25"/>
    <n v="1.3"/>
    <n v="0"/>
    <n v="0"/>
    <n v="0"/>
    <n v="6961.5"/>
    <n v="124200"/>
    <n v="6961.5"/>
    <n v="0"/>
    <n v="29"/>
    <n v="155295"/>
    <n v="13761.03382529483"/>
    <n v="1.17"/>
    <n v="26"/>
    <n v="0"/>
    <n v="0"/>
    <n v="0"/>
    <n v="0"/>
    <n v="0"/>
    <n v="129168"/>
    <n v="0"/>
    <n v="0"/>
    <n v="29"/>
    <n v="155295"/>
    <n v="0"/>
    <n v="2.106"/>
    <n v="26"/>
    <n v="0"/>
    <n v="0"/>
    <n v="0"/>
    <n v="7948.8"/>
    <n v="139230"/>
    <n v="0"/>
    <n v="0"/>
    <n v="29"/>
    <n v="155295"/>
    <n v="0"/>
    <n v="1.55"/>
    <n v="29"/>
    <n v="0"/>
    <n v="0"/>
    <n v="0"/>
    <n v="144072"/>
    <n v="0"/>
    <n v="0"/>
    <n v="0"/>
    <n v="29"/>
    <n v="155295"/>
    <n v="0"/>
    <n v="1.6"/>
    <n v="29"/>
    <n v="1.6"/>
    <m/>
    <n v="0"/>
    <n v="0"/>
    <n v="155295"/>
    <n v="7948.8"/>
    <n v="0"/>
    <n v="0"/>
    <n v="29"/>
    <n v="155295"/>
    <n v="20154.6218487395"/>
    <n v="4.7"/>
    <n v="29"/>
    <n v="0"/>
    <m/>
    <n v="0"/>
    <n v="0"/>
    <n v="155295"/>
    <n v="0"/>
    <n v="0"/>
    <n v="0"/>
    <n v="29"/>
    <n v="155295"/>
    <n v="0"/>
    <n v="10"/>
    <n v="29"/>
    <n v="10"/>
    <n v="0"/>
    <n v="0"/>
    <n v="0"/>
    <n v="155295"/>
    <n v="49680"/>
    <n v="0"/>
    <n v="0"/>
    <n v="29"/>
    <n v="155295"/>
    <n v="125966.3865546219"/>
    <n v="10"/>
    <n v="19"/>
    <n v="10"/>
    <n v="0"/>
    <n v="0"/>
    <n v="0"/>
    <n v="101745"/>
    <n v="49680"/>
    <n v="0"/>
    <n v="0"/>
    <n v="19"/>
    <n v="101745"/>
    <n v="125966.3865546219"/>
    <n v="10"/>
    <n v="9"/>
    <n v="10"/>
    <n v="0"/>
    <n v="0"/>
    <m/>
    <n v="44712"/>
    <n v="49680"/>
    <n v="0"/>
    <n v="0"/>
    <n v="9"/>
    <n v="44712"/>
    <n v="125966.386554621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L"/>
    <x v="380"/>
    <x v="280"/>
    <x v="0"/>
    <x v="0"/>
    <n v="1"/>
    <x v="202"/>
    <n v="50"/>
    <m/>
    <n v="0"/>
    <n v="5262"/>
    <n v="26310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72378237399163"/>
    <n v="9"/>
    <n v="0.3924225300286488"/>
    <n v="2"/>
    <s v=""/>
    <n v="1"/>
    <s v=""/>
    <n v="2"/>
    <s v=""/>
    <n v="0"/>
    <s v=""/>
    <n v="0"/>
    <n v="1"/>
    <s v=""/>
    <n v="0.2941176470588235"/>
    <n v="1"/>
    <s v=""/>
    <n v="0.09900990099009901"/>
    <n v="1"/>
    <s v=""/>
    <n v="0.05555555555555555"/>
    <n v="3"/>
    <n v="50"/>
    <n v="3"/>
    <n v="0"/>
    <n v="0"/>
    <n v="0"/>
    <n v="34203"/>
    <n v="248400"/>
    <n v="15786"/>
    <n v="0"/>
    <n v="50"/>
    <n v="263100"/>
    <n v="31756.23190452652"/>
    <n v="2.7"/>
    <n v="52"/>
    <n v="1.5"/>
    <n v="0"/>
    <n v="0"/>
    <n v="0"/>
    <n v="18417"/>
    <n v="258336"/>
    <n v="7893"/>
    <n v="0"/>
    <n v="50"/>
    <n v="263100"/>
    <n v="15878.11595226326"/>
    <n v="4.86"/>
    <n v="51"/>
    <n v="2"/>
    <n v="0"/>
    <n v="0"/>
    <n v="27415.2"/>
    <n v="268362"/>
    <n v="10524"/>
    <n v="0"/>
    <n v="50"/>
    <n v="263100"/>
    <n v="25193.27731092437"/>
    <n v="3.35"/>
    <n v="53"/>
    <n v="0"/>
    <n v="0"/>
    <n v="0"/>
    <n v="263304"/>
    <n v="0"/>
    <n v="0"/>
    <n v="0"/>
    <n v="50"/>
    <n v="263100"/>
    <n v="0"/>
    <n v="3.4"/>
    <n v="51"/>
    <n v="3.4"/>
    <m/>
    <n v="0"/>
    <n v="0"/>
    <n v="268362"/>
    <n v="16891.2"/>
    <n v="0"/>
    <n v="0"/>
    <n v="50"/>
    <n v="263100"/>
    <n v="42828.57142857143"/>
    <n v="10.1"/>
    <n v="51"/>
    <n v="1"/>
    <m/>
    <n v="0"/>
    <n v="0"/>
    <n v="268362"/>
    <n v="4968"/>
    <n v="0"/>
    <n v="0"/>
    <n v="51"/>
    <n v="263100"/>
    <n v="12596.63865546219"/>
    <n v="18"/>
    <n v="51"/>
    <n v="18"/>
    <n v="0"/>
    <n v="0"/>
    <n v="0"/>
    <n v="268362"/>
    <n v="89424"/>
    <n v="0"/>
    <n v="0"/>
    <n v="51"/>
    <n v="263100"/>
    <n v="226739.4957983193"/>
    <n v="18"/>
    <n v="33"/>
    <n v="18"/>
    <n v="0"/>
    <n v="0"/>
    <n v="0"/>
    <n v="173646"/>
    <n v="89424"/>
    <n v="0"/>
    <n v="0"/>
    <n v="33"/>
    <n v="173646"/>
    <n v="226739.4957983193"/>
    <n v="18"/>
    <n v="15"/>
    <n v="18"/>
    <n v="0"/>
    <n v="0"/>
    <m/>
    <n v="74520"/>
    <n v="89424"/>
    <n v="0"/>
    <n v="0"/>
    <n v="15"/>
    <n v="74520"/>
    <n v="226739.495798319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L"/>
    <x v="381"/>
    <x v="280"/>
    <x v="0"/>
    <x v="0"/>
    <n v="1"/>
    <x v="203"/>
    <n v="33"/>
    <m/>
    <n v="0"/>
    <n v="5239"/>
    <n v="172887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698478900883219"/>
    <n v="23"/>
    <n v="0.373832072881832"/>
    <n v="4"/>
    <s v=""/>
    <n v="1"/>
    <s v=""/>
    <n v="0"/>
    <s v=""/>
    <n v="0"/>
    <s v=""/>
    <n v="0"/>
    <n v="1"/>
    <s v=""/>
    <n v="0.303030303030303"/>
    <n v="1"/>
    <s v=""/>
    <n v="0.101010101010101"/>
    <n v="0"/>
    <s v=""/>
    <n v="0"/>
    <n v="5"/>
    <n v="25"/>
    <n v="5"/>
    <n v="0"/>
    <n v="0"/>
    <n v="0"/>
    <n v="34053.5"/>
    <n v="124200"/>
    <n v="26195"/>
    <n v="0"/>
    <n v="33"/>
    <n v="172887"/>
    <n v="52927.05317421087"/>
    <n v="2.61"/>
    <n v="33"/>
    <n v="1.5"/>
    <n v="0"/>
    <n v="0"/>
    <n v="0"/>
    <n v="7858.5"/>
    <n v="163944"/>
    <n v="7858.5"/>
    <n v="0"/>
    <n v="33"/>
    <n v="172887"/>
    <n v="15878.11595226326"/>
    <n v="4.698"/>
    <n v="32"/>
    <n v="0"/>
    <n v="0"/>
    <n v="0"/>
    <n v="16394.4"/>
    <n v="167648"/>
    <n v="0"/>
    <n v="0"/>
    <n v="33"/>
    <n v="172887"/>
    <n v="0"/>
    <n v="3.3"/>
    <n v="35"/>
    <n v="0"/>
    <n v="0"/>
    <n v="0"/>
    <n v="173880"/>
    <n v="0"/>
    <n v="0"/>
    <n v="0"/>
    <n v="33"/>
    <n v="172887"/>
    <n v="0"/>
    <n v="3.3"/>
    <n v="34"/>
    <n v="3.3"/>
    <m/>
    <n v="0"/>
    <n v="0"/>
    <n v="178126"/>
    <n v="16394.4"/>
    <n v="0"/>
    <n v="0"/>
    <n v="33"/>
    <n v="172887"/>
    <n v="41568.90756302521"/>
    <n v="9.9"/>
    <n v="34"/>
    <n v="1"/>
    <m/>
    <n v="0"/>
    <n v="0"/>
    <n v="178126"/>
    <n v="4968"/>
    <n v="0"/>
    <n v="0"/>
    <n v="34"/>
    <n v="172887"/>
    <n v="12596.63865546219"/>
    <n v="12"/>
    <n v="33"/>
    <n v="12"/>
    <n v="0"/>
    <n v="0"/>
    <n v="0"/>
    <n v="172887"/>
    <n v="59616"/>
    <n v="0"/>
    <n v="0"/>
    <n v="33"/>
    <n v="172887"/>
    <n v="151159.6638655462"/>
    <n v="12"/>
    <n v="21"/>
    <n v="12"/>
    <n v="0"/>
    <n v="0"/>
    <n v="0"/>
    <n v="110019"/>
    <n v="59616"/>
    <n v="0"/>
    <n v="0"/>
    <n v="21"/>
    <n v="110019"/>
    <n v="151159.6638655462"/>
    <n v="12"/>
    <n v="9"/>
    <n v="12"/>
    <n v="0"/>
    <n v="0"/>
    <m/>
    <n v="44712"/>
    <n v="59616"/>
    <n v="0"/>
    <n v="0"/>
    <n v="9"/>
    <n v="44712"/>
    <n v="151159.663865546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L"/>
    <x v="382"/>
    <x v="280"/>
    <x v="0"/>
    <x v="0"/>
    <n v="1"/>
    <x v="204"/>
    <n v="16"/>
    <m/>
    <n v="0"/>
    <n v="5290"/>
    <n v="8464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70017636684303"/>
    <n v="9"/>
    <n v="0.3936178584544358"/>
    <n v="4"/>
    <s v=""/>
    <n v="0"/>
    <s v=""/>
    <n v="2"/>
    <s v=""/>
    <n v="1"/>
    <s v=""/>
    <n v="0.6451612903225806"/>
    <n v="0"/>
    <s v=""/>
    <n v="0"/>
    <n v="3"/>
    <s v=""/>
    <n v="0.6382978723404255"/>
    <n v="0"/>
    <s v=""/>
    <n v="0"/>
    <n v="4"/>
    <n v="16"/>
    <n v="4"/>
    <n v="0"/>
    <n v="0"/>
    <n v="0"/>
    <n v="31740"/>
    <n v="79488"/>
    <n v="21160"/>
    <n v="0"/>
    <n v="16"/>
    <n v="84640"/>
    <n v="42341.64253936869"/>
    <n v="3"/>
    <n v="19"/>
    <n v="0"/>
    <n v="0"/>
    <n v="0"/>
    <n v="0"/>
    <n v="15870"/>
    <n v="94392"/>
    <n v="0"/>
    <n v="0"/>
    <n v="16"/>
    <n v="84640"/>
    <n v="0"/>
    <n v="2.106"/>
    <n v="19"/>
    <n v="2"/>
    <n v="0"/>
    <n v="0"/>
    <n v="23818.8"/>
    <n v="100510"/>
    <n v="10580"/>
    <n v="0"/>
    <n v="16"/>
    <n v="84640"/>
    <n v="25193.27731092437"/>
    <n v="1.55"/>
    <n v="20"/>
    <n v="1"/>
    <n v="0"/>
    <n v="0"/>
    <n v="99360"/>
    <n v="5290"/>
    <n v="0"/>
    <n v="0"/>
    <n v="16"/>
    <n v="84640"/>
    <n v="12596.63865546219"/>
    <n v="1.6"/>
    <n v="16"/>
    <n v="1.6"/>
    <m/>
    <n v="0"/>
    <n v="0"/>
    <n v="84640"/>
    <n v="7948.8"/>
    <n v="0"/>
    <n v="0"/>
    <n v="16"/>
    <n v="84640"/>
    <n v="20154.6218487395"/>
    <n v="4.7"/>
    <n v="19"/>
    <n v="3"/>
    <m/>
    <n v="0"/>
    <n v="0"/>
    <n v="100510"/>
    <n v="14904"/>
    <n v="0"/>
    <n v="0"/>
    <n v="19"/>
    <n v="84640"/>
    <n v="37789.91596638656"/>
    <n v="7"/>
    <n v="16"/>
    <n v="7"/>
    <n v="0"/>
    <n v="0"/>
    <n v="0"/>
    <n v="84640"/>
    <n v="34776"/>
    <n v="0"/>
    <n v="0"/>
    <n v="16"/>
    <n v="84640"/>
    <n v="88176.4705882353"/>
    <n v="7"/>
    <n v="9"/>
    <n v="7"/>
    <n v="0"/>
    <n v="0"/>
    <n v="0"/>
    <n v="47610"/>
    <n v="34776"/>
    <n v="0"/>
    <n v="0"/>
    <n v="9"/>
    <n v="47610"/>
    <n v="88176.4705882353"/>
    <n v="7"/>
    <n v="2"/>
    <n v="7"/>
    <n v="0"/>
    <n v="0"/>
    <m/>
    <n v="9936"/>
    <n v="34776"/>
    <n v="0"/>
    <n v="0"/>
    <n v="2"/>
    <n v="9936"/>
    <n v="88176.470588235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U"/>
    <x v="383"/>
    <x v="281"/>
    <x v="0"/>
    <x v="0"/>
    <n v="1"/>
    <x v="205"/>
    <n v="8"/>
    <m/>
    <n v="0"/>
    <n v="5341"/>
    <n v="42728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019483427888922"/>
    <n v="2"/>
    <s v=""/>
    <n v="1"/>
    <s v=""/>
    <n v="0"/>
    <s v=""/>
    <n v="0"/>
    <s v=""/>
    <n v="0"/>
    <n v="0"/>
    <s v=""/>
    <n v="0"/>
    <n v="0"/>
    <s v=""/>
    <n v="0"/>
    <n v="0"/>
    <s v=""/>
    <n v="0"/>
    <n v="3"/>
    <n v="7"/>
    <n v="3"/>
    <n v="0"/>
    <n v="0"/>
    <n v="0"/>
    <n v="24034.5"/>
    <n v="34776"/>
    <n v="16023"/>
    <n v="0"/>
    <n v="8"/>
    <n v="42728"/>
    <n v="31756.23190452652"/>
    <n v="2"/>
    <n v="7"/>
    <n v="1.5"/>
    <n v="0"/>
    <n v="0"/>
    <n v="0"/>
    <n v="8011.5"/>
    <n v="34776"/>
    <n v="8011.5"/>
    <n v="0"/>
    <n v="8"/>
    <n v="42728"/>
    <n v="15878.11595226326"/>
    <n v="2.106"/>
    <n v="6"/>
    <n v="0"/>
    <n v="0"/>
    <n v="0"/>
    <n v="7948.8"/>
    <n v="32046"/>
    <n v="0"/>
    <n v="0"/>
    <n v="8"/>
    <n v="42728"/>
    <n v="0"/>
    <n v="1.55"/>
    <n v="8"/>
    <n v="0"/>
    <n v="0"/>
    <n v="0"/>
    <n v="39744"/>
    <n v="0"/>
    <n v="0"/>
    <n v="0"/>
    <n v="8"/>
    <n v="42728"/>
    <n v="0"/>
    <n v="1.6"/>
    <n v="8"/>
    <n v="1.6"/>
    <m/>
    <n v="0"/>
    <n v="0"/>
    <n v="42728"/>
    <n v="7948.8"/>
    <n v="0"/>
    <n v="0"/>
    <n v="8"/>
    <n v="42728"/>
    <n v="20154.6218487395"/>
    <n v="4.7"/>
    <n v="8"/>
    <n v="0"/>
    <m/>
    <n v="0"/>
    <n v="0"/>
    <n v="42728"/>
    <n v="0"/>
    <n v="0"/>
    <n v="0"/>
    <n v="8"/>
    <n v="42728"/>
    <n v="0"/>
    <n v="3"/>
    <n v="8"/>
    <n v="3"/>
    <n v="0"/>
    <n v="0"/>
    <n v="0"/>
    <n v="42728"/>
    <n v="14904"/>
    <n v="0"/>
    <n v="0"/>
    <n v="8"/>
    <n v="42728"/>
    <n v="37789.91596638656"/>
    <n v="3"/>
    <n v="5"/>
    <n v="3"/>
    <n v="0"/>
    <n v="0"/>
    <n v="0"/>
    <n v="26705"/>
    <n v="14904"/>
    <n v="0"/>
    <n v="0"/>
    <n v="5"/>
    <n v="26705"/>
    <n v="37789.91596638656"/>
    <n v="3"/>
    <n v="2"/>
    <n v="3"/>
    <n v="0"/>
    <n v="0"/>
    <m/>
    <n v="9936"/>
    <n v="14904"/>
    <n v="0"/>
    <n v="0"/>
    <n v="2"/>
    <n v="9936"/>
    <n v="37789.9159663865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U"/>
    <x v="384"/>
    <x v="281"/>
    <x v="0"/>
    <x v="0"/>
    <n v="1"/>
    <x v="206"/>
    <n v="12"/>
    <m/>
    <n v="0"/>
    <n v="5187"/>
    <n v="62244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"/>
    <n v="0.4466234106316739"/>
    <n v="6"/>
    <s v=""/>
    <n v="1"/>
    <s v=""/>
    <n v="0"/>
    <s v=""/>
    <n v="0"/>
    <s v=""/>
    <n v="0"/>
    <n v="0"/>
    <s v=""/>
    <n v="0"/>
    <n v="1"/>
    <s v=""/>
    <n v="0.09900990099009901"/>
    <n v="1"/>
    <s v=""/>
    <n v="0.2"/>
    <n v="4"/>
    <n v="17"/>
    <n v="4"/>
    <n v="0"/>
    <n v="0"/>
    <n v="0"/>
    <n v="28528.5"/>
    <n v="84456"/>
    <n v="20748"/>
    <n v="0"/>
    <n v="12"/>
    <n v="62244"/>
    <n v="42341.64253936869"/>
    <n v="2.7"/>
    <n v="14"/>
    <n v="1.5"/>
    <n v="0"/>
    <n v="0"/>
    <n v="0"/>
    <n v="7780.5"/>
    <n v="69552"/>
    <n v="7780.5"/>
    <n v="0"/>
    <n v="12"/>
    <n v="62244"/>
    <n v="15878.11595226326"/>
    <n v="4.86"/>
    <n v="13"/>
    <n v="0"/>
    <n v="0"/>
    <n v="0"/>
    <n v="16891.2"/>
    <n v="67431"/>
    <n v="0"/>
    <n v="0"/>
    <n v="12"/>
    <n v="62244"/>
    <n v="0"/>
    <n v="3.35"/>
    <n v="14"/>
    <n v="0"/>
    <n v="0"/>
    <n v="0"/>
    <n v="69552"/>
    <n v="0"/>
    <n v="0"/>
    <n v="0"/>
    <n v="12"/>
    <n v="62244"/>
    <n v="0"/>
    <n v="3.4"/>
    <n v="12"/>
    <n v="3.4"/>
    <m/>
    <n v="0"/>
    <n v="0"/>
    <n v="62244"/>
    <n v="16891.2"/>
    <n v="0"/>
    <n v="0"/>
    <n v="12"/>
    <n v="62244"/>
    <n v="42828.57142857143"/>
    <n v="10.1"/>
    <n v="13"/>
    <n v="1"/>
    <m/>
    <n v="0"/>
    <n v="0"/>
    <n v="67431"/>
    <n v="4968"/>
    <n v="0"/>
    <n v="0"/>
    <n v="13"/>
    <n v="62244"/>
    <n v="12596.63865546219"/>
    <n v="5"/>
    <n v="13"/>
    <n v="5"/>
    <n v="0"/>
    <n v="0"/>
    <n v="0"/>
    <n v="67431"/>
    <n v="24840"/>
    <n v="0"/>
    <n v="0"/>
    <n v="13"/>
    <n v="62244"/>
    <n v="62983.19327731093"/>
    <n v="5"/>
    <n v="8"/>
    <n v="5"/>
    <n v="0"/>
    <n v="0"/>
    <n v="0"/>
    <n v="41496"/>
    <n v="24840"/>
    <n v="0"/>
    <n v="0"/>
    <n v="8"/>
    <n v="41496"/>
    <n v="62983.19327731093"/>
    <n v="5"/>
    <n v="3"/>
    <n v="5"/>
    <n v="0"/>
    <n v="0"/>
    <m/>
    <n v="14904"/>
    <n v="24840"/>
    <n v="0"/>
    <n v="0"/>
    <n v="3"/>
    <n v="14904"/>
    <n v="62983.1932773109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U"/>
    <x v="385"/>
    <x v="281"/>
    <x v="0"/>
    <x v="0"/>
    <n v="1"/>
    <x v="207"/>
    <n v="1"/>
    <m/>
    <n v="0"/>
    <n v="5137"/>
    <n v="5137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5114907915174185"/>
    <n v="16"/>
    <n v="0.4558442848157834"/>
    <n v="6"/>
    <s v=""/>
    <n v="2"/>
    <s v=""/>
    <n v="1"/>
    <s v=""/>
    <n v="1"/>
    <s v=""/>
    <n v="0.2985074626865671"/>
    <n v="1"/>
    <s v=""/>
    <n v="0.2941176470588235"/>
    <n v="1"/>
    <s v=""/>
    <n v="0.09900990099009901"/>
    <n v="0"/>
    <s v=""/>
    <n v="0"/>
    <n v="5"/>
    <n v="3"/>
    <n v="5"/>
    <n v="0"/>
    <n v="0"/>
    <n v="0"/>
    <n v="46233"/>
    <n v="14904"/>
    <n v="25685"/>
    <n v="0"/>
    <n v="1"/>
    <n v="5137"/>
    <n v="52927.05317421087"/>
    <n v="2.7"/>
    <n v="9"/>
    <n v="3"/>
    <n v="0"/>
    <n v="0"/>
    <n v="0"/>
    <n v="25685"/>
    <n v="44712"/>
    <n v="15411"/>
    <n v="0"/>
    <n v="1"/>
    <n v="5137"/>
    <n v="31756.23190452652"/>
    <n v="4.86"/>
    <n v="7"/>
    <n v="1"/>
    <n v="0"/>
    <n v="0"/>
    <n v="27165.2"/>
    <n v="35959"/>
    <n v="5137"/>
    <n v="0"/>
    <n v="1"/>
    <n v="5137"/>
    <n v="12596.63865546219"/>
    <n v="3.35"/>
    <n v="6"/>
    <n v="1"/>
    <n v="0"/>
    <n v="0"/>
    <n v="29808"/>
    <n v="5137"/>
    <n v="0"/>
    <n v="0"/>
    <n v="1"/>
    <n v="5137"/>
    <n v="12596.63865546219"/>
    <n v="3.4"/>
    <n v="2"/>
    <n v="3.4"/>
    <m/>
    <n v="0"/>
    <n v="0"/>
    <n v="10274"/>
    <n v="16891.2"/>
    <n v="0"/>
    <n v="0"/>
    <n v="1"/>
    <n v="5137"/>
    <n v="42828.57142857143"/>
    <n v="10.1"/>
    <n v="2"/>
    <n v="1"/>
    <m/>
    <n v="0"/>
    <n v="0"/>
    <n v="10274"/>
    <n v="4968"/>
    <n v="0"/>
    <n v="0"/>
    <n v="2"/>
    <n v="5137"/>
    <n v="12596.63865546219"/>
    <n v="1"/>
    <n v="1"/>
    <n v="1"/>
    <n v="0"/>
    <n v="0"/>
    <n v="0"/>
    <n v="5137"/>
    <n v="4968"/>
    <n v="0"/>
    <n v="0"/>
    <n v="1"/>
    <n v="5137"/>
    <n v="12596.63865546219"/>
    <n v="1"/>
    <n v="0"/>
    <n v="1"/>
    <n v="0"/>
    <n v="0"/>
    <n v="0"/>
    <n v="0"/>
    <n v="4968"/>
    <n v="0"/>
    <n v="0"/>
    <n v="0"/>
    <n v="0"/>
    <n v="12596.63865546219"/>
    <n v="1"/>
    <n v="0"/>
    <n v="1"/>
    <n v="0"/>
    <n v="0"/>
    <m/>
    <n v="0"/>
    <n v="4968"/>
    <n v="0"/>
    <n v="0"/>
    <n v="0"/>
    <n v="0"/>
    <n v="12596.6386554621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8"/>
    <s v="LTS26-MTS02BMU"/>
    <x v="386"/>
    <x v="281"/>
    <x v="0"/>
    <x v="0"/>
    <n v="1"/>
    <x v="208"/>
    <n v="0"/>
    <m/>
    <n v="0"/>
    <n v="5242"/>
    <n v="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08969191307044"/>
    <n v="2"/>
    <s v=""/>
    <n v="0"/>
    <s v=""/>
    <n v="0"/>
    <s v=""/>
    <n v="2"/>
    <s v=""/>
    <n v="1.290322580645161"/>
    <n v="1"/>
    <s v=""/>
    <n v="0.625"/>
    <n v="1"/>
    <s v=""/>
    <n v="0.2127659574468085"/>
    <n v="1"/>
    <s v=""/>
    <n v="1"/>
    <n v="5"/>
    <n v="3"/>
    <n v="5"/>
    <n v="0"/>
    <n v="0"/>
    <n v="0"/>
    <n v="26210"/>
    <n v="14904"/>
    <n v="26210"/>
    <n v="0"/>
    <n v="0"/>
    <n v="0"/>
    <n v="52927.05317421087"/>
    <n v="2"/>
    <n v="3"/>
    <n v="0"/>
    <n v="0"/>
    <n v="0"/>
    <n v="0"/>
    <n v="10484"/>
    <n v="14904"/>
    <n v="0"/>
    <n v="0"/>
    <n v="0"/>
    <n v="0"/>
    <n v="0"/>
    <n v="2.106"/>
    <n v="3"/>
    <n v="0"/>
    <n v="0"/>
    <n v="0"/>
    <n v="18432.8"/>
    <n v="15726"/>
    <n v="0"/>
    <n v="0"/>
    <n v="0"/>
    <n v="0"/>
    <n v="0"/>
    <n v="1.55"/>
    <n v="3"/>
    <n v="2"/>
    <n v="0"/>
    <n v="0"/>
    <n v="14904"/>
    <n v="10484"/>
    <n v="0"/>
    <n v="0"/>
    <n v="0"/>
    <n v="0"/>
    <n v="25193.27731092437"/>
    <n v="1.6"/>
    <n v="1"/>
    <n v="1.6"/>
    <m/>
    <n v="0"/>
    <n v="0"/>
    <n v="5242"/>
    <n v="7948.8"/>
    <n v="0"/>
    <n v="0"/>
    <n v="0"/>
    <n v="0"/>
    <n v="20154.6218487395"/>
    <n v="4.7"/>
    <n v="1"/>
    <n v="1"/>
    <m/>
    <n v="0"/>
    <n v="0"/>
    <n v="5242"/>
    <n v="4968"/>
    <n v="0"/>
    <n v="0"/>
    <n v="1"/>
    <n v="0"/>
    <n v="12596.63865546219"/>
    <n v="1"/>
    <n v="1"/>
    <n v="1"/>
    <n v="0"/>
    <n v="0"/>
    <n v="0"/>
    <n v="5242"/>
    <n v="4968"/>
    <n v="0"/>
    <n v="0"/>
    <n v="1"/>
    <n v="0"/>
    <n v="12596.63865546219"/>
    <n v="1"/>
    <n v="0"/>
    <n v="1"/>
    <n v="0"/>
    <n v="0"/>
    <n v="0"/>
    <n v="0"/>
    <n v="4968"/>
    <n v="0"/>
    <n v="0"/>
    <n v="0"/>
    <n v="0"/>
    <n v="12596.63865546219"/>
    <n v="1"/>
    <n v="0"/>
    <n v="1"/>
    <n v="0"/>
    <n v="0"/>
    <m/>
    <n v="0"/>
    <n v="4968"/>
    <n v="0"/>
    <n v="0"/>
    <n v="0"/>
    <n v="0"/>
    <n v="12596.6386554621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OR"/>
    <x v="387"/>
    <x v="282"/>
    <x v="0"/>
    <x v="1"/>
    <n v="1"/>
    <x v="209"/>
    <n v="26"/>
    <m/>
    <n v="0"/>
    <n v="8355"/>
    <n v="217230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000398684341672"/>
    <n v="1"/>
    <s v=""/>
    <n v="0"/>
    <s v=""/>
    <n v="0"/>
    <s v=""/>
    <n v="1"/>
    <s v=""/>
    <n v="0.625"/>
    <n v="1"/>
    <s v=""/>
    <n v="0.625"/>
    <n v="0"/>
    <s v=""/>
    <n v="0"/>
    <n v="2"/>
    <s v=""/>
    <n v="0.2"/>
    <n v="2"/>
    <n v="31"/>
    <n v="2"/>
    <n v="0"/>
    <n v="0"/>
    <n v="0"/>
    <n v="16710"/>
    <n v="240637.5"/>
    <n v="16710"/>
    <n v="0"/>
    <n v="26"/>
    <n v="217230"/>
    <n v="28232.46945837159"/>
    <n v="2"/>
    <n v="29"/>
    <n v="0"/>
    <n v="0"/>
    <n v="0"/>
    <n v="0"/>
    <n v="8355"/>
    <n v="225112.5"/>
    <n v="0"/>
    <n v="0"/>
    <n v="26"/>
    <n v="217230"/>
    <n v="0"/>
    <n v="2.268"/>
    <n v="29"/>
    <n v="0"/>
    <n v="0"/>
    <n v="0"/>
    <n v="20775"/>
    <n v="242295"/>
    <n v="0"/>
    <n v="0"/>
    <n v="26"/>
    <n v="217230"/>
    <n v="0"/>
    <n v="1.6"/>
    <n v="31"/>
    <n v="1"/>
    <n v="0"/>
    <n v="0"/>
    <n v="240637.5"/>
    <n v="8355"/>
    <n v="0"/>
    <n v="0"/>
    <n v="26"/>
    <n v="217230"/>
    <n v="16798.31932773109"/>
    <n v="1.6"/>
    <n v="27"/>
    <n v="1.6"/>
    <m/>
    <n v="0"/>
    <n v="0"/>
    <n v="225585"/>
    <n v="12420"/>
    <n v="0"/>
    <n v="0"/>
    <n v="26"/>
    <n v="217230"/>
    <n v="26877.31092436975"/>
    <n v="4.8"/>
    <n v="26"/>
    <n v="0"/>
    <m/>
    <n v="0"/>
    <n v="0"/>
    <n v="217230"/>
    <n v="0"/>
    <n v="0"/>
    <n v="0"/>
    <n v="26"/>
    <n v="217230"/>
    <n v="0"/>
    <n v="10"/>
    <n v="28"/>
    <n v="10"/>
    <n v="0"/>
    <n v="0"/>
    <n v="0"/>
    <n v="233940"/>
    <n v="77624.99999999999"/>
    <n v="0"/>
    <n v="0"/>
    <n v="28"/>
    <n v="217230"/>
    <n v="167983.1932773109"/>
    <n v="10"/>
    <n v="18"/>
    <n v="10"/>
    <n v="0"/>
    <n v="0"/>
    <n v="0"/>
    <n v="150390"/>
    <n v="77624.99999999999"/>
    <n v="0"/>
    <n v="0"/>
    <n v="18"/>
    <n v="150390"/>
    <n v="167983.1932773109"/>
    <n v="10"/>
    <n v="8"/>
    <n v="10"/>
    <n v="0"/>
    <n v="0"/>
    <m/>
    <n v="62099.99999999999"/>
    <n v="77624.99999999999"/>
    <n v="0"/>
    <n v="0"/>
    <n v="8"/>
    <n v="62099.99999999999"/>
    <n v="167983.193277310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OR"/>
    <x v="388"/>
    <x v="282"/>
    <x v="0"/>
    <x v="1"/>
    <n v="1"/>
    <x v="210"/>
    <n v="55"/>
    <m/>
    <n v="0"/>
    <n v="8174"/>
    <n v="449570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000398684341672"/>
    <n v="6"/>
    <s v=""/>
    <n v="1"/>
    <s v=""/>
    <n v="1"/>
    <s v=""/>
    <n v="0"/>
    <s v=""/>
    <n v="0"/>
    <n v="2"/>
    <s v=""/>
    <n v="0.5"/>
    <n v="3"/>
    <s v=""/>
    <n v="0.2884615384615384"/>
    <n v="2"/>
    <s v=""/>
    <n v="0.09523809523809523"/>
    <n v="3.2"/>
    <n v="69"/>
    <n v="3.2"/>
    <n v="0"/>
    <n v="0"/>
    <n v="0"/>
    <n v="46591.8"/>
    <n v="535612.4999999999"/>
    <n v="26156.8"/>
    <n v="0"/>
    <n v="55"/>
    <n v="449570"/>
    <n v="45171.95113339454"/>
    <n v="3"/>
    <n v="63"/>
    <n v="1.5"/>
    <n v="0"/>
    <n v="0"/>
    <n v="0"/>
    <n v="20435"/>
    <n v="489037.4999999999"/>
    <n v="12261"/>
    <n v="0"/>
    <n v="55"/>
    <n v="449570"/>
    <n v="21174.35209377869"/>
    <n v="4"/>
    <n v="62"/>
    <n v="1"/>
    <n v="0"/>
    <n v="0"/>
    <n v="39224"/>
    <n v="506788"/>
    <n v="8174"/>
    <n v="0"/>
    <n v="55"/>
    <n v="449570"/>
    <n v="16798.31932773109"/>
    <n v="3.45"/>
    <n v="62"/>
    <n v="0"/>
    <n v="0"/>
    <n v="0"/>
    <n v="481274.9999999999"/>
    <n v="0"/>
    <n v="0"/>
    <n v="0"/>
    <n v="55"/>
    <n v="449570"/>
    <n v="0"/>
    <n v="4"/>
    <n v="57"/>
    <n v="4"/>
    <m/>
    <n v="0"/>
    <n v="0"/>
    <n v="465918"/>
    <n v="31050"/>
    <n v="0"/>
    <n v="0"/>
    <n v="55"/>
    <n v="449570"/>
    <n v="67193.27731092437"/>
    <n v="10.4"/>
    <n v="58"/>
    <n v="3"/>
    <m/>
    <n v="0"/>
    <n v="0"/>
    <n v="474092"/>
    <n v="23287.5"/>
    <n v="0"/>
    <n v="0"/>
    <n v="58"/>
    <n v="449570"/>
    <n v="50394.95798319328"/>
    <n v="21"/>
    <n v="57"/>
    <n v="21"/>
    <n v="0"/>
    <n v="0"/>
    <n v="0"/>
    <n v="465918"/>
    <n v="163012.5"/>
    <n v="0"/>
    <n v="0"/>
    <n v="57"/>
    <n v="449570"/>
    <n v="352764.705882353"/>
    <n v="21"/>
    <n v="36"/>
    <n v="21"/>
    <n v="0"/>
    <n v="0"/>
    <n v="0"/>
    <n v="294264"/>
    <n v="163012.5"/>
    <n v="0"/>
    <n v="0"/>
    <n v="36"/>
    <n v="294264"/>
    <n v="352764.705882353"/>
    <n v="21"/>
    <n v="15"/>
    <n v="21"/>
    <n v="0"/>
    <n v="0"/>
    <m/>
    <n v="116437.5"/>
    <n v="163012.5"/>
    <n v="0"/>
    <n v="0"/>
    <n v="15"/>
    <n v="116437.5"/>
    <n v="352764.70588235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OR"/>
    <x v="389"/>
    <x v="282"/>
    <x v="0"/>
    <x v="1"/>
    <n v="1"/>
    <x v="211"/>
    <n v="55"/>
    <m/>
    <n v="0"/>
    <n v="8172"/>
    <n v="449460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"/>
    <n v="2"/>
    <n v="0"/>
    <n v="6"/>
    <s v=""/>
    <n v="0"/>
    <s v=""/>
    <n v="0"/>
    <s v=""/>
    <n v="1"/>
    <s v=""/>
    <n v="0.3333333333333333"/>
    <n v="2"/>
    <s v=""/>
    <n v="0.4651162790697674"/>
    <n v="8"/>
    <s v=""/>
    <n v="0.625"/>
    <n v="1"/>
    <s v=""/>
    <n v="0.04545454545454546"/>
    <n v="3"/>
    <n v="71"/>
    <n v="3"/>
    <n v="0"/>
    <n v="0"/>
    <n v="0"/>
    <n v="24516"/>
    <n v="551137.4999999999"/>
    <n v="24516"/>
    <n v="0"/>
    <n v="55"/>
    <n v="449460"/>
    <n v="42348.70418755738"/>
    <n v="3"/>
    <n v="64"/>
    <n v="0"/>
    <n v="0"/>
    <n v="0"/>
    <n v="0"/>
    <n v="8172"/>
    <n v="496799.9999999999"/>
    <n v="0"/>
    <n v="0"/>
    <n v="55"/>
    <n v="449460"/>
    <n v="0"/>
    <n v="4"/>
    <n v="64"/>
    <n v="0"/>
    <n v="0"/>
    <n v="0"/>
    <n v="41550.74999999999"/>
    <n v="523008"/>
    <n v="0"/>
    <n v="0"/>
    <n v="55"/>
    <n v="449460"/>
    <n v="0"/>
    <n v="3"/>
    <n v="66"/>
    <n v="1"/>
    <n v="0"/>
    <n v="0"/>
    <n v="512324.9999999999"/>
    <n v="8172"/>
    <n v="0"/>
    <n v="0"/>
    <n v="55"/>
    <n v="449460"/>
    <n v="16798.31932773109"/>
    <n v="4.3"/>
    <n v="57"/>
    <n v="4.3"/>
    <m/>
    <n v="0"/>
    <n v="0"/>
    <n v="465804"/>
    <n v="33378.74999999999"/>
    <n v="0"/>
    <n v="0"/>
    <n v="55"/>
    <n v="449460"/>
    <n v="72232.7731092437"/>
    <n v="12.8"/>
    <n v="63"/>
    <n v="8"/>
    <m/>
    <n v="0"/>
    <n v="0"/>
    <n v="514836"/>
    <n v="62099.99999999999"/>
    <n v="0"/>
    <n v="0"/>
    <n v="63"/>
    <n v="449460"/>
    <n v="134386.5546218487"/>
    <n v="22"/>
    <n v="56"/>
    <n v="22"/>
    <n v="0"/>
    <n v="0"/>
    <n v="0"/>
    <n v="457632"/>
    <n v="170775"/>
    <n v="0"/>
    <n v="0"/>
    <n v="56"/>
    <n v="449460"/>
    <n v="369563.025210084"/>
    <n v="22"/>
    <n v="34"/>
    <n v="22"/>
    <n v="0"/>
    <n v="0"/>
    <n v="0"/>
    <n v="277848"/>
    <n v="170775"/>
    <n v="0"/>
    <n v="0"/>
    <n v="34"/>
    <n v="277848"/>
    <n v="369563.025210084"/>
    <n v="22"/>
    <n v="12"/>
    <n v="22"/>
    <n v="0"/>
    <n v="0"/>
    <m/>
    <n v="93149.99999999999"/>
    <n v="170775"/>
    <n v="0"/>
    <n v="0"/>
    <n v="12"/>
    <n v="93149.99999999999"/>
    <n v="369563.02521008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OR"/>
    <x v="390"/>
    <x v="282"/>
    <x v="0"/>
    <x v="1"/>
    <n v="1"/>
    <x v="212"/>
    <n v="21"/>
    <m/>
    <n v="0"/>
    <n v="8265"/>
    <n v="173565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1999879634087626"/>
    <n v="2"/>
    <n v="0.4802272283986737"/>
    <n v="5"/>
    <s v=""/>
    <n v="1"/>
    <s v=""/>
    <n v="0"/>
    <s v=""/>
    <n v="0"/>
    <s v=""/>
    <n v="0"/>
    <n v="2"/>
    <s v=""/>
    <n v="0.5"/>
    <n v="9"/>
    <s v=""/>
    <n v="0.9"/>
    <n v="1"/>
    <s v=""/>
    <n v="0.09090909090909091"/>
    <n v="2.3"/>
    <n v="40"/>
    <n v="2.3"/>
    <n v="0"/>
    <n v="0"/>
    <n v="0"/>
    <n v="31407"/>
    <n v="310499.9999999999"/>
    <n v="19009.5"/>
    <n v="0"/>
    <n v="21"/>
    <n v="173565"/>
    <n v="32467.33987712733"/>
    <n v="2"/>
    <n v="32"/>
    <n v="1.5"/>
    <n v="0"/>
    <n v="0"/>
    <n v="0"/>
    <n v="12397.5"/>
    <n v="248400"/>
    <n v="12397.5"/>
    <n v="0"/>
    <n v="21"/>
    <n v="173565"/>
    <n v="21174.35209377869"/>
    <n v="2"/>
    <n v="31"/>
    <n v="0"/>
    <n v="0"/>
    <n v="0"/>
    <n v="31050"/>
    <n v="256215"/>
    <n v="0"/>
    <n v="0"/>
    <n v="21"/>
    <n v="173565"/>
    <n v="0"/>
    <n v="3"/>
    <n v="33"/>
    <n v="0"/>
    <n v="0"/>
    <n v="0"/>
    <n v="256162.5"/>
    <n v="0"/>
    <n v="0"/>
    <n v="0"/>
    <n v="21"/>
    <n v="173565"/>
    <n v="0"/>
    <n v="4"/>
    <n v="23"/>
    <n v="4"/>
    <m/>
    <n v="0"/>
    <n v="0"/>
    <n v="190095"/>
    <n v="31050"/>
    <n v="0"/>
    <n v="0"/>
    <n v="21"/>
    <n v="173565"/>
    <n v="67193.27731092437"/>
    <n v="10"/>
    <n v="30"/>
    <n v="9"/>
    <m/>
    <n v="0"/>
    <n v="0"/>
    <n v="247950"/>
    <n v="69862.49999999999"/>
    <n v="0"/>
    <n v="0"/>
    <n v="30"/>
    <n v="173565"/>
    <n v="151184.8739495798"/>
    <n v="11"/>
    <n v="22"/>
    <n v="11"/>
    <n v="0"/>
    <n v="0"/>
    <n v="0"/>
    <n v="181830"/>
    <n v="85387.49999999999"/>
    <n v="0"/>
    <n v="0"/>
    <n v="22"/>
    <n v="173565"/>
    <n v="184781.512605042"/>
    <n v="11"/>
    <n v="11"/>
    <n v="11"/>
    <n v="0"/>
    <n v="0"/>
    <n v="0"/>
    <n v="90915"/>
    <n v="85387.49999999999"/>
    <n v="0"/>
    <n v="0"/>
    <n v="11"/>
    <n v="90915"/>
    <n v="184781.512605042"/>
    <n v="11"/>
    <n v="0"/>
    <n v="11"/>
    <n v="0"/>
    <n v="0"/>
    <m/>
    <n v="0"/>
    <n v="85387.49999999999"/>
    <n v="0"/>
    <n v="0"/>
    <n v="0"/>
    <n v="0"/>
    <n v="184781.51260504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MY"/>
    <x v="391"/>
    <x v="283"/>
    <x v="0"/>
    <x v="1"/>
    <n v="1"/>
    <x v="213"/>
    <n v="12"/>
    <m/>
    <n v="0"/>
    <n v="8026"/>
    <n v="96312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3"/>
    <s v=""/>
    <n v="0"/>
    <s v=""/>
    <n v="0"/>
    <s v=""/>
    <n v="1"/>
    <s v=""/>
    <n v="0.5"/>
    <n v="1"/>
    <s v=""/>
    <n v="0.5"/>
    <n v="1"/>
    <s v=""/>
    <n v="0.2"/>
    <n v="1"/>
    <s v=""/>
    <n v="0.2"/>
    <n v="2"/>
    <n v="22"/>
    <n v="2"/>
    <n v="0"/>
    <n v="0"/>
    <n v="0"/>
    <n v="16052"/>
    <n v="170775"/>
    <n v="16052"/>
    <n v="0"/>
    <n v="12"/>
    <n v="96312"/>
    <n v="28232.46945837159"/>
    <n v="1"/>
    <n v="15"/>
    <n v="0"/>
    <n v="0"/>
    <n v="0"/>
    <n v="0"/>
    <n v="8026"/>
    <n v="116437.5"/>
    <n v="0"/>
    <n v="0"/>
    <n v="12"/>
    <n v="96312"/>
    <n v="0"/>
    <n v="2"/>
    <n v="15"/>
    <n v="0"/>
    <n v="0"/>
    <n v="0"/>
    <n v="23551"/>
    <n v="120390"/>
    <n v="0"/>
    <n v="0"/>
    <n v="12"/>
    <n v="96312"/>
    <n v="0"/>
    <n v="2"/>
    <n v="17"/>
    <n v="1"/>
    <n v="0"/>
    <n v="0"/>
    <n v="131962.5"/>
    <n v="8026"/>
    <n v="0"/>
    <n v="0"/>
    <n v="12"/>
    <n v="96312"/>
    <n v="16798.31932773109"/>
    <n v="2"/>
    <n v="13"/>
    <n v="2"/>
    <m/>
    <n v="0"/>
    <n v="0"/>
    <n v="104338"/>
    <n v="15525"/>
    <n v="0"/>
    <n v="0"/>
    <n v="12"/>
    <n v="96312"/>
    <n v="33596.63865546219"/>
    <n v="5"/>
    <n v="13"/>
    <n v="1"/>
    <m/>
    <n v="0"/>
    <n v="0"/>
    <n v="104338"/>
    <n v="7762.499999999999"/>
    <n v="0"/>
    <n v="0"/>
    <n v="13"/>
    <n v="96312"/>
    <n v="16798.31932773109"/>
    <n v="5"/>
    <n v="13"/>
    <n v="5"/>
    <n v="0"/>
    <n v="0"/>
    <n v="0"/>
    <n v="104338"/>
    <n v="38812.49999999999"/>
    <n v="0"/>
    <n v="0"/>
    <n v="13"/>
    <n v="96312"/>
    <n v="83991.59663865546"/>
    <n v="5"/>
    <n v="8"/>
    <n v="5"/>
    <n v="0"/>
    <n v="0"/>
    <n v="0"/>
    <n v="64208"/>
    <n v="38812.49999999999"/>
    <n v="0"/>
    <n v="0"/>
    <n v="8"/>
    <n v="64208"/>
    <n v="83991.59663865546"/>
    <n v="5"/>
    <n v="3"/>
    <n v="5"/>
    <n v="0"/>
    <n v="0"/>
    <m/>
    <n v="23287.5"/>
    <n v="38812.49999999999"/>
    <n v="0"/>
    <n v="0"/>
    <n v="3"/>
    <n v="23287.5"/>
    <n v="83991.5966386554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MY"/>
    <x v="392"/>
    <x v="283"/>
    <x v="0"/>
    <x v="1"/>
    <n v="1"/>
    <x v="214"/>
    <n v="40"/>
    <m/>
    <n v="0"/>
    <n v="8030"/>
    <n v="321200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104930923781697"/>
    <n v="3"/>
    <s v=""/>
    <n v="0"/>
    <s v=""/>
    <n v="0"/>
    <s v=""/>
    <n v="0"/>
    <s v=""/>
    <n v="0"/>
    <n v="1"/>
    <s v=""/>
    <n v="0.25"/>
    <n v="2"/>
    <s v=""/>
    <n v="0.25"/>
    <n v="4"/>
    <s v=""/>
    <n v="0.2666666666666667"/>
    <n v="3"/>
    <n v="48"/>
    <n v="3"/>
    <n v="0"/>
    <n v="0"/>
    <n v="0"/>
    <n v="24090"/>
    <n v="372599.9999999999"/>
    <n v="24090"/>
    <n v="0"/>
    <n v="40"/>
    <n v="321200"/>
    <n v="42348.70418755738"/>
    <n v="2"/>
    <n v="45"/>
    <n v="0"/>
    <n v="0"/>
    <n v="0"/>
    <n v="0"/>
    <n v="0"/>
    <n v="349312.4999999999"/>
    <n v="0"/>
    <n v="0"/>
    <n v="40"/>
    <n v="321200"/>
    <n v="0"/>
    <n v="1.944"/>
    <n v="45"/>
    <n v="0"/>
    <n v="0"/>
    <n v="0"/>
    <n v="31050"/>
    <n v="361350"/>
    <n v="0"/>
    <n v="0"/>
    <n v="40"/>
    <n v="321200"/>
    <n v="0"/>
    <n v="3"/>
    <n v="47"/>
    <n v="0"/>
    <n v="0"/>
    <n v="0"/>
    <n v="364837.4999999999"/>
    <n v="0"/>
    <n v="0"/>
    <n v="0"/>
    <n v="40"/>
    <n v="321200"/>
    <n v="0"/>
    <n v="4"/>
    <n v="41"/>
    <n v="4"/>
    <m/>
    <n v="0"/>
    <n v="0"/>
    <n v="329230"/>
    <n v="31050"/>
    <n v="0"/>
    <n v="0"/>
    <n v="40"/>
    <n v="321200"/>
    <n v="67193.27731092437"/>
    <n v="8"/>
    <n v="42"/>
    <n v="2"/>
    <m/>
    <n v="0"/>
    <n v="0"/>
    <n v="337260"/>
    <n v="15525"/>
    <n v="0"/>
    <n v="0"/>
    <n v="42"/>
    <n v="321200"/>
    <n v="33596.63865546219"/>
    <n v="15"/>
    <n v="44"/>
    <n v="15"/>
    <n v="0"/>
    <n v="0"/>
    <n v="0"/>
    <n v="353320"/>
    <n v="116437.5"/>
    <n v="0"/>
    <n v="0"/>
    <n v="44"/>
    <n v="321200"/>
    <n v="251974.7899159664"/>
    <n v="15"/>
    <n v="29"/>
    <n v="15"/>
    <n v="0"/>
    <n v="0"/>
    <n v="0"/>
    <n v="232870"/>
    <n v="116437.5"/>
    <n v="0"/>
    <n v="0"/>
    <n v="29"/>
    <n v="232870"/>
    <n v="251974.7899159664"/>
    <n v="15"/>
    <n v="14"/>
    <n v="15"/>
    <n v="0"/>
    <n v="0"/>
    <m/>
    <n v="108675"/>
    <n v="116437.5"/>
    <n v="0"/>
    <n v="0"/>
    <n v="14"/>
    <n v="108675"/>
    <n v="251974.789915966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MY"/>
    <x v="393"/>
    <x v="283"/>
    <x v="0"/>
    <x v="1"/>
    <n v="1"/>
    <x v="215"/>
    <n v="30"/>
    <m/>
    <n v="0"/>
    <n v="8032"/>
    <n v="240960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121351213512135"/>
    <n v="1"/>
    <n v="0"/>
    <n v="5"/>
    <s v=""/>
    <n v="0"/>
    <s v=""/>
    <n v="2"/>
    <s v=""/>
    <n v="1"/>
    <s v=""/>
    <n v="0.3333333333333333"/>
    <n v="1"/>
    <s v=""/>
    <n v="0.25"/>
    <n v="3"/>
    <s v=""/>
    <n v="0.375"/>
    <n v="2"/>
    <s v=""/>
    <n v="0.1666666666666667"/>
    <n v="3"/>
    <n v="37"/>
    <n v="3"/>
    <n v="0"/>
    <n v="0"/>
    <n v="0"/>
    <n v="40160"/>
    <n v="287212.4999999999"/>
    <n v="24096"/>
    <n v="0"/>
    <n v="30"/>
    <n v="240960"/>
    <n v="42348.70418755738"/>
    <n v="2"/>
    <n v="37"/>
    <n v="0"/>
    <n v="0"/>
    <n v="0"/>
    <n v="0"/>
    <n v="24096"/>
    <n v="287212.4999999999"/>
    <n v="0"/>
    <n v="0"/>
    <n v="30"/>
    <n v="240960"/>
    <n v="0"/>
    <n v="1.944"/>
    <n v="37"/>
    <n v="2"/>
    <n v="0"/>
    <n v="0"/>
    <n v="55146"/>
    <n v="297184"/>
    <n v="16064"/>
    <n v="0"/>
    <n v="30"/>
    <n v="240960"/>
    <n v="33596.63865546219"/>
    <n v="3"/>
    <n v="37"/>
    <n v="1"/>
    <n v="0"/>
    <n v="0"/>
    <n v="287212.4999999999"/>
    <n v="8032"/>
    <n v="0"/>
    <n v="0"/>
    <n v="30"/>
    <n v="240960"/>
    <n v="16798.31932773109"/>
    <n v="4"/>
    <n v="31"/>
    <n v="4"/>
    <m/>
    <n v="0"/>
    <n v="0"/>
    <n v="248992"/>
    <n v="31050"/>
    <n v="0"/>
    <n v="0"/>
    <n v="30"/>
    <n v="240960"/>
    <n v="67193.27731092437"/>
    <n v="8"/>
    <n v="33"/>
    <n v="3"/>
    <m/>
    <n v="0"/>
    <n v="0"/>
    <n v="265056"/>
    <n v="23287.5"/>
    <n v="0"/>
    <n v="0"/>
    <n v="33"/>
    <n v="240960"/>
    <n v="50394.95798319328"/>
    <n v="12"/>
    <n v="32"/>
    <n v="12"/>
    <n v="0"/>
    <n v="0"/>
    <n v="0"/>
    <n v="257024"/>
    <n v="93149.99999999999"/>
    <n v="0"/>
    <n v="0"/>
    <n v="32"/>
    <n v="240960"/>
    <n v="201579.8319327731"/>
    <n v="12"/>
    <n v="20"/>
    <n v="12"/>
    <n v="0"/>
    <n v="0"/>
    <n v="0"/>
    <n v="160640"/>
    <n v="93149.99999999999"/>
    <n v="0"/>
    <n v="0"/>
    <n v="20"/>
    <n v="160640"/>
    <n v="201579.8319327731"/>
    <n v="12"/>
    <n v="8"/>
    <n v="12"/>
    <n v="0"/>
    <n v="0"/>
    <m/>
    <n v="62099.99999999999"/>
    <n v="93149.99999999999"/>
    <n v="0"/>
    <n v="0"/>
    <n v="8"/>
    <n v="62099.99999999999"/>
    <n v="201579.831932773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MSW03MY"/>
    <x v="394"/>
    <x v="283"/>
    <x v="0"/>
    <x v="1"/>
    <n v="1"/>
    <x v="216"/>
    <n v="13"/>
    <m/>
    <n v="0"/>
    <n v="8059"/>
    <n v="104767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52201257861635"/>
    <n v="5"/>
    <s v=""/>
    <n v="0"/>
    <s v=""/>
    <n v="0"/>
    <s v=""/>
    <n v="0"/>
    <s v=""/>
    <n v="0"/>
    <n v="1"/>
    <s v=""/>
    <n v="0.5"/>
    <n v="2"/>
    <s v=""/>
    <n v="0.4"/>
    <n v="1"/>
    <s v=""/>
    <n v="0.1666666666666667"/>
    <n v="2"/>
    <n v="24"/>
    <n v="2"/>
    <n v="0"/>
    <n v="0"/>
    <n v="0"/>
    <n v="16118"/>
    <n v="186300"/>
    <n v="16118"/>
    <n v="0"/>
    <n v="13"/>
    <n v="104767"/>
    <n v="28232.46945837159"/>
    <n v="2"/>
    <n v="16"/>
    <n v="0"/>
    <n v="0"/>
    <n v="0"/>
    <n v="0"/>
    <n v="0"/>
    <n v="124200"/>
    <n v="0"/>
    <n v="0"/>
    <n v="13"/>
    <n v="104767"/>
    <n v="0"/>
    <n v="2"/>
    <n v="16"/>
    <n v="0"/>
    <n v="0"/>
    <n v="0"/>
    <n v="15525"/>
    <n v="128944"/>
    <n v="0"/>
    <n v="0"/>
    <n v="13"/>
    <n v="104767"/>
    <n v="0"/>
    <n v="3"/>
    <n v="17"/>
    <n v="0"/>
    <n v="0"/>
    <n v="0"/>
    <n v="131962.5"/>
    <n v="0"/>
    <n v="0"/>
    <n v="0"/>
    <n v="13"/>
    <n v="104767"/>
    <n v="0"/>
    <n v="2"/>
    <n v="14"/>
    <n v="2"/>
    <m/>
    <n v="0"/>
    <n v="0"/>
    <n v="112826"/>
    <n v="15525"/>
    <n v="0"/>
    <n v="0"/>
    <n v="13"/>
    <n v="104767"/>
    <n v="33596.63865546219"/>
    <n v="5"/>
    <n v="15"/>
    <n v="2"/>
    <m/>
    <n v="0"/>
    <n v="0"/>
    <n v="120885"/>
    <n v="15525"/>
    <n v="0"/>
    <n v="0"/>
    <n v="15"/>
    <n v="104767"/>
    <n v="33596.63865546219"/>
    <n v="6"/>
    <n v="14"/>
    <n v="6"/>
    <n v="0"/>
    <n v="0"/>
    <n v="0"/>
    <n v="112826"/>
    <n v="46574.99999999999"/>
    <n v="0"/>
    <n v="0"/>
    <n v="14"/>
    <n v="104767"/>
    <n v="100789.9159663866"/>
    <n v="6"/>
    <n v="8"/>
    <n v="6"/>
    <n v="0"/>
    <n v="0"/>
    <n v="0"/>
    <n v="64472"/>
    <n v="46574.99999999999"/>
    <n v="0"/>
    <n v="0"/>
    <n v="8"/>
    <n v="64472"/>
    <n v="100789.9159663866"/>
    <n v="6"/>
    <n v="2"/>
    <n v="6"/>
    <n v="0"/>
    <n v="0"/>
    <m/>
    <n v="15525"/>
    <n v="46574.99999999999"/>
    <n v="0"/>
    <n v="0"/>
    <n v="2"/>
    <n v="15525"/>
    <n v="100789.915966386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MWS06"/>
    <x v="395"/>
    <x v="284"/>
    <x v="0"/>
    <x v="1"/>
    <n v="1"/>
    <x v="217"/>
    <n v="9"/>
    <m/>
    <n v="0"/>
    <n v="12521"/>
    <n v="112689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s v=""/>
    <n v="1"/>
    <s v=""/>
    <n v="0"/>
    <s v=""/>
    <n v="0"/>
    <s v=""/>
    <n v="0"/>
    <n v="0"/>
    <s v=""/>
    <n v="0"/>
    <n v="0"/>
    <s v=""/>
    <n v="0"/>
    <n v="0"/>
    <s v=""/>
    <n v="0"/>
    <n v="5"/>
    <n v="15"/>
    <n v="5"/>
    <n v="0"/>
    <n v="0"/>
    <n v="0"/>
    <n v="81386.5"/>
    <n v="181642.5"/>
    <n v="62605"/>
    <n v="0"/>
    <n v="9"/>
    <n v="112689"/>
    <n v="95296.94230633431"/>
    <n v="3"/>
    <n v="10"/>
    <n v="1.5"/>
    <n v="0"/>
    <n v="0"/>
    <n v="0"/>
    <n v="18781.5"/>
    <n v="121095"/>
    <n v="18781.5"/>
    <n v="0"/>
    <n v="9"/>
    <n v="112689"/>
    <n v="28589.08269190029"/>
    <n v="2"/>
    <n v="9"/>
    <n v="0"/>
    <n v="0"/>
    <n v="0"/>
    <n v="12109.5"/>
    <n v="112689"/>
    <n v="0"/>
    <n v="0"/>
    <n v="9"/>
    <n v="112689"/>
    <n v="0"/>
    <n v="1"/>
    <n v="9"/>
    <n v="0"/>
    <n v="0"/>
    <n v="0"/>
    <n v="108985.5"/>
    <n v="0"/>
    <n v="0"/>
    <n v="0"/>
    <n v="9"/>
    <n v="112689"/>
    <n v="0"/>
    <n v="1"/>
    <n v="9"/>
    <n v="1"/>
    <m/>
    <n v="0"/>
    <n v="0"/>
    <n v="112689"/>
    <n v="12109.5"/>
    <n v="0"/>
    <n v="0"/>
    <n v="9"/>
    <n v="112689"/>
    <n v="22680.67226890757"/>
    <n v="1"/>
    <n v="9"/>
    <n v="0"/>
    <m/>
    <n v="0"/>
    <n v="0"/>
    <n v="112689"/>
    <n v="0"/>
    <n v="0"/>
    <n v="0"/>
    <n v="9"/>
    <n v="112689"/>
    <n v="0"/>
    <n v="3"/>
    <n v="9"/>
    <n v="3"/>
    <n v="0"/>
    <n v="0"/>
    <n v="0"/>
    <n v="112689"/>
    <n v="36328.49999999999"/>
    <n v="0"/>
    <n v="0"/>
    <n v="9"/>
    <n v="112689"/>
    <n v="68042.01680672269"/>
    <n v="3"/>
    <n v="6"/>
    <n v="3"/>
    <n v="0"/>
    <n v="0"/>
    <n v="0"/>
    <n v="75126"/>
    <n v="36328.49999999999"/>
    <n v="0"/>
    <n v="0"/>
    <n v="6"/>
    <n v="75126"/>
    <n v="68042.01680672269"/>
    <n v="3"/>
    <n v="3"/>
    <n v="3"/>
    <n v="0"/>
    <n v="0"/>
    <m/>
    <n v="36328.49999999999"/>
    <n v="36328.49999999999"/>
    <n v="0"/>
    <n v="0"/>
    <n v="3"/>
    <n v="36328.49999999999"/>
    <n v="68042.0168067226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MWS06"/>
    <x v="396"/>
    <x v="284"/>
    <x v="0"/>
    <x v="1"/>
    <n v="1"/>
    <x v="218"/>
    <n v="20"/>
    <m/>
    <n v="0"/>
    <n v="12521"/>
    <n v="250420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2"/>
    <n v="0.4226495135334532"/>
    <n v="6"/>
    <s v=""/>
    <n v="1"/>
    <s v=""/>
    <n v="0"/>
    <s v=""/>
    <n v="0"/>
    <s v=""/>
    <n v="0"/>
    <n v="0"/>
    <s v=""/>
    <n v="0"/>
    <n v="0"/>
    <s v=""/>
    <n v="0"/>
    <n v="0"/>
    <s v=""/>
    <n v="0"/>
    <n v="15"/>
    <n v="27"/>
    <n v="15"/>
    <n v="0"/>
    <n v="0"/>
    <n v="0"/>
    <n v="206596.5"/>
    <n v="326956.4999999999"/>
    <n v="187815"/>
    <n v="0"/>
    <n v="20"/>
    <n v="250420"/>
    <n v="285890.8269190029"/>
    <n v="5"/>
    <n v="21"/>
    <n v="1.5"/>
    <n v="0"/>
    <n v="0"/>
    <n v="0"/>
    <n v="18781.5"/>
    <n v="254299.5"/>
    <n v="18781.5"/>
    <n v="0"/>
    <n v="20"/>
    <n v="250420"/>
    <n v="28589.08269190029"/>
    <n v="4"/>
    <n v="20"/>
    <n v="0"/>
    <n v="0"/>
    <n v="0"/>
    <n v="24219"/>
    <n v="250420"/>
    <n v="0"/>
    <n v="0"/>
    <n v="20"/>
    <n v="250420"/>
    <n v="0"/>
    <n v="2"/>
    <n v="20"/>
    <n v="0"/>
    <n v="0"/>
    <n v="0"/>
    <n v="242190"/>
    <n v="0"/>
    <n v="0"/>
    <n v="0"/>
    <n v="20"/>
    <n v="250420"/>
    <n v="0"/>
    <n v="2"/>
    <n v="20"/>
    <n v="2"/>
    <m/>
    <n v="0"/>
    <n v="0"/>
    <n v="250420"/>
    <n v="24219"/>
    <n v="0"/>
    <n v="0"/>
    <n v="20"/>
    <n v="250420"/>
    <n v="45361.34453781513"/>
    <n v="1"/>
    <n v="20"/>
    <n v="0"/>
    <m/>
    <n v="0"/>
    <n v="0"/>
    <n v="250420"/>
    <n v="0"/>
    <n v="0"/>
    <n v="0"/>
    <n v="20"/>
    <n v="250420"/>
    <n v="0"/>
    <n v="7"/>
    <n v="20"/>
    <n v="7"/>
    <n v="0"/>
    <n v="0"/>
    <n v="0"/>
    <n v="250420"/>
    <n v="84766.49999999999"/>
    <n v="0"/>
    <n v="0"/>
    <n v="20"/>
    <n v="250420"/>
    <n v="158764.705882353"/>
    <n v="7"/>
    <n v="13"/>
    <n v="7"/>
    <n v="0"/>
    <n v="0"/>
    <n v="0"/>
    <n v="162773"/>
    <n v="84766.49999999999"/>
    <n v="0"/>
    <n v="0"/>
    <n v="13"/>
    <n v="162773"/>
    <n v="158764.705882353"/>
    <n v="7"/>
    <n v="6"/>
    <n v="7"/>
    <n v="0"/>
    <n v="0"/>
    <m/>
    <n v="72656.99999999999"/>
    <n v="84766.49999999999"/>
    <n v="0"/>
    <n v="0"/>
    <n v="6"/>
    <n v="72656.99999999999"/>
    <n v="158764.70588235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MWS06"/>
    <x v="397"/>
    <x v="284"/>
    <x v="0"/>
    <x v="1"/>
    <n v="1"/>
    <x v="219"/>
    <n v="9"/>
    <m/>
    <n v="0"/>
    <n v="12521"/>
    <n v="112689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609755047569848"/>
    <n v="14"/>
    <s v=""/>
    <n v="1"/>
    <s v=""/>
    <n v="1"/>
    <s v=""/>
    <n v="0"/>
    <s v=""/>
    <n v="0"/>
    <n v="0"/>
    <s v=""/>
    <n v="0"/>
    <n v="1"/>
    <s v=""/>
    <n v="1"/>
    <n v="0"/>
    <s v=""/>
    <n v="0"/>
    <n v="15"/>
    <n v="26"/>
    <n v="15"/>
    <n v="0"/>
    <n v="0"/>
    <n v="0"/>
    <n v="219117.5"/>
    <n v="314846.9999999999"/>
    <n v="187815"/>
    <n v="0"/>
    <n v="9"/>
    <n v="112689"/>
    <n v="285890.8269190029"/>
    <n v="5"/>
    <n v="10"/>
    <n v="1.5"/>
    <n v="0"/>
    <n v="0"/>
    <n v="0"/>
    <n v="31302.5"/>
    <n v="121095"/>
    <n v="18781.5"/>
    <n v="0"/>
    <n v="9"/>
    <n v="112689"/>
    <n v="28589.08269190029"/>
    <n v="4"/>
    <n v="9"/>
    <n v="1"/>
    <n v="0"/>
    <n v="0"/>
    <n v="36740"/>
    <n v="112689"/>
    <n v="12521"/>
    <n v="0"/>
    <n v="9"/>
    <n v="112689"/>
    <n v="22680.67226890757"/>
    <n v="2"/>
    <n v="10"/>
    <n v="0"/>
    <n v="0"/>
    <n v="0"/>
    <n v="121095"/>
    <n v="0"/>
    <n v="0"/>
    <n v="0"/>
    <n v="9"/>
    <n v="112689"/>
    <n v="0"/>
    <n v="2"/>
    <n v="9"/>
    <n v="2"/>
    <m/>
    <n v="0"/>
    <n v="0"/>
    <n v="112689"/>
    <n v="24219"/>
    <n v="0"/>
    <n v="0"/>
    <n v="9"/>
    <n v="112689"/>
    <n v="45361.34453781513"/>
    <n v="1"/>
    <n v="10"/>
    <n v="1"/>
    <m/>
    <n v="0"/>
    <n v="0"/>
    <n v="125210"/>
    <n v="12109.5"/>
    <n v="0"/>
    <n v="0"/>
    <n v="10"/>
    <n v="112689"/>
    <n v="22680.67226890757"/>
    <n v="4"/>
    <n v="9"/>
    <n v="4"/>
    <n v="0"/>
    <n v="0"/>
    <n v="0"/>
    <n v="112689"/>
    <n v="48437.99999999999"/>
    <n v="0"/>
    <n v="0"/>
    <n v="9"/>
    <n v="112689"/>
    <n v="90722.68907563026"/>
    <n v="4"/>
    <n v="5"/>
    <n v="4"/>
    <n v="0"/>
    <n v="0"/>
    <n v="0"/>
    <n v="62605"/>
    <n v="48437.99999999999"/>
    <n v="0"/>
    <n v="0"/>
    <n v="5"/>
    <n v="62605"/>
    <n v="90722.68907563026"/>
    <n v="4"/>
    <n v="1"/>
    <n v="4"/>
    <n v="0"/>
    <n v="0"/>
    <m/>
    <n v="12109.5"/>
    <n v="48437.99999999999"/>
    <n v="0"/>
    <n v="0"/>
    <n v="1"/>
    <n v="12109.5"/>
    <n v="90722.689075630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MWS06"/>
    <x v="398"/>
    <x v="284"/>
    <x v="0"/>
    <x v="1"/>
    <n v="1"/>
    <x v="220"/>
    <n v="3"/>
    <m/>
    <n v="0"/>
    <n v="12521"/>
    <n v="37563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570957811212765"/>
    <n v="0"/>
    <s v=""/>
    <n v="6"/>
    <s v=""/>
    <n v="2"/>
    <s v=""/>
    <n v="0"/>
    <s v=""/>
    <n v="1"/>
    <s v=""/>
    <n v="1"/>
    <n v="0"/>
    <s v=""/>
    <n v="0"/>
    <n v="0"/>
    <s v=""/>
    <n v="0"/>
    <n v="0"/>
    <s v=""/>
    <n v="0"/>
    <n v="5"/>
    <n v="13"/>
    <n v="5"/>
    <n v="0"/>
    <n v="0"/>
    <n v="0"/>
    <n v="100168"/>
    <n v="157423.5"/>
    <n v="62605"/>
    <n v="0"/>
    <n v="3"/>
    <n v="37563"/>
    <n v="95296.94230633431"/>
    <n v="3"/>
    <n v="6"/>
    <n v="3"/>
    <n v="0"/>
    <n v="0"/>
    <n v="0"/>
    <n v="50084"/>
    <n v="72656.99999999999"/>
    <n v="37563"/>
    <n v="0"/>
    <n v="3"/>
    <n v="37563"/>
    <n v="57178.16538380059"/>
    <n v="2"/>
    <n v="4"/>
    <n v="0"/>
    <n v="0"/>
    <n v="0"/>
    <n v="24630.5"/>
    <n v="50084"/>
    <n v="0"/>
    <n v="0"/>
    <n v="3"/>
    <n v="37563"/>
    <n v="0"/>
    <n v="1"/>
    <n v="4"/>
    <n v="1"/>
    <n v="0"/>
    <n v="0"/>
    <n v="48437.99999999999"/>
    <n v="12521"/>
    <n v="0"/>
    <n v="0"/>
    <n v="3"/>
    <n v="37563"/>
    <n v="22680.67226890757"/>
    <n v="1"/>
    <n v="3"/>
    <n v="1"/>
    <m/>
    <n v="0"/>
    <n v="0"/>
    <n v="37563"/>
    <n v="12109.5"/>
    <n v="0"/>
    <n v="0"/>
    <n v="3"/>
    <n v="37563"/>
    <n v="22680.67226890757"/>
    <n v="1"/>
    <n v="3"/>
    <n v="0"/>
    <m/>
    <n v="0"/>
    <n v="0"/>
    <n v="37563"/>
    <n v="0"/>
    <n v="0"/>
    <n v="0"/>
    <n v="3"/>
    <n v="37563"/>
    <n v="0"/>
    <n v="1"/>
    <n v="3"/>
    <n v="1"/>
    <n v="0"/>
    <n v="0"/>
    <n v="0"/>
    <n v="37563"/>
    <n v="12109.5"/>
    <n v="0"/>
    <n v="0"/>
    <n v="3"/>
    <n v="37563"/>
    <n v="22680.67226890757"/>
    <n v="1"/>
    <n v="2"/>
    <n v="1"/>
    <n v="0"/>
    <n v="0"/>
    <n v="0"/>
    <n v="25042"/>
    <n v="12109.5"/>
    <n v="0"/>
    <n v="0"/>
    <n v="2"/>
    <n v="25042"/>
    <n v="22680.67226890757"/>
    <n v="1"/>
    <n v="1"/>
    <n v="1"/>
    <n v="0"/>
    <n v="0"/>
    <m/>
    <n v="12109.5"/>
    <n v="12109.5"/>
    <n v="0"/>
    <n v="0"/>
    <n v="1"/>
    <n v="12109.5"/>
    <n v="22680.6722689075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MWS06"/>
    <x v="399"/>
    <x v="284"/>
    <x v="0"/>
    <x v="6"/>
    <n v="1"/>
    <x v="12"/>
    <n v="16"/>
    <m/>
    <n v="0"/>
    <n v="12521"/>
    <n v="200336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5"/>
    <n v="17"/>
    <n v="5"/>
    <n v="0"/>
    <n v="0"/>
    <n v="0"/>
    <n v="62605"/>
    <n v="205861.5"/>
    <n v="62605"/>
    <n v="0"/>
    <n v="16"/>
    <n v="200336"/>
    <n v="95296.94230633431"/>
    <n v="2"/>
    <n v="16"/>
    <n v="0"/>
    <n v="0"/>
    <n v="0"/>
    <n v="0"/>
    <n v="0"/>
    <n v="193752"/>
    <n v="0"/>
    <n v="0"/>
    <n v="16"/>
    <n v="200336"/>
    <n v="0"/>
    <n v="2"/>
    <n v="16"/>
    <n v="0"/>
    <n v="0"/>
    <n v="0"/>
    <n v="8476.649999999998"/>
    <n v="200336"/>
    <n v="0"/>
    <n v="0"/>
    <n v="16"/>
    <n v="200336"/>
    <n v="0"/>
    <n v="0.65"/>
    <n v="16"/>
    <n v="0"/>
    <n v="0"/>
    <n v="0"/>
    <n v="193752"/>
    <n v="0"/>
    <n v="0"/>
    <n v="0"/>
    <n v="16"/>
    <n v="200336"/>
    <n v="0"/>
    <n v="0.7"/>
    <n v="16"/>
    <n v="0.7"/>
    <m/>
    <n v="0"/>
    <n v="0"/>
    <n v="200336"/>
    <n v="8476.649999999998"/>
    <n v="0"/>
    <n v="0"/>
    <n v="16"/>
    <n v="200336"/>
    <n v="15876.47058823529"/>
    <n v="1"/>
    <n v="16"/>
    <n v="0"/>
    <m/>
    <n v="0"/>
    <n v="0"/>
    <n v="200336"/>
    <n v="0"/>
    <n v="0"/>
    <n v="0"/>
    <n v="16"/>
    <n v="200336"/>
    <n v="0"/>
    <n v="5"/>
    <n v="16"/>
    <n v="5"/>
    <n v="0"/>
    <n v="0"/>
    <n v="0"/>
    <n v="200336"/>
    <n v="60547.49999999999"/>
    <n v="0"/>
    <n v="0"/>
    <n v="16"/>
    <n v="200336"/>
    <n v="113403.3613445378"/>
    <n v="5"/>
    <n v="11"/>
    <n v="5"/>
    <n v="0"/>
    <n v="0"/>
    <n v="0"/>
    <n v="137731"/>
    <n v="60547.49999999999"/>
    <n v="0"/>
    <n v="0"/>
    <n v="11"/>
    <n v="137731"/>
    <n v="113403.3613445378"/>
    <n v="5"/>
    <n v="6"/>
    <n v="5"/>
    <n v="0"/>
    <n v="0"/>
    <m/>
    <n v="72656.99999999999"/>
    <n v="60547.49999999999"/>
    <n v="0"/>
    <n v="0"/>
    <n v="6"/>
    <n v="72656.99999999999"/>
    <n v="113403.3613445378"/>
    <n v="0"/>
    <n v="1"/>
    <n v="0"/>
    <n v="0"/>
    <n v="0"/>
    <n v="0"/>
    <m/>
    <n v="12109.5"/>
    <n v="0"/>
    <n v="0"/>
    <n v="0"/>
    <n v="1"/>
    <n v="12109.5"/>
    <n v="0"/>
    <n v="0"/>
    <n v="1"/>
    <n v="0"/>
    <n v="0"/>
    <n v="0"/>
    <n v="12109.5"/>
    <n v="0"/>
    <n v="0"/>
    <n v="0"/>
    <n v="1"/>
    <n v="12109.5"/>
    <n v="0"/>
    <n v="0"/>
    <n v="1"/>
    <n v="0"/>
    <n v="0"/>
    <n v="0"/>
    <n v="12109.5"/>
    <n v="0"/>
    <n v="0"/>
    <n v="1"/>
    <n v="12109.5"/>
    <n v="0"/>
    <n v="0"/>
    <n v="1"/>
    <n v="0"/>
    <n v="0"/>
    <m/>
    <n v="12109.5"/>
    <n v="0"/>
    <n v="0"/>
    <n v="1"/>
    <n v="12109.5"/>
    <n v="0"/>
  </r>
  <r>
    <m/>
    <x v="1"/>
    <x v="16"/>
    <x v="41"/>
    <s v="LTS26-MWS06"/>
    <x v="400"/>
    <x v="284"/>
    <x v="0"/>
    <x v="1"/>
    <n v="1"/>
    <x v="221"/>
    <n v="27"/>
    <m/>
    <n v="0"/>
    <n v="12521"/>
    <n v="338067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0"/>
    <s v=""/>
    <n v="0"/>
    <n v="0"/>
    <s v=""/>
    <n v="0"/>
    <n v="0"/>
    <s v=""/>
    <n v="0"/>
    <n v="0"/>
    <s v=""/>
    <n v="0"/>
    <n v="15"/>
    <n v="30"/>
    <n v="15"/>
    <n v="0"/>
    <n v="0"/>
    <n v="0"/>
    <n v="206596.5"/>
    <n v="363284.9999999999"/>
    <n v="187815"/>
    <n v="0"/>
    <n v="27"/>
    <n v="338067"/>
    <n v="285890.8269190029"/>
    <n v="4"/>
    <n v="29"/>
    <n v="1.5"/>
    <n v="0"/>
    <n v="0"/>
    <n v="0"/>
    <n v="18781.5"/>
    <n v="351175.4999999999"/>
    <n v="18781.5"/>
    <n v="0"/>
    <n v="27"/>
    <n v="338067"/>
    <n v="28589.08269190029"/>
    <n v="3"/>
    <n v="27"/>
    <n v="0"/>
    <n v="0"/>
    <n v="0"/>
    <n v="16953.3"/>
    <n v="338067"/>
    <n v="0"/>
    <n v="0"/>
    <n v="27"/>
    <n v="338067"/>
    <n v="0"/>
    <n v="1.35"/>
    <n v="27"/>
    <n v="0"/>
    <n v="0"/>
    <n v="0"/>
    <n v="326956.4999999999"/>
    <n v="0"/>
    <n v="0"/>
    <n v="0"/>
    <n v="27"/>
    <n v="338067"/>
    <n v="0"/>
    <n v="1.4"/>
    <n v="27"/>
    <n v="1.4"/>
    <m/>
    <n v="0"/>
    <n v="0"/>
    <n v="338067"/>
    <n v="16953.3"/>
    <n v="0"/>
    <n v="0"/>
    <n v="27"/>
    <n v="338067"/>
    <n v="31752.94117647059"/>
    <n v="1"/>
    <n v="27"/>
    <n v="0"/>
    <m/>
    <n v="0"/>
    <n v="0"/>
    <n v="338067"/>
    <n v="0"/>
    <n v="0"/>
    <n v="0"/>
    <n v="27"/>
    <n v="338067"/>
    <n v="0"/>
    <n v="9"/>
    <n v="27"/>
    <n v="9"/>
    <n v="0"/>
    <n v="0"/>
    <n v="0"/>
    <n v="338067"/>
    <n v="108985.5"/>
    <n v="0"/>
    <n v="0"/>
    <n v="27"/>
    <n v="338067"/>
    <n v="204126.0504201681"/>
    <n v="9"/>
    <n v="18"/>
    <n v="9"/>
    <n v="0"/>
    <n v="0"/>
    <n v="0"/>
    <n v="225378"/>
    <n v="108985.5"/>
    <n v="0"/>
    <n v="0"/>
    <n v="18"/>
    <n v="225378"/>
    <n v="204126.0504201681"/>
    <n v="9"/>
    <n v="9"/>
    <n v="9"/>
    <n v="0"/>
    <n v="0"/>
    <m/>
    <n v="108985.5"/>
    <n v="108985.5"/>
    <n v="0"/>
    <n v="0"/>
    <n v="9"/>
    <n v="108985.5"/>
    <n v="204126.050420168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MWS06"/>
    <x v="401"/>
    <x v="284"/>
    <x v="0"/>
    <x v="1"/>
    <n v="1"/>
    <x v="222"/>
    <n v="19"/>
    <m/>
    <n v="0"/>
    <n v="12521"/>
    <n v="237899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74066359172742"/>
    <n v="1"/>
    <n v="0.4086057056489704"/>
    <n v="5"/>
    <s v=""/>
    <n v="1"/>
    <s v=""/>
    <n v="1"/>
    <s v=""/>
    <n v="0"/>
    <s v=""/>
    <n v="0"/>
    <n v="0"/>
    <s v=""/>
    <n v="0"/>
    <n v="0"/>
    <s v=""/>
    <n v="0"/>
    <n v="0"/>
    <s v=""/>
    <n v="0"/>
    <n v="15"/>
    <n v="27"/>
    <n v="15"/>
    <n v="0"/>
    <n v="0"/>
    <n v="0"/>
    <n v="219117.5"/>
    <n v="326956.4999999999"/>
    <n v="187815"/>
    <n v="0"/>
    <n v="19"/>
    <n v="237899"/>
    <n v="285890.8269190029"/>
    <n v="4"/>
    <n v="21"/>
    <n v="1.5"/>
    <n v="0"/>
    <n v="0"/>
    <n v="0"/>
    <n v="31302.5"/>
    <n v="254299.5"/>
    <n v="18781.5"/>
    <n v="0"/>
    <n v="19"/>
    <n v="237899"/>
    <n v="28589.08269190029"/>
    <n v="3"/>
    <n v="20"/>
    <n v="1"/>
    <n v="0"/>
    <n v="0"/>
    <n v="29474.3"/>
    <n v="250420"/>
    <n v="12521"/>
    <n v="0"/>
    <n v="19"/>
    <n v="237899"/>
    <n v="22680.67226890757"/>
    <n v="1.4"/>
    <n v="19"/>
    <n v="0"/>
    <n v="0"/>
    <n v="0"/>
    <n v="230080.5"/>
    <n v="0"/>
    <n v="0"/>
    <n v="0"/>
    <n v="19"/>
    <n v="237899"/>
    <n v="0"/>
    <n v="1.4"/>
    <n v="19"/>
    <n v="1.4"/>
    <m/>
    <n v="0"/>
    <n v="0"/>
    <n v="237899"/>
    <n v="16953.3"/>
    <n v="0"/>
    <n v="0"/>
    <n v="19"/>
    <n v="237899"/>
    <n v="31752.94117647059"/>
    <n v="1"/>
    <n v="19"/>
    <n v="0"/>
    <m/>
    <n v="0"/>
    <n v="0"/>
    <n v="237899"/>
    <n v="0"/>
    <n v="0"/>
    <n v="0"/>
    <n v="19"/>
    <n v="237899"/>
    <n v="0"/>
    <n v="6"/>
    <n v="19"/>
    <n v="6"/>
    <n v="0"/>
    <n v="0"/>
    <n v="0"/>
    <n v="237899"/>
    <n v="72656.99999999999"/>
    <n v="0"/>
    <n v="0"/>
    <n v="19"/>
    <n v="237899"/>
    <n v="136084.0336134454"/>
    <n v="6"/>
    <n v="13"/>
    <n v="6"/>
    <n v="0"/>
    <n v="0"/>
    <n v="0"/>
    <n v="162773"/>
    <n v="72656.99999999999"/>
    <n v="0"/>
    <n v="0"/>
    <n v="13"/>
    <n v="162773"/>
    <n v="136084.0336134454"/>
    <n v="6"/>
    <n v="7"/>
    <n v="6"/>
    <n v="0"/>
    <n v="0"/>
    <m/>
    <n v="84766.49999999999"/>
    <n v="72656.99999999999"/>
    <n v="0"/>
    <n v="0"/>
    <n v="7"/>
    <n v="84766.49999999999"/>
    <n v="136084.0336134454"/>
    <n v="0"/>
    <n v="1"/>
    <n v="0"/>
    <n v="0"/>
    <n v="0"/>
    <n v="0"/>
    <m/>
    <n v="12109.5"/>
    <n v="0"/>
    <n v="0"/>
    <n v="0"/>
    <n v="1"/>
    <n v="12109.5"/>
    <n v="0"/>
    <n v="0"/>
    <n v="1"/>
    <n v="0"/>
    <n v="0"/>
    <n v="0"/>
    <n v="12109.5"/>
    <n v="0"/>
    <n v="0"/>
    <n v="0"/>
    <n v="1"/>
    <n v="12109.5"/>
    <n v="0"/>
    <n v="0"/>
    <n v="1"/>
    <n v="0"/>
    <n v="0"/>
    <n v="0"/>
    <n v="12109.5"/>
    <n v="0"/>
    <n v="0"/>
    <n v="1"/>
    <n v="12109.5"/>
    <n v="0"/>
    <n v="0"/>
    <n v="1"/>
    <n v="0"/>
    <n v="0"/>
    <m/>
    <n v="12109.5"/>
    <n v="0"/>
    <n v="0"/>
    <n v="1"/>
    <n v="12109.5"/>
    <n v="0"/>
  </r>
  <r>
    <m/>
    <x v="1"/>
    <x v="16"/>
    <x v="41"/>
    <s v="LTS26-MWS06"/>
    <x v="402"/>
    <x v="284"/>
    <x v="0"/>
    <x v="1"/>
    <n v="1"/>
    <x v="223"/>
    <n v="7"/>
    <m/>
    <n v="0"/>
    <n v="12521"/>
    <n v="87647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s v=""/>
    <n v="1"/>
    <s v=""/>
    <n v="0"/>
    <s v=""/>
    <n v="1"/>
    <s v=""/>
    <n v="1.428571428571429"/>
    <n v="0"/>
    <s v=""/>
    <n v="0"/>
    <n v="1"/>
    <s v=""/>
    <n v="1"/>
    <n v="0"/>
    <s v=""/>
    <n v="0"/>
    <n v="5"/>
    <n v="15"/>
    <n v="5"/>
    <n v="0"/>
    <n v="0"/>
    <n v="0"/>
    <n v="81386.5"/>
    <n v="181642.5"/>
    <n v="62605"/>
    <n v="0"/>
    <n v="7"/>
    <n v="87647"/>
    <n v="95296.94230633431"/>
    <n v="1.536"/>
    <n v="10"/>
    <n v="1.5"/>
    <n v="0"/>
    <n v="0"/>
    <n v="0"/>
    <n v="31302.5"/>
    <n v="121095"/>
    <n v="18781.5"/>
    <n v="0"/>
    <n v="7"/>
    <n v="87647"/>
    <n v="28589.08269190029"/>
    <n v="2"/>
    <n v="9"/>
    <n v="0"/>
    <n v="0"/>
    <n v="0"/>
    <n v="20997.65"/>
    <n v="112689"/>
    <n v="0"/>
    <n v="0"/>
    <n v="7"/>
    <n v="87647"/>
    <n v="0"/>
    <n v="0.7"/>
    <n v="9"/>
    <n v="1"/>
    <n v="0"/>
    <n v="0"/>
    <n v="108985.5"/>
    <n v="12521"/>
    <n v="0"/>
    <n v="0"/>
    <n v="7"/>
    <n v="87647"/>
    <n v="22680.67226890757"/>
    <n v="0.7"/>
    <n v="7"/>
    <n v="0.7"/>
    <m/>
    <n v="0"/>
    <n v="0"/>
    <n v="87647"/>
    <n v="8476.649999999998"/>
    <n v="0"/>
    <n v="0"/>
    <n v="7"/>
    <n v="87647"/>
    <n v="15876.47058823529"/>
    <n v="1"/>
    <n v="8"/>
    <n v="1"/>
    <m/>
    <n v="0"/>
    <n v="0"/>
    <n v="100168"/>
    <n v="12109.5"/>
    <n v="0"/>
    <n v="0"/>
    <n v="8"/>
    <n v="87647"/>
    <n v="22680.67226890757"/>
    <n v="4"/>
    <n v="7"/>
    <n v="4"/>
    <n v="0"/>
    <n v="0"/>
    <n v="0"/>
    <n v="87647"/>
    <n v="48437.99999999999"/>
    <n v="0"/>
    <n v="0"/>
    <n v="7"/>
    <n v="87647"/>
    <n v="90722.68907563026"/>
    <n v="4"/>
    <n v="3"/>
    <n v="4"/>
    <n v="0"/>
    <n v="0"/>
    <n v="0"/>
    <n v="37563"/>
    <n v="48437.99999999999"/>
    <n v="0"/>
    <n v="0"/>
    <n v="3"/>
    <n v="37563"/>
    <n v="90722.68907563026"/>
    <n v="4"/>
    <n v="0"/>
    <n v="4"/>
    <n v="0"/>
    <n v="0"/>
    <m/>
    <n v="0"/>
    <n v="48437.99999999999"/>
    <n v="0"/>
    <n v="0"/>
    <n v="0"/>
    <n v="0"/>
    <n v="90722.689075630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3"/>
    <x v="285"/>
    <x v="0"/>
    <x v="1"/>
    <n v="1"/>
    <x v="224"/>
    <n v="14"/>
    <m/>
    <n v="0"/>
    <n v="6314"/>
    <n v="88396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41219192761043"/>
    <n v="4"/>
    <n v="0.4702353484079372"/>
    <n v="0"/>
    <s v=""/>
    <n v="1"/>
    <s v=""/>
    <n v="1"/>
    <s v=""/>
    <n v="0"/>
    <s v=""/>
    <n v="0"/>
    <n v="0"/>
    <s v=""/>
    <n v="0"/>
    <n v="1"/>
    <s v=""/>
    <n v="0.2"/>
    <n v="2"/>
    <s v=""/>
    <n v="0.3333333333333333"/>
    <n v="3"/>
    <n v="17"/>
    <n v="3"/>
    <n v="0"/>
    <n v="0"/>
    <n v="0"/>
    <n v="34727"/>
    <n v="103810.5"/>
    <n v="18942"/>
    <n v="0"/>
    <n v="14"/>
    <n v="88396"/>
    <n v="31756.23190452652"/>
    <n v="2"/>
    <n v="16"/>
    <n v="1.5"/>
    <n v="0"/>
    <n v="0"/>
    <n v="0"/>
    <n v="15785"/>
    <n v="97703.99999999999"/>
    <n v="9471"/>
    <n v="0"/>
    <n v="14"/>
    <n v="88396"/>
    <n v="15878.11595226326"/>
    <n v="2"/>
    <n v="17"/>
    <n v="1"/>
    <n v="0"/>
    <n v="0"/>
    <n v="18527"/>
    <n v="107338"/>
    <n v="6314"/>
    <n v="0"/>
    <n v="14"/>
    <n v="88396"/>
    <n v="12596.63865546219"/>
    <n v="2"/>
    <n v="16"/>
    <n v="0"/>
    <n v="0"/>
    <n v="0"/>
    <n v="97703.99999999999"/>
    <n v="0"/>
    <n v="0"/>
    <n v="0"/>
    <n v="14"/>
    <n v="88396"/>
    <n v="0"/>
    <n v="2"/>
    <n v="14"/>
    <n v="2"/>
    <m/>
    <n v="0"/>
    <n v="0"/>
    <n v="88396"/>
    <n v="12213"/>
    <n v="0"/>
    <n v="0"/>
    <n v="14"/>
    <n v="88396"/>
    <n v="25193.27731092437"/>
    <n v="5"/>
    <n v="15"/>
    <n v="1"/>
    <m/>
    <n v="0"/>
    <n v="0"/>
    <n v="94710"/>
    <n v="6106.499999999999"/>
    <n v="0"/>
    <n v="0"/>
    <n v="15"/>
    <n v="88396"/>
    <n v="12596.63865546219"/>
    <n v="6"/>
    <n v="16"/>
    <n v="6"/>
    <n v="0"/>
    <n v="0"/>
    <n v="0"/>
    <n v="101024"/>
    <n v="36638.99999999999"/>
    <n v="0"/>
    <n v="0"/>
    <n v="16"/>
    <n v="88396"/>
    <n v="75579.83193277312"/>
    <n v="6"/>
    <n v="10"/>
    <n v="6"/>
    <n v="0"/>
    <n v="0"/>
    <n v="0"/>
    <n v="63140"/>
    <n v="36638.99999999999"/>
    <n v="0"/>
    <n v="0"/>
    <n v="10"/>
    <n v="63140"/>
    <n v="75579.83193277312"/>
    <n v="6"/>
    <n v="4"/>
    <n v="6"/>
    <n v="0"/>
    <n v="0"/>
    <m/>
    <n v="24426"/>
    <n v="36638.99999999999"/>
    <n v="0"/>
    <n v="0"/>
    <n v="4"/>
    <n v="24426"/>
    <n v="75579.8319327731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4"/>
    <x v="285"/>
    <x v="0"/>
    <x v="1"/>
    <n v="1"/>
    <x v="225"/>
    <n v="25"/>
    <m/>
    <n v="0"/>
    <n v="6314"/>
    <n v="157850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07694556795477803"/>
    <n v="4"/>
    <n v="0.2514966510580286"/>
    <n v="1"/>
    <s v=""/>
    <n v="0"/>
    <s v=""/>
    <n v="1"/>
    <s v=""/>
    <n v="0"/>
    <s v=""/>
    <n v="0"/>
    <n v="1"/>
    <s v=""/>
    <n v="0.3333333333333333"/>
    <n v="2"/>
    <s v=""/>
    <n v="0.3333333333333333"/>
    <n v="-1"/>
    <s v=""/>
    <n v="-0.1111111111111111"/>
    <n v="5"/>
    <n v="28"/>
    <n v="5"/>
    <n v="0"/>
    <n v="0"/>
    <n v="0"/>
    <n v="37884"/>
    <n v="170982"/>
    <n v="31570"/>
    <n v="0"/>
    <n v="25"/>
    <n v="157850"/>
    <n v="52927.05317421087"/>
    <n v="3"/>
    <n v="26"/>
    <n v="0"/>
    <n v="0"/>
    <n v="0"/>
    <n v="0"/>
    <n v="6314"/>
    <n v="158769"/>
    <n v="0"/>
    <n v="0"/>
    <n v="25"/>
    <n v="157850"/>
    <n v="0"/>
    <n v="3"/>
    <n v="28"/>
    <n v="1"/>
    <n v="0"/>
    <n v="0"/>
    <n v="24633.5"/>
    <n v="176792"/>
    <n v="6314"/>
    <n v="0"/>
    <n v="25"/>
    <n v="157850"/>
    <n v="12596.63865546219"/>
    <n v="3"/>
    <n v="28"/>
    <n v="0"/>
    <n v="0"/>
    <n v="0"/>
    <n v="170982"/>
    <n v="0"/>
    <n v="0"/>
    <n v="0"/>
    <n v="25"/>
    <n v="157850"/>
    <n v="0"/>
    <n v="3"/>
    <n v="26"/>
    <n v="3"/>
    <m/>
    <n v="0"/>
    <n v="0"/>
    <n v="164164"/>
    <n v="18319.5"/>
    <n v="0"/>
    <n v="0"/>
    <n v="25"/>
    <n v="157850"/>
    <n v="37789.91596638656"/>
    <n v="6"/>
    <n v="27"/>
    <n v="2"/>
    <m/>
    <n v="0"/>
    <n v="0"/>
    <n v="170478"/>
    <n v="12213"/>
    <n v="0"/>
    <n v="0"/>
    <n v="27"/>
    <n v="157850"/>
    <n v="25193.27731092437"/>
    <n v="9"/>
    <n v="24"/>
    <n v="9"/>
    <n v="0"/>
    <n v="0"/>
    <n v="0"/>
    <n v="151536"/>
    <n v="54958.49999999999"/>
    <n v="0"/>
    <n v="0"/>
    <n v="24"/>
    <n v="157850"/>
    <n v="113369.7478991597"/>
    <n v="9"/>
    <n v="15"/>
    <n v="9"/>
    <n v="0"/>
    <n v="0"/>
    <n v="0"/>
    <n v="94710"/>
    <n v="54958.49999999999"/>
    <n v="0"/>
    <n v="0"/>
    <n v="15"/>
    <n v="94710"/>
    <n v="113369.7478991597"/>
    <n v="9"/>
    <n v="6"/>
    <n v="9"/>
    <n v="0"/>
    <n v="0"/>
    <m/>
    <n v="36638.99999999999"/>
    <n v="54958.49999999999"/>
    <n v="0"/>
    <n v="0"/>
    <n v="6"/>
    <n v="36638.99999999999"/>
    <n v="113369.747899159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5"/>
    <x v="285"/>
    <x v="0"/>
    <x v="1"/>
    <n v="1"/>
    <x v="226"/>
    <n v="17"/>
    <m/>
    <n v="0"/>
    <n v="6645"/>
    <n v="112965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2"/>
    <s v=""/>
    <n v="0"/>
    <s v=""/>
    <n v="0"/>
    <s v=""/>
    <n v="2"/>
    <s v=""/>
    <n v="0.6666666666666666"/>
    <n v="1"/>
    <s v=""/>
    <n v="0.3333333333333333"/>
    <n v="1"/>
    <s v=""/>
    <n v="0.1666666666666667"/>
    <n v="1"/>
    <s v=""/>
    <n v="0.1666666666666667"/>
    <n v="5"/>
    <n v="24"/>
    <n v="5"/>
    <n v="0"/>
    <n v="0"/>
    <n v="0"/>
    <n v="33225"/>
    <n v="146556"/>
    <n v="33225"/>
    <n v="0"/>
    <n v="17"/>
    <n v="112965"/>
    <n v="52927.05317421087"/>
    <n v="3"/>
    <n v="21"/>
    <n v="0"/>
    <n v="0"/>
    <n v="0"/>
    <n v="0"/>
    <n v="13290"/>
    <n v="128236.5"/>
    <n v="0"/>
    <n v="0"/>
    <n v="17"/>
    <n v="112965"/>
    <n v="0"/>
    <n v="3"/>
    <n v="22"/>
    <n v="0"/>
    <n v="0"/>
    <n v="0"/>
    <n v="31609.5"/>
    <n v="146190"/>
    <n v="0"/>
    <n v="0"/>
    <n v="17"/>
    <n v="112965"/>
    <n v="0"/>
    <n v="3"/>
    <n v="21"/>
    <n v="2"/>
    <n v="0"/>
    <n v="0"/>
    <n v="128236.5"/>
    <n v="13290"/>
    <n v="0"/>
    <n v="0"/>
    <n v="17"/>
    <n v="112965"/>
    <n v="25193.27731092437"/>
    <n v="3"/>
    <n v="18"/>
    <n v="3"/>
    <m/>
    <n v="0"/>
    <n v="0"/>
    <n v="119610"/>
    <n v="18319.5"/>
    <n v="0"/>
    <n v="0"/>
    <n v="17"/>
    <n v="112965"/>
    <n v="37789.91596638656"/>
    <n v="6"/>
    <n v="18"/>
    <n v="1"/>
    <m/>
    <n v="0"/>
    <n v="0"/>
    <n v="119610"/>
    <n v="6106.499999999999"/>
    <n v="0"/>
    <n v="0"/>
    <n v="18"/>
    <n v="112965"/>
    <n v="12596.63865546219"/>
    <n v="6"/>
    <n v="18"/>
    <n v="6"/>
    <n v="0"/>
    <n v="0"/>
    <n v="0"/>
    <n v="119610"/>
    <n v="36638.99999999999"/>
    <n v="0"/>
    <n v="0"/>
    <n v="18"/>
    <n v="112965"/>
    <n v="75579.83193277312"/>
    <n v="6"/>
    <n v="12"/>
    <n v="6"/>
    <n v="0"/>
    <n v="0"/>
    <n v="0"/>
    <n v="79740"/>
    <n v="36638.99999999999"/>
    <n v="0"/>
    <n v="0"/>
    <n v="12"/>
    <n v="79740"/>
    <n v="75579.83193277312"/>
    <n v="6"/>
    <n v="6"/>
    <n v="6"/>
    <n v="0"/>
    <n v="0"/>
    <m/>
    <n v="36638.99999999999"/>
    <n v="36638.99999999999"/>
    <n v="0"/>
    <n v="0"/>
    <n v="6"/>
    <n v="36638.99999999999"/>
    <n v="75579.8319327731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6"/>
    <x v="285"/>
    <x v="0"/>
    <x v="1"/>
    <n v="1"/>
    <x v="227"/>
    <n v="11"/>
    <m/>
    <n v="0"/>
    <n v="6378"/>
    <n v="70158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.5"/>
    <n v="0"/>
    <s v=""/>
    <n v="0"/>
    <n v="1"/>
    <s v=""/>
    <n v="0.1666666666666667"/>
    <n v="1"/>
    <s v=""/>
    <n v="0.2"/>
    <n v="2"/>
    <n v="14"/>
    <n v="2"/>
    <n v="0"/>
    <n v="0"/>
    <n v="0"/>
    <n v="12756"/>
    <n v="85490.99999999999"/>
    <n v="12756"/>
    <n v="0"/>
    <n v="11"/>
    <n v="70158"/>
    <n v="21170.82126968435"/>
    <n v="2"/>
    <n v="13"/>
    <n v="0"/>
    <n v="0"/>
    <n v="0"/>
    <n v="0"/>
    <n v="6378"/>
    <n v="79384.49999999999"/>
    <n v="0"/>
    <n v="0"/>
    <n v="11"/>
    <n v="70158"/>
    <n v="0"/>
    <n v="2"/>
    <n v="14"/>
    <n v="0"/>
    <n v="0"/>
    <n v="0"/>
    <n v="18591"/>
    <n v="89292"/>
    <n v="0"/>
    <n v="0"/>
    <n v="11"/>
    <n v="70158"/>
    <n v="0"/>
    <n v="2"/>
    <n v="14"/>
    <n v="1"/>
    <n v="0"/>
    <n v="0"/>
    <n v="85490.99999999999"/>
    <n v="6378"/>
    <n v="0"/>
    <n v="0"/>
    <n v="11"/>
    <n v="70158"/>
    <n v="12596.63865546219"/>
    <n v="2"/>
    <n v="11"/>
    <n v="2"/>
    <m/>
    <n v="0"/>
    <n v="0"/>
    <n v="70158"/>
    <n v="12213"/>
    <n v="0"/>
    <n v="0"/>
    <n v="11"/>
    <n v="70158"/>
    <n v="25193.27731092437"/>
    <n v="6"/>
    <n v="12"/>
    <n v="1"/>
    <m/>
    <n v="0"/>
    <n v="0"/>
    <n v="76536"/>
    <n v="6106.499999999999"/>
    <n v="0"/>
    <n v="0"/>
    <n v="12"/>
    <n v="70158"/>
    <n v="12596.63865546219"/>
    <n v="5"/>
    <n v="12"/>
    <n v="5"/>
    <n v="0"/>
    <n v="0"/>
    <n v="0"/>
    <n v="76536"/>
    <n v="30532.5"/>
    <n v="0"/>
    <n v="0"/>
    <n v="12"/>
    <n v="70158"/>
    <n v="62983.19327731093"/>
    <n v="5"/>
    <n v="7"/>
    <n v="5"/>
    <n v="0"/>
    <n v="0"/>
    <n v="0"/>
    <n v="44646"/>
    <n v="30532.5"/>
    <n v="0"/>
    <n v="0"/>
    <n v="7"/>
    <n v="44646"/>
    <n v="62983.19327731093"/>
    <n v="5"/>
    <n v="2"/>
    <n v="5"/>
    <n v="0"/>
    <n v="0"/>
    <m/>
    <n v="12213"/>
    <n v="30532.5"/>
    <n v="0"/>
    <n v="0"/>
    <n v="2"/>
    <n v="12213"/>
    <n v="62983.1932773109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7"/>
    <x v="285"/>
    <x v="0"/>
    <x v="1"/>
    <n v="1"/>
    <x v="228"/>
    <n v="21"/>
    <m/>
    <n v="0"/>
    <n v="6314"/>
    <n v="132594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4305041941011996"/>
    <n v="0"/>
    <s v=""/>
    <n v="0"/>
    <s v=""/>
    <n v="0"/>
    <s v=""/>
    <n v="0"/>
    <s v=""/>
    <n v="0"/>
    <n v="0"/>
    <s v=""/>
    <n v="0"/>
    <n v="0"/>
    <s v=""/>
    <n v="0"/>
    <n v="1"/>
    <s v=""/>
    <n v="0.125"/>
    <n v="3"/>
    <n v="20"/>
    <n v="3"/>
    <n v="0"/>
    <n v="0"/>
    <n v="0"/>
    <n v="18942"/>
    <n v="122130"/>
    <n v="18942"/>
    <n v="0"/>
    <n v="21"/>
    <n v="132594"/>
    <n v="31756.23190452652"/>
    <n v="2"/>
    <n v="22"/>
    <n v="0"/>
    <n v="0"/>
    <n v="0"/>
    <n v="0"/>
    <n v="0"/>
    <n v="134343"/>
    <n v="0"/>
    <n v="0"/>
    <n v="21"/>
    <n v="132594"/>
    <n v="0"/>
    <n v="2"/>
    <n v="23"/>
    <n v="0"/>
    <n v="0"/>
    <n v="0"/>
    <n v="12213"/>
    <n v="145222"/>
    <n v="0"/>
    <n v="0"/>
    <n v="21"/>
    <n v="132594"/>
    <n v="0"/>
    <n v="2"/>
    <n v="23"/>
    <n v="0"/>
    <n v="0"/>
    <n v="0"/>
    <n v="140449.5"/>
    <n v="0"/>
    <n v="0"/>
    <n v="0"/>
    <n v="21"/>
    <n v="132594"/>
    <n v="0"/>
    <n v="2"/>
    <n v="21"/>
    <n v="2"/>
    <m/>
    <n v="0"/>
    <n v="0"/>
    <n v="132594"/>
    <n v="12213"/>
    <n v="0"/>
    <n v="0"/>
    <n v="21"/>
    <n v="132594"/>
    <n v="25193.27731092437"/>
    <n v="5"/>
    <n v="21"/>
    <n v="0"/>
    <m/>
    <n v="0"/>
    <n v="0"/>
    <n v="132594"/>
    <n v="0"/>
    <n v="0"/>
    <n v="0"/>
    <n v="21"/>
    <n v="132594"/>
    <n v="0"/>
    <n v="8"/>
    <n v="22"/>
    <n v="8"/>
    <n v="0"/>
    <n v="0"/>
    <n v="0"/>
    <n v="138908"/>
    <n v="48851.99999999999"/>
    <n v="0"/>
    <n v="0"/>
    <n v="22"/>
    <n v="132594"/>
    <n v="100773.1092436975"/>
    <n v="8"/>
    <n v="14"/>
    <n v="8"/>
    <n v="0"/>
    <n v="0"/>
    <n v="0"/>
    <n v="88396"/>
    <n v="48851.99999999999"/>
    <n v="0"/>
    <n v="0"/>
    <n v="14"/>
    <n v="88396"/>
    <n v="100773.1092436975"/>
    <n v="8"/>
    <n v="6"/>
    <n v="8"/>
    <n v="0"/>
    <n v="0"/>
    <m/>
    <n v="36638.99999999999"/>
    <n v="48851.99999999999"/>
    <n v="0"/>
    <n v="0"/>
    <n v="6"/>
    <n v="36638.99999999999"/>
    <n v="100773.109243697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8"/>
    <x v="285"/>
    <x v="0"/>
    <x v="1"/>
    <n v="1"/>
    <x v="229"/>
    <n v="30"/>
    <m/>
    <n v="0"/>
    <n v="6314"/>
    <n v="189420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4"/>
    <n v="0.3352284691514003"/>
    <n v="0"/>
    <s v=""/>
    <n v="0"/>
    <s v=""/>
    <n v="0"/>
    <s v=""/>
    <n v="0"/>
    <s v=""/>
    <n v="0"/>
    <n v="0"/>
    <s v=""/>
    <n v="0"/>
    <n v="1"/>
    <s v=""/>
    <n v="0.1666666666666667"/>
    <n v="0"/>
    <s v=""/>
    <n v="0"/>
    <n v="5"/>
    <n v="29"/>
    <n v="5"/>
    <n v="0"/>
    <n v="0"/>
    <n v="0"/>
    <n v="31570"/>
    <n v="177088.5"/>
    <n v="31570"/>
    <n v="0"/>
    <n v="30"/>
    <n v="189420"/>
    <n v="52927.05317421087"/>
    <n v="3"/>
    <n v="30"/>
    <n v="0"/>
    <n v="0"/>
    <n v="0"/>
    <n v="0"/>
    <n v="0"/>
    <n v="183195"/>
    <n v="0"/>
    <n v="0"/>
    <n v="30"/>
    <n v="189420"/>
    <n v="0"/>
    <n v="3"/>
    <n v="31"/>
    <n v="0"/>
    <n v="0"/>
    <n v="0"/>
    <n v="18319.5"/>
    <n v="195734"/>
    <n v="0"/>
    <n v="0"/>
    <n v="30"/>
    <n v="189420"/>
    <n v="0"/>
    <n v="3"/>
    <n v="31"/>
    <n v="0"/>
    <n v="0"/>
    <n v="0"/>
    <n v="189301.5"/>
    <n v="0"/>
    <n v="0"/>
    <n v="0"/>
    <n v="30"/>
    <n v="189420"/>
    <n v="0"/>
    <n v="3"/>
    <n v="30"/>
    <n v="3"/>
    <m/>
    <n v="0"/>
    <n v="0"/>
    <n v="189420"/>
    <n v="18319.5"/>
    <n v="0"/>
    <n v="0"/>
    <n v="30"/>
    <n v="189420"/>
    <n v="37789.91596638656"/>
    <n v="6"/>
    <n v="31"/>
    <n v="1"/>
    <m/>
    <n v="0"/>
    <n v="0"/>
    <n v="195734"/>
    <n v="6106.499999999999"/>
    <n v="0"/>
    <n v="0"/>
    <n v="31"/>
    <n v="189420"/>
    <n v="12596.63865546219"/>
    <n v="10"/>
    <n v="30"/>
    <n v="10"/>
    <n v="0"/>
    <n v="0"/>
    <n v="0"/>
    <n v="189420"/>
    <n v="61064.99999999999"/>
    <n v="0"/>
    <n v="0"/>
    <n v="30"/>
    <n v="189420"/>
    <n v="125966.3865546219"/>
    <n v="10"/>
    <n v="20"/>
    <n v="10"/>
    <n v="0"/>
    <n v="0"/>
    <n v="0"/>
    <n v="126280"/>
    <n v="61064.99999999999"/>
    <n v="0"/>
    <n v="0"/>
    <n v="20"/>
    <n v="126280"/>
    <n v="125966.3865546219"/>
    <n v="10"/>
    <n v="10"/>
    <n v="10"/>
    <n v="0"/>
    <n v="0"/>
    <m/>
    <n v="61064.99999999999"/>
    <n v="61064.99999999999"/>
    <n v="0"/>
    <n v="0"/>
    <n v="10"/>
    <n v="61064.99999999999"/>
    <n v="125966.386554621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09"/>
    <x v="285"/>
    <x v="0"/>
    <x v="1"/>
    <n v="1"/>
    <x v="230"/>
    <n v="26"/>
    <m/>
    <n v="0"/>
    <n v="6487"/>
    <n v="168662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56328360299783"/>
    <n v="0"/>
    <s v=""/>
    <n v="0"/>
    <s v=""/>
    <n v="0"/>
    <s v=""/>
    <n v="0"/>
    <s v=""/>
    <n v="0"/>
    <n v="0"/>
    <s v=""/>
    <n v="0"/>
    <n v="0"/>
    <s v=""/>
    <n v="0"/>
    <n v="0"/>
    <s v=""/>
    <n v="0"/>
    <n v="5"/>
    <n v="24"/>
    <n v="5"/>
    <n v="0"/>
    <n v="0"/>
    <n v="0"/>
    <n v="32435"/>
    <n v="146556"/>
    <n v="32435"/>
    <n v="0"/>
    <n v="26"/>
    <n v="168662"/>
    <n v="52927.05317421087"/>
    <n v="3"/>
    <n v="25"/>
    <n v="0"/>
    <n v="0"/>
    <n v="0"/>
    <n v="0"/>
    <n v="0"/>
    <n v="152662.5"/>
    <n v="0"/>
    <n v="0"/>
    <n v="26"/>
    <n v="168662"/>
    <n v="0"/>
    <n v="3"/>
    <n v="26"/>
    <n v="0"/>
    <n v="0"/>
    <n v="0"/>
    <n v="18319.5"/>
    <n v="168662"/>
    <n v="0"/>
    <n v="0"/>
    <n v="26"/>
    <n v="168662"/>
    <n v="0"/>
    <n v="3"/>
    <n v="26"/>
    <n v="0"/>
    <n v="0"/>
    <n v="0"/>
    <n v="158769"/>
    <n v="0"/>
    <n v="0"/>
    <n v="0"/>
    <n v="26"/>
    <n v="168662"/>
    <n v="0"/>
    <n v="3"/>
    <n v="26"/>
    <n v="3"/>
    <m/>
    <n v="0"/>
    <n v="0"/>
    <n v="168662"/>
    <n v="18319.5"/>
    <n v="0"/>
    <n v="0"/>
    <n v="26"/>
    <n v="168662"/>
    <n v="37789.91596638656"/>
    <n v="6"/>
    <n v="26"/>
    <n v="0"/>
    <m/>
    <n v="0"/>
    <n v="0"/>
    <n v="168662"/>
    <n v="0"/>
    <n v="0"/>
    <n v="0"/>
    <n v="26"/>
    <n v="168662"/>
    <n v="0"/>
    <n v="9"/>
    <n v="26"/>
    <n v="9"/>
    <n v="0"/>
    <n v="0"/>
    <n v="0"/>
    <n v="168662"/>
    <n v="54958.49999999999"/>
    <n v="0"/>
    <n v="0"/>
    <n v="26"/>
    <n v="168662"/>
    <n v="113369.7478991597"/>
    <n v="9"/>
    <n v="17"/>
    <n v="9"/>
    <n v="0"/>
    <n v="0"/>
    <n v="0"/>
    <n v="110279"/>
    <n v="54958.49999999999"/>
    <n v="0"/>
    <n v="0"/>
    <n v="17"/>
    <n v="110279"/>
    <n v="113369.7478991597"/>
    <n v="9"/>
    <n v="8"/>
    <n v="9"/>
    <n v="0"/>
    <n v="0"/>
    <m/>
    <n v="48851.99999999999"/>
    <n v="54958.49999999999"/>
    <n v="0"/>
    <n v="0"/>
    <n v="8"/>
    <n v="48851.99999999999"/>
    <n v="113369.747899159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SB01"/>
    <x v="410"/>
    <x v="285"/>
    <x v="0"/>
    <x v="1"/>
    <n v="1"/>
    <x v="231"/>
    <n v="10"/>
    <m/>
    <n v="0"/>
    <n v="6374"/>
    <n v="63740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305041941011996"/>
    <n v="0"/>
    <s v=""/>
    <n v="0"/>
    <s v=""/>
    <n v="0"/>
    <s v=""/>
    <n v="0"/>
    <s v=""/>
    <n v="0"/>
    <n v="0"/>
    <s v=""/>
    <n v="0"/>
    <n v="1"/>
    <s v=""/>
    <n v="0.1666666666666667"/>
    <n v="1"/>
    <s v=""/>
    <n v="0.25"/>
    <n v="2"/>
    <n v="13"/>
    <n v="2"/>
    <n v="0"/>
    <n v="0"/>
    <n v="0"/>
    <n v="12748"/>
    <n v="79384.49999999999"/>
    <n v="12748"/>
    <n v="0"/>
    <n v="10"/>
    <n v="63740"/>
    <n v="21170.82126968435"/>
    <n v="2"/>
    <n v="12"/>
    <n v="0"/>
    <n v="0"/>
    <n v="0"/>
    <n v="0"/>
    <n v="0"/>
    <n v="73277.99999999999"/>
    <n v="0"/>
    <n v="0"/>
    <n v="10"/>
    <n v="63740"/>
    <n v="0"/>
    <n v="2"/>
    <n v="12"/>
    <n v="0"/>
    <n v="0"/>
    <n v="0"/>
    <n v="12213"/>
    <n v="76488"/>
    <n v="0"/>
    <n v="0"/>
    <n v="10"/>
    <n v="63740"/>
    <n v="0"/>
    <n v="2"/>
    <n v="12"/>
    <n v="0"/>
    <n v="0"/>
    <n v="0"/>
    <n v="73277.99999999999"/>
    <n v="0"/>
    <n v="0"/>
    <n v="0"/>
    <n v="10"/>
    <n v="63740"/>
    <n v="0"/>
    <n v="2"/>
    <n v="10"/>
    <n v="2"/>
    <m/>
    <n v="0"/>
    <n v="0"/>
    <n v="63740"/>
    <n v="12213"/>
    <n v="0"/>
    <n v="0"/>
    <n v="10"/>
    <n v="63740"/>
    <n v="25193.27731092437"/>
    <n v="6"/>
    <n v="11"/>
    <n v="1"/>
    <m/>
    <n v="0"/>
    <n v="0"/>
    <n v="70114"/>
    <n v="6106.499999999999"/>
    <n v="0"/>
    <n v="0"/>
    <n v="11"/>
    <n v="63740"/>
    <n v="12596.63865546219"/>
    <n v="4"/>
    <n v="11"/>
    <n v="4"/>
    <n v="0"/>
    <n v="0"/>
    <n v="0"/>
    <n v="70114"/>
    <n v="24426"/>
    <n v="0"/>
    <n v="0"/>
    <n v="11"/>
    <n v="63740"/>
    <n v="50386.55462184874"/>
    <n v="4"/>
    <n v="7"/>
    <n v="4"/>
    <n v="0"/>
    <n v="0"/>
    <n v="0"/>
    <n v="44618"/>
    <n v="24426"/>
    <n v="0"/>
    <n v="0"/>
    <n v="7"/>
    <n v="44618"/>
    <n v="50386.55462184874"/>
    <n v="4"/>
    <n v="3"/>
    <n v="4"/>
    <n v="0"/>
    <n v="0"/>
    <m/>
    <n v="18319.5"/>
    <n v="24426"/>
    <n v="0"/>
    <n v="0"/>
    <n v="3"/>
    <n v="18319.5"/>
    <n v="50386.5546218487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1"/>
    <x v="286"/>
    <x v="0"/>
    <x v="1"/>
    <n v="1"/>
    <x v="232"/>
    <n v="13"/>
    <m/>
    <n v="0"/>
    <n v="9203"/>
    <n v="119639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337312330790057"/>
    <n v="5"/>
    <n v="0.163211492998727"/>
    <n v="0"/>
    <s v=""/>
    <n v="0"/>
    <s v=""/>
    <n v="3"/>
    <s v=""/>
    <n v="0"/>
    <s v=""/>
    <n v="0"/>
    <n v="-2"/>
    <s v=""/>
    <n v="-1"/>
    <n v="0"/>
    <s v=""/>
    <n v="0"/>
    <n v="1"/>
    <s v=""/>
    <n v="0.25"/>
    <n v="3"/>
    <n v="12"/>
    <n v="3"/>
    <n v="0"/>
    <n v="0"/>
    <n v="0"/>
    <n v="55218"/>
    <n v="106812"/>
    <n v="27609"/>
    <n v="0"/>
    <n v="13"/>
    <n v="119639"/>
    <n v="42348.70418755738"/>
    <n v="2"/>
    <n v="13"/>
    <n v="0"/>
    <n v="0"/>
    <n v="0"/>
    <n v="0"/>
    <n v="27609"/>
    <n v="115713"/>
    <n v="0"/>
    <n v="0"/>
    <n v="13"/>
    <n v="119639"/>
    <n v="0"/>
    <n v="2"/>
    <n v="15"/>
    <n v="3"/>
    <n v="0"/>
    <n v="0"/>
    <n v="45411"/>
    <n v="138045"/>
    <n v="27609"/>
    <n v="0"/>
    <n v="13"/>
    <n v="119639"/>
    <n v="50394.95798319328"/>
    <n v="2"/>
    <n v="14"/>
    <n v="0"/>
    <n v="0"/>
    <n v="0"/>
    <n v="124614"/>
    <n v="0"/>
    <n v="0"/>
    <n v="0"/>
    <n v="13"/>
    <n v="119639"/>
    <n v="0"/>
    <n v="2"/>
    <n v="11"/>
    <n v="2"/>
    <m/>
    <n v="0"/>
    <n v="0"/>
    <n v="101233"/>
    <n v="17802"/>
    <n v="0"/>
    <n v="0"/>
    <n v="13"/>
    <n v="119639"/>
    <n v="33596.63865546219"/>
    <n v="5"/>
    <n v="13"/>
    <n v="0"/>
    <m/>
    <n v="0"/>
    <n v="0"/>
    <n v="119639"/>
    <n v="0"/>
    <n v="0"/>
    <n v="0"/>
    <n v="13"/>
    <n v="119639"/>
    <n v="0"/>
    <n v="4"/>
    <n v="14"/>
    <n v="4"/>
    <n v="0"/>
    <n v="0"/>
    <n v="0"/>
    <n v="128842"/>
    <n v="35604"/>
    <n v="0"/>
    <n v="0"/>
    <n v="14"/>
    <n v="119639"/>
    <n v="67193.27731092437"/>
    <n v="4"/>
    <n v="10"/>
    <n v="4"/>
    <n v="0"/>
    <n v="0"/>
    <n v="0"/>
    <n v="92030"/>
    <n v="35604"/>
    <n v="0"/>
    <n v="0"/>
    <n v="10"/>
    <n v="92030"/>
    <n v="67193.27731092437"/>
    <n v="4"/>
    <n v="6"/>
    <n v="4"/>
    <n v="0"/>
    <n v="0"/>
    <m/>
    <n v="53406"/>
    <n v="35604"/>
    <n v="0"/>
    <n v="0"/>
    <n v="6"/>
    <n v="53406"/>
    <n v="67193.27731092437"/>
    <n v="0"/>
    <n v="2"/>
    <n v="0"/>
    <n v="0"/>
    <n v="0"/>
    <n v="0"/>
    <m/>
    <n v="17802"/>
    <n v="0"/>
    <n v="0"/>
    <n v="0"/>
    <n v="2"/>
    <n v="17802"/>
    <n v="0"/>
    <n v="0"/>
    <n v="2"/>
    <n v="0"/>
    <n v="0"/>
    <n v="0"/>
    <n v="17802"/>
    <n v="0"/>
    <n v="0"/>
    <n v="0"/>
    <n v="2"/>
    <n v="17802"/>
    <n v="0"/>
    <n v="0"/>
    <n v="2"/>
    <n v="0"/>
    <n v="0"/>
    <n v="0"/>
    <n v="17802"/>
    <n v="0"/>
    <n v="0"/>
    <n v="2"/>
    <n v="17802"/>
    <n v="0"/>
    <n v="0"/>
    <n v="2"/>
    <n v="0"/>
    <n v="0"/>
    <m/>
    <n v="17802"/>
    <n v="0"/>
    <n v="0"/>
    <n v="2"/>
    <n v="17802"/>
    <n v="0"/>
  </r>
  <r>
    <m/>
    <x v="1"/>
    <x v="16"/>
    <x v="42"/>
    <s v="LTS26-WLG03"/>
    <x v="412"/>
    <x v="286"/>
    <x v="0"/>
    <x v="1"/>
    <n v="1"/>
    <x v="233"/>
    <n v="13"/>
    <m/>
    <n v="0"/>
    <n v="9203"/>
    <n v="119639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10"/>
    <n v="0.261390540855063"/>
    <n v="0"/>
    <s v=""/>
    <n v="0"/>
    <s v=""/>
    <n v="0"/>
    <s v=""/>
    <n v="1"/>
    <s v=""/>
    <n v="0.3333333333333333"/>
    <n v="1"/>
    <s v=""/>
    <n v="0.3333333333333333"/>
    <n v="4"/>
    <s v=""/>
    <n v="0.6666666666666666"/>
    <n v="0"/>
    <s v=""/>
    <n v="0"/>
    <n v="5"/>
    <n v="19"/>
    <n v="5"/>
    <n v="0"/>
    <n v="0"/>
    <n v="0"/>
    <n v="46015"/>
    <n v="169119"/>
    <n v="46015"/>
    <n v="0"/>
    <n v="13"/>
    <n v="119639"/>
    <n v="70581.17364592897"/>
    <n v="3"/>
    <n v="17"/>
    <n v="0"/>
    <n v="0"/>
    <n v="0"/>
    <n v="0"/>
    <n v="9203"/>
    <n v="151317"/>
    <n v="0"/>
    <n v="0"/>
    <n v="13"/>
    <n v="119639"/>
    <n v="0"/>
    <n v="3"/>
    <n v="19"/>
    <n v="0"/>
    <n v="0"/>
    <n v="0"/>
    <n v="35906"/>
    <n v="174857"/>
    <n v="0"/>
    <n v="0"/>
    <n v="13"/>
    <n v="119639"/>
    <n v="0"/>
    <n v="3"/>
    <n v="19"/>
    <n v="1"/>
    <n v="0"/>
    <n v="0"/>
    <n v="169119"/>
    <n v="9203"/>
    <n v="0"/>
    <n v="0"/>
    <n v="13"/>
    <n v="119639"/>
    <n v="16798.31932773109"/>
    <n v="3"/>
    <n v="14"/>
    <n v="3"/>
    <m/>
    <n v="0"/>
    <n v="0"/>
    <n v="128842"/>
    <n v="26703"/>
    <n v="0"/>
    <n v="0"/>
    <n v="13"/>
    <n v="119639"/>
    <n v="50394.95798319328"/>
    <n v="6"/>
    <n v="17"/>
    <n v="4"/>
    <m/>
    <n v="0"/>
    <n v="0"/>
    <n v="156451"/>
    <n v="35604"/>
    <n v="0"/>
    <n v="0"/>
    <n v="17"/>
    <n v="119639"/>
    <n v="67193.27731092437"/>
    <n v="6"/>
    <n v="13"/>
    <n v="6"/>
    <n v="0"/>
    <n v="0"/>
    <n v="0"/>
    <n v="119639"/>
    <n v="53406"/>
    <n v="0"/>
    <n v="0"/>
    <n v="13"/>
    <n v="119639"/>
    <n v="100789.9159663866"/>
    <n v="6"/>
    <n v="7"/>
    <n v="6"/>
    <n v="0"/>
    <n v="0"/>
    <n v="0"/>
    <n v="64421"/>
    <n v="53406"/>
    <n v="0"/>
    <n v="0"/>
    <n v="7"/>
    <n v="64421"/>
    <n v="100789.9159663866"/>
    <n v="6"/>
    <n v="1"/>
    <n v="6"/>
    <n v="0"/>
    <n v="0"/>
    <m/>
    <n v="8901"/>
    <n v="53406"/>
    <n v="0"/>
    <n v="0"/>
    <n v="1"/>
    <n v="8901"/>
    <n v="100789.915966386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3"/>
    <x v="286"/>
    <x v="0"/>
    <x v="1"/>
    <n v="1"/>
    <x v="234"/>
    <n v="15"/>
    <m/>
    <n v="0"/>
    <n v="9466"/>
    <n v="141990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288841029750576"/>
    <n v="0"/>
    <s v=""/>
    <n v="0"/>
    <s v=""/>
    <n v="1"/>
    <s v=""/>
    <n v="0"/>
    <s v=""/>
    <n v="0"/>
    <n v="2"/>
    <s v=""/>
    <n v="0.6666666666666666"/>
    <n v="4"/>
    <s v=""/>
    <n v="0.6666666666666666"/>
    <n v="1"/>
    <s v=""/>
    <n v="0.1428571428571428"/>
    <n v="5"/>
    <n v="13"/>
    <n v="5"/>
    <n v="0"/>
    <n v="0"/>
    <n v="0"/>
    <n v="56796"/>
    <n v="115713"/>
    <n v="47330"/>
    <n v="0"/>
    <n v="15"/>
    <n v="141990"/>
    <n v="70581.17364592897"/>
    <n v="3"/>
    <n v="23"/>
    <n v="0"/>
    <n v="0"/>
    <n v="0"/>
    <n v="0"/>
    <n v="9466"/>
    <n v="204723"/>
    <n v="0"/>
    <n v="0"/>
    <n v="15"/>
    <n v="141990"/>
    <n v="0"/>
    <n v="3"/>
    <n v="24"/>
    <n v="1"/>
    <n v="0"/>
    <n v="0"/>
    <n v="36169"/>
    <n v="227184"/>
    <n v="9466"/>
    <n v="0"/>
    <n v="15"/>
    <n v="141990"/>
    <n v="16798.31932773109"/>
    <n v="3"/>
    <n v="23"/>
    <n v="0"/>
    <n v="0"/>
    <n v="0"/>
    <n v="204723"/>
    <n v="0"/>
    <n v="0"/>
    <n v="0"/>
    <n v="15"/>
    <n v="141990"/>
    <n v="0"/>
    <n v="3"/>
    <n v="17"/>
    <n v="3"/>
    <m/>
    <n v="0"/>
    <n v="0"/>
    <n v="160922"/>
    <n v="26703"/>
    <n v="0"/>
    <n v="0"/>
    <n v="15"/>
    <n v="141990"/>
    <n v="50394.95798319328"/>
    <n v="6"/>
    <n v="19"/>
    <n v="4"/>
    <m/>
    <n v="0"/>
    <n v="0"/>
    <n v="179854"/>
    <n v="35604"/>
    <n v="0"/>
    <n v="0"/>
    <n v="19"/>
    <n v="141990"/>
    <n v="67193.27731092437"/>
    <n v="7"/>
    <n v="16"/>
    <n v="7"/>
    <n v="0"/>
    <n v="0"/>
    <n v="0"/>
    <n v="151456"/>
    <n v="62307"/>
    <n v="0"/>
    <n v="0"/>
    <n v="16"/>
    <n v="141990"/>
    <n v="117588.2352941177"/>
    <n v="7"/>
    <n v="9"/>
    <n v="7"/>
    <n v="0"/>
    <n v="0"/>
    <n v="0"/>
    <n v="85194"/>
    <n v="62307"/>
    <n v="0"/>
    <n v="0"/>
    <n v="9"/>
    <n v="85194"/>
    <n v="117588.2352941177"/>
    <n v="7"/>
    <n v="2"/>
    <n v="7"/>
    <n v="0"/>
    <n v="0"/>
    <m/>
    <n v="17802"/>
    <n v="62307"/>
    <n v="0"/>
    <n v="0"/>
    <n v="2"/>
    <n v="17802"/>
    <n v="117588.23529411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4"/>
    <x v="286"/>
    <x v="0"/>
    <x v="1"/>
    <n v="1"/>
    <x v="235"/>
    <n v="4"/>
    <m/>
    <n v="0"/>
    <n v="9296"/>
    <n v="37184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041129360662413"/>
    <n v="1"/>
    <s v=""/>
    <n v="2"/>
    <s v=""/>
    <n v="0"/>
    <s v=""/>
    <n v="2"/>
    <s v=""/>
    <n v="1"/>
    <n v="0"/>
    <s v=""/>
    <n v="0"/>
    <n v="1"/>
    <s v=""/>
    <n v="0.1666666666666667"/>
    <n v="1"/>
    <s v=""/>
    <n v="0.5"/>
    <n v="2"/>
    <n v="12"/>
    <n v="2"/>
    <n v="0"/>
    <n v="0"/>
    <n v="0"/>
    <n v="46480"/>
    <n v="106812"/>
    <n v="18592"/>
    <n v="0"/>
    <n v="4"/>
    <n v="37184"/>
    <n v="28232.46945837159"/>
    <n v="2"/>
    <n v="7"/>
    <n v="3"/>
    <n v="0"/>
    <n v="0"/>
    <n v="0"/>
    <n v="46480"/>
    <n v="62307"/>
    <n v="27888"/>
    <n v="0"/>
    <n v="4"/>
    <n v="37184"/>
    <n v="42348.70418755738"/>
    <n v="2"/>
    <n v="6"/>
    <n v="0"/>
    <n v="0"/>
    <n v="0"/>
    <n v="36394"/>
    <n v="55776"/>
    <n v="0"/>
    <n v="0"/>
    <n v="4"/>
    <n v="37184"/>
    <n v="0"/>
    <n v="2"/>
    <n v="6"/>
    <n v="2"/>
    <n v="0"/>
    <n v="0"/>
    <n v="53406"/>
    <n v="18592"/>
    <n v="0"/>
    <n v="0"/>
    <n v="4"/>
    <n v="37184"/>
    <n v="33596.63865546219"/>
    <n v="2"/>
    <n v="4"/>
    <n v="2"/>
    <m/>
    <n v="0"/>
    <n v="0"/>
    <n v="37184"/>
    <n v="17802"/>
    <n v="0"/>
    <n v="0"/>
    <n v="4"/>
    <n v="37184"/>
    <n v="33596.63865546219"/>
    <n v="6"/>
    <n v="5"/>
    <n v="1"/>
    <m/>
    <n v="0"/>
    <n v="0"/>
    <n v="46480"/>
    <n v="8901"/>
    <n v="0"/>
    <n v="0"/>
    <n v="5"/>
    <n v="37184"/>
    <n v="16798.31932773109"/>
    <n v="2"/>
    <n v="5"/>
    <n v="2"/>
    <n v="0"/>
    <n v="0"/>
    <n v="0"/>
    <n v="46480"/>
    <n v="17802"/>
    <n v="0"/>
    <n v="0"/>
    <n v="5"/>
    <n v="37184"/>
    <n v="33596.63865546219"/>
    <n v="2"/>
    <n v="3"/>
    <n v="2"/>
    <n v="0"/>
    <n v="0"/>
    <n v="0"/>
    <n v="27888"/>
    <n v="17802"/>
    <n v="0"/>
    <n v="0"/>
    <n v="3"/>
    <n v="27888"/>
    <n v="33596.63865546219"/>
    <n v="2"/>
    <n v="1"/>
    <n v="2"/>
    <n v="0"/>
    <n v="0"/>
    <m/>
    <n v="8901"/>
    <n v="17802"/>
    <n v="0"/>
    <n v="0"/>
    <n v="1"/>
    <n v="8901"/>
    <n v="33596.6386554621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5"/>
    <x v="286"/>
    <x v="0"/>
    <x v="1"/>
    <n v="1"/>
    <x v="236"/>
    <n v="19"/>
    <m/>
    <n v="0"/>
    <n v="9203"/>
    <n v="174857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0945240041221"/>
    <n v="0"/>
    <s v=""/>
    <n v="0"/>
    <s v=""/>
    <n v="0"/>
    <s v=""/>
    <n v="1"/>
    <s v=""/>
    <n v="0.5"/>
    <n v="0"/>
    <s v=""/>
    <n v="0"/>
    <n v="0"/>
    <s v=""/>
    <n v="0"/>
    <n v="1"/>
    <s v=""/>
    <n v="0.1428571428571428"/>
    <n v="3"/>
    <n v="18"/>
    <n v="3"/>
    <n v="0"/>
    <n v="0"/>
    <n v="0"/>
    <n v="27609"/>
    <n v="160218"/>
    <n v="27609"/>
    <n v="0"/>
    <n v="19"/>
    <n v="174857"/>
    <n v="42348.70418755738"/>
    <n v="2"/>
    <n v="19"/>
    <n v="0"/>
    <n v="0"/>
    <n v="0"/>
    <n v="0"/>
    <n v="9203"/>
    <n v="169119"/>
    <n v="0"/>
    <n v="0"/>
    <n v="19"/>
    <n v="174857"/>
    <n v="0"/>
    <n v="2"/>
    <n v="21"/>
    <n v="0"/>
    <n v="0"/>
    <n v="0"/>
    <n v="27005"/>
    <n v="193263"/>
    <n v="0"/>
    <n v="0"/>
    <n v="19"/>
    <n v="174857"/>
    <n v="0"/>
    <n v="2"/>
    <n v="21"/>
    <n v="1"/>
    <n v="0"/>
    <n v="0"/>
    <n v="186921"/>
    <n v="9203"/>
    <n v="0"/>
    <n v="0"/>
    <n v="19"/>
    <n v="174857"/>
    <n v="16798.31932773109"/>
    <n v="2"/>
    <n v="19"/>
    <n v="2"/>
    <m/>
    <n v="0"/>
    <n v="0"/>
    <n v="174857"/>
    <n v="17802"/>
    <n v="0"/>
    <n v="0"/>
    <n v="19"/>
    <n v="174857"/>
    <n v="33596.63865546219"/>
    <n v="5"/>
    <n v="19"/>
    <n v="0"/>
    <m/>
    <n v="0"/>
    <n v="0"/>
    <n v="174857"/>
    <n v="0"/>
    <n v="0"/>
    <n v="0"/>
    <n v="19"/>
    <n v="174857"/>
    <n v="0"/>
    <n v="7"/>
    <n v="20"/>
    <n v="7"/>
    <n v="0"/>
    <n v="0"/>
    <n v="0"/>
    <n v="184060"/>
    <n v="62307"/>
    <n v="0"/>
    <n v="0"/>
    <n v="20"/>
    <n v="174857"/>
    <n v="117588.2352941177"/>
    <n v="7"/>
    <n v="13"/>
    <n v="7"/>
    <n v="0"/>
    <n v="0"/>
    <n v="0"/>
    <n v="119639"/>
    <n v="62307"/>
    <n v="0"/>
    <n v="0"/>
    <n v="13"/>
    <n v="119639"/>
    <n v="117588.2352941177"/>
    <n v="7"/>
    <n v="6"/>
    <n v="7"/>
    <n v="0"/>
    <n v="0"/>
    <m/>
    <n v="53406"/>
    <n v="62307"/>
    <n v="0"/>
    <n v="0"/>
    <n v="6"/>
    <n v="53406"/>
    <n v="117588.23529411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6"/>
    <x v="286"/>
    <x v="0"/>
    <x v="1"/>
    <n v="1"/>
    <x v="237"/>
    <n v="24"/>
    <m/>
    <n v="0"/>
    <n v="9203"/>
    <n v="220872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7"/>
    <n v="0.4306986691175171"/>
    <n v="0"/>
    <s v=""/>
    <n v="1"/>
    <s v=""/>
    <n v="0"/>
    <s v=""/>
    <n v="0"/>
    <s v=""/>
    <n v="0"/>
    <n v="1"/>
    <s v=""/>
    <n v="0.3333333333333333"/>
    <n v="1"/>
    <s v=""/>
    <n v="0.1666666666666667"/>
    <n v="1"/>
    <s v=""/>
    <n v="0.1111111111111111"/>
    <n v="5"/>
    <n v="28"/>
    <n v="5"/>
    <n v="0"/>
    <n v="0"/>
    <n v="0"/>
    <n v="59819.5"/>
    <n v="249228"/>
    <n v="46015"/>
    <n v="0"/>
    <n v="24"/>
    <n v="220872"/>
    <n v="70581.17364592897"/>
    <n v="3"/>
    <n v="26"/>
    <n v="1.5"/>
    <n v="0"/>
    <n v="0"/>
    <n v="0"/>
    <n v="13804.5"/>
    <n v="231426"/>
    <n v="13804.5"/>
    <n v="0"/>
    <n v="24"/>
    <n v="220872"/>
    <n v="21174.35209377869"/>
    <n v="3"/>
    <n v="27"/>
    <n v="0"/>
    <n v="0"/>
    <n v="0"/>
    <n v="26703"/>
    <n v="248481"/>
    <n v="0"/>
    <n v="0"/>
    <n v="24"/>
    <n v="220872"/>
    <n v="0"/>
    <n v="3"/>
    <n v="27"/>
    <n v="0"/>
    <n v="0"/>
    <n v="0"/>
    <n v="240327"/>
    <n v="0"/>
    <n v="0"/>
    <n v="0"/>
    <n v="24"/>
    <n v="220872"/>
    <n v="0"/>
    <n v="3"/>
    <n v="25"/>
    <n v="3"/>
    <m/>
    <n v="0"/>
    <n v="0"/>
    <n v="230075"/>
    <n v="26703"/>
    <n v="0"/>
    <n v="0"/>
    <n v="24"/>
    <n v="220872"/>
    <n v="50394.95798319328"/>
    <n v="6"/>
    <n v="25"/>
    <n v="1"/>
    <m/>
    <n v="0"/>
    <n v="0"/>
    <n v="230075"/>
    <n v="8901"/>
    <n v="0"/>
    <n v="0"/>
    <n v="25"/>
    <n v="220872"/>
    <n v="16798.31932773109"/>
    <n v="9"/>
    <n v="25"/>
    <n v="9"/>
    <n v="0"/>
    <n v="0"/>
    <n v="0"/>
    <n v="230075"/>
    <n v="80109"/>
    <n v="0"/>
    <n v="0"/>
    <n v="25"/>
    <n v="220872"/>
    <n v="151184.8739495798"/>
    <n v="9"/>
    <n v="16"/>
    <n v="9"/>
    <n v="0"/>
    <n v="0"/>
    <n v="0"/>
    <n v="147248"/>
    <n v="80109"/>
    <n v="0"/>
    <n v="0"/>
    <n v="16"/>
    <n v="147248"/>
    <n v="151184.8739495798"/>
    <n v="9"/>
    <n v="7"/>
    <n v="9"/>
    <n v="0"/>
    <n v="0"/>
    <m/>
    <n v="62307"/>
    <n v="80109"/>
    <n v="0"/>
    <n v="0"/>
    <n v="7"/>
    <n v="62307"/>
    <n v="151184.873949579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7"/>
    <x v="286"/>
    <x v="0"/>
    <x v="6"/>
    <n v="1"/>
    <x v="12"/>
    <n v="24"/>
    <m/>
    <n v="0"/>
    <n v="9466"/>
    <n v="227184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5"/>
    <n v="24"/>
    <n v="5"/>
    <n v="0"/>
    <n v="0"/>
    <n v="0"/>
    <n v="47330"/>
    <n v="213624"/>
    <n v="47330"/>
    <n v="0"/>
    <n v="24"/>
    <n v="227184"/>
    <n v="70581.17364592897"/>
    <n v="3"/>
    <n v="23"/>
    <n v="0"/>
    <n v="0"/>
    <n v="0"/>
    <n v="0"/>
    <n v="0"/>
    <n v="204723"/>
    <n v="0"/>
    <n v="0"/>
    <n v="24"/>
    <n v="227184"/>
    <n v="0"/>
    <n v="3"/>
    <n v="24"/>
    <n v="0"/>
    <n v="0"/>
    <n v="0"/>
    <n v="26703"/>
    <n v="227184"/>
    <n v="0"/>
    <n v="0"/>
    <n v="24"/>
    <n v="227184"/>
    <n v="0"/>
    <n v="3"/>
    <n v="24"/>
    <n v="0"/>
    <n v="0"/>
    <n v="0"/>
    <n v="213624"/>
    <n v="0"/>
    <n v="0"/>
    <n v="0"/>
    <n v="24"/>
    <n v="227184"/>
    <n v="0"/>
    <n v="3"/>
    <n v="24"/>
    <n v="3"/>
    <m/>
    <n v="0"/>
    <n v="0"/>
    <n v="227184"/>
    <n v="26703"/>
    <n v="0"/>
    <n v="0"/>
    <n v="24"/>
    <n v="227184"/>
    <n v="50394.95798319328"/>
    <n v="6"/>
    <n v="24"/>
    <n v="0"/>
    <m/>
    <n v="0"/>
    <n v="0"/>
    <n v="227184"/>
    <n v="0"/>
    <n v="0"/>
    <n v="0"/>
    <n v="24"/>
    <n v="227184"/>
    <n v="0"/>
    <n v="8"/>
    <n v="24"/>
    <n v="8"/>
    <n v="0"/>
    <n v="0"/>
    <n v="0"/>
    <n v="227184"/>
    <n v="71208"/>
    <n v="0"/>
    <n v="0"/>
    <n v="24"/>
    <n v="227184"/>
    <n v="134386.5546218487"/>
    <n v="8"/>
    <n v="16"/>
    <n v="8"/>
    <n v="0"/>
    <n v="0"/>
    <n v="0"/>
    <n v="151456"/>
    <n v="71208"/>
    <n v="0"/>
    <n v="0"/>
    <n v="16"/>
    <n v="151456"/>
    <n v="134386.5546218487"/>
    <n v="8"/>
    <n v="8"/>
    <n v="8"/>
    <n v="0"/>
    <n v="0"/>
    <m/>
    <n v="71208"/>
    <n v="71208"/>
    <n v="0"/>
    <n v="0"/>
    <n v="8"/>
    <n v="71208"/>
    <n v="134386.554621848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2"/>
    <s v="LTS26-WLG03"/>
    <x v="418"/>
    <x v="286"/>
    <x v="0"/>
    <x v="1"/>
    <n v="1"/>
    <x v="238"/>
    <n v="11"/>
    <m/>
    <n v="0"/>
    <n v="9296"/>
    <n v="102256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0"/>
    <n v="0"/>
    <s v=""/>
    <n v="0"/>
    <n v="0"/>
    <s v=""/>
    <n v="0"/>
    <n v="0"/>
    <s v=""/>
    <n v="0"/>
    <n v="2"/>
    <n v="14"/>
    <n v="2"/>
    <n v="0"/>
    <n v="0"/>
    <n v="0"/>
    <n v="27888"/>
    <n v="124614"/>
    <n v="18592"/>
    <n v="0"/>
    <n v="11"/>
    <n v="102256"/>
    <n v="28232.46945837159"/>
    <n v="2"/>
    <n v="12"/>
    <n v="0"/>
    <n v="0"/>
    <n v="0"/>
    <n v="0"/>
    <n v="9296"/>
    <n v="106812"/>
    <n v="0"/>
    <n v="0"/>
    <n v="11"/>
    <n v="102256"/>
    <n v="0"/>
    <n v="2"/>
    <n v="12"/>
    <n v="1"/>
    <n v="0"/>
    <n v="0"/>
    <n v="27098"/>
    <n v="111552"/>
    <n v="9296"/>
    <n v="0"/>
    <n v="11"/>
    <n v="102256"/>
    <n v="16798.31932773109"/>
    <n v="2"/>
    <n v="11"/>
    <n v="0"/>
    <n v="0"/>
    <n v="0"/>
    <n v="97911"/>
    <n v="0"/>
    <n v="0"/>
    <n v="0"/>
    <n v="11"/>
    <n v="102256"/>
    <n v="0"/>
    <n v="2"/>
    <n v="11"/>
    <n v="2"/>
    <m/>
    <n v="0"/>
    <n v="0"/>
    <n v="102256"/>
    <n v="17802"/>
    <n v="0"/>
    <n v="0"/>
    <n v="11"/>
    <n v="102256"/>
    <n v="33596.63865546219"/>
    <n v="6"/>
    <n v="11"/>
    <n v="0"/>
    <m/>
    <n v="0"/>
    <n v="0"/>
    <n v="102256"/>
    <n v="0"/>
    <n v="0"/>
    <n v="0"/>
    <n v="11"/>
    <n v="102256"/>
    <n v="0"/>
    <n v="4"/>
    <n v="11"/>
    <n v="4"/>
    <n v="0"/>
    <n v="0"/>
    <n v="0"/>
    <n v="102256"/>
    <n v="35604"/>
    <n v="0"/>
    <n v="0"/>
    <n v="11"/>
    <n v="102256"/>
    <n v="67193.27731092437"/>
    <n v="4"/>
    <n v="7"/>
    <n v="4"/>
    <n v="0"/>
    <n v="0"/>
    <n v="0"/>
    <n v="65072"/>
    <n v="35604"/>
    <n v="0"/>
    <n v="0"/>
    <n v="7"/>
    <n v="65072"/>
    <n v="67193.27731092437"/>
    <n v="4"/>
    <n v="3"/>
    <n v="4"/>
    <n v="0"/>
    <n v="0"/>
    <m/>
    <n v="26703"/>
    <n v="35604"/>
    <n v="0"/>
    <n v="0"/>
    <n v="3"/>
    <n v="26703"/>
    <n v="67193.2773109243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19"/>
    <x v="287"/>
    <x v="0"/>
    <x v="1"/>
    <n v="1"/>
    <x v="239"/>
    <n v="19"/>
    <m/>
    <n v="0"/>
    <n v="15945"/>
    <n v="302955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3"/>
    <s v=""/>
    <n v="1"/>
    <s v=""/>
    <n v="0.5"/>
    <n v="1"/>
    <s v=""/>
    <n v="0.5"/>
    <n v="1"/>
    <s v=""/>
    <n v="0.2857142857142857"/>
    <n v="7"/>
    <s v=""/>
    <n v="0.7777777777777778"/>
    <n v="1.8"/>
    <n v="25"/>
    <n v="1.8"/>
    <n v="0"/>
    <n v="0"/>
    <n v="0"/>
    <n v="100453.5"/>
    <n v="385537.4999999999"/>
    <n v="28701"/>
    <n v="0"/>
    <n v="19"/>
    <n v="302955"/>
    <n v="50831.15599180849"/>
    <n v="2"/>
    <n v="32"/>
    <n v="1.5"/>
    <n v="0"/>
    <n v="0"/>
    <n v="0"/>
    <n v="87697.5"/>
    <n v="493487.9999999999"/>
    <n v="23917.5"/>
    <n v="0"/>
    <n v="19"/>
    <n v="302955"/>
    <n v="42359.29665984041"/>
    <n v="2"/>
    <n v="31"/>
    <n v="3"/>
    <n v="0"/>
    <n v="0"/>
    <n v="94623"/>
    <n v="494295"/>
    <n v="47835"/>
    <n v="0"/>
    <n v="19"/>
    <n v="302955"/>
    <n v="100815.1260504202"/>
    <n v="2"/>
    <n v="30"/>
    <n v="1"/>
    <n v="0"/>
    <n v="0"/>
    <n v="462644.9999999999"/>
    <n v="15945"/>
    <n v="0"/>
    <n v="0"/>
    <n v="19"/>
    <n v="302955"/>
    <n v="33605.04201680672"/>
    <n v="2"/>
    <n v="20"/>
    <n v="2"/>
    <m/>
    <n v="0"/>
    <n v="0"/>
    <n v="318900"/>
    <n v="30843"/>
    <n v="0"/>
    <n v="0"/>
    <n v="19"/>
    <n v="302955"/>
    <n v="67210.08403361344"/>
    <n v="3.5"/>
    <n v="20"/>
    <n v="1"/>
    <m/>
    <n v="0"/>
    <n v="0"/>
    <n v="318900"/>
    <n v="15421.5"/>
    <n v="0"/>
    <n v="0"/>
    <n v="20"/>
    <n v="302955"/>
    <n v="33605.04201680672"/>
    <n v="9"/>
    <n v="26"/>
    <n v="9"/>
    <n v="0"/>
    <n v="0"/>
    <n v="0"/>
    <n v="414570"/>
    <n v="138793.5"/>
    <n v="0"/>
    <n v="0"/>
    <n v="26"/>
    <n v="302955"/>
    <n v="302445.3781512605"/>
    <n v="9"/>
    <n v="17"/>
    <n v="9"/>
    <n v="0"/>
    <n v="0"/>
    <n v="0"/>
    <n v="271065"/>
    <n v="138793.5"/>
    <n v="0"/>
    <n v="0"/>
    <n v="17"/>
    <n v="271065"/>
    <n v="302445.3781512605"/>
    <n v="9"/>
    <n v="8"/>
    <n v="9"/>
    <n v="0"/>
    <n v="0"/>
    <m/>
    <n v="123372"/>
    <n v="138793.5"/>
    <n v="0"/>
    <n v="0"/>
    <n v="8"/>
    <n v="123372"/>
    <n v="302445.378151260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0"/>
    <x v="287"/>
    <x v="0"/>
    <x v="1"/>
    <n v="1"/>
    <x v="240"/>
    <n v="15"/>
    <m/>
    <n v="0"/>
    <n v="15945"/>
    <n v="239175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067307871188585"/>
    <n v="0"/>
    <s v=""/>
    <n v="0"/>
    <s v=""/>
    <n v="1"/>
    <s v=""/>
    <n v="2"/>
    <s v=""/>
    <n v="0.6666666666666666"/>
    <n v="1"/>
    <s v=""/>
    <n v="0.3333333333333333"/>
    <n v="1"/>
    <s v=""/>
    <n v="0.1851851851851852"/>
    <n v="15"/>
    <s v=""/>
    <n v="1.5"/>
    <n v="3"/>
    <n v="39"/>
    <n v="3"/>
    <n v="0"/>
    <n v="0"/>
    <n v="0"/>
    <n v="63780"/>
    <n v="601438.4999999999"/>
    <n v="47835"/>
    <n v="0"/>
    <n v="15"/>
    <n v="239175"/>
    <n v="84718.59331968082"/>
    <n v="3"/>
    <n v="36"/>
    <n v="0"/>
    <n v="0"/>
    <n v="0"/>
    <n v="0"/>
    <n v="47835"/>
    <n v="555173.9999999999"/>
    <n v="0"/>
    <n v="0"/>
    <n v="15"/>
    <n v="239175"/>
    <n v="0"/>
    <n v="2.88"/>
    <n v="36"/>
    <n v="1"/>
    <n v="0"/>
    <n v="0"/>
    <n v="94099.5"/>
    <n v="574020"/>
    <n v="15945"/>
    <n v="0"/>
    <n v="15"/>
    <n v="239175"/>
    <n v="33605.04201680672"/>
    <n v="3"/>
    <n v="34"/>
    <n v="2"/>
    <n v="0"/>
    <n v="0"/>
    <n v="524330.9999999999"/>
    <n v="31890"/>
    <n v="0"/>
    <n v="0"/>
    <n v="15"/>
    <n v="239175"/>
    <n v="67210.08403361344"/>
    <n v="3"/>
    <n v="16"/>
    <n v="3"/>
    <m/>
    <n v="0"/>
    <n v="0"/>
    <n v="255120"/>
    <n v="46264.49999999999"/>
    <n v="0"/>
    <n v="0"/>
    <n v="15"/>
    <n v="239175"/>
    <n v="100815.1260504202"/>
    <n v="5.4"/>
    <n v="16"/>
    <n v="1"/>
    <m/>
    <n v="0"/>
    <n v="0"/>
    <n v="255120"/>
    <n v="15421.5"/>
    <n v="0"/>
    <n v="0"/>
    <n v="16"/>
    <n v="239175"/>
    <n v="33605.04201680672"/>
    <n v="10"/>
    <n v="30"/>
    <n v="10"/>
    <n v="0"/>
    <n v="0"/>
    <n v="0"/>
    <n v="478350"/>
    <n v="154215"/>
    <n v="0"/>
    <n v="0"/>
    <n v="30"/>
    <n v="239175"/>
    <n v="336050.4201680672"/>
    <n v="10"/>
    <n v="20"/>
    <n v="10"/>
    <n v="0"/>
    <n v="0"/>
    <n v="0"/>
    <n v="318900"/>
    <n v="154215"/>
    <n v="0"/>
    <n v="0"/>
    <n v="20"/>
    <n v="318900"/>
    <n v="336050.4201680672"/>
    <n v="10"/>
    <n v="10"/>
    <n v="10"/>
    <n v="0"/>
    <n v="0"/>
    <m/>
    <n v="154215"/>
    <n v="154215"/>
    <n v="0"/>
    <n v="0"/>
    <n v="10"/>
    <n v="154215"/>
    <n v="336050.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1"/>
    <x v="287"/>
    <x v="0"/>
    <x v="1"/>
    <n v="1"/>
    <x v="241"/>
    <n v="9"/>
    <m/>
    <n v="0"/>
    <n v="15945"/>
    <n v="143505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1"/>
    <s v=""/>
    <n v="2"/>
    <s v=""/>
    <n v="0.6666666666666666"/>
    <n v="2"/>
    <s v=""/>
    <n v="0.6666666666666666"/>
    <n v="4"/>
    <s v=""/>
    <n v="1.333333333333333"/>
    <n v="6"/>
    <s v=""/>
    <n v="1"/>
    <n v="3"/>
    <n v="27"/>
    <n v="3"/>
    <n v="0"/>
    <n v="0"/>
    <n v="0"/>
    <n v="63780"/>
    <n v="416380.4999999999"/>
    <n v="47835"/>
    <n v="0"/>
    <n v="9"/>
    <n v="143505"/>
    <n v="84718.59331968082"/>
    <n v="3"/>
    <n v="25"/>
    <n v="0"/>
    <n v="0"/>
    <n v="0"/>
    <n v="0"/>
    <n v="47835"/>
    <n v="385537.4999999999"/>
    <n v="0"/>
    <n v="0"/>
    <n v="9"/>
    <n v="143505"/>
    <n v="0"/>
    <n v="3"/>
    <n v="25"/>
    <n v="1"/>
    <n v="0"/>
    <n v="0"/>
    <n v="94099.5"/>
    <n v="398625"/>
    <n v="15945"/>
    <n v="0"/>
    <n v="9"/>
    <n v="143505"/>
    <n v="33605.04201680672"/>
    <n v="3"/>
    <n v="23"/>
    <n v="2"/>
    <n v="0"/>
    <n v="0"/>
    <n v="354694.4999999999"/>
    <n v="31890"/>
    <n v="0"/>
    <n v="0"/>
    <n v="9"/>
    <n v="143505"/>
    <n v="67210.08403361344"/>
    <n v="3"/>
    <n v="11"/>
    <n v="3"/>
    <m/>
    <n v="0"/>
    <n v="0"/>
    <n v="175395"/>
    <n v="46264.49999999999"/>
    <n v="0"/>
    <n v="0"/>
    <n v="9"/>
    <n v="143505"/>
    <n v="100815.1260504202"/>
    <n v="3"/>
    <n v="13"/>
    <n v="4"/>
    <m/>
    <n v="0"/>
    <n v="0"/>
    <n v="207285"/>
    <n v="61685.99999999999"/>
    <n v="0"/>
    <n v="0"/>
    <n v="13"/>
    <n v="143505"/>
    <n v="134420.1680672269"/>
    <n v="6"/>
    <n v="15"/>
    <n v="6"/>
    <n v="0"/>
    <n v="0"/>
    <n v="0"/>
    <n v="239175"/>
    <n v="92528.99999999999"/>
    <n v="0"/>
    <n v="0"/>
    <n v="15"/>
    <n v="143505"/>
    <n v="201630.2521008403"/>
    <n v="6"/>
    <n v="9"/>
    <n v="6"/>
    <n v="0"/>
    <n v="0"/>
    <n v="0"/>
    <n v="143505"/>
    <n v="92528.99999999999"/>
    <n v="0"/>
    <n v="0"/>
    <n v="9"/>
    <n v="143505"/>
    <n v="201630.2521008403"/>
    <n v="6"/>
    <n v="3"/>
    <n v="6"/>
    <n v="0"/>
    <n v="0"/>
    <m/>
    <n v="46264.49999999999"/>
    <n v="92528.99999999999"/>
    <n v="0"/>
    <n v="0"/>
    <n v="3"/>
    <n v="46264.49999999999"/>
    <n v="201630.252100840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2"/>
    <x v="287"/>
    <x v="0"/>
    <x v="1"/>
    <n v="1"/>
    <x v="242"/>
    <n v="0"/>
    <m/>
    <n v="0"/>
    <n v="15945"/>
    <n v="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1"/>
    <s v=""/>
    <n v="0.3333333333333333"/>
    <n v="2"/>
    <s v=""/>
    <n v="1"/>
    <n v="3"/>
    <s v=""/>
    <n v="1.5"/>
    <n v="6"/>
    <s v=""/>
    <n v="1.5"/>
    <n v="2"/>
    <n v="15"/>
    <n v="2"/>
    <n v="0"/>
    <n v="0"/>
    <n v="0"/>
    <n v="55807.5"/>
    <n v="231322.5"/>
    <n v="31890"/>
    <n v="0"/>
    <n v="0"/>
    <n v="0"/>
    <n v="56479.06221312055"/>
    <n v="2"/>
    <n v="13"/>
    <n v="1.5"/>
    <n v="0"/>
    <n v="0"/>
    <n v="0"/>
    <n v="39862.5"/>
    <n v="200479.5"/>
    <n v="23917.5"/>
    <n v="0"/>
    <n v="0"/>
    <n v="0"/>
    <n v="42359.29665984041"/>
    <n v="2"/>
    <n v="13"/>
    <n v="0"/>
    <n v="0"/>
    <n v="0"/>
    <n v="46788"/>
    <n v="207285"/>
    <n v="0"/>
    <n v="0"/>
    <n v="0"/>
    <n v="0"/>
    <n v="0"/>
    <n v="3"/>
    <n v="13"/>
    <n v="1"/>
    <n v="0"/>
    <n v="0"/>
    <n v="200479.5"/>
    <n v="15945"/>
    <n v="0"/>
    <n v="0"/>
    <n v="0"/>
    <n v="0"/>
    <n v="33605.04201680672"/>
    <n v="2"/>
    <n v="2"/>
    <n v="2"/>
    <m/>
    <n v="0"/>
    <n v="0"/>
    <n v="31890"/>
    <n v="30843"/>
    <n v="0"/>
    <n v="0"/>
    <n v="0"/>
    <n v="0"/>
    <n v="67210.08403361344"/>
    <n v="2"/>
    <n v="3"/>
    <n v="3"/>
    <m/>
    <n v="0"/>
    <n v="0"/>
    <n v="47835"/>
    <n v="46264.49999999999"/>
    <n v="0"/>
    <n v="0"/>
    <n v="3"/>
    <n v="0"/>
    <n v="100815.1260504202"/>
    <n v="4"/>
    <n v="6"/>
    <n v="4"/>
    <n v="0"/>
    <n v="0"/>
    <n v="0"/>
    <n v="95670"/>
    <n v="61685.99999999999"/>
    <n v="0"/>
    <n v="0"/>
    <n v="6"/>
    <n v="0"/>
    <n v="134420.1680672269"/>
    <n v="4"/>
    <n v="2"/>
    <n v="4"/>
    <n v="0"/>
    <n v="0"/>
    <n v="0"/>
    <n v="31890"/>
    <n v="61685.99999999999"/>
    <n v="0"/>
    <n v="0"/>
    <n v="2"/>
    <n v="31890"/>
    <n v="134420.1680672269"/>
    <n v="4"/>
    <n v="0"/>
    <n v="4"/>
    <n v="0"/>
    <n v="0"/>
    <m/>
    <n v="0"/>
    <n v="61685.99999999999"/>
    <n v="0"/>
    <n v="0"/>
    <n v="0"/>
    <n v="0"/>
    <n v="134420.168067226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3"/>
    <x v="287"/>
    <x v="0"/>
    <x v="1"/>
    <n v="1"/>
    <x v="243"/>
    <n v="17"/>
    <m/>
    <n v="0"/>
    <n v="15945"/>
    <n v="271065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s v=""/>
    <n v="0"/>
    <s v=""/>
    <n v="0"/>
    <s v=""/>
    <n v="0"/>
    <n v="0"/>
    <s v=""/>
    <n v="0"/>
    <n v="2"/>
    <s v=""/>
    <n v="0.6060606060606061"/>
    <n v="4"/>
    <s v=""/>
    <n v="0.5"/>
    <n v="1.6"/>
    <n v="25"/>
    <n v="1.6"/>
    <n v="0"/>
    <n v="0"/>
    <n v="0"/>
    <n v="73347"/>
    <n v="385537.4999999999"/>
    <n v="25512"/>
    <n v="0"/>
    <n v="17"/>
    <n v="271065"/>
    <n v="45183.24977049644"/>
    <n v="2"/>
    <n v="25"/>
    <n v="3"/>
    <n v="0"/>
    <n v="0"/>
    <n v="0"/>
    <n v="47835"/>
    <n v="385537.4999999999"/>
    <n v="47835"/>
    <n v="0"/>
    <n v="17"/>
    <n v="271065"/>
    <n v="84718.59331968082"/>
    <n v="2"/>
    <n v="23"/>
    <n v="0"/>
    <n v="0"/>
    <n v="0"/>
    <n v="30843"/>
    <n v="366735"/>
    <n v="0"/>
    <n v="0"/>
    <n v="17"/>
    <n v="271065"/>
    <n v="0"/>
    <n v="2"/>
    <n v="23"/>
    <n v="0"/>
    <n v="0"/>
    <n v="0"/>
    <n v="354694.4999999999"/>
    <n v="0"/>
    <n v="0"/>
    <n v="0"/>
    <n v="17"/>
    <n v="271065"/>
    <n v="0"/>
    <n v="2"/>
    <n v="17"/>
    <n v="2"/>
    <m/>
    <n v="0"/>
    <n v="0"/>
    <n v="271065"/>
    <n v="30843"/>
    <n v="0"/>
    <n v="0"/>
    <n v="17"/>
    <n v="271065"/>
    <n v="67210.08403361344"/>
    <n v="3.3"/>
    <n v="19"/>
    <n v="2"/>
    <m/>
    <n v="0"/>
    <n v="0"/>
    <n v="302955"/>
    <n v="30843"/>
    <n v="0"/>
    <n v="0"/>
    <n v="19"/>
    <n v="271065"/>
    <n v="67210.08403361344"/>
    <n v="8"/>
    <n v="21"/>
    <n v="8"/>
    <n v="0"/>
    <n v="0"/>
    <n v="0"/>
    <n v="334845"/>
    <n v="123372"/>
    <n v="0"/>
    <n v="0"/>
    <n v="21"/>
    <n v="271065"/>
    <n v="268840.3361344538"/>
    <n v="8"/>
    <n v="13"/>
    <n v="8"/>
    <n v="0"/>
    <n v="0"/>
    <n v="0"/>
    <n v="207285"/>
    <n v="123372"/>
    <n v="0"/>
    <n v="0"/>
    <n v="13"/>
    <n v="207285"/>
    <n v="268840.3361344538"/>
    <n v="8"/>
    <n v="5"/>
    <n v="8"/>
    <n v="0"/>
    <n v="0"/>
    <m/>
    <n v="77107.49999999999"/>
    <n v="123372"/>
    <n v="0"/>
    <n v="0"/>
    <n v="5"/>
    <n v="77107.49999999999"/>
    <n v="268840.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4"/>
    <x v="287"/>
    <x v="0"/>
    <x v="1"/>
    <n v="1"/>
    <x v="244"/>
    <n v="33"/>
    <m/>
    <n v="0"/>
    <n v="15945"/>
    <n v="526185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0"/>
    <n v="0"/>
    <s v=""/>
    <n v="0"/>
    <n v="3"/>
    <s v=""/>
    <n v="0.6"/>
    <n v="4"/>
    <s v=""/>
    <n v="0.3076923076923077"/>
    <n v="3"/>
    <n v="40"/>
    <n v="3"/>
    <n v="0"/>
    <n v="0"/>
    <n v="0"/>
    <n v="63780"/>
    <n v="616859.9999999999"/>
    <n v="47835"/>
    <n v="0"/>
    <n v="33"/>
    <n v="526185"/>
    <n v="84718.59331968082"/>
    <n v="3"/>
    <n v="40"/>
    <n v="0"/>
    <n v="0"/>
    <n v="0"/>
    <n v="0"/>
    <n v="15945"/>
    <n v="616859.9999999999"/>
    <n v="0"/>
    <n v="0"/>
    <n v="33"/>
    <n v="526185"/>
    <n v="0"/>
    <n v="3"/>
    <n v="40"/>
    <n v="1"/>
    <n v="0"/>
    <n v="0"/>
    <n v="62209.49999999999"/>
    <n v="637800"/>
    <n v="15945"/>
    <n v="0"/>
    <n v="33"/>
    <n v="526185"/>
    <n v="33605.04201680672"/>
    <n v="2"/>
    <n v="39"/>
    <n v="0"/>
    <n v="0"/>
    <n v="0"/>
    <n v="601438.4999999999"/>
    <n v="0"/>
    <n v="0"/>
    <n v="0"/>
    <n v="33"/>
    <n v="526185"/>
    <n v="0"/>
    <n v="3"/>
    <n v="33"/>
    <n v="3"/>
    <m/>
    <n v="0"/>
    <n v="0"/>
    <n v="526185"/>
    <n v="46264.49999999999"/>
    <n v="0"/>
    <n v="0"/>
    <n v="33"/>
    <n v="526185"/>
    <n v="100815.1260504202"/>
    <n v="5"/>
    <n v="36"/>
    <n v="3"/>
    <m/>
    <n v="0"/>
    <n v="0"/>
    <n v="574020"/>
    <n v="46264.49999999999"/>
    <n v="0"/>
    <n v="0"/>
    <n v="36"/>
    <n v="526185"/>
    <n v="100815.1260504202"/>
    <n v="13"/>
    <n v="37"/>
    <n v="13"/>
    <n v="0"/>
    <n v="0"/>
    <n v="0"/>
    <n v="589965"/>
    <n v="200479.5"/>
    <n v="0"/>
    <n v="0"/>
    <n v="37"/>
    <n v="526185"/>
    <n v="436865.5462184874"/>
    <n v="13"/>
    <n v="24"/>
    <n v="13"/>
    <n v="0"/>
    <n v="0"/>
    <n v="0"/>
    <n v="382680"/>
    <n v="200479.5"/>
    <n v="0"/>
    <n v="0"/>
    <n v="24"/>
    <n v="382680"/>
    <n v="436865.5462184874"/>
    <n v="13"/>
    <n v="11"/>
    <n v="13"/>
    <n v="0"/>
    <n v="0"/>
    <m/>
    <n v="169636.5"/>
    <n v="200479.5"/>
    <n v="0"/>
    <n v="0"/>
    <n v="11"/>
    <n v="169636.5"/>
    <n v="436865.546218487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5"/>
    <x v="287"/>
    <x v="0"/>
    <x v="1"/>
    <n v="1"/>
    <x v="245"/>
    <n v="7"/>
    <m/>
    <n v="0"/>
    <n v="15945"/>
    <n v="111615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2"/>
    <s v=""/>
    <n v="1"/>
    <s v=""/>
    <n v="0.3333333333333333"/>
    <n v="0"/>
    <s v=""/>
    <n v="0"/>
    <n v="10"/>
    <s v=""/>
    <n v="3.333333333333333"/>
    <n v="6"/>
    <s v=""/>
    <n v="0.8571428571428571"/>
    <n v="3"/>
    <n v="27"/>
    <n v="3"/>
    <n v="0"/>
    <n v="0"/>
    <n v="0"/>
    <n v="79725"/>
    <n v="416380.4999999999"/>
    <n v="47835"/>
    <n v="0"/>
    <n v="7"/>
    <n v="111615"/>
    <n v="84718.59331968082"/>
    <n v="3"/>
    <n v="24"/>
    <n v="0"/>
    <n v="0"/>
    <n v="0"/>
    <n v="0"/>
    <n v="47835"/>
    <n v="370115.9999999999"/>
    <n v="0"/>
    <n v="0"/>
    <n v="7"/>
    <n v="111615"/>
    <n v="0"/>
    <n v="3"/>
    <n v="24"/>
    <n v="2"/>
    <n v="0"/>
    <n v="0"/>
    <n v="94099.5"/>
    <n v="382680"/>
    <n v="31890"/>
    <n v="0"/>
    <n v="7"/>
    <n v="111615"/>
    <n v="67210.08403361344"/>
    <n v="3"/>
    <n v="22"/>
    <n v="1"/>
    <n v="0"/>
    <n v="0"/>
    <n v="339272.9999999999"/>
    <n v="15945"/>
    <n v="0"/>
    <n v="0"/>
    <n v="7"/>
    <n v="111615"/>
    <n v="33605.04201680672"/>
    <n v="3"/>
    <n v="7"/>
    <n v="3"/>
    <m/>
    <n v="0"/>
    <n v="0"/>
    <n v="111615"/>
    <n v="46264.49999999999"/>
    <n v="0"/>
    <n v="0"/>
    <n v="7"/>
    <n v="111615"/>
    <n v="100815.1260504202"/>
    <n v="3"/>
    <n v="17"/>
    <n v="10"/>
    <m/>
    <n v="0"/>
    <n v="0"/>
    <n v="271065"/>
    <n v="154215"/>
    <n v="0"/>
    <n v="0"/>
    <n v="17"/>
    <n v="111615"/>
    <n v="336050.4201680672"/>
    <n v="7"/>
    <n v="13"/>
    <n v="7"/>
    <n v="0"/>
    <n v="0"/>
    <n v="0"/>
    <n v="207285"/>
    <n v="107950.5"/>
    <n v="0"/>
    <n v="0"/>
    <n v="13"/>
    <n v="111615"/>
    <n v="235235.294117647"/>
    <n v="7"/>
    <n v="6"/>
    <n v="7"/>
    <n v="0"/>
    <n v="0"/>
    <n v="0"/>
    <n v="95670"/>
    <n v="107950.5"/>
    <n v="0"/>
    <n v="0"/>
    <n v="6"/>
    <n v="95670"/>
    <n v="235235.294117647"/>
    <n v="7"/>
    <n v="0"/>
    <n v="7"/>
    <n v="0"/>
    <n v="0"/>
    <m/>
    <n v="0"/>
    <n v="107950.5"/>
    <n v="0"/>
    <n v="0"/>
    <n v="0"/>
    <n v="0"/>
    <n v="235235.29411764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PT06"/>
    <x v="426"/>
    <x v="287"/>
    <x v="0"/>
    <x v="1"/>
    <n v="1"/>
    <x v="246"/>
    <n v="7"/>
    <m/>
    <n v="0"/>
    <n v="15945"/>
    <n v="111615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1"/>
    <s v=""/>
    <n v="0.3333333333333333"/>
    <n v="1"/>
    <s v=""/>
    <n v="1"/>
    <n v="4"/>
    <s v=""/>
    <n v="2"/>
    <n v="0"/>
    <s v=""/>
    <n v="0"/>
    <n v="2"/>
    <n v="16"/>
    <n v="2"/>
    <n v="0"/>
    <n v="0"/>
    <n v="0"/>
    <n v="55807.5"/>
    <n v="246744"/>
    <n v="31890"/>
    <n v="0"/>
    <n v="7"/>
    <n v="111615"/>
    <n v="56479.06221312055"/>
    <n v="2"/>
    <n v="16"/>
    <n v="1.5"/>
    <n v="0"/>
    <n v="0"/>
    <n v="0"/>
    <n v="39862.5"/>
    <n v="246744"/>
    <n v="23917.5"/>
    <n v="0"/>
    <n v="7"/>
    <n v="111615"/>
    <n v="42359.29665984041"/>
    <n v="2"/>
    <n v="15"/>
    <n v="0"/>
    <n v="0"/>
    <n v="0"/>
    <n v="31366.5"/>
    <n v="239175"/>
    <n v="0"/>
    <n v="0"/>
    <n v="7"/>
    <n v="111615"/>
    <n v="0"/>
    <n v="3"/>
    <n v="15"/>
    <n v="1"/>
    <n v="0"/>
    <n v="0"/>
    <n v="231322.5"/>
    <n v="15945"/>
    <n v="0"/>
    <n v="0"/>
    <n v="7"/>
    <n v="111615"/>
    <n v="33605.04201680672"/>
    <n v="1"/>
    <n v="8"/>
    <n v="1"/>
    <m/>
    <n v="0"/>
    <n v="0"/>
    <n v="127560"/>
    <n v="15421.5"/>
    <n v="0"/>
    <n v="0"/>
    <n v="7"/>
    <n v="111615"/>
    <n v="33605.04201680672"/>
    <n v="2"/>
    <n v="11"/>
    <n v="4"/>
    <m/>
    <n v="0"/>
    <n v="0"/>
    <n v="175395"/>
    <n v="61685.99999999999"/>
    <n v="0"/>
    <n v="0"/>
    <n v="11"/>
    <n v="111615"/>
    <n v="134420.1680672269"/>
    <n v="5"/>
    <n v="7"/>
    <n v="5"/>
    <n v="0"/>
    <n v="0"/>
    <n v="0"/>
    <n v="111615"/>
    <n v="77107.49999999999"/>
    <n v="0"/>
    <n v="0"/>
    <n v="7"/>
    <n v="111615"/>
    <n v="168025.2100840336"/>
    <n v="5"/>
    <n v="2"/>
    <n v="5"/>
    <n v="0"/>
    <n v="0"/>
    <n v="0"/>
    <n v="31890"/>
    <n v="77107.49999999999"/>
    <n v="0"/>
    <n v="0"/>
    <n v="2"/>
    <n v="31890"/>
    <n v="168025.2100840336"/>
    <n v="5"/>
    <n v="0"/>
    <n v="5"/>
    <n v="0"/>
    <n v="0"/>
    <m/>
    <n v="0"/>
    <n v="77107.49999999999"/>
    <n v="0"/>
    <n v="0"/>
    <n v="0"/>
    <n v="0"/>
    <n v="168025.210084033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27"/>
    <x v="288"/>
    <x v="0"/>
    <x v="0"/>
    <n v="1"/>
    <x v="247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293259931557804"/>
    <n v="0"/>
    <s v=""/>
    <n v="0"/>
    <s v=""/>
    <n v="1"/>
    <s v=""/>
    <n v="11"/>
    <s v=""/>
    <n v="5.5"/>
    <n v="1"/>
    <s v=""/>
    <n v="0.5"/>
    <n v="9"/>
    <s v=""/>
    <n v="2.25"/>
    <n v="1"/>
    <s v=""/>
    <n v="0.3333333333333333"/>
    <n v="1.8"/>
    <n v="22"/>
    <n v="1.8"/>
    <n v="0"/>
    <n v="0"/>
    <n v="0"/>
    <n v="25468.8"/>
    <n v="193545"/>
    <n v="16372.8"/>
    <n v="0"/>
    <n v="0"/>
    <n v="0"/>
    <n v="38120.18925217146"/>
    <n v="2"/>
    <n v="22"/>
    <n v="0"/>
    <n v="0"/>
    <n v="0"/>
    <n v="0"/>
    <n v="109152"/>
    <n v="193545"/>
    <n v="0"/>
    <n v="0"/>
    <n v="0"/>
    <n v="0"/>
    <n v="0"/>
    <n v="1.728"/>
    <n v="22"/>
    <n v="1"/>
    <n v="0"/>
    <n v="0"/>
    <n v="126747"/>
    <n v="200112"/>
    <n v="9096"/>
    <n v="0"/>
    <n v="0"/>
    <n v="0"/>
    <n v="25201.68067226891"/>
    <n v="2"/>
    <n v="21"/>
    <n v="11"/>
    <n v="0"/>
    <n v="0"/>
    <n v="184747.5"/>
    <n v="100056"/>
    <n v="0"/>
    <n v="0"/>
    <n v="0"/>
    <n v="0"/>
    <n v="277218.487394958"/>
    <n v="2"/>
    <n v="1"/>
    <n v="2"/>
    <m/>
    <n v="0"/>
    <n v="0"/>
    <n v="9096"/>
    <n v="17595"/>
    <n v="0"/>
    <n v="0"/>
    <n v="0"/>
    <n v="0"/>
    <n v="50403.36134453781"/>
    <n v="4"/>
    <n v="9"/>
    <n v="9"/>
    <m/>
    <n v="0"/>
    <n v="0"/>
    <n v="81864"/>
    <n v="79177.5"/>
    <n v="0"/>
    <n v="0"/>
    <n v="9"/>
    <n v="0"/>
    <n v="226815.1260504202"/>
    <n v="3"/>
    <n v="1"/>
    <n v="3"/>
    <n v="0"/>
    <n v="0"/>
    <n v="0"/>
    <n v="9096"/>
    <n v="26392.5"/>
    <n v="0"/>
    <n v="0"/>
    <n v="1"/>
    <n v="0"/>
    <n v="75605.04201680672"/>
    <n v="3"/>
    <n v="0"/>
    <n v="3"/>
    <n v="0"/>
    <n v="0"/>
    <n v="0"/>
    <n v="0"/>
    <n v="26392.5"/>
    <n v="0"/>
    <n v="0"/>
    <n v="0"/>
    <n v="0"/>
    <n v="75605.04201680672"/>
    <n v="3"/>
    <n v="0"/>
    <n v="3"/>
    <n v="0"/>
    <n v="0"/>
    <m/>
    <n v="0"/>
    <n v="26392.5"/>
    <n v="0"/>
    <n v="0"/>
    <n v="0"/>
    <n v="0"/>
    <n v="75605.0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28"/>
    <x v="288"/>
    <x v="0"/>
    <x v="0"/>
    <n v="1"/>
    <x v="248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414089809088465"/>
    <n v="0"/>
    <s v=""/>
    <n v="0"/>
    <s v=""/>
    <n v="2"/>
    <s v=""/>
    <n v="13"/>
    <s v=""/>
    <n v="7.222222222222222"/>
    <n v="1"/>
    <s v=""/>
    <n v="0.3333333333333333"/>
    <n v="11"/>
    <s v=""/>
    <n v="2.2"/>
    <n v="2"/>
    <s v=""/>
    <n v="0.4"/>
    <n v="3"/>
    <n v="33"/>
    <n v="3"/>
    <n v="0"/>
    <n v="0"/>
    <n v="0"/>
    <n v="45480"/>
    <n v="290317.5"/>
    <n v="27288"/>
    <n v="0"/>
    <n v="0"/>
    <n v="0"/>
    <n v="63533.6487536191"/>
    <n v="3"/>
    <n v="32"/>
    <n v="0"/>
    <n v="0"/>
    <n v="0"/>
    <n v="0"/>
    <n v="136440"/>
    <n v="281520"/>
    <n v="0"/>
    <n v="0"/>
    <n v="0"/>
    <n v="0"/>
    <n v="0"/>
    <n v="2.88"/>
    <n v="32"/>
    <n v="2"/>
    <n v="0"/>
    <n v="0"/>
    <n v="162832.5"/>
    <n v="291072"/>
    <n v="18192"/>
    <n v="0"/>
    <n v="0"/>
    <n v="0"/>
    <n v="50403.36134453781"/>
    <n v="1.8"/>
    <n v="31"/>
    <n v="13"/>
    <n v="0"/>
    <n v="0"/>
    <n v="272722.5"/>
    <n v="118248"/>
    <n v="0"/>
    <n v="0"/>
    <n v="0"/>
    <n v="0"/>
    <n v="327621.8487394958"/>
    <n v="3"/>
    <n v="1"/>
    <n v="3"/>
    <m/>
    <n v="0"/>
    <n v="0"/>
    <n v="9096"/>
    <n v="26392.5"/>
    <n v="0"/>
    <n v="0"/>
    <n v="0"/>
    <n v="0"/>
    <n v="75605.04201680672"/>
    <n v="5"/>
    <n v="11"/>
    <n v="11"/>
    <m/>
    <n v="0"/>
    <n v="0"/>
    <n v="100056"/>
    <n v="96772.5"/>
    <n v="0"/>
    <n v="0"/>
    <n v="11"/>
    <n v="0"/>
    <n v="277218.487394958"/>
    <n v="5"/>
    <n v="2"/>
    <n v="5"/>
    <n v="0"/>
    <n v="0"/>
    <n v="0"/>
    <n v="18192"/>
    <n v="43987.5"/>
    <n v="0"/>
    <n v="0"/>
    <n v="2"/>
    <n v="0"/>
    <n v="126008.4033613445"/>
    <n v="5"/>
    <n v="0"/>
    <n v="5"/>
    <n v="0"/>
    <n v="0"/>
    <n v="0"/>
    <n v="0"/>
    <n v="43987.5"/>
    <n v="0"/>
    <n v="0"/>
    <n v="0"/>
    <n v="0"/>
    <n v="126008.4033613445"/>
    <n v="5"/>
    <n v="0"/>
    <n v="5"/>
    <n v="0"/>
    <n v="0"/>
    <m/>
    <n v="0"/>
    <n v="43987.5"/>
    <n v="0"/>
    <n v="0"/>
    <n v="0"/>
    <n v="0"/>
    <n v="126008.403361344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29"/>
    <x v="288"/>
    <x v="0"/>
    <x v="6"/>
    <n v="1"/>
    <x v="12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s v=""/>
    <n v="2"/>
    <n v="1"/>
    <s v=""/>
    <n v="0.5"/>
    <n v="12"/>
    <s v=""/>
    <n v="4"/>
    <n v="0"/>
    <s v=""/>
    <n v="0"/>
    <n v="3"/>
    <n v="21"/>
    <n v="3"/>
    <n v="0"/>
    <n v="0"/>
    <n v="0"/>
    <n v="27288"/>
    <n v="184747.5"/>
    <n v="27288"/>
    <n v="0"/>
    <n v="0"/>
    <n v="0"/>
    <n v="63533.6487536191"/>
    <n v="3"/>
    <n v="21"/>
    <n v="0"/>
    <n v="0"/>
    <n v="0"/>
    <n v="0"/>
    <n v="54576"/>
    <n v="184747.5"/>
    <n v="0"/>
    <n v="0"/>
    <n v="0"/>
    <n v="0"/>
    <n v="0"/>
    <n v="2"/>
    <n v="21"/>
    <n v="0"/>
    <n v="0"/>
    <n v="0"/>
    <n v="72171"/>
    <n v="191016"/>
    <n v="0"/>
    <n v="0"/>
    <n v="0"/>
    <n v="0"/>
    <n v="0"/>
    <n v="3"/>
    <n v="20"/>
    <n v="6"/>
    <n v="0"/>
    <n v="0"/>
    <n v="175950"/>
    <n v="54576"/>
    <n v="0"/>
    <n v="0"/>
    <n v="0"/>
    <n v="0"/>
    <n v="151210.0840336134"/>
    <n v="2"/>
    <n v="1"/>
    <n v="2"/>
    <m/>
    <n v="0"/>
    <n v="0"/>
    <n v="9096"/>
    <n v="17595"/>
    <n v="0"/>
    <n v="0"/>
    <n v="0"/>
    <n v="0"/>
    <n v="50403.36134453781"/>
    <n v="3"/>
    <n v="12"/>
    <n v="12"/>
    <m/>
    <n v="0"/>
    <n v="0"/>
    <n v="109152"/>
    <n v="105570"/>
    <n v="0"/>
    <n v="0"/>
    <n v="12"/>
    <n v="0"/>
    <n v="302420.1680672269"/>
    <n v="4"/>
    <n v="0"/>
    <n v="4"/>
    <n v="0"/>
    <n v="0"/>
    <n v="0"/>
    <n v="0"/>
    <n v="35190"/>
    <n v="0"/>
    <n v="0"/>
    <n v="0"/>
    <n v="0"/>
    <n v="100806.7226890756"/>
    <n v="4"/>
    <n v="0"/>
    <n v="4"/>
    <n v="0"/>
    <n v="0"/>
    <n v="0"/>
    <n v="0"/>
    <n v="35190"/>
    <n v="0"/>
    <n v="0"/>
    <n v="0"/>
    <n v="0"/>
    <n v="100806.7226890756"/>
    <n v="4"/>
    <n v="0"/>
    <n v="4"/>
    <n v="0"/>
    <n v="0"/>
    <m/>
    <n v="0"/>
    <n v="35190"/>
    <n v="0"/>
    <n v="0"/>
    <n v="0"/>
    <n v="0"/>
    <n v="100806.722689075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30"/>
    <x v="288"/>
    <x v="0"/>
    <x v="6"/>
    <n v="1"/>
    <x v="12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s v=""/>
    <n v="0"/>
    <s v=""/>
    <n v="1"/>
    <s v=""/>
    <n v="0"/>
    <s v=""/>
    <n v="0"/>
    <n v="0"/>
    <s v=""/>
    <n v="0"/>
    <n v="7"/>
    <s v=""/>
    <n v="4.666666666666667"/>
    <n v="4"/>
    <s v=""/>
    <n v="1.333333333333333"/>
    <n v="2"/>
    <n v="13"/>
    <n v="2"/>
    <n v="0"/>
    <n v="0"/>
    <n v="0"/>
    <n v="27288"/>
    <n v="114367.5"/>
    <n v="18192"/>
    <n v="0"/>
    <n v="0"/>
    <n v="0"/>
    <n v="42355.76583574607"/>
    <n v="2"/>
    <n v="11"/>
    <n v="0"/>
    <n v="0"/>
    <n v="0"/>
    <n v="0"/>
    <n v="9096"/>
    <n v="96772.5"/>
    <n v="0"/>
    <n v="0"/>
    <n v="0"/>
    <n v="0"/>
    <n v="0"/>
    <n v="3"/>
    <n v="11"/>
    <n v="1"/>
    <n v="0"/>
    <n v="0"/>
    <n v="17893.5"/>
    <n v="100056"/>
    <n v="9096"/>
    <n v="0"/>
    <n v="0"/>
    <n v="0"/>
    <n v="25201.68067226891"/>
    <n v="3"/>
    <n v="10"/>
    <n v="0"/>
    <n v="0"/>
    <n v="0"/>
    <n v="87975"/>
    <n v="0"/>
    <n v="0"/>
    <n v="0"/>
    <n v="0"/>
    <n v="0"/>
    <n v="0"/>
    <n v="1"/>
    <n v="0"/>
    <n v="1"/>
    <m/>
    <n v="0"/>
    <n v="0"/>
    <n v="0"/>
    <n v="8797.5"/>
    <n v="0"/>
    <n v="0"/>
    <n v="0"/>
    <n v="0"/>
    <n v="25201.68067226891"/>
    <n v="1.5"/>
    <n v="7"/>
    <n v="7"/>
    <m/>
    <n v="0"/>
    <n v="0"/>
    <n v="63672"/>
    <n v="61582.5"/>
    <n v="0"/>
    <n v="0"/>
    <n v="7"/>
    <n v="0"/>
    <n v="176411.7647058823"/>
    <n v="3"/>
    <n v="4"/>
    <n v="3"/>
    <n v="0"/>
    <n v="0"/>
    <n v="0"/>
    <n v="36384"/>
    <n v="26392.5"/>
    <n v="0"/>
    <n v="0"/>
    <n v="4"/>
    <n v="0"/>
    <n v="75605.04201680672"/>
    <n v="3"/>
    <n v="1"/>
    <n v="3"/>
    <n v="0"/>
    <n v="0"/>
    <n v="0"/>
    <n v="9096"/>
    <n v="26392.5"/>
    <n v="0"/>
    <n v="0"/>
    <n v="1"/>
    <n v="9096"/>
    <n v="75605.04201680672"/>
    <n v="3"/>
    <n v="0"/>
    <n v="3"/>
    <n v="0"/>
    <n v="0"/>
    <m/>
    <n v="0"/>
    <n v="26392.5"/>
    <n v="0"/>
    <n v="0"/>
    <n v="0"/>
    <n v="0"/>
    <n v="75605.0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31"/>
    <x v="288"/>
    <x v="0"/>
    <x v="0"/>
    <n v="1"/>
    <x v="249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0"/>
    <s v=""/>
    <n v="0"/>
    <n v="3"/>
    <s v=""/>
    <n v="1.5"/>
    <n v="7"/>
    <s v=""/>
    <n v="2.121212121212121"/>
    <n v="9"/>
    <s v=""/>
    <n v="1.5"/>
    <n v="2"/>
    <n v="22"/>
    <n v="2"/>
    <n v="0"/>
    <n v="0"/>
    <n v="0"/>
    <n v="45480"/>
    <n v="193545"/>
    <n v="18192"/>
    <n v="0"/>
    <n v="0"/>
    <n v="0"/>
    <n v="42355.76583574607"/>
    <n v="2"/>
    <n v="22"/>
    <n v="0"/>
    <n v="0"/>
    <n v="0"/>
    <n v="0"/>
    <n v="27288"/>
    <n v="193545"/>
    <n v="0"/>
    <n v="0"/>
    <n v="0"/>
    <n v="0"/>
    <n v="0"/>
    <n v="1.536"/>
    <n v="22"/>
    <n v="3"/>
    <n v="0"/>
    <n v="0"/>
    <n v="44883"/>
    <n v="200112"/>
    <n v="27288"/>
    <n v="0"/>
    <n v="0"/>
    <n v="0"/>
    <n v="75605.04201680672"/>
    <n v="2"/>
    <n v="19"/>
    <n v="0"/>
    <n v="0"/>
    <n v="0"/>
    <n v="167152.5"/>
    <n v="0"/>
    <n v="0"/>
    <n v="0"/>
    <n v="0"/>
    <n v="0"/>
    <n v="0"/>
    <n v="2"/>
    <n v="3"/>
    <n v="2"/>
    <m/>
    <n v="0"/>
    <n v="0"/>
    <n v="27288"/>
    <n v="17595"/>
    <n v="0"/>
    <n v="0"/>
    <n v="0"/>
    <n v="0"/>
    <n v="50403.36134453781"/>
    <n v="3.3"/>
    <n v="7"/>
    <n v="7"/>
    <m/>
    <n v="0"/>
    <n v="0"/>
    <n v="63672"/>
    <n v="61582.5"/>
    <n v="0"/>
    <n v="0"/>
    <n v="7"/>
    <n v="0"/>
    <n v="176411.7647058823"/>
    <n v="6"/>
    <n v="9"/>
    <n v="6"/>
    <n v="0"/>
    <n v="0"/>
    <n v="0"/>
    <n v="81864"/>
    <n v="52785"/>
    <n v="0"/>
    <n v="0"/>
    <n v="9"/>
    <n v="0"/>
    <n v="151210.0840336134"/>
    <n v="6"/>
    <n v="3"/>
    <n v="6"/>
    <n v="0"/>
    <n v="0"/>
    <n v="0"/>
    <n v="27288"/>
    <n v="52785"/>
    <n v="0"/>
    <n v="0"/>
    <n v="3"/>
    <n v="27288"/>
    <n v="151210.0840336134"/>
    <n v="6"/>
    <n v="0"/>
    <n v="6"/>
    <n v="0"/>
    <n v="0"/>
    <m/>
    <n v="0"/>
    <n v="52785"/>
    <n v="0"/>
    <n v="0"/>
    <n v="0"/>
    <n v="0"/>
    <n v="151210.084033613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32"/>
    <x v="288"/>
    <x v="0"/>
    <x v="6"/>
    <n v="1"/>
    <x v="12"/>
    <n v="1"/>
    <m/>
    <n v="0"/>
    <n v="9096"/>
    <n v="9096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021903023569558"/>
    <n v="4"/>
    <n v="0.5425295160499415"/>
    <n v="1"/>
    <s v=""/>
    <n v="2"/>
    <s v=""/>
    <n v="1"/>
    <s v=""/>
    <n v="1"/>
    <s v=""/>
    <n v="0.5"/>
    <n v="8"/>
    <s v=""/>
    <n v="2.666666666666667"/>
    <n v="12"/>
    <s v=""/>
    <n v="2.222222222222222"/>
    <n v="8"/>
    <s v=""/>
    <n v="1.142857142857143"/>
    <n v="3"/>
    <n v="31"/>
    <n v="3"/>
    <n v="0"/>
    <n v="0"/>
    <n v="0"/>
    <n v="63672"/>
    <n v="272722.5"/>
    <n v="27288"/>
    <n v="0"/>
    <n v="1"/>
    <n v="9096"/>
    <n v="63533.6487536191"/>
    <n v="3"/>
    <n v="31"/>
    <n v="3"/>
    <n v="0"/>
    <n v="0"/>
    <n v="0"/>
    <n v="45480"/>
    <n v="272722.5"/>
    <n v="27288"/>
    <n v="0"/>
    <n v="1"/>
    <n v="9096"/>
    <n v="63533.6487536191"/>
    <n v="2"/>
    <n v="29"/>
    <n v="1"/>
    <n v="0"/>
    <n v="0"/>
    <n v="44584.5"/>
    <n v="263784"/>
    <n v="9096"/>
    <n v="0"/>
    <n v="1"/>
    <n v="9096"/>
    <n v="25201.68067226891"/>
    <n v="2"/>
    <n v="29"/>
    <n v="1"/>
    <n v="0"/>
    <n v="0"/>
    <n v="255127.5"/>
    <n v="9096"/>
    <n v="0"/>
    <n v="0"/>
    <n v="1"/>
    <n v="9096"/>
    <n v="25201.68067226891"/>
    <n v="3"/>
    <n v="9"/>
    <n v="3"/>
    <m/>
    <n v="0"/>
    <n v="0"/>
    <n v="81864"/>
    <n v="26392.5"/>
    <n v="0"/>
    <n v="0"/>
    <n v="1"/>
    <n v="9096"/>
    <n v="75605.04201680672"/>
    <n v="5.4"/>
    <n v="13"/>
    <n v="12"/>
    <m/>
    <n v="0"/>
    <n v="0"/>
    <n v="118248"/>
    <n v="105570"/>
    <n v="0"/>
    <n v="0"/>
    <n v="13"/>
    <n v="9096"/>
    <n v="302420.1680672269"/>
    <n v="7"/>
    <n v="9"/>
    <n v="7"/>
    <n v="0"/>
    <n v="0"/>
    <n v="0"/>
    <n v="81864"/>
    <n v="61582.5"/>
    <n v="0"/>
    <n v="0"/>
    <n v="9"/>
    <n v="9096"/>
    <n v="176411.7647058823"/>
    <n v="7"/>
    <n v="2"/>
    <n v="7"/>
    <n v="0"/>
    <n v="0"/>
    <n v="0"/>
    <n v="18192"/>
    <n v="61582.5"/>
    <n v="0"/>
    <n v="0"/>
    <n v="2"/>
    <n v="18192"/>
    <n v="176411.7647058823"/>
    <n v="7"/>
    <n v="0"/>
    <n v="7"/>
    <n v="0"/>
    <n v="0"/>
    <m/>
    <n v="0"/>
    <n v="61582.5"/>
    <n v="0"/>
    <n v="0"/>
    <n v="0"/>
    <n v="0"/>
    <n v="176411.764705882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33"/>
    <x v="288"/>
    <x v="0"/>
    <x v="6"/>
    <n v="1"/>
    <x v="12"/>
    <n v="1"/>
    <m/>
    <n v="0"/>
    <n v="9096"/>
    <n v="9096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265923231837447"/>
    <n v="0"/>
    <s v=""/>
    <n v="1"/>
    <s v=""/>
    <n v="2"/>
    <s v=""/>
    <n v="1"/>
    <s v=""/>
    <n v="0.3333333333333333"/>
    <n v="1"/>
    <s v=""/>
    <n v="0.5"/>
    <n v="15"/>
    <s v=""/>
    <n v="3.947368421052632"/>
    <n v="8"/>
    <s v=""/>
    <n v="1"/>
    <n v="3"/>
    <n v="26"/>
    <n v="3"/>
    <n v="0"/>
    <n v="0"/>
    <n v="0"/>
    <n v="59124"/>
    <n v="228735"/>
    <n v="27288"/>
    <n v="0"/>
    <n v="1"/>
    <n v="9096"/>
    <n v="63533.6487536191"/>
    <n v="3"/>
    <n v="27"/>
    <n v="1.5"/>
    <n v="0"/>
    <n v="0"/>
    <n v="0"/>
    <n v="40932"/>
    <n v="237532.5"/>
    <n v="13644"/>
    <n v="0"/>
    <n v="1"/>
    <n v="9096"/>
    <n v="31766.82437680955"/>
    <n v="3"/>
    <n v="26"/>
    <n v="2"/>
    <n v="0"/>
    <n v="0"/>
    <n v="44883"/>
    <n v="236496"/>
    <n v="18192"/>
    <n v="0"/>
    <n v="1"/>
    <n v="9096"/>
    <n v="50403.36134453781"/>
    <n v="3"/>
    <n v="24"/>
    <n v="1"/>
    <n v="0"/>
    <n v="0"/>
    <n v="211140"/>
    <n v="9096"/>
    <n v="0"/>
    <n v="0"/>
    <n v="1"/>
    <n v="9096"/>
    <n v="25201.68067226891"/>
    <n v="2"/>
    <n v="2"/>
    <n v="2"/>
    <m/>
    <n v="0"/>
    <n v="0"/>
    <n v="18192"/>
    <n v="17595"/>
    <n v="0"/>
    <n v="0"/>
    <n v="1"/>
    <n v="9096"/>
    <n v="50403.36134453781"/>
    <n v="3.8"/>
    <n v="16"/>
    <n v="15"/>
    <m/>
    <n v="0"/>
    <n v="0"/>
    <n v="145536"/>
    <n v="131962.5"/>
    <n v="0"/>
    <n v="0"/>
    <n v="16"/>
    <n v="9096"/>
    <n v="378025.2100840336"/>
    <n v="8"/>
    <n v="9"/>
    <n v="8"/>
    <n v="0"/>
    <n v="0"/>
    <n v="0"/>
    <n v="81864"/>
    <n v="70380"/>
    <n v="0"/>
    <n v="0"/>
    <n v="9"/>
    <n v="9096"/>
    <n v="201613.4453781513"/>
    <n v="8"/>
    <n v="1"/>
    <n v="8"/>
    <n v="0"/>
    <n v="0"/>
    <n v="0"/>
    <n v="9096"/>
    <n v="70380"/>
    <n v="0"/>
    <n v="0"/>
    <n v="1"/>
    <n v="9096"/>
    <n v="201613.4453781513"/>
    <n v="8"/>
    <n v="0"/>
    <n v="8"/>
    <n v="0"/>
    <n v="0"/>
    <m/>
    <n v="0"/>
    <n v="70380"/>
    <n v="0"/>
    <n v="0"/>
    <n v="0"/>
    <n v="0"/>
    <n v="201613.445378151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39"/>
    <s v="LTS26-WKF04"/>
    <x v="434"/>
    <x v="288"/>
    <x v="0"/>
    <x v="6"/>
    <n v="1"/>
    <x v="12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4"/>
    <s v=""/>
    <n v="3"/>
    <s v=""/>
    <n v="1"/>
    <n v="2"/>
    <s v=""/>
    <n v="2"/>
    <n v="3"/>
    <s v=""/>
    <n v="2"/>
    <n v="0"/>
    <s v=""/>
    <n v="0"/>
    <n v="2"/>
    <n v="13"/>
    <n v="2"/>
    <n v="0"/>
    <n v="0"/>
    <n v="0"/>
    <n v="68220"/>
    <n v="114367.5"/>
    <n v="18192"/>
    <n v="0"/>
    <n v="0"/>
    <n v="0"/>
    <n v="42355.76583574607"/>
    <n v="2"/>
    <n v="13"/>
    <n v="1.5"/>
    <n v="0"/>
    <n v="0"/>
    <n v="0"/>
    <n v="77316"/>
    <n v="114367.5"/>
    <n v="13644"/>
    <n v="0"/>
    <n v="0"/>
    <n v="0"/>
    <n v="31766.82437680955"/>
    <n v="3"/>
    <n v="12"/>
    <n v="4"/>
    <n v="0"/>
    <n v="0"/>
    <n v="72469.5"/>
    <n v="109152"/>
    <n v="36384"/>
    <n v="0"/>
    <n v="0"/>
    <n v="0"/>
    <n v="100806.7226890756"/>
    <n v="3"/>
    <n v="7"/>
    <n v="3"/>
    <n v="0"/>
    <n v="0"/>
    <n v="61582.5"/>
    <n v="27288"/>
    <n v="0"/>
    <n v="0"/>
    <n v="0"/>
    <n v="0"/>
    <n v="75605.04201680672"/>
    <n v="1"/>
    <n v="2"/>
    <n v="1"/>
    <m/>
    <n v="0"/>
    <n v="0"/>
    <n v="18192"/>
    <n v="8797.5"/>
    <n v="0"/>
    <n v="0"/>
    <n v="0"/>
    <n v="0"/>
    <n v="25201.68067226891"/>
    <n v="1.5"/>
    <n v="3"/>
    <n v="3"/>
    <m/>
    <n v="0"/>
    <n v="0"/>
    <n v="27288"/>
    <n v="26392.5"/>
    <n v="0"/>
    <n v="0"/>
    <n v="3"/>
    <n v="0"/>
    <n v="75605.04201680672"/>
    <n v="1"/>
    <n v="0"/>
    <n v="1"/>
    <n v="0"/>
    <n v="0"/>
    <n v="0"/>
    <n v="0"/>
    <n v="8797.5"/>
    <n v="0"/>
    <n v="0"/>
    <n v="0"/>
    <n v="0"/>
    <n v="25201.68067226891"/>
    <n v="1"/>
    <n v="0"/>
    <n v="1"/>
    <n v="0"/>
    <n v="0"/>
    <n v="0"/>
    <n v="0"/>
    <n v="8797.5"/>
    <n v="0"/>
    <n v="0"/>
    <n v="0"/>
    <n v="0"/>
    <n v="25201.68067226891"/>
    <n v="1"/>
    <n v="0"/>
    <n v="1"/>
    <n v="0"/>
    <n v="0"/>
    <m/>
    <n v="0"/>
    <n v="8797.5"/>
    <n v="0"/>
    <n v="0"/>
    <n v="0"/>
    <n v="0"/>
    <n v="25201.6806722689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35"/>
    <x v="289"/>
    <x v="0"/>
    <x v="1"/>
    <n v="1"/>
    <x v="250"/>
    <n v="15"/>
    <m/>
    <n v="0"/>
    <n v="6100"/>
    <n v="915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368615311346589"/>
    <n v="6"/>
    <n v="0.5095083021750493"/>
    <n v="0"/>
    <s v=""/>
    <n v="1"/>
    <s v=""/>
    <n v="0"/>
    <s v=""/>
    <n v="0"/>
    <s v=""/>
    <n v="0"/>
    <n v="0"/>
    <s v=""/>
    <n v="0"/>
    <n v="0"/>
    <s v=""/>
    <n v="0"/>
    <n v="1"/>
    <s v=""/>
    <n v="0.1666666666666667"/>
    <n v="3"/>
    <n v="15"/>
    <n v="3"/>
    <n v="0"/>
    <n v="0"/>
    <n v="0"/>
    <n v="27450"/>
    <n v="88492.49999999999"/>
    <n v="18300"/>
    <n v="0"/>
    <n v="15"/>
    <n v="91500"/>
    <n v="31756.23190452652"/>
    <n v="2"/>
    <n v="16"/>
    <n v="1.5"/>
    <n v="0"/>
    <n v="0"/>
    <n v="0"/>
    <n v="9150"/>
    <n v="94391.99999999999"/>
    <n v="9150"/>
    <n v="0"/>
    <n v="15"/>
    <n v="91500"/>
    <n v="15878.11595226326"/>
    <n v="2"/>
    <n v="18"/>
    <n v="0"/>
    <n v="0"/>
    <n v="0"/>
    <n v="11799"/>
    <n v="109800"/>
    <n v="0"/>
    <n v="0"/>
    <n v="15"/>
    <n v="91500"/>
    <n v="0"/>
    <n v="2"/>
    <n v="18"/>
    <n v="0"/>
    <n v="0"/>
    <n v="0"/>
    <n v="106191"/>
    <n v="0"/>
    <n v="0"/>
    <n v="0"/>
    <n v="15"/>
    <n v="91500"/>
    <n v="0"/>
    <n v="2"/>
    <n v="15"/>
    <n v="2"/>
    <m/>
    <n v="0"/>
    <n v="0"/>
    <n v="91500"/>
    <n v="11799"/>
    <n v="0"/>
    <n v="0"/>
    <n v="15"/>
    <n v="91500"/>
    <n v="25193.27731092437"/>
    <n v="5"/>
    <n v="15"/>
    <n v="0"/>
    <m/>
    <n v="0"/>
    <n v="0"/>
    <n v="91500"/>
    <n v="0"/>
    <n v="0"/>
    <n v="0"/>
    <n v="15"/>
    <n v="91500"/>
    <n v="0"/>
    <n v="6"/>
    <n v="16"/>
    <n v="6"/>
    <n v="0"/>
    <n v="0"/>
    <n v="0"/>
    <n v="97600"/>
    <n v="35396.99999999999"/>
    <n v="0"/>
    <n v="0"/>
    <n v="16"/>
    <n v="91500"/>
    <n v="75579.83193277312"/>
    <n v="6"/>
    <n v="10"/>
    <n v="6"/>
    <n v="0"/>
    <n v="0"/>
    <n v="0"/>
    <n v="61000"/>
    <n v="35396.99999999999"/>
    <n v="0"/>
    <n v="0"/>
    <n v="10"/>
    <n v="61000"/>
    <n v="75579.83193277312"/>
    <n v="6"/>
    <n v="4"/>
    <n v="6"/>
    <n v="0"/>
    <n v="0"/>
    <m/>
    <n v="23598"/>
    <n v="35396.99999999999"/>
    <n v="0"/>
    <n v="0"/>
    <n v="4"/>
    <n v="23598"/>
    <n v="75579.8319327731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36"/>
    <x v="289"/>
    <x v="0"/>
    <x v="1"/>
    <n v="1"/>
    <x v="251"/>
    <n v="30"/>
    <m/>
    <n v="0"/>
    <n v="6100"/>
    <n v="1830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111111111111111"/>
    <n v="1"/>
    <s v=""/>
    <n v="0"/>
    <s v=""/>
    <n v="1"/>
    <s v=""/>
    <n v="1"/>
    <s v=""/>
    <n v="0.3333333333333333"/>
    <n v="1"/>
    <s v=""/>
    <n v="0.3333333333333333"/>
    <n v="0"/>
    <s v=""/>
    <n v="0"/>
    <n v="0"/>
    <s v=""/>
    <n v="0"/>
    <n v="5"/>
    <n v="34"/>
    <n v="5"/>
    <n v="0"/>
    <n v="0"/>
    <n v="0"/>
    <n v="36600"/>
    <n v="200583"/>
    <n v="30500"/>
    <n v="0"/>
    <n v="30"/>
    <n v="183000"/>
    <n v="52927.05317421087"/>
    <n v="3"/>
    <n v="34"/>
    <n v="0"/>
    <n v="0"/>
    <n v="0"/>
    <n v="0"/>
    <n v="12200"/>
    <n v="200583"/>
    <n v="0"/>
    <n v="0"/>
    <n v="30"/>
    <n v="183000"/>
    <n v="0"/>
    <n v="3"/>
    <n v="34"/>
    <n v="1"/>
    <n v="0"/>
    <n v="0"/>
    <n v="29898.5"/>
    <n v="207400"/>
    <n v="6100"/>
    <n v="0"/>
    <n v="30"/>
    <n v="183000"/>
    <n v="12596.63865546219"/>
    <n v="3"/>
    <n v="35"/>
    <n v="1"/>
    <n v="0"/>
    <n v="0"/>
    <n v="206482.5"/>
    <n v="6100"/>
    <n v="0"/>
    <n v="0"/>
    <n v="30"/>
    <n v="183000"/>
    <n v="12596.63865546219"/>
    <n v="3"/>
    <n v="31"/>
    <n v="3"/>
    <m/>
    <n v="0"/>
    <n v="0"/>
    <n v="189100"/>
    <n v="17698.5"/>
    <n v="0"/>
    <n v="0"/>
    <n v="30"/>
    <n v="183000"/>
    <n v="37789.91596638656"/>
    <n v="6"/>
    <n v="30"/>
    <n v="0"/>
    <m/>
    <n v="0"/>
    <n v="0"/>
    <n v="183000"/>
    <n v="0"/>
    <n v="0"/>
    <n v="0"/>
    <n v="30"/>
    <n v="183000"/>
    <n v="0"/>
    <n v="11"/>
    <n v="30"/>
    <n v="11"/>
    <n v="0"/>
    <n v="0"/>
    <n v="0"/>
    <n v="183000"/>
    <n v="64894.49999999999"/>
    <n v="0"/>
    <n v="0"/>
    <n v="30"/>
    <n v="183000"/>
    <n v="138563.025210084"/>
    <n v="11"/>
    <n v="19"/>
    <n v="11"/>
    <n v="0"/>
    <n v="0"/>
    <n v="0"/>
    <n v="115900"/>
    <n v="64894.49999999999"/>
    <n v="0"/>
    <n v="0"/>
    <n v="19"/>
    <n v="115900"/>
    <n v="138563.025210084"/>
    <n v="11"/>
    <n v="8"/>
    <n v="11"/>
    <n v="0"/>
    <n v="0"/>
    <m/>
    <n v="47195.99999999999"/>
    <n v="64894.49999999999"/>
    <n v="0"/>
    <n v="0"/>
    <n v="8"/>
    <n v="47195.99999999999"/>
    <n v="138563.02521008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37"/>
    <x v="289"/>
    <x v="0"/>
    <x v="1"/>
    <n v="1"/>
    <x v="252"/>
    <n v="19"/>
    <m/>
    <n v="0"/>
    <n v="6274"/>
    <n v="119206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605519366813756"/>
    <n v="0"/>
    <s v=""/>
    <n v="1"/>
    <s v=""/>
    <n v="0"/>
    <s v=""/>
    <n v="0"/>
    <s v=""/>
    <n v="0"/>
    <n v="0"/>
    <s v=""/>
    <n v="0"/>
    <n v="1"/>
    <s v=""/>
    <n v="0.1666666666666667"/>
    <n v="0"/>
    <s v=""/>
    <n v="0"/>
    <n v="5"/>
    <n v="14"/>
    <n v="5"/>
    <n v="0"/>
    <n v="0"/>
    <n v="0"/>
    <n v="40781"/>
    <n v="82592.99999999999"/>
    <n v="31370"/>
    <n v="0"/>
    <n v="19"/>
    <n v="119206"/>
    <n v="52927.05317421087"/>
    <n v="3"/>
    <n v="20"/>
    <n v="1.5"/>
    <n v="0"/>
    <n v="0"/>
    <n v="0"/>
    <n v="9411"/>
    <n v="117990"/>
    <n v="9411"/>
    <n v="0"/>
    <n v="19"/>
    <n v="119206"/>
    <n v="15878.11595226326"/>
    <n v="3"/>
    <n v="20"/>
    <n v="0"/>
    <n v="0"/>
    <n v="0"/>
    <n v="17698.5"/>
    <n v="125480"/>
    <n v="0"/>
    <n v="0"/>
    <n v="19"/>
    <n v="119206"/>
    <n v="0"/>
    <n v="3"/>
    <n v="20"/>
    <n v="0"/>
    <n v="0"/>
    <n v="0"/>
    <n v="117990"/>
    <n v="0"/>
    <n v="0"/>
    <n v="0"/>
    <n v="19"/>
    <n v="119206"/>
    <n v="0"/>
    <n v="3"/>
    <n v="19"/>
    <n v="3"/>
    <m/>
    <n v="0"/>
    <n v="0"/>
    <n v="119206"/>
    <n v="17698.5"/>
    <n v="0"/>
    <n v="0"/>
    <n v="19"/>
    <n v="119206"/>
    <n v="37789.91596638656"/>
    <n v="6"/>
    <n v="20"/>
    <n v="1"/>
    <m/>
    <n v="0"/>
    <n v="0"/>
    <n v="125480"/>
    <n v="5899.499999999999"/>
    <n v="0"/>
    <n v="0"/>
    <n v="20"/>
    <n v="119206"/>
    <n v="12596.63865546219"/>
    <n v="7"/>
    <n v="19"/>
    <n v="7"/>
    <n v="0"/>
    <n v="0"/>
    <n v="0"/>
    <n v="119206"/>
    <n v="41296.49999999999"/>
    <n v="0"/>
    <n v="0"/>
    <n v="19"/>
    <n v="119206"/>
    <n v="88176.4705882353"/>
    <n v="7"/>
    <n v="12"/>
    <n v="7"/>
    <n v="0"/>
    <n v="0"/>
    <n v="0"/>
    <n v="75288"/>
    <n v="41296.49999999999"/>
    <n v="0"/>
    <n v="0"/>
    <n v="12"/>
    <n v="75288"/>
    <n v="88176.4705882353"/>
    <n v="7"/>
    <n v="5"/>
    <n v="7"/>
    <n v="0"/>
    <n v="0"/>
    <m/>
    <n v="29497.5"/>
    <n v="41296.49999999999"/>
    <n v="0"/>
    <n v="0"/>
    <n v="5"/>
    <n v="29497.5"/>
    <n v="88176.470588235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38"/>
    <x v="289"/>
    <x v="0"/>
    <x v="1"/>
    <n v="1"/>
    <x v="253"/>
    <n v="6"/>
    <m/>
    <n v="0"/>
    <n v="6177"/>
    <n v="37062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s v=""/>
    <n v="1"/>
    <s v=""/>
    <n v="1"/>
    <s v=""/>
    <n v="0"/>
    <s v=""/>
    <n v="0"/>
    <n v="0"/>
    <s v=""/>
    <n v="0"/>
    <n v="3"/>
    <s v=""/>
    <n v="0.5"/>
    <n v="1"/>
    <s v=""/>
    <n v="0.3333333333333333"/>
    <n v="2"/>
    <n v="14"/>
    <n v="2"/>
    <n v="0"/>
    <n v="0"/>
    <n v="0"/>
    <n v="27796.5"/>
    <n v="82592.99999999999"/>
    <n v="12354"/>
    <n v="0"/>
    <n v="6"/>
    <n v="37062"/>
    <n v="21170.82126968435"/>
    <n v="2"/>
    <n v="11"/>
    <n v="1.5"/>
    <n v="0"/>
    <n v="0"/>
    <n v="0"/>
    <n v="15442.5"/>
    <n v="64894.49999999999"/>
    <n v="9265.5"/>
    <n v="0"/>
    <n v="6"/>
    <n v="37062"/>
    <n v="15878.11595226326"/>
    <n v="2"/>
    <n v="10"/>
    <n v="1"/>
    <n v="0"/>
    <n v="0"/>
    <n v="17976"/>
    <n v="61770"/>
    <n v="6177"/>
    <n v="0"/>
    <n v="6"/>
    <n v="37062"/>
    <n v="12596.63865546219"/>
    <n v="2"/>
    <n v="9"/>
    <n v="0"/>
    <n v="0"/>
    <n v="0"/>
    <n v="53095.49999999999"/>
    <n v="0"/>
    <n v="0"/>
    <n v="0"/>
    <n v="6"/>
    <n v="37062"/>
    <n v="0"/>
    <n v="2"/>
    <n v="6"/>
    <n v="2"/>
    <m/>
    <n v="0"/>
    <n v="0"/>
    <n v="37062"/>
    <n v="11799"/>
    <n v="0"/>
    <n v="0"/>
    <n v="6"/>
    <n v="37062"/>
    <n v="25193.27731092437"/>
    <n v="6"/>
    <n v="9"/>
    <n v="3"/>
    <m/>
    <n v="0"/>
    <n v="0"/>
    <n v="55593"/>
    <n v="17698.5"/>
    <n v="0"/>
    <n v="0"/>
    <n v="9"/>
    <n v="37062"/>
    <n v="37789.91596638656"/>
    <n v="3"/>
    <n v="7"/>
    <n v="3"/>
    <n v="0"/>
    <n v="0"/>
    <n v="0"/>
    <n v="43239"/>
    <n v="17698.5"/>
    <n v="0"/>
    <n v="0"/>
    <n v="7"/>
    <n v="37062"/>
    <n v="37789.91596638656"/>
    <n v="3"/>
    <n v="4"/>
    <n v="3"/>
    <n v="0"/>
    <n v="0"/>
    <n v="0"/>
    <n v="24708"/>
    <n v="17698.5"/>
    <n v="0"/>
    <n v="0"/>
    <n v="4"/>
    <n v="24708"/>
    <n v="37789.91596638656"/>
    <n v="3"/>
    <n v="1"/>
    <n v="3"/>
    <n v="0"/>
    <n v="0"/>
    <m/>
    <n v="5899.499999999999"/>
    <n v="17698.5"/>
    <n v="0"/>
    <n v="0"/>
    <n v="1"/>
    <n v="5899.499999999999"/>
    <n v="37789.9159663865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39"/>
    <x v="289"/>
    <x v="0"/>
    <x v="1"/>
    <n v="1"/>
    <x v="254"/>
    <n v="19"/>
    <m/>
    <n v="0"/>
    <n v="6100"/>
    <n v="1159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3263762354370272"/>
    <n v="0"/>
    <s v=""/>
    <n v="0"/>
    <s v=""/>
    <n v="0"/>
    <s v=""/>
    <n v="0"/>
    <s v=""/>
    <n v="0"/>
    <n v="0"/>
    <s v=""/>
    <n v="0"/>
    <n v="1"/>
    <s v=""/>
    <n v="0.2"/>
    <n v="0"/>
    <s v=""/>
    <n v="0"/>
    <n v="3"/>
    <n v="20"/>
    <n v="3"/>
    <n v="0"/>
    <n v="0"/>
    <n v="0"/>
    <n v="18300"/>
    <n v="117990"/>
    <n v="18300"/>
    <n v="0"/>
    <n v="19"/>
    <n v="115900"/>
    <n v="31756.23190452652"/>
    <n v="2"/>
    <n v="19"/>
    <n v="0"/>
    <n v="0"/>
    <n v="0"/>
    <n v="0"/>
    <n v="0"/>
    <n v="112090.5"/>
    <n v="0"/>
    <n v="0"/>
    <n v="19"/>
    <n v="115900"/>
    <n v="0"/>
    <n v="2"/>
    <n v="20"/>
    <n v="0"/>
    <n v="0"/>
    <n v="0"/>
    <n v="11799"/>
    <n v="122000"/>
    <n v="0"/>
    <n v="0"/>
    <n v="19"/>
    <n v="115900"/>
    <n v="0"/>
    <n v="2"/>
    <n v="20"/>
    <n v="0"/>
    <n v="0"/>
    <n v="0"/>
    <n v="117990"/>
    <n v="0"/>
    <n v="0"/>
    <n v="0"/>
    <n v="19"/>
    <n v="115900"/>
    <n v="0"/>
    <n v="2"/>
    <n v="19"/>
    <n v="2"/>
    <m/>
    <n v="0"/>
    <n v="0"/>
    <n v="115900"/>
    <n v="11799"/>
    <n v="0"/>
    <n v="0"/>
    <n v="19"/>
    <n v="115900"/>
    <n v="25193.27731092437"/>
    <n v="5"/>
    <n v="20"/>
    <n v="1"/>
    <m/>
    <n v="0"/>
    <n v="0"/>
    <n v="122000"/>
    <n v="5899.499999999999"/>
    <n v="0"/>
    <n v="0"/>
    <n v="20"/>
    <n v="115900"/>
    <n v="12596.63865546219"/>
    <n v="7"/>
    <n v="19"/>
    <n v="7"/>
    <n v="0"/>
    <n v="0"/>
    <n v="0"/>
    <n v="115900"/>
    <n v="41296.49999999999"/>
    <n v="0"/>
    <n v="0"/>
    <n v="19"/>
    <n v="115900"/>
    <n v="88176.4705882353"/>
    <n v="7"/>
    <n v="12"/>
    <n v="7"/>
    <n v="0"/>
    <n v="0"/>
    <n v="0"/>
    <n v="73200"/>
    <n v="41296.49999999999"/>
    <n v="0"/>
    <n v="0"/>
    <n v="12"/>
    <n v="73200"/>
    <n v="88176.4705882353"/>
    <n v="7"/>
    <n v="5"/>
    <n v="7"/>
    <n v="0"/>
    <n v="0"/>
    <m/>
    <n v="29497.5"/>
    <n v="41296.49999999999"/>
    <n v="0"/>
    <n v="0"/>
    <n v="5"/>
    <n v="29497.5"/>
    <n v="88176.470588235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1"/>
    <x v="16"/>
    <x v="41"/>
    <s v="LTS26-WLG02"/>
    <x v="440"/>
    <x v="289"/>
    <x v="0"/>
    <x v="1"/>
    <n v="1"/>
    <x v="255"/>
    <n v="32"/>
    <m/>
    <n v="0"/>
    <n v="6100"/>
    <n v="1952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3"/>
    <n v="0"/>
    <n v="0"/>
    <s v=""/>
    <n v="1"/>
    <s v=""/>
    <n v="1"/>
    <s v=""/>
    <n v="0"/>
    <s v=""/>
    <n v="0"/>
    <n v="0"/>
    <s v=""/>
    <n v="0"/>
    <n v="1"/>
    <s v=""/>
    <n v="0.1666666666666667"/>
    <n v="0"/>
    <s v=""/>
    <n v="0"/>
    <n v="5"/>
    <n v="32"/>
    <n v="5"/>
    <n v="0"/>
    <n v="0"/>
    <n v="0"/>
    <n v="45750"/>
    <n v="188784"/>
    <n v="30500"/>
    <n v="0"/>
    <n v="32"/>
    <n v="195200"/>
    <n v="52927.05317421087"/>
    <n v="3"/>
    <n v="30"/>
    <n v="1.5"/>
    <n v="0"/>
    <n v="0"/>
    <n v="0"/>
    <n v="15250"/>
    <n v="176985"/>
    <n v="9150"/>
    <n v="0"/>
    <n v="32"/>
    <n v="195200"/>
    <n v="15878.11595226326"/>
    <n v="3"/>
    <n v="31"/>
    <n v="1"/>
    <n v="0"/>
    <n v="0"/>
    <n v="23798.5"/>
    <n v="189100"/>
    <n v="6100"/>
    <n v="0"/>
    <n v="32"/>
    <n v="195200"/>
    <n v="12596.63865546219"/>
    <n v="3"/>
    <n v="30"/>
    <n v="0"/>
    <n v="0"/>
    <n v="0"/>
    <n v="176985"/>
    <n v="0"/>
    <n v="0"/>
    <n v="0"/>
    <n v="32"/>
    <n v="195200"/>
    <n v="0"/>
    <n v="3"/>
    <n v="32"/>
    <n v="3"/>
    <m/>
    <n v="0"/>
    <n v="0"/>
    <n v="195200"/>
    <n v="17698.5"/>
    <n v="0"/>
    <n v="0"/>
    <n v="32"/>
    <n v="195200"/>
    <n v="37789.91596638656"/>
    <n v="6"/>
    <n v="33"/>
    <n v="1"/>
    <m/>
    <n v="0"/>
    <n v="0"/>
    <n v="201300"/>
    <n v="5899.499999999999"/>
    <n v="0"/>
    <n v="0"/>
    <n v="33"/>
    <n v="195200"/>
    <n v="12596.63865546219"/>
    <n v="10"/>
    <n v="32"/>
    <n v="10"/>
    <n v="0"/>
    <n v="0"/>
    <n v="0"/>
    <n v="195200"/>
    <n v="58994.99999999999"/>
    <n v="0"/>
    <n v="0"/>
    <n v="32"/>
    <n v="195200"/>
    <n v="125966.3865546219"/>
    <n v="10"/>
    <n v="22"/>
    <n v="10"/>
    <n v="0"/>
    <n v="0"/>
    <n v="0"/>
    <n v="134200"/>
    <n v="58994.99999999999"/>
    <n v="0"/>
    <n v="0"/>
    <n v="22"/>
    <n v="134200"/>
    <n v="125966.3865546219"/>
    <n v="10"/>
    <n v="12"/>
    <n v="10"/>
    <n v="0"/>
    <n v="0"/>
    <m/>
    <n v="70793.99999999999"/>
    <n v="58994.99999999999"/>
    <n v="0"/>
    <n v="0"/>
    <n v="12"/>
    <n v="70793.99999999999"/>
    <n v="125966.3865546219"/>
    <n v="0"/>
    <n v="2"/>
    <n v="0"/>
    <n v="0"/>
    <n v="0"/>
    <n v="0"/>
    <m/>
    <n v="11799"/>
    <n v="0"/>
    <n v="0"/>
    <n v="0"/>
    <n v="2"/>
    <n v="11799"/>
    <n v="0"/>
    <n v="0"/>
    <n v="2"/>
    <n v="0"/>
    <n v="0"/>
    <n v="0"/>
    <n v="11799"/>
    <n v="0"/>
    <n v="0"/>
    <n v="0"/>
    <n v="2"/>
    <n v="11799"/>
    <n v="0"/>
    <n v="0"/>
    <n v="2"/>
    <n v="0"/>
    <n v="0"/>
    <n v="0"/>
    <n v="11799"/>
    <n v="0"/>
    <n v="0"/>
    <n v="2"/>
    <n v="11799"/>
    <n v="0"/>
    <n v="0"/>
    <n v="2"/>
    <n v="0"/>
    <n v="0"/>
    <m/>
    <n v="11799"/>
    <n v="0"/>
    <n v="0"/>
    <n v="2"/>
    <n v="11799"/>
    <n v="0"/>
  </r>
  <r>
    <m/>
    <x v="1"/>
    <x v="16"/>
    <x v="41"/>
    <s v="LTS26-WLG02"/>
    <x v="441"/>
    <x v="289"/>
    <x v="0"/>
    <x v="6"/>
    <n v="1"/>
    <x v="12"/>
    <n v="25"/>
    <m/>
    <n v="0"/>
    <n v="6434"/>
    <n v="16085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5"/>
    <n v="25"/>
    <n v="5"/>
    <n v="0"/>
    <n v="0"/>
    <n v="0"/>
    <n v="32170"/>
    <n v="147487.5"/>
    <n v="32170"/>
    <n v="0"/>
    <n v="25"/>
    <n v="160850"/>
    <n v="52927.05317421087"/>
    <n v="3"/>
    <n v="24"/>
    <n v="0"/>
    <n v="0"/>
    <n v="0"/>
    <n v="0"/>
    <n v="0"/>
    <n v="141588"/>
    <n v="0"/>
    <n v="0"/>
    <n v="25"/>
    <n v="160850"/>
    <n v="0"/>
    <n v="3"/>
    <n v="25"/>
    <n v="0"/>
    <n v="0"/>
    <n v="0"/>
    <n v="17698.5"/>
    <n v="160850"/>
    <n v="0"/>
    <n v="0"/>
    <n v="25"/>
    <n v="160850"/>
    <n v="0"/>
    <n v="3"/>
    <n v="25"/>
    <n v="0"/>
    <n v="0"/>
    <n v="0"/>
    <n v="147487.5"/>
    <n v="0"/>
    <n v="0"/>
    <n v="0"/>
    <n v="25"/>
    <n v="160850"/>
    <n v="0"/>
    <n v="3"/>
    <n v="25"/>
    <n v="3"/>
    <m/>
    <n v="0"/>
    <n v="0"/>
    <n v="160850"/>
    <n v="17698.5"/>
    <n v="0"/>
    <n v="0"/>
    <n v="25"/>
    <n v="160850"/>
    <n v="37789.91596638656"/>
    <n v="6"/>
    <n v="25"/>
    <n v="0"/>
    <m/>
    <n v="0"/>
    <n v="0"/>
    <n v="160850"/>
    <n v="0"/>
    <n v="0"/>
    <n v="0"/>
    <n v="25"/>
    <n v="160850"/>
    <n v="0"/>
    <n v="8"/>
    <n v="25"/>
    <n v="8"/>
    <n v="0"/>
    <n v="0"/>
    <n v="0"/>
    <n v="160850"/>
    <n v="47195.99999999999"/>
    <n v="0"/>
    <n v="0"/>
    <n v="25"/>
    <n v="160850"/>
    <n v="100773.1092436975"/>
    <n v="8"/>
    <n v="17"/>
    <n v="8"/>
    <n v="0"/>
    <n v="0"/>
    <n v="0"/>
    <n v="109378"/>
    <n v="47195.99999999999"/>
    <n v="0"/>
    <n v="0"/>
    <n v="17"/>
    <n v="109378"/>
    <n v="100773.1092436975"/>
    <n v="8"/>
    <n v="9"/>
    <n v="8"/>
    <n v="0"/>
    <n v="0"/>
    <m/>
    <n v="53095.49999999999"/>
    <n v="47195.99999999999"/>
    <n v="0"/>
    <n v="0"/>
    <n v="9"/>
    <n v="53095.49999999999"/>
    <n v="100773.1092436975"/>
    <n v="0"/>
    <n v="1"/>
    <n v="0"/>
    <n v="0"/>
    <n v="0"/>
    <n v="0"/>
    <m/>
    <n v="5899.499999999999"/>
    <n v="0"/>
    <n v="0"/>
    <n v="0"/>
    <n v="1"/>
    <n v="5899.499999999999"/>
    <n v="0"/>
    <n v="0"/>
    <n v="1"/>
    <n v="0"/>
    <n v="0"/>
    <n v="0"/>
    <n v="5899.499999999999"/>
    <n v="0"/>
    <n v="0"/>
    <n v="0"/>
    <n v="1"/>
    <n v="5899.499999999999"/>
    <n v="0"/>
    <n v="0"/>
    <n v="1"/>
    <n v="0"/>
    <n v="0"/>
    <n v="0"/>
    <n v="5899.499999999999"/>
    <n v="0"/>
    <n v="0"/>
    <n v="1"/>
    <n v="5899.499999999999"/>
    <n v="0"/>
    <n v="0"/>
    <n v="1"/>
    <n v="0"/>
    <n v="0"/>
    <m/>
    <n v="5899.499999999999"/>
    <n v="0"/>
    <n v="0"/>
    <n v="1"/>
    <n v="5899.499999999999"/>
    <n v="0"/>
  </r>
  <r>
    <m/>
    <x v="1"/>
    <x v="16"/>
    <x v="41"/>
    <s v="LTS26-WLG02"/>
    <x v="442"/>
    <x v="289"/>
    <x v="0"/>
    <x v="1"/>
    <n v="1"/>
    <x v="256"/>
    <n v="9"/>
    <m/>
    <n v="0"/>
    <n v="6166"/>
    <n v="55494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21322121388727"/>
    <n v="1"/>
    <s v=""/>
    <n v="0"/>
    <s v=""/>
    <n v="0"/>
    <s v=""/>
    <n v="0"/>
    <s v=""/>
    <n v="0"/>
    <n v="0"/>
    <s v=""/>
    <n v="0"/>
    <n v="0"/>
    <s v=""/>
    <n v="0"/>
    <n v="1"/>
    <s v=""/>
    <n v="0.25"/>
    <n v="2"/>
    <n v="13"/>
    <n v="2"/>
    <n v="0"/>
    <n v="0"/>
    <n v="0"/>
    <n v="12332"/>
    <n v="76693.49999999999"/>
    <n v="12332"/>
    <n v="0"/>
    <n v="9"/>
    <n v="55494"/>
    <n v="21170.82126968435"/>
    <n v="2"/>
    <n v="11"/>
    <n v="0"/>
    <n v="0"/>
    <n v="0"/>
    <n v="0"/>
    <n v="0"/>
    <n v="64894.49999999999"/>
    <n v="0"/>
    <n v="0"/>
    <n v="9"/>
    <n v="55494"/>
    <n v="0"/>
    <n v="2"/>
    <n v="11"/>
    <n v="0"/>
    <n v="0"/>
    <n v="0"/>
    <n v="11799"/>
    <n v="67826"/>
    <n v="0"/>
    <n v="0"/>
    <n v="9"/>
    <n v="55494"/>
    <n v="0"/>
    <n v="2"/>
    <n v="11"/>
    <n v="0"/>
    <n v="0"/>
    <n v="0"/>
    <n v="64894.49999999999"/>
    <n v="0"/>
    <n v="0"/>
    <n v="0"/>
    <n v="9"/>
    <n v="55494"/>
    <n v="0"/>
    <n v="2"/>
    <n v="9"/>
    <n v="2"/>
    <m/>
    <n v="0"/>
    <n v="0"/>
    <n v="55494"/>
    <n v="11799"/>
    <n v="0"/>
    <n v="0"/>
    <n v="9"/>
    <n v="55494"/>
    <n v="25193.27731092437"/>
    <n v="6"/>
    <n v="9"/>
    <n v="0"/>
    <m/>
    <n v="0"/>
    <n v="0"/>
    <n v="55494"/>
    <n v="0"/>
    <n v="0"/>
    <n v="0"/>
    <n v="9"/>
    <n v="55494"/>
    <n v="0"/>
    <n v="4"/>
    <n v="10"/>
    <n v="4"/>
    <n v="0"/>
    <n v="0"/>
    <n v="0"/>
    <n v="61660"/>
    <n v="23598"/>
    <n v="0"/>
    <n v="0"/>
    <n v="10"/>
    <n v="55494"/>
    <n v="50386.55462184874"/>
    <n v="4"/>
    <n v="6"/>
    <n v="4"/>
    <n v="0"/>
    <n v="0"/>
    <n v="0"/>
    <n v="36996"/>
    <n v="23598"/>
    <n v="0"/>
    <n v="0"/>
    <n v="6"/>
    <n v="36996"/>
    <n v="50386.55462184874"/>
    <n v="4"/>
    <n v="2"/>
    <n v="4"/>
    <n v="0"/>
    <n v="0"/>
    <m/>
    <n v="11799"/>
    <n v="23598"/>
    <n v="0"/>
    <n v="0"/>
    <n v="2"/>
    <n v="11799"/>
    <n v="50386.5546218487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Menaje de Cocina"/>
    <x v="2"/>
    <x v="17"/>
    <x v="43"/>
    <n v="1635956574926"/>
    <x v="443"/>
    <x v="290"/>
    <x v="0"/>
    <x v="3"/>
    <n v="1"/>
    <x v="257"/>
    <n v="379"/>
    <m/>
    <n v="0"/>
    <n v="25101.43477891851"/>
    <n v="9513443.781210115"/>
    <n v="24.95"/>
    <n v="27257.875"/>
    <n v="63016.80672268908"/>
    <n v="50411.76470588236"/>
    <s v="Ningbo"/>
    <s v="20/80 Credit"/>
    <n v="45"/>
    <n v="600"/>
    <n v="152"/>
    <n v="0.5266806141955216"/>
    <n v="84"/>
    <n v="0.5657797124618512"/>
    <n v="82"/>
    <n v="0.551337306443324"/>
    <n v="66"/>
    <n v="0.5611014636910304"/>
    <n v="78"/>
    <n v="0.5378628735646519"/>
    <n v="395"/>
    <n v="0.5689028570785306"/>
    <n v="218"/>
    <n v="0.5584280717526876"/>
    <n v="95"/>
    <n v="0.5627570029787372"/>
    <n v="25"/>
    <n v="0.6386239852476961"/>
    <n v="19"/>
    <n v="0.6193312718459785"/>
    <n v="68"/>
    <n v="0.5991824099074103"/>
    <n v="56"/>
    <n v="0.6101993376416878"/>
    <n v="57"/>
    <n v="0.5325461550622886"/>
    <n v="63"/>
    <n v="0.5396208534026468"/>
    <n v="122"/>
    <n v="0.4645645751106036"/>
    <n v="96"/>
    <n v="0.5059121912725596"/>
    <n v="1.066666666666667"/>
    <n v="82"/>
    <n v="0.4769860575691575"/>
    <n v="1.171428571428571"/>
    <n v="211"/>
    <n v="0.4864164038603449"/>
    <n v="1.055"/>
    <n v="11"/>
    <n v="0.4956240186839553"/>
    <n v="0.1294117647058824"/>
    <n v="120"/>
    <n v="492"/>
    <n v="60"/>
    <n v="600"/>
    <n v="400"/>
    <n v="0"/>
    <n v="6940546.716370968"/>
    <n v="12705039"/>
    <n v="1506086.08673511"/>
    <n v="0"/>
    <n v="379"/>
    <n v="9513443.781210115"/>
    <n v="3177317.986017937"/>
    <n v="80"/>
    <n v="905"/>
    <n v="94.5"/>
    <n v="0"/>
    <n v="0"/>
    <n v="0"/>
    <n v="7844198.368412035"/>
    <n v="23370041.25"/>
    <n v="2372085.586607799"/>
    <n v="0"/>
    <n v="379"/>
    <n v="9513443.781210115"/>
    <n v="5004275.827978251"/>
    <n v="130"/>
    <n v="836"/>
    <n v="122"/>
    <n v="0"/>
    <n v="0"/>
    <n v="7279740.281804235"/>
    <n v="20984799.47517587"/>
    <n v="3062375.043028058"/>
    <n v="0"/>
    <n v="379"/>
    <n v="9513443.781210115"/>
    <n v="7688050.420168067"/>
    <n v="90"/>
    <n v="689"/>
    <n v="96"/>
    <n v="0"/>
    <n v="0"/>
    <n v="17792219.25"/>
    <n v="2409737.738776177"/>
    <n v="0"/>
    <n v="0"/>
    <n v="379"/>
    <n v="9513443.781210115"/>
    <n v="6049613.445378152"/>
    <n v="70"/>
    <n v="461"/>
    <n v="70"/>
    <n v="0"/>
    <n v="0"/>
    <n v="0"/>
    <n v="11571761.43308143"/>
    <n v="1807627.5"/>
    <n v="0"/>
    <n v="0"/>
    <n v="379"/>
    <n v="9513443.781210115"/>
    <n v="4411176.470588235"/>
    <n v="200"/>
    <n v="590"/>
    <n v="211"/>
    <m/>
    <n v="0"/>
    <n v="0"/>
    <n v="14809846.51956192"/>
    <n v="5448705.749999999"/>
    <n v="0"/>
    <n v="0"/>
    <n v="590"/>
    <n v="9513443.781210115"/>
    <n v="13296546.21848739"/>
    <n v="85"/>
    <n v="390"/>
    <n v="85"/>
    <n v="0"/>
    <n v="142"/>
    <n v="0"/>
    <n v="9789559.563778218"/>
    <n v="2194976.25"/>
    <n v="0"/>
    <n v="0"/>
    <n v="390"/>
    <n v="9513443.781210115"/>
    <n v="5356428.571428572"/>
    <n v="85"/>
    <n v="305"/>
    <n v="85"/>
    <n v="0"/>
    <n v="0"/>
    <n v="0"/>
    <n v="7655937.607570145"/>
    <n v="2194976.25"/>
    <n v="0"/>
    <n v="0"/>
    <n v="305"/>
    <n v="7655937.607570145"/>
    <n v="5356428.571428572"/>
    <n v="55"/>
    <n v="220"/>
    <n v="55"/>
    <n v="0"/>
    <n v="0"/>
    <m/>
    <n v="5681114.999999999"/>
    <n v="1420278.75"/>
    <n v="0"/>
    <n v="0"/>
    <n v="220"/>
    <n v="5681114.999999999"/>
    <n v="3465924.369747899"/>
    <n v="100"/>
    <n v="165"/>
    <n v="100"/>
    <n v="0"/>
    <n v="0"/>
    <n v="0"/>
    <m/>
    <n v="4260836.249999999"/>
    <n v="2582325"/>
    <n v="0"/>
    <n v="0"/>
    <n v="165"/>
    <n v="4260836.249999999"/>
    <n v="5041176.470588236"/>
    <n v="80"/>
    <n v="65"/>
    <n v="80"/>
    <n v="0"/>
    <n v="0"/>
    <n v="1678511.25"/>
    <n v="2065860"/>
    <n v="0"/>
    <n v="0"/>
    <n v="65"/>
    <n v="1678511.25"/>
    <n v="4234588.235294118"/>
    <n v="100"/>
    <n v="0"/>
    <n v="100"/>
    <n v="600"/>
    <n v="300"/>
    <n v="0"/>
    <n v="2582325"/>
    <n v="7746974.999999999"/>
    <n v="300"/>
    <n v="7746974.999999999"/>
    <n v="6301680.672268908"/>
    <n v="48"/>
    <n v="200"/>
    <n v="48"/>
    <n v="0"/>
    <n v="300"/>
    <n v="5164649.999999999"/>
    <n v="1204868.869388088"/>
    <n v="7746974.999999999"/>
    <n v="500"/>
    <n v="12911625"/>
    <n v="3024806.722689076"/>
  </r>
  <r>
    <s v="Simplit-Menaje de Cocina"/>
    <x v="2"/>
    <x v="17"/>
    <x v="43"/>
    <n v="1634845754276"/>
    <x v="444"/>
    <x v="291"/>
    <x v="0"/>
    <x v="6"/>
    <n v="1"/>
    <x v="12"/>
    <n v="36"/>
    <m/>
    <n v="0"/>
    <n v="44152.29591836734"/>
    <n v="1589482.653061224"/>
    <n v="41"/>
    <n v="44792.5"/>
    <n v="71420.1680672269"/>
    <n v="63016.80672268908"/>
    <s v="Ningbo"/>
    <s v="20/80 Credit"/>
    <n v="45"/>
    <n v="600"/>
    <n v="83"/>
    <n v="0.5034209773693789"/>
    <n v="69"/>
    <n v="0.3330567900286575"/>
    <n v="142"/>
    <n v="0.4493418830808831"/>
    <n v="70"/>
    <n v="0.4744101966815404"/>
    <n v="228"/>
    <n v="0.3667777837651842"/>
    <n v="106"/>
    <n v="0.4604705744607533"/>
    <n v="65"/>
    <n v="0.4771454700528401"/>
    <n v="54"/>
    <n v="0.4790077653175487"/>
    <n v="53"/>
    <n v="0.4965862541055934"/>
    <n v="122"/>
    <n v="0.4263270257082477"/>
    <n v="108"/>
    <n v="0.3610683353596503"/>
    <n v="62"/>
    <n v="0.404983201440392"/>
    <n v="70"/>
    <n v="0.2925583983984442"/>
    <n v="59"/>
    <n v="0.3031129714065667"/>
    <n v="99"/>
    <n v="0.3070231426223191"/>
    <n v="79"/>
    <n v="0.3598502470220239"/>
    <n v="1.128571428571429"/>
    <n v="86"/>
    <n v="0.2142192219839062"/>
    <n v="1.075"/>
    <n v="184"/>
    <n v="0.2794202413085559"/>
    <n v="1.936842105263158"/>
    <n v="20"/>
    <n v="0.2905295281888653"/>
    <n v="0.3333333333333333"/>
    <n v="60"/>
    <n v="404"/>
    <n v="80"/>
    <n v="0"/>
    <n v="0"/>
    <n v="0"/>
    <n v="11810739.15816326"/>
    <n v="17143740"/>
    <n v="3532183.673469387"/>
    <n v="0"/>
    <n v="36"/>
    <n v="1589482.653061224"/>
    <n v="4801355.836452229"/>
    <n v="70"/>
    <n v="329"/>
    <n v="88.5"/>
    <n v="0"/>
    <n v="0"/>
    <n v="0"/>
    <n v="11766586.86224489"/>
    <n v="13961115"/>
    <n v="3907478.18877551"/>
    <n v="0"/>
    <n v="36"/>
    <n v="1589482.653061224"/>
    <n v="5311499.894075278"/>
    <n v="100"/>
    <n v="135"/>
    <n v="99"/>
    <n v="0"/>
    <n v="0"/>
    <n v="11253908.67346939"/>
    <n v="5960559.94897959"/>
    <n v="4371077.295918366"/>
    <n v="0"/>
    <n v="36"/>
    <n v="1589482.653061224"/>
    <n v="7070596.638655463"/>
    <n v="70"/>
    <n v="153"/>
    <n v="79"/>
    <n v="0"/>
    <n v="0"/>
    <n v="6492555"/>
    <n v="3488031.37755102"/>
    <n v="0"/>
    <n v="0"/>
    <n v="36"/>
    <n v="1589482.653061224"/>
    <n v="5642193.277310925"/>
    <n v="80"/>
    <n v="122"/>
    <n v="80"/>
    <m/>
    <n v="0"/>
    <n v="0"/>
    <n v="5386580.102040815"/>
    <n v="3394800"/>
    <n v="0"/>
    <n v="0"/>
    <n v="36"/>
    <n v="1589482.653061224"/>
    <n v="5713613.445378152"/>
    <n v="95"/>
    <n v="220"/>
    <n v="184"/>
    <m/>
    <n v="272"/>
    <n v="0"/>
    <n v="9713505.102040814"/>
    <n v="7808040"/>
    <n v="0"/>
    <n v="0"/>
    <n v="220"/>
    <n v="1589482.653061224"/>
    <n v="13141310.92436975"/>
    <n v="60"/>
    <n v="56"/>
    <n v="60"/>
    <n v="0"/>
    <n v="0"/>
    <n v="0"/>
    <n v="2472528.571428571"/>
    <n v="2546100"/>
    <n v="0"/>
    <n v="0"/>
    <n v="56"/>
    <n v="1589482.653061224"/>
    <n v="4285210.084033614"/>
    <n v="50"/>
    <n v="0"/>
    <n v="50"/>
    <n v="0"/>
    <n v="0"/>
    <n v="0"/>
    <n v="0"/>
    <n v="2121750"/>
    <n v="0"/>
    <n v="0"/>
    <n v="0"/>
    <n v="0"/>
    <n v="3571008.403361345"/>
    <n v="31"/>
    <n v="0"/>
    <n v="31"/>
    <n v="0"/>
    <n v="0"/>
    <m/>
    <n v="0"/>
    <n v="1315485"/>
    <n v="0"/>
    <n v="0"/>
    <n v="0"/>
    <n v="0"/>
    <n v="2214025.21008403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Menaje de Cocina"/>
    <x v="2"/>
    <x v="17"/>
    <x v="43"/>
    <s v="SIMBATORG-BK"/>
    <x v="445"/>
    <x v="292"/>
    <x v="0"/>
    <x v="6"/>
    <n v="1"/>
    <x v="12"/>
    <n v="60"/>
    <m/>
    <n v="0"/>
    <n v="17822"/>
    <n v="1069320"/>
    <n v="15.98"/>
    <n v="17458.15"/>
    <n v="36126.05042016807"/>
    <n v="33605.04201680672"/>
    <s v="Ningbo"/>
    <s v="20/80 Credit"/>
    <n v="45"/>
    <n v="600"/>
    <n v="32"/>
    <n v="0.6410863963229406"/>
    <n v="26"/>
    <n v="0.628109828690662"/>
    <n v="8"/>
    <n v="0.5793153112084544"/>
    <n v="123"/>
    <n v="0.6537153906684543"/>
    <n v="22"/>
    <n v="0.6519971613330442"/>
    <n v="230"/>
    <n v="0.6078978697385938"/>
    <n v="54"/>
    <n v="0.5280937701271777"/>
    <n v="54"/>
    <n v="0.5253580617201232"/>
    <n v="46"/>
    <n v="0.5105301892292915"/>
    <n v="67"/>
    <n v="0.4418170789839213"/>
    <n v="40"/>
    <n v="0.4953691064447105"/>
    <n v="38"/>
    <n v="0.5086249703490555"/>
    <n v="61"/>
    <s v=""/>
    <n v="71"/>
    <s v=""/>
    <n v="87"/>
    <s v=""/>
    <n v="68"/>
    <s v=""/>
    <n v="1.133333333333333"/>
    <n v="65"/>
    <s v=""/>
    <n v="1.3"/>
    <n v="103"/>
    <s v=""/>
    <n v="0.6866666666666666"/>
    <n v="26"/>
    <s v=""/>
    <n v="0.52"/>
    <n v="35"/>
    <n v="363"/>
    <n v="60"/>
    <m/>
    <n v="200"/>
    <n v="0"/>
    <n v="4517877"/>
    <n v="6003765.899999999"/>
    <n v="1069320"/>
    <n v="0"/>
    <n v="60"/>
    <n v="1069320"/>
    <n v="1821481.533789987"/>
    <n v="50"/>
    <n v="507"/>
    <n v="106.5"/>
    <n v="0"/>
    <n v="0"/>
    <n v="0"/>
    <n v="4660453"/>
    <n v="8385425.1"/>
    <n v="1898043"/>
    <n v="0"/>
    <n v="60"/>
    <n v="1069320"/>
    <n v="3233129.722477227"/>
    <n v="70"/>
    <n v="147"/>
    <n v="87"/>
    <n v="0"/>
    <n v="0"/>
    <n v="3589375"/>
    <n v="2619834"/>
    <n v="1550514"/>
    <n v="0"/>
    <n v="60"/>
    <n v="1069320"/>
    <n v="3142966.386554622"/>
    <n v="60"/>
    <n v="354"/>
    <n v="68"/>
    <n v="0"/>
    <n v="0"/>
    <n v="5854912.2"/>
    <n v="1211896"/>
    <n v="0"/>
    <n v="0"/>
    <n v="60"/>
    <n v="1069320"/>
    <n v="2456571.428571429"/>
    <n v="50"/>
    <n v="125"/>
    <n v="50"/>
    <m/>
    <n v="0"/>
    <n v="0"/>
    <n v="2227750"/>
    <n v="826965"/>
    <n v="0"/>
    <n v="0"/>
    <n v="60"/>
    <n v="1069320"/>
    <n v="1806302.521008403"/>
    <n v="150"/>
    <n v="163"/>
    <n v="103"/>
    <m/>
    <n v="0"/>
    <n v="0"/>
    <n v="2904986"/>
    <n v="1703547.9"/>
    <n v="0"/>
    <n v="0"/>
    <n v="163"/>
    <n v="1069320"/>
    <n v="3720983.193277311"/>
    <n v="50"/>
    <n v="86"/>
    <n v="50"/>
    <n v="0"/>
    <n v="0"/>
    <n v="0"/>
    <n v="1532692"/>
    <n v="826965"/>
    <n v="0"/>
    <n v="0"/>
    <n v="86"/>
    <n v="1069320"/>
    <n v="1806302.521008403"/>
    <n v="42"/>
    <n v="36"/>
    <n v="42"/>
    <n v="0"/>
    <n v="0"/>
    <n v="0"/>
    <n v="641592"/>
    <n v="694650.6"/>
    <n v="0"/>
    <n v="0"/>
    <n v="36"/>
    <n v="641592"/>
    <n v="1517294.117647059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Menaje de Cocina"/>
    <x v="2"/>
    <x v="17"/>
    <x v="43"/>
    <s v="SMBATCOPBK"/>
    <x v="446"/>
    <x v="293"/>
    <x v="0"/>
    <x v="3"/>
    <n v="1.2"/>
    <x v="258"/>
    <n v="482"/>
    <n v="300"/>
    <n v="7011000"/>
    <n v="24322"/>
    <n v="11723204"/>
    <n v="24.6"/>
    <n v="26875.5"/>
    <n v="63016.80672268908"/>
    <n v="50411.76470588236"/>
    <s v="Ningbo"/>
    <s v="20/80 Credit"/>
    <n v="45"/>
    <n v="600"/>
    <n v="86"/>
    <n v="0.5545185625825237"/>
    <n v="83"/>
    <n v="0.6301458699221513"/>
    <n v="109"/>
    <n v="0.5732612150179716"/>
    <n v="118"/>
    <n v="0.5209706834830869"/>
    <n v="57"/>
    <n v="0.5573227267660773"/>
    <n v="116"/>
    <n v="0.5002047066305104"/>
    <n v="33"/>
    <n v="0.5414413464429852"/>
    <n v="53"/>
    <n v="0.5391298920765627"/>
    <n v="55"/>
    <n v="0.5961755135050528"/>
    <n v="329"/>
    <n v="0.5823142092203242"/>
    <n v="53"/>
    <n v="0.6244021202699102"/>
    <n v="26"/>
    <n v="0.5958110593038488"/>
    <n v="37"/>
    <s v=""/>
    <n v="41"/>
    <s v=""/>
    <n v="85"/>
    <s v=""/>
    <n v="44"/>
    <s v=""/>
    <n v="0.88"/>
    <n v="59"/>
    <s v=""/>
    <n v="1.18"/>
    <n v="165"/>
    <s v=""/>
    <n v="1.375"/>
    <n v="43"/>
    <s v=""/>
    <n v="0.6142857142857143"/>
    <n v="90"/>
    <n v="342"/>
    <n v="50"/>
    <n v="0"/>
    <n v="0"/>
    <n v="0"/>
    <n v="4779273"/>
    <n v="8707661.999999998"/>
    <n v="1216100"/>
    <n v="0"/>
    <n v="482"/>
    <n v="11723204"/>
    <n v="2647764.988348281"/>
    <n v="70"/>
    <n v="632"/>
    <n v="61.5"/>
    <n v="0"/>
    <n v="150"/>
    <n v="0"/>
    <n v="4633341"/>
    <n v="16091352"/>
    <n v="1495803"/>
    <n v="0"/>
    <n v="482"/>
    <n v="11723204"/>
    <n v="3256750.935668385"/>
    <n v="120"/>
    <n v="543"/>
    <n v="85"/>
    <n v="0"/>
    <n v="0"/>
    <n v="4665198"/>
    <n v="13206846"/>
    <n v="2067370"/>
    <n v="0"/>
    <n v="482"/>
    <n v="11723204"/>
    <n v="5356428.571428572"/>
    <n v="50"/>
    <n v="476"/>
    <n v="44"/>
    <n v="0"/>
    <n v="0"/>
    <n v="12119436"/>
    <n v="1070168"/>
    <n v="0"/>
    <n v="0"/>
    <n v="482"/>
    <n v="11723204"/>
    <n v="2772739.49579832"/>
    <n v="50"/>
    <n v="541"/>
    <n v="60"/>
    <n v="600"/>
    <n v="0"/>
    <n v="0"/>
    <n v="13158202"/>
    <n v="1527660"/>
    <n v="15276600"/>
    <n v="0"/>
    <n v="482"/>
    <n v="11723204"/>
    <n v="3781008.403361345"/>
    <n v="120"/>
    <n v="647"/>
    <n v="165"/>
    <m/>
    <n v="300"/>
    <n v="0"/>
    <n v="15736334"/>
    <n v="4201064.999999999"/>
    <n v="0"/>
    <n v="0"/>
    <n v="647"/>
    <n v="11723204"/>
    <n v="10397773.1092437"/>
    <n v="70"/>
    <n v="525"/>
    <n v="84"/>
    <n v="0"/>
    <n v="0"/>
    <n v="0"/>
    <n v="12769050"/>
    <n v="2138724"/>
    <n v="0"/>
    <n v="0"/>
    <n v="525"/>
    <n v="11723204"/>
    <n v="5293411.764705882"/>
    <n v="70"/>
    <n v="441"/>
    <n v="84"/>
    <n v="0"/>
    <n v="0"/>
    <n v="0"/>
    <n v="10726002"/>
    <n v="2138724"/>
    <n v="0"/>
    <n v="0"/>
    <n v="441"/>
    <n v="10726002"/>
    <n v="5293411.764705882"/>
    <n v="60"/>
    <n v="357"/>
    <n v="72"/>
    <n v="0"/>
    <n v="0"/>
    <m/>
    <n v="9089576.999999998"/>
    <n v="1833192"/>
    <n v="0"/>
    <n v="0"/>
    <n v="357"/>
    <n v="9089576.999999998"/>
    <n v="4537210.084033614"/>
    <n v="120"/>
    <n v="285"/>
    <n v="144"/>
    <n v="0"/>
    <n v="0"/>
    <n v="0"/>
    <m/>
    <n v="7256384.999999999"/>
    <n v="3666384"/>
    <n v="0"/>
    <n v="0"/>
    <n v="285"/>
    <n v="7256384.999999999"/>
    <n v="7259294.117647059"/>
    <n v="65"/>
    <n v="141"/>
    <n v="78"/>
    <n v="0"/>
    <n v="300"/>
    <n v="3590001"/>
    <n v="1985958"/>
    <n v="0"/>
    <n v="6110640"/>
    <n v="441"/>
    <n v="9700641"/>
    <n v="4128723.529411765"/>
    <n v="80"/>
    <n v="363"/>
    <n v="96"/>
    <n v="0"/>
    <n v="0"/>
    <n v="9242342.999999998"/>
    <n v="2444256"/>
    <n v="0"/>
    <n v="363"/>
    <n v="9242342.999999998"/>
    <n v="6049613.445378152"/>
    <n v="39"/>
    <n v="267"/>
    <n v="46.8"/>
    <n v="0"/>
    <m/>
    <n v="6798086.999999999"/>
    <n v="1138269.6"/>
    <n v="0"/>
    <n v="267"/>
    <n v="6798086.999999999"/>
    <n v="2949186.554621849"/>
  </r>
  <r>
    <s v="Simplit-Menaje de Cocina"/>
    <x v="2"/>
    <x v="17"/>
    <x v="43"/>
    <s v="SMBATSAV9-CR"/>
    <x v="447"/>
    <x v="294"/>
    <x v="0"/>
    <x v="3"/>
    <n v="1"/>
    <x v="259"/>
    <n v="158"/>
    <m/>
    <n v="0"/>
    <n v="30907"/>
    <n v="4883306"/>
    <n v="32.4"/>
    <n v="35287.74999999999"/>
    <n v="84025.21008403362"/>
    <n v="67218.48739495799"/>
    <s v="Ningbo"/>
    <s v="20/80 Credit"/>
    <n v="45"/>
    <n v="600"/>
    <n v="85"/>
    <n v="0.6205477174444503"/>
    <n v="91"/>
    <n v="0.6431843704475516"/>
    <n v="94"/>
    <n v="0.6387781223628674"/>
    <n v="30"/>
    <n v="0.6163518090740391"/>
    <n v="77"/>
    <n v="0.6465899098072493"/>
    <n v="494"/>
    <n v="0.5595200996196683"/>
    <n v="237"/>
    <n v="0.5588784345898788"/>
    <n v="186"/>
    <n v="0.5729914035939232"/>
    <n v="117"/>
    <n v="0.5928478511153639"/>
    <n v="281"/>
    <n v="0.5208099162357314"/>
    <n v="135"/>
    <n v="0.5829542772040172"/>
    <n v="146"/>
    <n v="0.5670607493764667"/>
    <n v="123"/>
    <s v=""/>
    <n v="130"/>
    <s v=""/>
    <n v="211"/>
    <s v=""/>
    <n v="129"/>
    <s v=""/>
    <n v="0.645"/>
    <n v="257"/>
    <s v=""/>
    <n v="1.028"/>
    <n v="408"/>
    <s v=""/>
    <n v="1.02"/>
    <n v="36"/>
    <s v=""/>
    <n v="0.2117647058823529"/>
    <n v="150"/>
    <n v="324"/>
    <n v="120"/>
    <n v="600"/>
    <n v="600"/>
    <n v="0"/>
    <n v="16257082"/>
    <n v="10865016"/>
    <n v="3708840"/>
    <n v="0"/>
    <n v="158"/>
    <n v="4883306"/>
    <n v="8473130.428642046"/>
    <n v="120"/>
    <n v="819"/>
    <n v="195"/>
    <n v="600"/>
    <n v="0"/>
    <n v="0"/>
    <n v="16535245"/>
    <n v="27464346"/>
    <n v="6026865"/>
    <n v="0"/>
    <n v="158"/>
    <n v="4883306"/>
    <n v="13768836.94654332"/>
    <n v="200"/>
    <n v="674"/>
    <n v="211"/>
    <n v="0"/>
    <n v="0"/>
    <n v="18891880"/>
    <n v="20831318"/>
    <n v="6521377"/>
    <n v="0"/>
    <n v="158"/>
    <n v="4883306"/>
    <n v="17729319.3277311"/>
    <n v="200"/>
    <n v="1055"/>
    <n v="129"/>
    <n v="0"/>
    <n v="0"/>
    <n v="35378370"/>
    <n v="3987003"/>
    <n v="0"/>
    <n v="0"/>
    <n v="158"/>
    <n v="4883306"/>
    <n v="10839252.10084034"/>
    <n v="250"/>
    <n v="415"/>
    <n v="250"/>
    <n v="0"/>
    <n v="0"/>
    <n v="0"/>
    <n v="12826405"/>
    <n v="8383500"/>
    <n v="0"/>
    <n v="0"/>
    <n v="158"/>
    <n v="4883306"/>
    <n v="21006302.52100841"/>
    <n v="400"/>
    <n v="566"/>
    <n v="408"/>
    <m/>
    <n v="0"/>
    <n v="0"/>
    <n v="17493362"/>
    <n v="13681872"/>
    <n v="0"/>
    <n v="0"/>
    <n v="566"/>
    <n v="4883306"/>
    <n v="34282285.71428572"/>
    <n v="170"/>
    <n v="194"/>
    <n v="170"/>
    <n v="0"/>
    <n v="0"/>
    <n v="0"/>
    <n v="5995958"/>
    <n v="5700780"/>
    <n v="0"/>
    <n v="0"/>
    <n v="194"/>
    <n v="4883306"/>
    <n v="14284285.71428572"/>
    <n v="200"/>
    <n v="24"/>
    <n v="200"/>
    <n v="600"/>
    <n v="440"/>
    <n v="0"/>
    <n v="741768"/>
    <n v="6706800"/>
    <n v="20120400"/>
    <n v="0"/>
    <n v="464"/>
    <n v="741768"/>
    <n v="16805042.01680673"/>
    <n v="120"/>
    <n v="0"/>
    <n v="120"/>
    <n v="0"/>
    <n v="0"/>
    <n v="540"/>
    <n v="0"/>
    <n v="4024080"/>
    <n v="0"/>
    <n v="18108360"/>
    <n v="540"/>
    <n v="18108360"/>
    <n v="10083025.21008403"/>
    <n v="250"/>
    <n v="480"/>
    <n v="250"/>
    <n v="0"/>
    <n v="0"/>
    <n v="0"/>
    <n v="60"/>
    <n v="16096320"/>
    <n v="8383500"/>
    <n v="0"/>
    <n v="2012040"/>
    <n v="480"/>
    <n v="18108360"/>
    <n v="16804621.8487395"/>
    <n v="150"/>
    <n v="230"/>
    <n v="150"/>
    <n v="600"/>
    <n v="300"/>
    <n v="7712820"/>
    <n v="5030100"/>
    <n v="20120400"/>
    <n v="10060200"/>
    <n v="530"/>
    <n v="17773020"/>
    <n v="10586911.76470588"/>
    <n v="150"/>
    <n v="380"/>
    <n v="150"/>
    <n v="0"/>
    <m/>
    <n v="12742920"/>
    <n v="5030100"/>
    <n v="0"/>
    <n v="380"/>
    <n v="12742920"/>
    <n v="12603781.51260504"/>
    <n v="90"/>
    <n v="230"/>
    <n v="90"/>
    <n v="0"/>
    <n v="300"/>
    <n v="7712820"/>
    <n v="2781630"/>
    <n v="10060200"/>
    <n v="530"/>
    <n v="17773020"/>
    <n v="7562268.907563026"/>
  </r>
  <r>
    <s v="Simplit-Menaje de Cocina"/>
    <x v="2"/>
    <x v="17"/>
    <x v="43"/>
    <s v="SIMBATOTOUL"/>
    <x v="448"/>
    <x v="295"/>
    <x v="0"/>
    <x v="6"/>
    <n v="1"/>
    <x v="12"/>
    <n v="3"/>
    <m/>
    <n v="0"/>
    <n v="55088"/>
    <n v="165264"/>
    <n v="46.1"/>
    <n v="50364.24999999999"/>
    <n v="100831.9327731092"/>
    <n v="75621.84873949581"/>
    <s v="Ningbo"/>
    <s v="20/80 Credit"/>
    <n v="45"/>
    <n v="600"/>
    <n v="20"/>
    <n v="0.4573865581563683"/>
    <n v="15"/>
    <n v="0.5243696837554724"/>
    <n v="20"/>
    <n v="0.4788069525633361"/>
    <n v="15"/>
    <n v="0.4060351442774996"/>
    <n v="17"/>
    <n v="0.4247918683721497"/>
    <n v="70"/>
    <n v="0.2975717856360523"/>
    <n v="26"/>
    <n v="0.3361202592047749"/>
    <n v="54"/>
    <n v="0.2817806237253806"/>
    <n v="57"/>
    <n v="0.2312584011976331"/>
    <n v="264"/>
    <n v="-0.1869218051370689"/>
    <n v="17"/>
    <n v="0.4536958639210399"/>
    <n v="6"/>
    <n v="0.3928605871898379"/>
    <n v="1"/>
    <s v=""/>
    <n v="1"/>
    <s v=""/>
    <n v="2"/>
    <s v=""/>
    <n v="2"/>
    <s v=""/>
    <n v="0"/>
    <n v="2"/>
    <s v=""/>
    <n v="0"/>
    <n v="0"/>
    <s v=""/>
    <n v="0"/>
    <n v="0"/>
    <s v=""/>
    <n v="0"/>
    <n v="0"/>
    <n v="4"/>
    <n v="0"/>
    <n v="0"/>
    <n v="0"/>
    <n v="0"/>
    <n v="192808"/>
    <n v="190854"/>
    <n v="0"/>
    <n v="0"/>
    <n v="3"/>
    <n v="165264"/>
    <n v="0"/>
    <n v="0"/>
    <n v="6"/>
    <n v="1.5"/>
    <n v="0"/>
    <n v="0"/>
    <n v="0"/>
    <n v="302984"/>
    <n v="286280.9999999999"/>
    <n v="82632"/>
    <n v="0"/>
    <n v="3"/>
    <n v="165264"/>
    <n v="127099.0749240873"/>
    <n v="0"/>
    <n v="5"/>
    <n v="2"/>
    <n v="0"/>
    <n v="0"/>
    <n v="220352"/>
    <n v="275440"/>
    <n v="110176"/>
    <n v="0"/>
    <n v="3"/>
    <n v="165264"/>
    <n v="201663.8655462185"/>
    <n v="0"/>
    <n v="8"/>
    <n v="2"/>
    <n v="0"/>
    <n v="0"/>
    <n v="381707.9999999999"/>
    <n v="110176"/>
    <n v="0"/>
    <n v="0"/>
    <n v="3"/>
    <n v="165264"/>
    <n v="201663.8655462185"/>
    <n v="0"/>
    <n v="5"/>
    <n v="0"/>
    <m/>
    <m/>
    <n v="0"/>
    <n v="275440"/>
    <n v="0"/>
    <n v="0"/>
    <n v="0"/>
    <n v="3"/>
    <n v="165264"/>
    <n v="0"/>
    <n v="0"/>
    <n v="3"/>
    <n v="0"/>
    <m/>
    <n v="0"/>
    <n v="0"/>
    <n v="165264"/>
    <n v="0"/>
    <n v="0"/>
    <n v="0"/>
    <n v="3"/>
    <n v="165264"/>
    <n v="0"/>
    <n v="6"/>
    <n v="3"/>
    <n v="6"/>
    <n v="0"/>
    <n v="0"/>
    <n v="0"/>
    <n v="165264"/>
    <n v="286280.9999999999"/>
    <n v="0"/>
    <n v="0"/>
    <n v="3"/>
    <n v="165264"/>
    <n v="604991.5966386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2"/>
    <x v="17"/>
    <x v="43"/>
    <s v="SMBATOXBK"/>
    <x v="449"/>
    <x v="296"/>
    <x v="0"/>
    <x v="3"/>
    <n v="1"/>
    <x v="260"/>
    <n v="16"/>
    <m/>
    <n v="0"/>
    <n v="25730"/>
    <n v="411680"/>
    <n v="29.88"/>
    <n v="31136.25"/>
    <n v="75621.84873949581"/>
    <n v="67218.48739495799"/>
    <s v="Ningbo"/>
    <s v="20/80 Credit"/>
    <n v="45"/>
    <n v="600"/>
    <n v="0"/>
    <s v=""/>
    <n v="0"/>
    <s v=""/>
    <n v="0"/>
    <s v=""/>
    <n v="0"/>
    <s v=""/>
    <n v="0"/>
    <s v=""/>
    <n v="0"/>
    <s v=""/>
    <n v="53"/>
    <n v="0.5207320946648388"/>
    <n v="166"/>
    <n v="0.5261961531183333"/>
    <n v="181"/>
    <n v="0.525820907478033"/>
    <n v="194"/>
    <n v="0.3990145711888691"/>
    <n v="-1"/>
    <n v="0.5053103335416108"/>
    <n v="0"/>
    <s v=""/>
    <n v="1"/>
    <s v=""/>
    <n v="44"/>
    <s v=""/>
    <n v="391"/>
    <s v=""/>
    <n v="247"/>
    <s v=""/>
    <n v="1.235"/>
    <n v="340"/>
    <s v=""/>
    <n v="1.36"/>
    <n v="611"/>
    <s v=""/>
    <n v="1.222"/>
    <n v="94"/>
    <s v=""/>
    <n v="0.3133333333333334"/>
    <n v="0"/>
    <n v="1"/>
    <n v="0"/>
    <n v="600"/>
    <n v="600"/>
    <n v="0"/>
    <n v="11758610"/>
    <n v="30925.8"/>
    <n v="0"/>
    <n v="0"/>
    <n v="16"/>
    <n v="411680"/>
    <n v="0"/>
    <n v="150"/>
    <n v="595"/>
    <n v="66"/>
    <n v="600"/>
    <n v="0"/>
    <n v="0"/>
    <n v="18113920"/>
    <n v="18400851"/>
    <n v="1698180"/>
    <n v="0"/>
    <n v="16"/>
    <n v="411680"/>
    <n v="4194152.955299768"/>
    <n v="250"/>
    <n v="531"/>
    <n v="391"/>
    <n v="0"/>
    <n v="0"/>
    <n v="24147190"/>
    <n v="13662630"/>
    <n v="10060430"/>
    <n v="0"/>
    <n v="16"/>
    <n v="411680"/>
    <n v="29568142.85714286"/>
    <n v="200"/>
    <n v="706"/>
    <n v="247"/>
    <n v="0"/>
    <n v="0"/>
    <n v="21833614.8"/>
    <n v="6355310"/>
    <n v="0"/>
    <n v="0"/>
    <n v="16"/>
    <n v="411680"/>
    <n v="18678596.63865547"/>
    <n v="250"/>
    <n v="356"/>
    <n v="250"/>
    <n v="600"/>
    <n v="0"/>
    <n v="0"/>
    <n v="9159880"/>
    <n v="7731450"/>
    <n v="18555480"/>
    <n v="0"/>
    <n v="16"/>
    <n v="411680"/>
    <n v="18905462.18487395"/>
    <n v="500"/>
    <n v="627"/>
    <n v="611"/>
    <m/>
    <n v="600"/>
    <n v="0"/>
    <n v="16132710"/>
    <n v="18895663.8"/>
    <n v="0"/>
    <n v="0"/>
    <n v="627"/>
    <n v="411680"/>
    <n v="46204949.57983194"/>
    <n v="300"/>
    <n v="110"/>
    <n v="158"/>
    <n v="0"/>
    <n v="0"/>
    <n v="0"/>
    <n v="2830300"/>
    <n v="4886276.399999999"/>
    <n v="0"/>
    <n v="0"/>
    <n v="110"/>
    <n v="411680"/>
    <n v="11948252.10084034"/>
    <n v="300"/>
    <n v="0"/>
    <n v="300"/>
    <n v="600"/>
    <n v="600"/>
    <n v="300"/>
    <n v="0"/>
    <n v="9277740"/>
    <n v="18555480"/>
    <n v="9277740"/>
    <n v="600"/>
    <n v="9277740"/>
    <n v="22686554.62184874"/>
    <n v="250"/>
    <n v="0"/>
    <n v="250"/>
    <n v="0"/>
    <n v="0"/>
    <n v="300"/>
    <n v="0"/>
    <n v="7731450"/>
    <n v="0"/>
    <n v="9277740"/>
    <n v="300"/>
    <n v="9277740"/>
    <n v="18905462.18487395"/>
    <n v="500"/>
    <n v="50"/>
    <n v="50"/>
    <n v="600"/>
    <n v="600"/>
    <n v="600"/>
    <n v="0"/>
    <n v="1546290"/>
    <n v="1546290"/>
    <n v="18555480"/>
    <n v="18555480"/>
    <n v="650"/>
    <n v="20101770"/>
    <n v="3360924.369747899"/>
    <n v="300"/>
    <n v="600"/>
    <n v="300"/>
    <n v="600"/>
    <n v="600"/>
    <n v="18555480"/>
    <n v="9277740"/>
    <n v="18555480"/>
    <n v="18555480"/>
    <n v="1200"/>
    <n v="37110960"/>
    <n v="21173823.52941177"/>
    <n v="300"/>
    <n v="900"/>
    <n v="300"/>
    <n v="600"/>
    <n v="300"/>
    <n v="27833220"/>
    <n v="9277740"/>
    <n v="9277740"/>
    <n v="1200"/>
    <n v="37110960"/>
    <n v="22686554.62184874"/>
    <n v="180"/>
    <n v="900"/>
    <n v="180"/>
    <n v="0"/>
    <n v="300"/>
    <n v="27833220"/>
    <n v="4631400"/>
    <n v="9277740"/>
    <n v="1200"/>
    <n v="37110960"/>
    <n v="13611932.77310925"/>
  </r>
  <r>
    <m/>
    <x v="2"/>
    <x v="17"/>
    <x v="43"/>
    <s v="SMBATOXBG"/>
    <x v="450"/>
    <x v="297"/>
    <x v="0"/>
    <x v="3"/>
    <n v="1"/>
    <x v="12"/>
    <n v="0"/>
    <m/>
    <n v="0"/>
    <n v="31136.25"/>
    <n v="0"/>
    <n v="29.88"/>
    <n v="31136.25"/>
    <n v="78494.74789915966"/>
    <n v="66720.53571428571"/>
    <s v="Ningbo"/>
    <s v="20/80 Credit"/>
    <n v="45"/>
    <n v="600"/>
    <n v="0"/>
    <s v=""/>
    <n v="0"/>
    <s v=""/>
    <n v="0"/>
    <s v=""/>
    <n v="0"/>
    <s v=""/>
    <n v="0"/>
    <s v=""/>
    <n v="0"/>
    <s v=""/>
    <n v="0"/>
    <n v="0"/>
    <n v="0"/>
    <n v="0"/>
    <n v="0"/>
    <n v="0"/>
    <n v="0"/>
    <n v="0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1"/>
    <n v="0"/>
    <n v="600"/>
    <n v="600"/>
    <n v="0"/>
    <n v="0"/>
    <n v="30925.8"/>
    <n v="0"/>
    <n v="0"/>
    <n v="0"/>
    <n v="0"/>
    <n v="0"/>
    <n v="150"/>
    <n v="595"/>
    <n v="0"/>
    <n v="600"/>
    <n v="0"/>
    <n v="0"/>
    <n v="0"/>
    <n v="18400851"/>
    <n v="0"/>
    <n v="0"/>
    <n v="0"/>
    <n v="0"/>
    <n v="0"/>
    <n v="250"/>
    <n v="531"/>
    <n v="0"/>
    <n v="0"/>
    <n v="0"/>
    <n v="0"/>
    <n v="1653334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80"/>
    <n v="600"/>
    <n v="600"/>
    <n v="0"/>
    <n v="0"/>
    <n v="2474064"/>
    <n v="18555480"/>
    <n v="0"/>
    <n v="0"/>
    <n v="0"/>
    <n v="6279579.831932773"/>
    <n v="150"/>
    <n v="600"/>
    <n v="150"/>
    <n v="0"/>
    <n v="0"/>
    <n v="0"/>
    <n v="600"/>
    <n v="18555480"/>
    <n v="4638870"/>
    <n v="0"/>
    <n v="18555480"/>
    <n v="600"/>
    <n v="37110960"/>
    <n v="10008080.35714286"/>
    <n v="150"/>
    <n v="450"/>
    <n v="150"/>
    <n v="0"/>
    <n v="0"/>
    <n v="13916610"/>
    <n v="4638870"/>
    <n v="0"/>
    <n v="0"/>
    <n v="450"/>
    <n v="13916610"/>
    <n v="10508484.375"/>
    <n v="180"/>
    <n v="300"/>
    <n v="180"/>
    <n v="600"/>
    <n v="300"/>
    <n v="9277740"/>
    <n v="5566644"/>
    <n v="9277740"/>
    <n v="600"/>
    <n v="18555480"/>
    <n v="14129054.62184874"/>
    <n v="90"/>
    <n v="420"/>
    <n v="90"/>
    <n v="0"/>
    <n v="300"/>
    <n v="12988836"/>
    <n v="2802262.5"/>
    <n v="9277740"/>
    <n v="720"/>
    <n v="22266576"/>
    <n v="7064527.310924369"/>
  </r>
  <r>
    <m/>
    <x v="2"/>
    <x v="17"/>
    <x v="43"/>
    <s v="SMBATPMGR"/>
    <x v="451"/>
    <x v="298"/>
    <x v="0"/>
    <x v="2"/>
    <n v="1"/>
    <x v="12"/>
    <n v="449"/>
    <m/>
    <n v="0"/>
    <n v="27313.65"/>
    <n v="12263828.85"/>
    <n v="27.3"/>
    <n v="29825.25"/>
    <n v="84025.21008403362"/>
    <n v="58815.12605042017"/>
    <s v="Ningbo"/>
    <s v="20/80 Credit"/>
    <n v="45"/>
    <n v="6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n v="54"/>
    <s v=""/>
    <n v="1.2"/>
    <n v="53"/>
    <s v=""/>
    <n v="0.53"/>
    <n v="29"/>
    <s v=""/>
    <n v="0.4833333333333333"/>
    <n v="0"/>
    <n v="0"/>
    <n v="0"/>
    <n v="0"/>
    <n v="0"/>
    <n v="0"/>
    <n v="0"/>
    <n v="0"/>
    <n v="0"/>
    <n v="0"/>
    <n v="449"/>
    <n v="12263828.85"/>
    <n v="0"/>
    <n v="0"/>
    <n v="0"/>
    <n v="0"/>
    <n v="600"/>
    <n v="0"/>
    <n v="0"/>
    <n v="0"/>
    <n v="0"/>
    <n v="0"/>
    <n v="0"/>
    <n v="449"/>
    <n v="12263828.85"/>
    <n v="0"/>
    <n v="25"/>
    <n v="0"/>
    <n v="0"/>
    <n v="0"/>
    <n v="0"/>
    <n v="1271497.5"/>
    <n v="0"/>
    <n v="0"/>
    <n v="0"/>
    <n v="449"/>
    <n v="12263828.85"/>
    <n v="0"/>
    <n v="0"/>
    <n v="0"/>
    <n v="0"/>
    <n v="0"/>
    <n v="0"/>
    <n v="0"/>
    <n v="0"/>
    <n v="0"/>
    <n v="0"/>
    <n v="449"/>
    <n v="12263828.85"/>
    <n v="0"/>
    <n v="45"/>
    <n v="503"/>
    <n v="45"/>
    <n v="0"/>
    <n v="0"/>
    <n v="0"/>
    <n v="13738765.95"/>
    <n v="1271497.5"/>
    <n v="0"/>
    <n v="0"/>
    <n v="449"/>
    <n v="12263828.85"/>
    <n v="3781134.453781513"/>
    <n v="100"/>
    <n v="502"/>
    <n v="53"/>
    <m/>
    <n v="0"/>
    <n v="0"/>
    <n v="13711452.3"/>
    <n v="1497541.5"/>
    <n v="0"/>
    <n v="0"/>
    <n v="502"/>
    <n v="12263828.85"/>
    <n v="4453336.134453782"/>
    <n v="60"/>
    <n v="478"/>
    <n v="60"/>
    <n v="0"/>
    <n v="0"/>
    <n v="0"/>
    <n v="13055924.7"/>
    <n v="1695330"/>
    <n v="0"/>
    <n v="0"/>
    <n v="478"/>
    <n v="12263828.85"/>
    <n v="5041512.605042017"/>
    <n v="60"/>
    <n v="418"/>
    <n v="60"/>
    <n v="0"/>
    <n v="0"/>
    <n v="0"/>
    <n v="11417105.7"/>
    <n v="1695330"/>
    <n v="0"/>
    <n v="0"/>
    <n v="418"/>
    <n v="11417105.7"/>
    <n v="5041512.605042017"/>
    <n v="50"/>
    <n v="358"/>
    <n v="50"/>
    <n v="0"/>
    <n v="0"/>
    <m/>
    <n v="10115469"/>
    <n v="1412775"/>
    <n v="0"/>
    <n v="0"/>
    <n v="358"/>
    <n v="10115469"/>
    <n v="4201260.504201681"/>
    <n v="80"/>
    <n v="308"/>
    <n v="80"/>
    <n v="0"/>
    <n v="0"/>
    <n v="0"/>
    <m/>
    <n v="8702693.999999998"/>
    <n v="2260440"/>
    <n v="0"/>
    <n v="0"/>
    <n v="308"/>
    <n v="8702693.999999998"/>
    <n v="4705210.084033614"/>
    <n v="60"/>
    <n v="228"/>
    <n v="60"/>
    <n v="0"/>
    <n v="0"/>
    <n v="6442253.999999999"/>
    <n v="1695330"/>
    <n v="0"/>
    <n v="0"/>
    <n v="228"/>
    <n v="6442253.999999999"/>
    <n v="3705352.941176471"/>
    <n v="70"/>
    <n v="168"/>
    <n v="70"/>
    <n v="0"/>
    <n v="0"/>
    <n v="4746923.999999999"/>
    <n v="1977885"/>
    <n v="0"/>
    <n v="168"/>
    <n v="4746923.999999999"/>
    <n v="5881764.705882354"/>
    <n v="36"/>
    <n v="98"/>
    <n v="36"/>
    <n v="0"/>
    <n v="0"/>
    <n v="2769039"/>
    <n v="983291.3999999999"/>
    <n v="0"/>
    <n v="98"/>
    <n v="2769039"/>
    <n v="3024907.563025211"/>
  </r>
  <r>
    <m/>
    <x v="2"/>
    <x v="17"/>
    <x v="43"/>
    <s v="SMBATLCGR"/>
    <x v="452"/>
    <x v="299"/>
    <x v="0"/>
    <x v="2"/>
    <n v="1"/>
    <x v="12"/>
    <n v="352"/>
    <m/>
    <n v="0"/>
    <n v="34717.35"/>
    <n v="12220507.2"/>
    <n v="34.7"/>
    <n v="37909.75"/>
    <n v="100831.9327731092"/>
    <n v="84025.21008403362"/>
    <s v="Ningbo"/>
    <s v="20/80 Credit"/>
    <n v="45"/>
    <n v="6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n v="44"/>
    <s v=""/>
    <n v="0.9777777777777777"/>
    <n v="115"/>
    <s v=""/>
    <n v="1.4375"/>
    <n v="58"/>
    <s v=""/>
    <n v="0.725"/>
    <n v="0"/>
    <n v="0"/>
    <n v="0"/>
    <n v="0"/>
    <n v="0"/>
    <n v="0"/>
    <n v="0"/>
    <n v="0"/>
    <n v="0"/>
    <n v="0"/>
    <n v="352"/>
    <n v="12220507.2"/>
    <n v="0"/>
    <n v="0"/>
    <n v="0"/>
    <n v="0"/>
    <n v="600"/>
    <n v="0"/>
    <n v="0"/>
    <n v="0"/>
    <n v="0"/>
    <n v="0"/>
    <n v="0"/>
    <n v="352"/>
    <n v="12220507.2"/>
    <n v="0"/>
    <n v="50"/>
    <n v="0"/>
    <n v="0"/>
    <n v="0"/>
    <n v="0"/>
    <n v="1616152.5"/>
    <n v="0"/>
    <n v="0"/>
    <n v="0"/>
    <n v="352"/>
    <n v="12220507.2"/>
    <n v="0"/>
    <n v="0"/>
    <n v="0"/>
    <n v="0"/>
    <n v="0"/>
    <n v="0"/>
    <n v="0"/>
    <n v="0"/>
    <n v="0"/>
    <n v="0"/>
    <n v="352"/>
    <n v="12220507.2"/>
    <n v="0"/>
    <n v="45"/>
    <n v="396"/>
    <n v="45"/>
    <n v="0"/>
    <n v="0"/>
    <n v="0"/>
    <n v="13748070.6"/>
    <n v="1616152.5"/>
    <n v="0"/>
    <n v="0"/>
    <n v="352"/>
    <n v="12220507.2"/>
    <n v="4537436.974789917"/>
    <n v="80"/>
    <n v="467"/>
    <n v="115"/>
    <m/>
    <n v="0"/>
    <n v="0"/>
    <n v="16213002.45"/>
    <n v="4130167.5"/>
    <n v="0"/>
    <n v="0"/>
    <n v="467"/>
    <n v="12220507.2"/>
    <n v="11595672.26890756"/>
    <n v="80"/>
    <n v="410"/>
    <n v="80"/>
    <n v="0"/>
    <n v="0"/>
    <n v="0"/>
    <n v="14234113.5"/>
    <n v="2873160"/>
    <n v="0"/>
    <n v="0"/>
    <n v="410"/>
    <n v="12220507.2"/>
    <n v="8066554.62184874"/>
    <n v="80"/>
    <n v="330"/>
    <n v="80"/>
    <n v="0"/>
    <n v="0"/>
    <n v="0"/>
    <n v="11456725.5"/>
    <n v="2873160"/>
    <n v="0"/>
    <n v="0"/>
    <n v="330"/>
    <n v="11456725.5"/>
    <n v="8066554.62184874"/>
    <n v="70"/>
    <n v="250"/>
    <n v="70"/>
    <n v="0"/>
    <n v="0"/>
    <m/>
    <n v="8978625"/>
    <n v="2514015"/>
    <n v="0"/>
    <n v="0"/>
    <n v="250"/>
    <n v="8978625"/>
    <n v="7058235.294117647"/>
    <n v="100"/>
    <n v="180"/>
    <n v="100"/>
    <n v="0"/>
    <n v="0"/>
    <n v="0"/>
    <m/>
    <n v="6464610"/>
    <n v="3591450"/>
    <n v="0"/>
    <n v="0"/>
    <n v="180"/>
    <n v="6464610"/>
    <n v="8402521.008403363"/>
    <n v="60"/>
    <n v="80"/>
    <n v="60"/>
    <n v="600"/>
    <n v="300"/>
    <n v="2873160"/>
    <n v="2154870"/>
    <n v="21548700"/>
    <n v="10774350"/>
    <n v="380"/>
    <n v="13647510"/>
    <n v="5293588.235294119"/>
    <n v="80"/>
    <n v="320"/>
    <n v="80"/>
    <n v="0"/>
    <n v="0"/>
    <n v="11492640"/>
    <n v="2873160"/>
    <n v="0"/>
    <n v="320"/>
    <n v="11492640"/>
    <n v="8066554.62184874"/>
    <n v="36"/>
    <n v="240"/>
    <n v="36"/>
    <n v="0"/>
    <n v="300"/>
    <n v="8619480"/>
    <n v="1249824.6"/>
    <n v="10774350"/>
    <n v="540"/>
    <n v="19393830"/>
    <n v="3629949.579831933"/>
  </r>
  <r>
    <s v="Simplit-Menaje de Cocina"/>
    <x v="2"/>
    <x v="17"/>
    <x v="44"/>
    <n v="1660858101318"/>
    <x v="453"/>
    <x v="300"/>
    <x v="0"/>
    <x v="4"/>
    <n v="1"/>
    <x v="261"/>
    <n v="118"/>
    <m/>
    <n v="0"/>
    <n v="3079"/>
    <n v="363322"/>
    <n v="3"/>
    <n v="3277.5"/>
    <n v="7554.621848739496"/>
    <n v="6714.285714285715"/>
    <s v="Shenzhen"/>
    <s v="30/70"/>
    <n v="30"/>
    <n v="200"/>
    <n v="43"/>
    <n v="0.6221439858056516"/>
    <n v="48"/>
    <n v="0.6550474360082451"/>
    <n v="48"/>
    <n v="0.6681407132272904"/>
    <n v="40"/>
    <n v="0.6502549000553697"/>
    <n v="64"/>
    <n v="0.6162464352564523"/>
    <n v="94"/>
    <n v="0.585768684749986"/>
    <n v="67"/>
    <n v="0.5798420336655509"/>
    <n v="54"/>
    <n v="0.6122295806483699"/>
    <n v="41"/>
    <n v="0.5772877213735201"/>
    <n v="79"/>
    <n v="0.5845199803530581"/>
    <n v="20"/>
    <n v="0.5549106782188895"/>
    <n v="1"/>
    <n v="0.7237805415894858"/>
    <n v="32"/>
    <n v="0.4079858329529213"/>
    <n v="48"/>
    <n v="0.4045661920805561"/>
    <n v="100"/>
    <n v="0.4460458541335716"/>
    <n v="101"/>
    <n v="0.445121193799309"/>
    <n v="1.442857142857143"/>
    <n v="67"/>
    <n v="0.55063779658089"/>
    <n v="1.030769230769231"/>
    <n v="14"/>
    <n v="0.3596751378906755"/>
    <n v="0.14"/>
    <n v="1"/>
    <n v="0.4527626839031897"/>
    <n v="0.01428571428571429"/>
    <n v="46.33333333333334"/>
    <n v="157"/>
    <n v="20"/>
    <n v="150"/>
    <n v="150"/>
    <n v="0"/>
    <n v="591168"/>
    <n v="487484.9999999999"/>
    <n v="61580"/>
    <n v="0"/>
    <n v="118"/>
    <n v="363322"/>
    <n v="126968.4344325966"/>
    <n v="35"/>
    <n v="250"/>
    <n v="72"/>
    <n v="0"/>
    <n v="0"/>
    <n v="0"/>
    <n v="840567"/>
    <n v="776249.9999999999"/>
    <n v="221688"/>
    <n v="0"/>
    <n v="118"/>
    <n v="363322"/>
    <n v="457086.3639573477"/>
    <n v="70"/>
    <n v="193"/>
    <n v="100"/>
    <n v="0"/>
    <n v="0"/>
    <n v="820704"/>
    <n v="594247"/>
    <n v="307900"/>
    <n v="0"/>
    <n v="118"/>
    <n v="363322"/>
    <n v="755462.1848739496"/>
    <n v="70"/>
    <n v="185"/>
    <n v="101"/>
    <n v="100"/>
    <n v="0"/>
    <n v="574424.9999999999"/>
    <n v="310979"/>
    <n v="310499.9999999999"/>
    <n v="0"/>
    <n v="118"/>
    <n v="363322"/>
    <n v="763016.8067226891"/>
    <n v="65"/>
    <n v="185"/>
    <n v="65"/>
    <m/>
    <n v="0"/>
    <n v="0"/>
    <n v="569615"/>
    <n v="201825"/>
    <n v="0"/>
    <n v="0"/>
    <n v="118"/>
    <n v="363322"/>
    <n v="491050.4201680673"/>
    <n v="100"/>
    <n v="132"/>
    <n v="14"/>
    <m/>
    <n v="0"/>
    <n v="0"/>
    <n v="406428"/>
    <n v="43469.99999999999"/>
    <n v="0"/>
    <n v="0"/>
    <n v="132"/>
    <n v="363322"/>
    <n v="105764.705882353"/>
    <n v="70"/>
    <n v="119"/>
    <n v="70"/>
    <n v="150"/>
    <n v="150"/>
    <n v="0"/>
    <n v="366401"/>
    <n v="217350"/>
    <n v="450224.9999999999"/>
    <n v="0"/>
    <n v="119"/>
    <n v="363322"/>
    <n v="528823.5294117647"/>
    <n v="80"/>
    <n v="49"/>
    <n v="80"/>
    <n v="170"/>
    <n v="170"/>
    <n v="0"/>
    <n v="150871"/>
    <n v="248400"/>
    <n v="527849.9999999999"/>
    <n v="0"/>
    <n v="219"/>
    <n v="150871"/>
    <n v="604369.7478991597"/>
    <n v="50"/>
    <n v="0"/>
    <n v="50"/>
    <n v="0"/>
    <n v="0"/>
    <n v="170"/>
    <n v="0"/>
    <n v="155250"/>
    <n v="0"/>
    <n v="527849.9999999999"/>
    <n v="170"/>
    <n v="527849.9999999999"/>
    <n v="377731.0924369748"/>
    <n v="80"/>
    <n v="120"/>
    <n v="80"/>
    <n v="0"/>
    <n v="0"/>
    <n v="0"/>
    <m/>
    <n v="372599.9999999999"/>
    <n v="248400"/>
    <n v="0"/>
    <n v="0"/>
    <n v="120"/>
    <n v="372599.9999999999"/>
    <n v="537142.8571428572"/>
    <n v="60"/>
    <n v="40"/>
    <n v="60"/>
    <n v="150"/>
    <n v="150"/>
    <n v="124200"/>
    <n v="186300"/>
    <n v="465749.9999999999"/>
    <n v="465749.9999999999"/>
    <n v="190"/>
    <n v="589949.9999999999"/>
    <n v="423000.0000000001"/>
    <n v="100"/>
    <n v="130"/>
    <n v="100"/>
    <n v="0"/>
    <n v="0"/>
    <n v="403649.9999999999"/>
    <n v="310499.9999999999"/>
    <n v="0"/>
    <n v="130"/>
    <n v="403649.9999999999"/>
    <n v="755462.1848739496"/>
    <n v="36"/>
    <n v="30"/>
    <n v="36"/>
    <n v="0"/>
    <m/>
    <n v="93149.99999999999"/>
    <n v="110844"/>
    <n v="0"/>
    <n v="30"/>
    <n v="93149.99999999999"/>
    <n v="271966.3865546219"/>
  </r>
  <r>
    <s v="Simplit-Menaje de Cocina"/>
    <x v="2"/>
    <x v="17"/>
    <x v="44"/>
    <s v="SIMMANCC-BK"/>
    <x v="454"/>
    <x v="301"/>
    <x v="0"/>
    <x v="4"/>
    <n v="1"/>
    <x v="262"/>
    <n v="181"/>
    <m/>
    <n v="0"/>
    <n v="3255"/>
    <n v="589155"/>
    <n v="3.45"/>
    <n v="3769.125"/>
    <n v="8394.957983193277"/>
    <n v="7554.621848739496"/>
    <s v="Shenzhen"/>
    <s v="30/70"/>
    <n v="30"/>
    <n v="200"/>
    <n v="0"/>
    <s v=""/>
    <n v="0"/>
    <s v=""/>
    <n v="2"/>
    <n v="0.6561011359472334"/>
    <n v="13"/>
    <n v="0.6373236844416742"/>
    <n v="23"/>
    <n v="0.6695100846519411"/>
    <n v="62"/>
    <n v="0.5840630805041207"/>
    <n v="65"/>
    <n v="0.551206587791241"/>
    <n v="93"/>
    <n v="0.5173899633607915"/>
    <n v="67"/>
    <n v="0.5390054311985037"/>
    <n v="110"/>
    <n v="0.5267715876810788"/>
    <n v="63"/>
    <n v="0.5548425100713685"/>
    <n v="37"/>
    <n v="0.531768329409792"/>
    <n v="28"/>
    <s v=""/>
    <n v="62"/>
    <s v=""/>
    <n v="94"/>
    <s v=""/>
    <n v="90"/>
    <s v=""/>
    <n v="1.5"/>
    <n v="14"/>
    <s v=""/>
    <n v="0.2333333333333333"/>
    <n v="41"/>
    <s v=""/>
    <n v="0.4555555555555555"/>
    <n v="40"/>
    <s v=""/>
    <n v="0.6666666666666666"/>
    <n v="50"/>
    <n v="154"/>
    <n v="30"/>
    <n v="150"/>
    <n v="150"/>
    <n v="0"/>
    <n v="706335"/>
    <n v="549895.4999999999"/>
    <n v="97650"/>
    <n v="0"/>
    <n v="181"/>
    <n v="589155"/>
    <n v="211637.5962149566"/>
    <n v="40"/>
    <n v="371"/>
    <n v="93"/>
    <n v="0"/>
    <n v="0"/>
    <n v="0"/>
    <n v="901635"/>
    <n v="1324748.25"/>
    <n v="302715"/>
    <n v="0"/>
    <n v="181"/>
    <n v="589155"/>
    <n v="656076.5482663654"/>
    <n v="80"/>
    <n v="310"/>
    <n v="94"/>
    <n v="0"/>
    <n v="0"/>
    <n v="813165"/>
    <n v="1009050"/>
    <n v="305970"/>
    <n v="0"/>
    <n v="181"/>
    <n v="589155"/>
    <n v="789126.0504201681"/>
    <n v="60"/>
    <n v="219"/>
    <n v="90"/>
    <n v="0"/>
    <n v="0"/>
    <n v="781994.2499999999"/>
    <n v="292950"/>
    <n v="0"/>
    <n v="0"/>
    <n v="181"/>
    <n v="589155"/>
    <n v="755546.218487395"/>
    <n v="60"/>
    <n v="195"/>
    <n v="60"/>
    <m/>
    <n v="0"/>
    <n v="0"/>
    <n v="634725"/>
    <n v="214245"/>
    <n v="0"/>
    <n v="0"/>
    <n v="181"/>
    <n v="589155"/>
    <n v="503697.4789915966"/>
    <n v="90"/>
    <n v="222"/>
    <n v="41"/>
    <m/>
    <n v="0"/>
    <n v="0"/>
    <n v="722610"/>
    <n v="146400.75"/>
    <n v="0"/>
    <n v="0"/>
    <n v="222"/>
    <n v="589155"/>
    <n v="344193.2773109244"/>
    <n v="60"/>
    <n v="221"/>
    <n v="60"/>
    <n v="200"/>
    <n v="200"/>
    <n v="0"/>
    <n v="719355"/>
    <n v="214245"/>
    <n v="690345"/>
    <n v="0"/>
    <n v="221"/>
    <n v="589155"/>
    <n v="503697.4789915966"/>
    <n v="95"/>
    <n v="161"/>
    <n v="95"/>
    <n v="100"/>
    <n v="100"/>
    <n v="0"/>
    <n v="524055"/>
    <n v="339221.2499999999"/>
    <n v="357074.9999999999"/>
    <n v="0"/>
    <n v="261"/>
    <n v="524055"/>
    <n v="797521.0084033613"/>
    <n v="70"/>
    <n v="66"/>
    <n v="70"/>
    <n v="0"/>
    <n v="0"/>
    <n v="100"/>
    <n v="235669.5"/>
    <n v="249952.5"/>
    <n v="0"/>
    <n v="357074.9999999999"/>
    <n v="166"/>
    <n v="592744.4999999999"/>
    <n v="587647.0588235294"/>
    <n v="110"/>
    <n v="96"/>
    <n v="96"/>
    <n v="250"/>
    <n v="250"/>
    <n v="250"/>
    <n v="0"/>
    <n v="342791.9999999999"/>
    <n v="342791.9999999999"/>
    <n v="892687.4999999999"/>
    <n v="892687.4999999999"/>
    <n v="346"/>
    <n v="1235479.5"/>
    <n v="725243.6974789917"/>
    <n v="70"/>
    <n v="250"/>
    <n v="70"/>
    <n v="0"/>
    <n v="0"/>
    <n v="892687.4999999999"/>
    <n v="249952.5"/>
    <n v="0"/>
    <n v="0"/>
    <n v="250"/>
    <n v="892687.4999999999"/>
    <n v="555264.705882353"/>
    <n v="100"/>
    <n v="180"/>
    <n v="100"/>
    <n v="0"/>
    <n v="0"/>
    <n v="642734.9999999999"/>
    <n v="357074.9999999999"/>
    <n v="0"/>
    <n v="180"/>
    <n v="642734.9999999999"/>
    <n v="839495.7983193276"/>
    <n v="42"/>
    <n v="80"/>
    <n v="42"/>
    <n v="0"/>
    <m/>
    <n v="285659.9999999999"/>
    <n v="136710"/>
    <n v="0"/>
    <n v="80"/>
    <n v="285659.9999999999"/>
    <n v="352588.2352941177"/>
  </r>
  <r>
    <s v="Simplit-Menaje de Cocina"/>
    <x v="2"/>
    <x v="17"/>
    <x v="44"/>
    <n v="1660858118518"/>
    <x v="455"/>
    <x v="302"/>
    <x v="0"/>
    <x v="4"/>
    <n v="0.6"/>
    <x v="263"/>
    <n v="389"/>
    <m/>
    <n v="0"/>
    <n v="3134"/>
    <n v="1219126"/>
    <n v="3.45"/>
    <n v="3769.125"/>
    <n v="8394.957983193277"/>
    <n v="7554.621848739496"/>
    <s v="Shenzhen"/>
    <s v="30/70"/>
    <n v="30"/>
    <n v="200"/>
    <n v="124"/>
    <n v="0.6228254051701048"/>
    <n v="111"/>
    <n v="0.5930171433806961"/>
    <n v="145"/>
    <n v="0.6261468467678822"/>
    <n v="50"/>
    <n v="0.6298770328181044"/>
    <n v="136"/>
    <n v="0.5707256560289617"/>
    <n v="221"/>
    <n v="0.5861506534222922"/>
    <n v="137"/>
    <n v="0.5777943354471249"/>
    <n v="145"/>
    <n v="0.5595569922144022"/>
    <n v="122"/>
    <n v="0.5821518009911689"/>
    <n v="229"/>
    <n v="0.5334734581162542"/>
    <n v="163"/>
    <n v="0.5780870829783221"/>
    <n v="104"/>
    <n v="0.5576667886576021"/>
    <n v="67"/>
    <n v="0.4976375721754208"/>
    <n v="88"/>
    <n v="0.5147956789325208"/>
    <n v="61"/>
    <n v="0.4156656840146056"/>
    <n v="29"/>
    <n v="0.5727169629899733"/>
    <n v="0.2071428571428572"/>
    <n v="150"/>
    <n v="0.5624564722328176"/>
    <n v="1.071428571428571"/>
    <n v="22"/>
    <n v="0.5236792079553504"/>
    <n v="0.1"/>
    <n v="0"/>
    <n v="0.5176012143787521"/>
    <n v="0"/>
    <n v="120"/>
    <n v="118"/>
    <n v="70"/>
    <n v="150"/>
    <n v="150"/>
    <n v="0"/>
    <n v="824242"/>
    <n v="421348.4999999999"/>
    <n v="219380"/>
    <n v="0"/>
    <n v="389"/>
    <n v="1219126"/>
    <n v="493821.0578348987"/>
    <n v="90"/>
    <n v="218"/>
    <n v="132"/>
    <n v="100"/>
    <n v="100"/>
    <n v="0"/>
    <n v="695748"/>
    <n v="778423.4999999999"/>
    <n v="413688"/>
    <n v="0"/>
    <n v="389"/>
    <n v="1219126"/>
    <n v="931205.4233458089"/>
    <n v="150"/>
    <n v="107"/>
    <n v="61"/>
    <n v="0"/>
    <n v="0"/>
    <n v="582003"/>
    <n v="335338"/>
    <n v="191174"/>
    <n v="0"/>
    <n v="389"/>
    <n v="1219126"/>
    <n v="512092.4369747899"/>
    <n v="140"/>
    <n v="330"/>
    <n v="29"/>
    <n v="200"/>
    <n v="0"/>
    <n v="1178347.5"/>
    <n v="90886"/>
    <n v="714149.9999999999"/>
    <n v="0"/>
    <n v="389"/>
    <n v="1219126"/>
    <n v="243453.781512605"/>
    <n v="140"/>
    <n v="539"/>
    <n v="84"/>
    <m/>
    <n v="0"/>
    <n v="0"/>
    <n v="1689226"/>
    <n v="299942.9999999999"/>
    <n v="0"/>
    <n v="0"/>
    <n v="389"/>
    <n v="1219126"/>
    <n v="705176.4705882353"/>
    <n v="220"/>
    <n v="411"/>
    <n v="22"/>
    <m/>
    <n v="0"/>
    <n v="0"/>
    <n v="1288074"/>
    <n v="78556.49999999999"/>
    <n v="0"/>
    <n v="0"/>
    <n v="411"/>
    <n v="1219126"/>
    <n v="184689.0756302521"/>
    <n v="130"/>
    <n v="389"/>
    <n v="78"/>
    <n v="400"/>
    <n v="400"/>
    <n v="0"/>
    <n v="1219126"/>
    <n v="278518.4999999999"/>
    <n v="1380690"/>
    <n v="0"/>
    <n v="389"/>
    <n v="1219126"/>
    <n v="654806.7226890756"/>
    <n v="150"/>
    <n v="311"/>
    <n v="90"/>
    <n v="225"/>
    <n v="225"/>
    <n v="0"/>
    <n v="974674"/>
    <n v="321367.4999999999"/>
    <n v="803418.7499999999"/>
    <n v="0"/>
    <n v="536"/>
    <n v="974674"/>
    <n v="755546.218487395"/>
    <n v="125"/>
    <n v="221"/>
    <n v="75"/>
    <n v="0"/>
    <n v="0"/>
    <n v="225"/>
    <n v="789135.7499999999"/>
    <n v="267806.2499999999"/>
    <n v="0"/>
    <n v="803418.7499999999"/>
    <n v="446"/>
    <n v="1592554.5"/>
    <n v="629621.8487394957"/>
    <n v="180"/>
    <n v="371"/>
    <n v="108"/>
    <n v="0"/>
    <n v="0"/>
    <n v="0"/>
    <m/>
    <n v="1324748.25"/>
    <n v="385640.9999999999"/>
    <n v="0"/>
    <n v="0"/>
    <n v="371"/>
    <n v="1324748.25"/>
    <n v="815899.1596638656"/>
    <n v="150"/>
    <n v="263"/>
    <n v="90"/>
    <n v="0"/>
    <n v="0"/>
    <n v="939107.2499999999"/>
    <n v="321367.4999999999"/>
    <n v="0"/>
    <n v="0"/>
    <n v="263"/>
    <n v="939107.2499999999"/>
    <n v="713911.7647058824"/>
    <n v="150"/>
    <n v="173"/>
    <n v="90"/>
    <n v="0"/>
    <n v="0"/>
    <n v="617739.7499999999"/>
    <n v="321367.4999999999"/>
    <n v="0"/>
    <n v="173"/>
    <n v="617739.7499999999"/>
    <n v="755546.218487395"/>
    <n v="90"/>
    <n v="83"/>
    <n v="54"/>
    <n v="0"/>
    <m/>
    <n v="296372.2499999999"/>
    <n v="169236"/>
    <n v="0"/>
    <n v="83"/>
    <n v="296372.2499999999"/>
    <n v="453327.7310924369"/>
  </r>
  <r>
    <s v="Simplit-Menaje de Cocina"/>
    <x v="2"/>
    <x v="17"/>
    <x v="45"/>
    <n v="1635956592996"/>
    <x v="456"/>
    <x v="303"/>
    <x v="0"/>
    <x v="1"/>
    <n v="0.7"/>
    <x v="264"/>
    <n v="410"/>
    <m/>
    <n v="0"/>
    <n v="8574.323529411764"/>
    <n v="3515472.647058823"/>
    <n v="7.9"/>
    <n v="8630.75"/>
    <n v="18478.99159663866"/>
    <n v="16798.31932773109"/>
    <s v="Ningbo"/>
    <s v="20/80"/>
    <n v="30"/>
    <n v="600"/>
    <n v="43"/>
    <n v="0.4220481807314084"/>
    <n v="64"/>
    <n v="0.4058343838486746"/>
    <n v="122"/>
    <n v="0.5101878522603382"/>
    <n v="70"/>
    <n v="0.4750915583651225"/>
    <n v="77"/>
    <n v="0.5059339064474094"/>
    <n v="217"/>
    <n v="0.4438465000951994"/>
    <n v="96"/>
    <n v="0.4985714279484723"/>
    <n v="99"/>
    <n v="0.4820463859851635"/>
    <n v="57"/>
    <n v="0.5043812343438449"/>
    <n v="191"/>
    <n v="0.4403612697628289"/>
    <n v="66"/>
    <n v="0.5105350973424885"/>
    <n v="55"/>
    <n v="0.5040302420922819"/>
    <n v="16"/>
    <n v="0.3056020553902428"/>
    <n v="7"/>
    <n v="0.2896090306881168"/>
    <n v="1"/>
    <s v=""/>
    <n v="16"/>
    <n v="0.4190078224649235"/>
    <n v="0.32"/>
    <n v="40"/>
    <n v="0.5798449480877441"/>
    <n v="0.5714285714285714"/>
    <n v="85"/>
    <n v="0.4799511676737713"/>
    <n v="0.53125"/>
    <n v="4"/>
    <n v="0.4717044759589418"/>
    <n v="0.04"/>
    <n v="50"/>
    <n v="33"/>
    <n v="20"/>
    <n v="0"/>
    <n v="0"/>
    <n v="0"/>
    <n v="270091.1911764705"/>
    <n v="269824.4999999999"/>
    <n v="171486.4705882353"/>
    <n v="0"/>
    <n v="410"/>
    <n v="3515472.647058823"/>
    <n v="310571.2873384649"/>
    <n v="13"/>
    <n v="26"/>
    <n v="10.5"/>
    <n v="600"/>
    <n v="300"/>
    <n v="0"/>
    <n v="235793.8970588235"/>
    <n v="212589"/>
    <n v="90030.39705882352"/>
    <n v="0"/>
    <n v="410"/>
    <n v="3515472.647058823"/>
    <n v="163049.9258526941"/>
    <n v="50"/>
    <n v="26"/>
    <n v="1"/>
    <n v="0"/>
    <n v="0"/>
    <n v="546412"/>
    <n v="222932.4117647059"/>
    <n v="8574.323529411764"/>
    <n v="0"/>
    <n v="410"/>
    <n v="3515472.647058823"/>
    <n v="18478.99159663866"/>
    <n v="50"/>
    <n v="599"/>
    <n v="16"/>
    <n v="0"/>
    <n v="0"/>
    <n v="4897723.499999999"/>
    <n v="137189.1764705882"/>
    <n v="0"/>
    <n v="0"/>
    <n v="410"/>
    <n v="3515472.647058823"/>
    <n v="295663.8655462185"/>
    <n v="70"/>
    <n v="450"/>
    <n v="49"/>
    <m/>
    <n v="300"/>
    <n v="0"/>
    <n v="3858445.588235294"/>
    <n v="400648.4999999999"/>
    <n v="0"/>
    <n v="0"/>
    <n v="410"/>
    <n v="3515472.647058823"/>
    <n v="905470.5882352942"/>
    <n v="160"/>
    <n v="495"/>
    <n v="85"/>
    <m/>
    <n v="0"/>
    <n v="0"/>
    <n v="4244290.147058823"/>
    <n v="695002.4999999999"/>
    <n v="0"/>
    <n v="0"/>
    <n v="495"/>
    <n v="3515472.647058823"/>
    <n v="1570714.285714286"/>
    <n v="100"/>
    <n v="414"/>
    <n v="70"/>
    <n v="0"/>
    <n v="0"/>
    <n v="0"/>
    <n v="3549769.94117647"/>
    <n v="572354.9999999999"/>
    <n v="0"/>
    <n v="0"/>
    <n v="414"/>
    <n v="3515472.647058823"/>
    <n v="1293529.411764706"/>
    <n v="95"/>
    <n v="344"/>
    <n v="66.5"/>
    <n v="0"/>
    <n v="0"/>
    <n v="0"/>
    <n v="2949567.294117647"/>
    <n v="543737.2499999999"/>
    <n v="0"/>
    <n v="0"/>
    <n v="344"/>
    <n v="2949567.294117647"/>
    <n v="1228852.941176471"/>
    <n v="55"/>
    <n v="277.5"/>
    <n v="38.5"/>
    <n v="0"/>
    <n v="0"/>
    <m/>
    <n v="2268978.75"/>
    <n v="314795.2499999999"/>
    <n v="0"/>
    <n v="0"/>
    <n v="277.5"/>
    <n v="2268978.75"/>
    <n v="711441.1764705883"/>
    <n v="60"/>
    <n v="239"/>
    <n v="42"/>
    <n v="0"/>
    <n v="0"/>
    <n v="0"/>
    <m/>
    <n v="1954183.5"/>
    <n v="343412.9999999999"/>
    <n v="0"/>
    <n v="0"/>
    <n v="239"/>
    <n v="1954183.5"/>
    <n v="705529.4117647059"/>
    <n v="50"/>
    <n v="197"/>
    <n v="35"/>
    <n v="0"/>
    <n v="0"/>
    <n v="1610770.5"/>
    <n v="286177.4999999999"/>
    <n v="0"/>
    <n v="0"/>
    <n v="197"/>
    <n v="1610770.5"/>
    <n v="617338.2352941176"/>
    <n v="50"/>
    <n v="162"/>
    <n v="35"/>
    <n v="0"/>
    <n v="0"/>
    <n v="1324593"/>
    <n v="286177.4999999999"/>
    <n v="0"/>
    <n v="162"/>
    <n v="1324593"/>
    <n v="646764.705882353"/>
    <n v="30"/>
    <n v="127"/>
    <n v="21"/>
    <n v="0"/>
    <m/>
    <n v="1038415.5"/>
    <n v="180060.794117647"/>
    <n v="0"/>
    <n v="127"/>
    <n v="1038415.5"/>
    <n v="388058.8235294118"/>
  </r>
  <r>
    <s v="Simplit-Menaje de Cocina"/>
    <x v="2"/>
    <x v="17"/>
    <x v="45"/>
    <n v="1635956597983"/>
    <x v="457"/>
    <x v="304"/>
    <x v="0"/>
    <x v="0"/>
    <n v="1"/>
    <x v="265"/>
    <n v="0"/>
    <m/>
    <n v="0"/>
    <n v="6280.92010044096"/>
    <n v="0"/>
    <n v="5.3"/>
    <n v="5790.25"/>
    <n v="10915.96638655462"/>
    <n v="10915.96638655462"/>
    <s v="Ningbo"/>
    <s v="20/80"/>
    <n v="45"/>
    <n v="600"/>
    <n v="84"/>
    <n v="0.4691753499440552"/>
    <n v="58"/>
    <n v="0.4259139098127999"/>
    <n v="35"/>
    <n v="0.5944026361946578"/>
    <n v="37"/>
    <n v="0.5163411045987094"/>
    <n v="70"/>
    <n v="0.5134577352126825"/>
    <n v="179"/>
    <n v="0.4944372374964883"/>
    <n v="80"/>
    <n v="0.5269715588301681"/>
    <n v="72"/>
    <n v="0.5499515649671527"/>
    <n v="50"/>
    <n v="0.4989971825413262"/>
    <n v="167"/>
    <n v="0.4510373744031394"/>
    <n v="59"/>
    <n v="0.4884371114530607"/>
    <n v="70"/>
    <n v="0.5038812494960192"/>
    <n v="57"/>
    <n v="0.1398769727191606"/>
    <n v="56"/>
    <n v="0.1289267885402764"/>
    <n v="129"/>
    <n v="0.1448744339829191"/>
    <n v="103"/>
    <n v="0.09635686782545934"/>
    <n v="1.471428571428572"/>
    <n v="49"/>
    <n v="0.4268628174010024"/>
    <n v="0.7"/>
    <n v="16"/>
    <n v="0.3765488394789072"/>
    <n v="0.08888888888888889"/>
    <n v="2"/>
    <n v="0.1642994150481879"/>
    <n v="0.1333333333333333"/>
    <n v="60"/>
    <n v="438"/>
    <n v="60"/>
    <n v="0"/>
    <n v="0"/>
    <n v="0"/>
    <n v="1714691.187420382"/>
    <n v="2402649"/>
    <n v="376855.2060264576"/>
    <n v="0"/>
    <n v="0"/>
    <n v="0"/>
    <n v="550384.8598262835"/>
    <n v="50"/>
    <n v="402"/>
    <n v="84"/>
    <n v="0"/>
    <n v="0"/>
    <n v="0"/>
    <n v="1984770.751739343"/>
    <n v="2205171"/>
    <n v="527597.2884370406"/>
    <n v="0"/>
    <n v="0"/>
    <n v="0"/>
    <n v="770538.803756797"/>
    <n v="70"/>
    <n v="129"/>
    <n v="129"/>
    <n v="0"/>
    <n v="0"/>
    <n v="1841158.463302303"/>
    <n v="810238.6929568838"/>
    <n v="810238.6929568838"/>
    <n v="0"/>
    <n v="0"/>
    <n v="0"/>
    <n v="1408159.663865546"/>
    <n v="70"/>
    <n v="191"/>
    <n v="103"/>
    <n v="0"/>
    <n v="0"/>
    <n v="1047730.5"/>
    <n v="646934.7703454188"/>
    <n v="0"/>
    <n v="0"/>
    <n v="0"/>
    <n v="0"/>
    <n v="1124344.537815126"/>
    <n v="70"/>
    <n v="49"/>
    <n v="70"/>
    <m/>
    <n v="0"/>
    <n v="0"/>
    <n v="307765.084921607"/>
    <n v="383985"/>
    <n v="0"/>
    <n v="0"/>
    <n v="0"/>
    <n v="0"/>
    <n v="764117.6470588236"/>
    <n v="180"/>
    <n v="16"/>
    <n v="16"/>
    <m/>
    <n v="0"/>
    <n v="0"/>
    <n v="100494.7216070554"/>
    <n v="87768"/>
    <n v="0"/>
    <n v="0"/>
    <n v="16"/>
    <n v="0"/>
    <n v="174655.462184874"/>
    <n v="15"/>
    <n v="2"/>
    <n v="15"/>
    <n v="0"/>
    <n v="0"/>
    <n v="0"/>
    <n v="12561.84020088192"/>
    <n v="82282.5"/>
    <n v="0"/>
    <n v="0"/>
    <n v="2"/>
    <n v="0"/>
    <n v="163739.4957983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26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Menaje de Cocina"/>
    <x v="2"/>
    <x v="17"/>
    <x v="46"/>
    <n v="66800469437952"/>
    <x v="458"/>
    <x v="305"/>
    <x v="0"/>
    <x v="6"/>
    <n v="1"/>
    <x v="12"/>
    <n v="11"/>
    <m/>
    <n v="0"/>
    <n v="6067"/>
    <n v="66737"/>
    <n v="6.05"/>
    <n v="6609.624999999999"/>
    <n v="16798.31932773109"/>
    <n v="12596.63865546219"/>
    <s v="Shenzhen"/>
    <s v="30/70"/>
    <n v="30"/>
    <n v="500"/>
    <n v="77"/>
    <n v="0.3017656881531904"/>
    <n v="44"/>
    <n v="0.4695738722225011"/>
    <n v="115"/>
    <n v="0.4557706722309298"/>
    <n v="68"/>
    <n v="0.4094957525141862"/>
    <n v="98"/>
    <n v="0.4521019462080873"/>
    <n v="62"/>
    <n v="0.3544701656375681"/>
    <n v="34"/>
    <n v="0.4318080258494281"/>
    <n v="13"/>
    <n v="0.4648336844734896"/>
    <n v="9"/>
    <n v="0.4333277400630493"/>
    <n v="18"/>
    <n v="0.3051387404172139"/>
    <n v="71"/>
    <n v="0.1781020606754436"/>
    <n v="0"/>
    <s v=""/>
    <n v="3"/>
    <n v="0.1652359262440214"/>
    <n v="6"/>
    <n v="0.3702572554689769"/>
    <n v="0"/>
    <s v=""/>
    <n v="1"/>
    <n v="0.4592620987594823"/>
    <n v="0"/>
    <n v="2"/>
    <n v="0.4592596911205059"/>
    <n v="0"/>
    <n v="0"/>
    <s v=""/>
    <n v="0"/>
    <n v="0"/>
    <n v="0.3703357110281378"/>
    <n v="0"/>
    <n v="0"/>
    <n v="28"/>
    <n v="0"/>
    <n v="0"/>
    <n v="0"/>
    <n v="0"/>
    <n v="54603"/>
    <n v="175329"/>
    <n v="0"/>
    <n v="0"/>
    <n v="11"/>
    <n v="66737"/>
    <n v="0"/>
    <n v="0"/>
    <n v="35"/>
    <n v="9"/>
    <n v="0"/>
    <n v="0"/>
    <n v="0"/>
    <n v="60670"/>
    <n v="219161.25"/>
    <n v="54603"/>
    <n v="0"/>
    <n v="11"/>
    <n v="66737"/>
    <n v="127046.1125626721"/>
    <n v="0"/>
    <n v="29"/>
    <n v="0"/>
    <n v="0"/>
    <n v="0"/>
    <n v="6067"/>
    <n v="175943"/>
    <n v="0"/>
    <n v="0"/>
    <n v="11"/>
    <n v="66737"/>
    <n v="0"/>
    <n v="0"/>
    <n v="28"/>
    <n v="1"/>
    <n v="0"/>
    <n v="0"/>
    <n v="175329"/>
    <n v="6067"/>
    <n v="0"/>
    <n v="0"/>
    <n v="11"/>
    <n v="66737"/>
    <n v="16798.31932773109"/>
    <n v="0"/>
    <n v="13"/>
    <n v="0"/>
    <m/>
    <n v="0"/>
    <n v="0"/>
    <n v="78871"/>
    <n v="0"/>
    <n v="0"/>
    <n v="0"/>
    <n v="11"/>
    <n v="66737"/>
    <n v="0"/>
    <n v="0"/>
    <n v="11"/>
    <n v="0"/>
    <m/>
    <n v="0"/>
    <n v="0"/>
    <n v="66737"/>
    <n v="0"/>
    <n v="0"/>
    <n v="0"/>
    <n v="11"/>
    <n v="66737"/>
    <n v="0"/>
    <n v="0"/>
    <n v="11"/>
    <n v="0"/>
    <n v="0"/>
    <n v="0"/>
    <n v="0"/>
    <n v="66737"/>
    <n v="0"/>
    <n v="0"/>
    <n v="0"/>
    <n v="11"/>
    <n v="66737"/>
    <n v="0"/>
    <n v="0"/>
    <n v="11"/>
    <n v="0"/>
    <n v="0"/>
    <n v="0"/>
    <n v="0"/>
    <n v="66737"/>
    <n v="0"/>
    <n v="0"/>
    <n v="0"/>
    <n v="11"/>
    <n v="66737"/>
    <n v="0"/>
    <n v="0"/>
    <n v="11"/>
    <n v="0"/>
    <n v="0"/>
    <n v="0"/>
    <m/>
    <n v="68879.24999999999"/>
    <n v="0"/>
    <n v="0"/>
    <n v="0"/>
    <n v="11"/>
    <n v="68879.24999999999"/>
    <n v="0"/>
    <n v="0"/>
    <n v="11"/>
    <n v="0"/>
    <n v="0"/>
    <n v="0"/>
    <n v="0"/>
    <m/>
    <n v="68879.24999999999"/>
    <n v="0"/>
    <n v="0"/>
    <n v="0"/>
    <n v="11"/>
    <n v="68879.24999999999"/>
    <n v="0"/>
    <n v="0"/>
    <n v="11"/>
    <n v="0"/>
    <n v="0"/>
    <n v="0"/>
    <n v="68879.24999999999"/>
    <n v="0"/>
    <n v="0"/>
    <n v="0"/>
    <n v="11"/>
    <n v="68879.24999999999"/>
    <n v="0"/>
    <n v="0"/>
    <n v="11"/>
    <n v="0"/>
    <n v="0"/>
    <n v="0"/>
    <n v="68879.24999999999"/>
    <n v="0"/>
    <n v="0"/>
    <n v="11"/>
    <n v="68879.24999999999"/>
    <n v="0"/>
    <n v="0"/>
    <n v="11"/>
    <n v="0"/>
    <n v="0"/>
    <m/>
    <n v="68879.24999999999"/>
    <n v="0"/>
    <n v="0"/>
    <n v="11"/>
    <n v="68879.24999999999"/>
    <n v="0"/>
  </r>
  <r>
    <s v="Simplit-Menaje de Cocina"/>
    <x v="2"/>
    <x v="17"/>
    <x v="46"/>
    <n v="66800471275549"/>
    <x v="459"/>
    <x v="306"/>
    <x v="0"/>
    <x v="6"/>
    <n v="1"/>
    <x v="12"/>
    <n v="19"/>
    <m/>
    <n v="0"/>
    <n v="6283"/>
    <n v="119377"/>
    <n v="6.05"/>
    <n v="6609.624999999999"/>
    <n v="16798.31932773109"/>
    <n v="12596.63865546219"/>
    <s v="Shenzhen"/>
    <s v="30/70"/>
    <n v="30"/>
    <n v="500"/>
    <n v="105"/>
    <n v="0.2981095432442093"/>
    <n v="37"/>
    <n v="0.4553227722233296"/>
    <n v="73"/>
    <n v="0.3981008243190389"/>
    <n v="59"/>
    <n v="0.4540530254536226"/>
    <n v="84"/>
    <n v="0.4002706624022918"/>
    <n v="71"/>
    <n v="0.3641800793095407"/>
    <n v="43"/>
    <n v="0.3981144503057497"/>
    <n v="19"/>
    <n v="0.4531844888080167"/>
    <n v="9"/>
    <n v="0.3705825654272105"/>
    <n v="29"/>
    <n v="0.3304385772819394"/>
    <n v="61"/>
    <n v="0.1991587125137909"/>
    <n v="4"/>
    <n v="0.3054964490010225"/>
    <n v="3"/>
    <n v="0.2634116246714113"/>
    <n v="0"/>
    <s v=""/>
    <n v="1"/>
    <n v="0.4506912418071649"/>
    <n v="0"/>
    <s v=""/>
    <n v="0"/>
    <n v="1"/>
    <n v="0.4506912418071649"/>
    <n v="0.25"/>
    <n v="0"/>
    <s v=""/>
    <n v="0"/>
    <n v="0"/>
    <n v="0.3780922958670948"/>
    <n v="0"/>
    <n v="0"/>
    <n v="29"/>
    <n v="0"/>
    <n v="0"/>
    <n v="0"/>
    <n v="0"/>
    <n v="6283"/>
    <n v="181590.75"/>
    <n v="0"/>
    <n v="0"/>
    <n v="19"/>
    <n v="119377"/>
    <n v="0"/>
    <n v="0"/>
    <n v="27"/>
    <n v="0"/>
    <n v="0"/>
    <n v="0"/>
    <n v="0"/>
    <n v="6283"/>
    <n v="169067.25"/>
    <n v="0"/>
    <n v="0"/>
    <n v="19"/>
    <n v="119377"/>
    <n v="0"/>
    <n v="0"/>
    <n v="27"/>
    <n v="1"/>
    <n v="0"/>
    <n v="0"/>
    <n v="31330"/>
    <n v="169641"/>
    <n v="6283"/>
    <n v="0"/>
    <n v="19"/>
    <n v="119377"/>
    <n v="16798.31932773109"/>
    <n v="0"/>
    <n v="25"/>
    <n v="0"/>
    <n v="0"/>
    <n v="0"/>
    <n v="156543.75"/>
    <n v="0"/>
    <n v="0"/>
    <n v="0"/>
    <n v="19"/>
    <n v="119377"/>
    <n v="0"/>
    <n v="4"/>
    <n v="20"/>
    <n v="4"/>
    <m/>
    <n v="0"/>
    <n v="0"/>
    <n v="125660"/>
    <n v="25047"/>
    <n v="0"/>
    <n v="0"/>
    <n v="19"/>
    <n v="119377"/>
    <n v="67193.27731092437"/>
    <n v="0"/>
    <n v="19"/>
    <n v="0"/>
    <m/>
    <n v="0"/>
    <n v="0"/>
    <n v="119377"/>
    <n v="0"/>
    <n v="0"/>
    <n v="0"/>
    <n v="19"/>
    <n v="119377"/>
    <n v="0"/>
    <n v="0"/>
    <n v="19"/>
    <n v="0"/>
    <n v="0"/>
    <n v="0"/>
    <n v="0"/>
    <n v="119377"/>
    <n v="0"/>
    <n v="0"/>
    <n v="0"/>
    <n v="19"/>
    <n v="119377"/>
    <n v="0"/>
    <n v="0"/>
    <n v="19"/>
    <n v="0"/>
    <n v="0"/>
    <n v="0"/>
    <n v="0"/>
    <n v="119377"/>
    <n v="0"/>
    <n v="0"/>
    <n v="0"/>
    <n v="19"/>
    <n v="119377"/>
    <n v="0"/>
    <n v="0"/>
    <n v="19"/>
    <n v="0"/>
    <n v="0"/>
    <n v="0"/>
    <m/>
    <n v="118973.25"/>
    <n v="0"/>
    <n v="0"/>
    <n v="0"/>
    <n v="19"/>
    <n v="118973.25"/>
    <n v="0"/>
    <n v="0"/>
    <n v="19"/>
    <n v="0"/>
    <n v="0"/>
    <n v="0"/>
    <n v="0"/>
    <m/>
    <n v="118973.25"/>
    <n v="0"/>
    <n v="0"/>
    <n v="0"/>
    <n v="19"/>
    <n v="118973.25"/>
    <n v="0"/>
    <n v="0"/>
    <n v="19"/>
    <n v="0"/>
    <n v="0"/>
    <n v="0"/>
    <n v="118973.25"/>
    <n v="0"/>
    <n v="0"/>
    <n v="0"/>
    <n v="19"/>
    <n v="118973.25"/>
    <n v="0"/>
    <n v="0"/>
    <n v="19"/>
    <n v="0"/>
    <n v="0"/>
    <n v="0"/>
    <n v="118973.25"/>
    <n v="0"/>
    <n v="0"/>
    <n v="19"/>
    <n v="118973.25"/>
    <n v="0"/>
    <n v="0"/>
    <n v="19"/>
    <n v="0"/>
    <n v="0"/>
    <m/>
    <n v="118973.25"/>
    <n v="0"/>
    <n v="0"/>
    <n v="19"/>
    <n v="118973.25"/>
    <n v="0"/>
  </r>
  <r>
    <s v="Simplit-Menaje de Cocina"/>
    <x v="2"/>
    <x v="17"/>
    <x v="46"/>
    <n v="66800472805184"/>
    <x v="460"/>
    <x v="307"/>
    <x v="0"/>
    <x v="6"/>
    <n v="1"/>
    <x v="12"/>
    <n v="19"/>
    <m/>
    <n v="0"/>
    <n v="6113"/>
    <n v="116147"/>
    <n v="5.6"/>
    <n v="6117.999999999999"/>
    <n v="16798.31932773109"/>
    <n v="12596.63865546219"/>
    <s v="Shenzhen"/>
    <s v="30/70"/>
    <n v="30"/>
    <n v="500"/>
    <n v="48"/>
    <n v="0.2814090876121446"/>
    <n v="11"/>
    <n v="0.5975351462004481"/>
    <n v="28"/>
    <n v="0.4644875684926985"/>
    <n v="24"/>
    <n v="0.4749221991990545"/>
    <n v="23"/>
    <n v="0.4097653720951983"/>
    <n v="25"/>
    <n v="0.3880127727855605"/>
    <n v="12"/>
    <n v="0.4279962570711581"/>
    <n v="11"/>
    <n v="0.4466346425701568"/>
    <n v="6"/>
    <n v="0.4222180514072449"/>
    <n v="15"/>
    <n v="0.3613414676330947"/>
    <n v="132"/>
    <n v="0.212564662806822"/>
    <n v="5"/>
    <n v="0.2320158797959748"/>
    <n v="2"/>
    <n v="0.4399963343309677"/>
    <n v="6"/>
    <n v="0.4481950596830953"/>
    <n v="0"/>
    <s v=""/>
    <n v="1"/>
    <n v="0.4574368236677851"/>
    <n v="0"/>
    <n v="2"/>
    <n v="0.4574368236677851"/>
    <n v="0.25"/>
    <n v="0"/>
    <s v=""/>
    <n v="0"/>
    <n v="0"/>
    <n v="0.4511700070802103"/>
    <n v="0"/>
    <n v="0"/>
    <n v="29"/>
    <n v="0"/>
    <n v="0"/>
    <n v="0"/>
    <n v="0"/>
    <n v="55017"/>
    <n v="168084"/>
    <n v="0"/>
    <n v="0"/>
    <n v="19"/>
    <n v="116147"/>
    <n v="0"/>
    <n v="0"/>
    <n v="33"/>
    <n v="9"/>
    <n v="0"/>
    <n v="0"/>
    <n v="0"/>
    <n v="61130"/>
    <n v="191268"/>
    <n v="55017"/>
    <n v="0"/>
    <n v="19"/>
    <n v="116147"/>
    <n v="127046.1125626721"/>
    <n v="0"/>
    <n v="27"/>
    <n v="0"/>
    <n v="0"/>
    <n v="0"/>
    <n v="52481"/>
    <n v="165051"/>
    <n v="0"/>
    <n v="0"/>
    <n v="19"/>
    <n v="116147"/>
    <n v="0"/>
    <n v="0"/>
    <n v="27"/>
    <n v="1"/>
    <n v="0"/>
    <n v="0"/>
    <n v="156492"/>
    <n v="6113"/>
    <n v="0"/>
    <n v="0"/>
    <n v="19"/>
    <n v="116147"/>
    <n v="16798.31932773109"/>
    <n v="8"/>
    <n v="21"/>
    <n v="8"/>
    <m/>
    <n v="0"/>
    <n v="0"/>
    <n v="128373"/>
    <n v="46368"/>
    <n v="0"/>
    <n v="0"/>
    <n v="19"/>
    <n v="116147"/>
    <n v="134386.5546218487"/>
    <n v="0"/>
    <n v="19"/>
    <n v="0"/>
    <m/>
    <n v="0"/>
    <n v="0"/>
    <n v="116147"/>
    <n v="0"/>
    <n v="0"/>
    <n v="0"/>
    <n v="19"/>
    <n v="116147"/>
    <n v="0"/>
    <n v="0"/>
    <n v="19"/>
    <n v="0"/>
    <n v="0"/>
    <n v="0"/>
    <n v="0"/>
    <n v="116147"/>
    <n v="0"/>
    <n v="0"/>
    <n v="0"/>
    <n v="19"/>
    <n v="116147"/>
    <n v="0"/>
    <n v="0"/>
    <n v="19"/>
    <n v="0"/>
    <n v="0"/>
    <n v="0"/>
    <n v="0"/>
    <n v="116147"/>
    <n v="0"/>
    <n v="0"/>
    <n v="0"/>
    <n v="19"/>
    <n v="116147"/>
    <n v="0"/>
    <n v="0"/>
    <n v="19"/>
    <n v="0"/>
    <n v="0"/>
    <n v="0"/>
    <m/>
    <n v="110124"/>
    <n v="0"/>
    <n v="0"/>
    <n v="0"/>
    <n v="19"/>
    <n v="110124"/>
    <n v="0"/>
    <n v="0"/>
    <n v="19"/>
    <n v="0"/>
    <n v="0"/>
    <n v="0"/>
    <n v="0"/>
    <m/>
    <n v="110124"/>
    <n v="0"/>
    <n v="0"/>
    <n v="0"/>
    <n v="19"/>
    <n v="110124"/>
    <n v="0"/>
    <n v="0"/>
    <n v="19"/>
    <n v="0"/>
    <n v="0"/>
    <n v="0"/>
    <n v="110124"/>
    <n v="0"/>
    <n v="0"/>
    <n v="0"/>
    <n v="19"/>
    <n v="110124"/>
    <n v="0"/>
    <n v="0"/>
    <n v="19"/>
    <n v="0"/>
    <n v="0"/>
    <n v="0"/>
    <n v="110124"/>
    <n v="0"/>
    <n v="0"/>
    <n v="19"/>
    <n v="110124"/>
    <n v="0"/>
    <n v="0"/>
    <n v="19"/>
    <n v="0"/>
    <n v="0"/>
    <m/>
    <n v="110124"/>
    <n v="0"/>
    <n v="0"/>
    <n v="19"/>
    <n v="110124"/>
    <n v="0"/>
  </r>
  <r>
    <s v="Simplit-Menaje de Cocina"/>
    <x v="2"/>
    <x v="17"/>
    <x v="46"/>
    <n v="68142280732690"/>
    <x v="461"/>
    <x v="308"/>
    <x v="0"/>
    <x v="6"/>
    <n v="1"/>
    <x v="12"/>
    <n v="10"/>
    <m/>
    <n v="0"/>
    <n v="3817"/>
    <n v="38170"/>
    <n v="3.6"/>
    <n v="3933"/>
    <n v="12596.63865546219"/>
    <n v="8394.957983193277"/>
    <s v="Shenzhen"/>
    <s v="30/70"/>
    <n v="30"/>
    <n v="500"/>
    <n v="107"/>
    <n v="0.46750127292739"/>
    <n v="34"/>
    <n v="0.5156004426705219"/>
    <n v="74"/>
    <n v="0.5604325793059671"/>
    <n v="44"/>
    <n v="0.5142646701059406"/>
    <n v="21"/>
    <n v="0.4982257332026674"/>
    <n v="55"/>
    <n v="0.4895111879610904"/>
    <n v="65"/>
    <n v="0.5127765722877866"/>
    <n v="31"/>
    <n v="0.4908637206145244"/>
    <n v="37"/>
    <n v="0.4627458127620547"/>
    <n v="36"/>
    <n v="0.443702315367484"/>
    <n v="20"/>
    <n v="0.3855150485788572"/>
    <n v="1"/>
    <n v="0.7576507936507937"/>
    <n v="0"/>
    <s v=""/>
    <n v="2"/>
    <n v="0.5120294139716882"/>
    <n v="3"/>
    <n v="0.5182380952380953"/>
    <n v="0"/>
    <s v=""/>
    <n v="0"/>
    <n v="0"/>
    <s v=""/>
    <n v="0"/>
    <n v="0"/>
    <s v=""/>
    <n v="0"/>
    <n v="0"/>
    <n v="0.5163016756622835"/>
    <n v="0"/>
    <n v="0"/>
    <n v="24"/>
    <n v="0"/>
    <n v="0"/>
    <n v="0"/>
    <n v="0"/>
    <n v="22902"/>
    <n v="89423.99999999999"/>
    <n v="0"/>
    <n v="0"/>
    <n v="10"/>
    <n v="38170"/>
    <n v="0"/>
    <n v="0"/>
    <n v="24"/>
    <n v="3"/>
    <n v="0"/>
    <n v="0"/>
    <n v="0"/>
    <n v="22902"/>
    <n v="89423.99999999999"/>
    <n v="11451"/>
    <n v="0"/>
    <n v="10"/>
    <n v="38170"/>
    <n v="31756.23190452652"/>
    <n v="0"/>
    <n v="24"/>
    <n v="3"/>
    <n v="0"/>
    <n v="0"/>
    <n v="37533"/>
    <n v="91608"/>
    <n v="11451"/>
    <n v="0"/>
    <n v="10"/>
    <n v="38170"/>
    <n v="37789.91596638656"/>
    <n v="0"/>
    <n v="20"/>
    <n v="0"/>
    <n v="0"/>
    <n v="0"/>
    <n v="74519.99999999999"/>
    <n v="0"/>
    <n v="0"/>
    <n v="0"/>
    <n v="10"/>
    <n v="38170"/>
    <n v="0"/>
    <n v="7"/>
    <n v="10"/>
    <n v="7"/>
    <m/>
    <n v="0"/>
    <n v="0"/>
    <n v="38170"/>
    <n v="26082"/>
    <n v="0"/>
    <n v="0"/>
    <n v="10"/>
    <n v="38170"/>
    <n v="88176.4705882353"/>
    <n v="0"/>
    <n v="10"/>
    <n v="0"/>
    <m/>
    <n v="0"/>
    <n v="0"/>
    <n v="38170"/>
    <n v="0"/>
    <n v="0"/>
    <n v="0"/>
    <n v="10"/>
    <n v="38170"/>
    <n v="0"/>
    <n v="0"/>
    <n v="10"/>
    <n v="0"/>
    <n v="0"/>
    <n v="0"/>
    <n v="0"/>
    <n v="38170"/>
    <n v="0"/>
    <n v="0"/>
    <n v="0"/>
    <n v="10"/>
    <n v="38170"/>
    <n v="0"/>
    <n v="0"/>
    <n v="10"/>
    <n v="0"/>
    <n v="0"/>
    <n v="0"/>
    <n v="0"/>
    <n v="38170"/>
    <n v="0"/>
    <n v="0"/>
    <n v="0"/>
    <n v="10"/>
    <n v="38170"/>
    <n v="0"/>
    <n v="0"/>
    <n v="10"/>
    <n v="0"/>
    <n v="0"/>
    <n v="0"/>
    <m/>
    <n v="37259.99999999999"/>
    <n v="0"/>
    <n v="0"/>
    <n v="0"/>
    <n v="10"/>
    <n v="37259.99999999999"/>
    <n v="0"/>
    <n v="0"/>
    <n v="10"/>
    <n v="0"/>
    <n v="0"/>
    <n v="0"/>
    <n v="0"/>
    <m/>
    <n v="37259.99999999999"/>
    <n v="0"/>
    <n v="0"/>
    <n v="0"/>
    <n v="10"/>
    <n v="37259.99999999999"/>
    <n v="0"/>
    <n v="0"/>
    <n v="10"/>
    <n v="0"/>
    <n v="0"/>
    <n v="0"/>
    <n v="37259.99999999999"/>
    <n v="0"/>
    <n v="0"/>
    <n v="0"/>
    <n v="10"/>
    <n v="37259.99999999999"/>
    <n v="0"/>
    <n v="0"/>
    <n v="10"/>
    <n v="0"/>
    <n v="0"/>
    <n v="0"/>
    <n v="37259.99999999999"/>
    <n v="0"/>
    <n v="0"/>
    <n v="10"/>
    <n v="37259.99999999999"/>
    <n v="0"/>
    <n v="0"/>
    <n v="10"/>
    <n v="0"/>
    <n v="0"/>
    <m/>
    <n v="37259.99999999999"/>
    <n v="0"/>
    <n v="0"/>
    <n v="10"/>
    <n v="37259.99999999999"/>
    <n v="0"/>
  </r>
  <r>
    <s v="Simplit-Menaje de Cocina"/>
    <x v="2"/>
    <x v="17"/>
    <x v="47"/>
    <n v="1629726091782"/>
    <x v="462"/>
    <x v="309"/>
    <x v="0"/>
    <x v="3"/>
    <n v="1.3"/>
    <x v="266"/>
    <n v="68"/>
    <m/>
    <n v="0"/>
    <n v="4897.515651087762"/>
    <n v="333031.0642739678"/>
    <n v="5.1"/>
    <n v="5571.75"/>
    <n v="14277.31092436975"/>
    <n v="12596.63865546219"/>
    <s v="Shenzhen"/>
    <s v="20/80"/>
    <n v="30"/>
    <n v="200"/>
    <n v="78"/>
    <n v="0.6619615197353796"/>
    <n v="66"/>
    <n v="0.6047878466642566"/>
    <n v="131"/>
    <n v="0.6711282221884288"/>
    <n v="66"/>
    <n v="0.674462209473498"/>
    <n v="169"/>
    <n v="0.557295870547147"/>
    <n v="147"/>
    <n v="0.6306481319533144"/>
    <n v="70"/>
    <n v="0.7123662435355148"/>
    <n v="65"/>
    <n v="0.6947354546310631"/>
    <n v="48"/>
    <n v="0.684291184670878"/>
    <n v="232"/>
    <n v="0.5992994902700254"/>
    <n v="95"/>
    <n v="0.6488179008205422"/>
    <n v="80"/>
    <n v="0.6597340090791824"/>
    <n v="44"/>
    <n v="0.5042396249644973"/>
    <n v="93"/>
    <n v="0.5496044574044553"/>
    <n v="138"/>
    <n v="0.5604282290382525"/>
    <n v="128"/>
    <n v="0.5972303757330933"/>
    <n v="1.28"/>
    <n v="232"/>
    <n v="0.5718711732042752"/>
    <n v="1.657142857142857"/>
    <n v="265"/>
    <n v="0.4221465375539792"/>
    <n v="1.766666666666667"/>
    <n v="27"/>
    <n v="0.5254831174242919"/>
    <n v="0.3"/>
    <n v="90"/>
    <n v="181"/>
    <n v="50"/>
    <n v="250"/>
    <n v="250"/>
    <n v="0"/>
    <n v="1603936.375731242"/>
    <n v="955408.5"/>
    <n v="244875.7825543881"/>
    <n v="0"/>
    <n v="68"/>
    <n v="333031.0642739678"/>
    <n v="599887.0136289811"/>
    <n v="80"/>
    <n v="347"/>
    <n v="139.5"/>
    <n v="100"/>
    <n v="100"/>
    <n v="0"/>
    <n v="1985942.596516088"/>
    <n v="1831639.5"/>
    <n v="683203.4333267428"/>
    <n v="0"/>
    <n v="68"/>
    <n v="333031.0642739678"/>
    <n v="1673684.768024857"/>
    <n v="140"/>
    <n v="206"/>
    <n v="138"/>
    <n v="0"/>
    <n v="0"/>
    <n v="2263426.163189345"/>
    <n v="1008888.224124079"/>
    <n v="675857.1598501112"/>
    <n v="0"/>
    <n v="68"/>
    <n v="333031.0642739678"/>
    <n v="1970268.907563025"/>
    <n v="100"/>
    <n v="496"/>
    <n v="128"/>
    <n v="250"/>
    <n v="0"/>
    <n v="2618136"/>
    <n v="626882.0033392336"/>
    <n v="1319625"/>
    <n v="0"/>
    <n v="68"/>
    <n v="333031.0642739678"/>
    <n v="1827495.798319328"/>
    <n v="140"/>
    <n v="300"/>
    <n v="182"/>
    <n v="150"/>
    <n v="150"/>
    <n v="0"/>
    <n v="1469254.695326329"/>
    <n v="960687"/>
    <n v="791775"/>
    <n v="0"/>
    <n v="68"/>
    <n v="333031.0642739678"/>
    <n v="2598470.588235294"/>
    <n v="150"/>
    <n v="333"/>
    <n v="265"/>
    <m/>
    <n v="150"/>
    <n v="0"/>
    <n v="1630872.711812225"/>
    <n v="1398802.5"/>
    <n v="0"/>
    <n v="0"/>
    <n v="333"/>
    <n v="333031.0642739678"/>
    <n v="3783487.394957983"/>
    <n v="90"/>
    <n v="95"/>
    <n v="117"/>
    <n v="150"/>
    <n v="150"/>
    <n v="0"/>
    <n v="465263.9868533374"/>
    <n v="617584.5"/>
    <n v="765382.4999999999"/>
    <n v="0"/>
    <n v="95"/>
    <n v="333031.0642739678"/>
    <n v="1670445.378151261"/>
    <n v="80"/>
    <n v="0"/>
    <n v="104"/>
    <n v="0"/>
    <n v="0"/>
    <n v="0"/>
    <n v="0"/>
    <n v="548964"/>
    <n v="0"/>
    <n v="0"/>
    <n v="0"/>
    <n v="0"/>
    <n v="1484840.336134454"/>
    <n v="75"/>
    <n v="0"/>
    <n v="97.5"/>
    <n v="300"/>
    <n v="300"/>
    <n v="300"/>
    <n v="0"/>
    <n v="514653.75"/>
    <n v="1583550"/>
    <n v="1583550"/>
    <n v="300"/>
    <n v="1583550"/>
    <n v="1392037.81512605"/>
    <n v="250"/>
    <n v="202.5"/>
    <n v="202.5"/>
    <n v="300"/>
    <n v="300"/>
    <n v="300"/>
    <n v="0"/>
    <n v="1068896.25"/>
    <n v="1068896.25"/>
    <n v="1583550"/>
    <n v="1583550"/>
    <n v="502.5"/>
    <n v="2652446.25"/>
    <n v="2550819.327731092"/>
    <n v="150"/>
    <n v="300"/>
    <n v="195"/>
    <n v="300"/>
    <n v="300"/>
    <n v="1583550"/>
    <n v="1029307.5"/>
    <n v="1583550"/>
    <n v="1583550"/>
    <n v="600"/>
    <n v="3167100"/>
    <n v="2579161.764705882"/>
    <n v="200"/>
    <n v="405"/>
    <n v="260"/>
    <n v="0"/>
    <n v="0"/>
    <n v="2137792.5"/>
    <n v="1372410"/>
    <n v="0"/>
    <n v="405"/>
    <n v="2137792.5"/>
    <n v="3712100.840336135"/>
    <n v="90"/>
    <n v="145"/>
    <n v="117"/>
    <n v="0"/>
    <m/>
    <n v="765382.5"/>
    <n v="573009.3311772682"/>
    <n v="0"/>
    <n v="145"/>
    <n v="765382.5"/>
    <n v="1670445.378151261"/>
  </r>
  <r>
    <s v="Simplit-Menaje de Cocina"/>
    <x v="2"/>
    <x v="17"/>
    <x v="47"/>
    <n v="1629726117626"/>
    <x v="463"/>
    <x v="310"/>
    <x v="0"/>
    <x v="3"/>
    <n v="1"/>
    <x v="267"/>
    <n v="427"/>
    <m/>
    <n v="0"/>
    <n v="4808.767518387524"/>
    <n v="2053343.730351473"/>
    <n v="5.1"/>
    <n v="5571.75"/>
    <n v="14277.31092436975"/>
    <n v="12596.63865546219"/>
    <s v="Shenzhen"/>
    <s v="20/80"/>
    <n v="30"/>
    <n v="200"/>
    <n v="251"/>
    <n v="0.6251714415556454"/>
    <n v="158"/>
    <n v="0.626338962767363"/>
    <n v="344"/>
    <n v="0.6825951702405216"/>
    <n v="231"/>
    <n v="0.6874678298617588"/>
    <n v="179"/>
    <n v="0.6554292693889003"/>
    <n v="343"/>
    <n v="0.6249166700939185"/>
    <n v="224"/>
    <n v="0.6987456487675209"/>
    <n v="257"/>
    <n v="0.6777814926531623"/>
    <n v="223"/>
    <n v="0.6888475986544643"/>
    <n v="372"/>
    <n v="0.5974263043526077"/>
    <n v="226"/>
    <n v="0.6524296513414997"/>
    <n v="80"/>
    <n v="0.7068825205219044"/>
    <n v="140"/>
    <n v="0.5613963912339603"/>
    <n v="115"/>
    <n v="0.5157106086010902"/>
    <n v="413"/>
    <n v="0.5764336504120064"/>
    <n v="398"/>
    <n v="0.5502683712803978"/>
    <n v="1.075675675675676"/>
    <n v="519"/>
    <n v="0.6060979164462601"/>
    <n v="2.595"/>
    <n v="916"/>
    <n v="0.4614849237810734"/>
    <n v="1.665454545454546"/>
    <n v="96"/>
    <n v="0.5379187415599478"/>
    <n v="0.2742857142857143"/>
    <n v="350"/>
    <n v="199"/>
    <n v="199"/>
    <n v="850"/>
    <n v="850"/>
    <n v="0"/>
    <n v="3772478.118175013"/>
    <n v="1050421.5"/>
    <n v="956944.7361591173"/>
    <n v="0"/>
    <n v="427"/>
    <n v="2053343.730351473"/>
    <n v="2387550.314243345"/>
    <n v="250"/>
    <n v="501"/>
    <n v="172.5"/>
    <n v="400"/>
    <n v="400"/>
    <n v="0"/>
    <n v="4729422.85433413"/>
    <n v="2644528.5"/>
    <n v="829512.3969218479"/>
    <n v="0"/>
    <n v="427"/>
    <n v="2053343.730351473"/>
    <n v="2069610.197019985"/>
    <n v="450"/>
    <n v="840"/>
    <n v="413"/>
    <n v="0"/>
    <n v="0"/>
    <n v="4955610.457412282"/>
    <n v="4039364.71544552"/>
    <n v="1986020.985094048"/>
    <n v="0"/>
    <n v="427"/>
    <n v="2053343.730351473"/>
    <n v="5896529.411764706"/>
    <n v="370"/>
    <n v="1393"/>
    <n v="398"/>
    <n v="700"/>
    <n v="0"/>
    <n v="7352950.5"/>
    <n v="1913889.472318235"/>
    <n v="3694950"/>
    <n v="0"/>
    <n v="427"/>
    <n v="2053343.730351473"/>
    <n v="5682369.74789916"/>
    <n v="200"/>
    <n v="946"/>
    <n v="200"/>
    <n v="600"/>
    <n v="600"/>
    <n v="0"/>
    <n v="4549094.072394598"/>
    <n v="1055700"/>
    <n v="3167100"/>
    <n v="0"/>
    <n v="427"/>
    <n v="2053343.730351473"/>
    <n v="2855462.18487395"/>
    <n v="550"/>
    <n v="1343"/>
    <n v="916"/>
    <m/>
    <n v="600"/>
    <n v="0"/>
    <n v="6458174.777194445"/>
    <n v="4835106"/>
    <n v="0"/>
    <n v="0"/>
    <n v="1343"/>
    <n v="2053343.730351473"/>
    <n v="13078016.80672269"/>
    <n v="350"/>
    <n v="523"/>
    <n v="350"/>
    <n v="600"/>
    <n v="600"/>
    <n v="0"/>
    <n v="2514985.412116675"/>
    <n v="1847475"/>
    <n v="3061530"/>
    <n v="0"/>
    <n v="523"/>
    <n v="2053343.730351473"/>
    <n v="4997058.823529412"/>
    <n v="250"/>
    <n v="173"/>
    <n v="250"/>
    <n v="0"/>
    <n v="0"/>
    <n v="0"/>
    <n v="831916.7806810418"/>
    <n v="1319625"/>
    <n v="0"/>
    <n v="0"/>
    <n v="173"/>
    <n v="831916.7806810418"/>
    <n v="3569327.731092437"/>
    <n v="250"/>
    <n v="0"/>
    <n v="250"/>
    <n v="0"/>
    <n v="0"/>
    <m/>
    <n v="0"/>
    <n v="1319625"/>
    <n v="0"/>
    <n v="0"/>
    <n v="0"/>
    <n v="0"/>
    <n v="3569327.731092437"/>
    <n v="650"/>
    <n v="0"/>
    <n v="0"/>
    <n v="1200"/>
    <n v="1200"/>
    <n v="1200"/>
    <n v="0"/>
    <n v="0"/>
    <n v="0"/>
    <n v="6334200"/>
    <n v="6334200"/>
    <n v="1200"/>
    <n v="6334200"/>
    <n v="0"/>
    <n v="350"/>
    <n v="1200"/>
    <n v="350"/>
    <n v="500"/>
    <n v="500"/>
    <n v="6334200"/>
    <n v="1847475"/>
    <n v="2639250"/>
    <n v="2639250"/>
    <n v="1700"/>
    <n v="8973450"/>
    <n v="4629264.705882354"/>
    <n v="350"/>
    <n v="1350"/>
    <n v="350"/>
    <n v="0"/>
    <n v="0"/>
    <n v="7125975"/>
    <n v="1847475"/>
    <n v="0"/>
    <n v="1350"/>
    <n v="7125975"/>
    <n v="4997058.823529412"/>
    <n v="210"/>
    <n v="1000"/>
    <n v="210"/>
    <n v="0"/>
    <m/>
    <n v="5278500"/>
    <n v="1009841.17886138"/>
    <n v="0"/>
    <n v="1000"/>
    <n v="5278500"/>
    <n v="2998235.294117647"/>
  </r>
  <r>
    <s v="Simplit-Menaje de Cocina"/>
    <x v="2"/>
    <x v="17"/>
    <x v="47"/>
    <n v="1639488921197"/>
    <x v="464"/>
    <x v="311"/>
    <x v="0"/>
    <x v="0"/>
    <n v="1"/>
    <x v="268"/>
    <n v="375"/>
    <m/>
    <n v="0"/>
    <n v="2527.12231069477"/>
    <n v="947670.8665105387"/>
    <n v="2.7"/>
    <n v="2949.749999999999"/>
    <n v="8394.957983193277"/>
    <n v="6714.285714285715"/>
    <s v="Shenzhen"/>
    <s v="30/70"/>
    <n v="30"/>
    <n v="100"/>
    <n v="75"/>
    <n v="0.7340198121561872"/>
    <n v="85"/>
    <n v="0.7131694782967956"/>
    <n v="147"/>
    <n v="0.7422592716795067"/>
    <n v="106"/>
    <n v="0.6746347820608746"/>
    <n v="147"/>
    <n v="0.7015367171876828"/>
    <n v="113"/>
    <n v="0.6699471002074302"/>
    <n v="115"/>
    <n v="0.524478900138436"/>
    <n v="98"/>
    <n v="0.4768043997240474"/>
    <n v="93"/>
    <n v="0.4504940675502437"/>
    <n v="157"/>
    <n v="0.4633408345641327"/>
    <n v="-7"/>
    <n v="0.4213293223242203"/>
    <n v="1"/>
    <n v="0.5763821025802084"/>
    <n v="1"/>
    <n v="0.3722418304417154"/>
    <n v="11"/>
    <n v="0.6050929281901717"/>
    <n v="82"/>
    <n v="0.4913664767847069"/>
    <n v="91"/>
    <n v="0.5508034968859959"/>
    <n v="0.8272727272727273"/>
    <n v="90"/>
    <n v="0.5675056894598124"/>
    <n v="0.6428571428571429"/>
    <n v="116"/>
    <n v="0.5176947557696394"/>
    <n v="0.8923076923076924"/>
    <n v="0"/>
    <n v="0.5337024655960708"/>
    <n v="0"/>
    <n v="90"/>
    <n v="37"/>
    <n v="37"/>
    <n v="300"/>
    <n v="300"/>
    <n v="0"/>
    <n v="342425.0730991414"/>
    <n v="103396.5"/>
    <n v="93503.52549570649"/>
    <n v="0"/>
    <n v="375"/>
    <n v="947670.8665105387"/>
    <n v="261019.7019984464"/>
    <n v="80"/>
    <n v="357"/>
    <n v="16.5"/>
    <n v="150"/>
    <n v="150"/>
    <n v="0"/>
    <n v="478889.6778766589"/>
    <n v="997636.4999999997"/>
    <n v="41697.51812646371"/>
    <n v="0"/>
    <n v="375"/>
    <n v="947670.8665105387"/>
    <n v="116400.6779182261"/>
    <n v="140"/>
    <n v="341"/>
    <n v="82"/>
    <n v="0"/>
    <n v="0"/>
    <n v="828422.1597501951"/>
    <n v="861748.7079469166"/>
    <n v="207224.0294769711"/>
    <n v="0"/>
    <n v="375"/>
    <n v="947670.8665105387"/>
    <n v="688386.5546218487"/>
    <n v="110"/>
    <n v="391"/>
    <n v="91"/>
    <n v="0"/>
    <n v="0"/>
    <n v="1092649.5"/>
    <n v="229968.1302732241"/>
    <n v="0"/>
    <n v="0"/>
    <n v="375"/>
    <n v="947670.8665105387"/>
    <n v="763941.1764705882"/>
    <n v="140"/>
    <n v="465"/>
    <n v="140"/>
    <m/>
    <n v="0"/>
    <n v="0"/>
    <n v="1175111.874473068"/>
    <n v="391229.9999999999"/>
    <n v="0"/>
    <n v="0"/>
    <n v="375"/>
    <n v="947670.8665105387"/>
    <n v="1175294.117647059"/>
    <n v="130"/>
    <n v="491"/>
    <n v="116"/>
    <m/>
    <n v="0"/>
    <n v="0"/>
    <n v="1240817.054551132"/>
    <n v="324161.9999999999"/>
    <n v="0"/>
    <n v="0"/>
    <n v="491"/>
    <n v="947670.8665105387"/>
    <n v="973815.1260504201"/>
    <n v="130"/>
    <n v="375"/>
    <n v="130"/>
    <n v="350"/>
    <n v="350"/>
    <n v="0"/>
    <n v="947670.8665105387"/>
    <n v="363284.9999999999"/>
    <n v="945472.4999999998"/>
    <n v="0"/>
    <n v="375"/>
    <n v="947670.8665105387"/>
    <n v="1091344.537815126"/>
    <n v="101"/>
    <n v="245"/>
    <n v="101"/>
    <n v="50"/>
    <n v="50"/>
    <n v="0"/>
    <n v="619144.9661202186"/>
    <n v="282244.4999999999"/>
    <n v="139724.9999999999"/>
    <n v="0"/>
    <n v="295"/>
    <n v="619144.9661202186"/>
    <n v="847890.756302521"/>
    <n v="100"/>
    <n v="144"/>
    <n v="100"/>
    <n v="0"/>
    <n v="0"/>
    <n v="50"/>
    <n v="402407.9999999999"/>
    <n v="279449.9999999999"/>
    <n v="0"/>
    <n v="139724.9999999999"/>
    <n v="194"/>
    <n v="542132.9999999998"/>
    <n v="839495.7983193276"/>
    <n v="120"/>
    <n v="94"/>
    <n v="94"/>
    <n v="0"/>
    <n v="0"/>
    <n v="0"/>
    <m/>
    <n v="262682.9999999999"/>
    <n v="262682.9999999999"/>
    <n v="0"/>
    <n v="0"/>
    <n v="94"/>
    <n v="262682.9999999999"/>
    <n v="631142.8571428572"/>
    <n v="85"/>
    <n v="0"/>
    <n v="85"/>
    <n v="200"/>
    <n v="200"/>
    <n v="0"/>
    <n v="237532.4999999999"/>
    <n v="558899.9999999998"/>
    <n v="558899.9999999998"/>
    <n v="200"/>
    <n v="558899.9999999998"/>
    <n v="599250.0000000001"/>
    <n v="120"/>
    <n v="115"/>
    <n v="120"/>
    <n v="0"/>
    <n v="0"/>
    <n v="321367.4999999999"/>
    <n v="335339.9999999999"/>
    <n v="0"/>
    <n v="115"/>
    <n v="321367.4999999999"/>
    <n v="1007394.957983193"/>
    <n v="51"/>
    <n v="0"/>
    <n v="51"/>
    <n v="0"/>
    <m/>
    <n v="0"/>
    <n v="128883.2378454333"/>
    <n v="0"/>
    <n v="0"/>
    <n v="0"/>
    <n v="428142.8571428571"/>
  </r>
  <r>
    <s v="Simplit-Menaje de Cocina"/>
    <x v="2"/>
    <x v="17"/>
    <x v="47"/>
    <n v="1660858025311"/>
    <x v="465"/>
    <x v="312"/>
    <x v="0"/>
    <x v="4"/>
    <n v="1"/>
    <x v="269"/>
    <n v="194"/>
    <m/>
    <n v="0"/>
    <n v="2201.625456665372"/>
    <n v="427115.3385930822"/>
    <n v="2.65"/>
    <n v="2895.125"/>
    <n v="8394.957983193277"/>
    <n v="6714.285714285715"/>
    <s v="Shenzhen"/>
    <s v="30/70"/>
    <n v="30"/>
    <n v="100"/>
    <n v="88"/>
    <n v="0.6707101270055117"/>
    <n v="64"/>
    <n v="0.6710091854630866"/>
    <n v="90"/>
    <n v="0.6780793807860669"/>
    <n v="67"/>
    <n v="0.6666062273903272"/>
    <n v="69"/>
    <n v="0.6644327385751631"/>
    <n v="38"/>
    <n v="0.736553359203281"/>
    <n v="101"/>
    <n v="0.7546780472051251"/>
    <n v="82"/>
    <n v="0.7715353237456165"/>
    <n v="64"/>
    <n v="0.7624158502196891"/>
    <n v="160"/>
    <n v="0.7488108541083222"/>
    <n v="92"/>
    <n v="0.7486852971415845"/>
    <n v="84"/>
    <n v="0.7346956288384247"/>
    <n v="77"/>
    <n v="0.6003973125037098"/>
    <n v="50"/>
    <n v="0.6570141611708182"/>
    <n v="93"/>
    <n v="0.6406766646182207"/>
    <n v="97"/>
    <n v="0.6215429625266395"/>
    <n v="1.385714285714286"/>
    <n v="73"/>
    <n v="0.6679848537121545"/>
    <n v="1.123076923076923"/>
    <n v="67"/>
    <n v="0.5666780419826292"/>
    <n v="0.6090909090909091"/>
    <n v="0"/>
    <n v="0.626589441697724"/>
    <n v="0"/>
    <n v="80.66666666666667"/>
    <n v="103"/>
    <n v="60"/>
    <n v="100"/>
    <n v="100"/>
    <n v="0"/>
    <n v="501970.6041197048"/>
    <n v="282503.25"/>
    <n v="132097.5273999223"/>
    <n v="0"/>
    <n v="194"/>
    <n v="427115.3385930822"/>
    <n v="423275.1924299131"/>
    <n v="70"/>
    <n v="334"/>
    <n v="75"/>
    <n v="0"/>
    <n v="100"/>
    <n v="0"/>
    <n v="583430.7460163236"/>
    <n v="916078.5"/>
    <n v="165121.9092499029"/>
    <n v="0"/>
    <n v="194"/>
    <n v="427115.3385930822"/>
    <n v="529093.9905373914"/>
    <n v="94"/>
    <n v="265"/>
    <n v="93"/>
    <n v="0"/>
    <n v="0"/>
    <n v="596587.5867664206"/>
    <n v="583430.7460163236"/>
    <n v="204751.1674698796"/>
    <n v="0"/>
    <n v="194"/>
    <n v="427115.3385930822"/>
    <n v="780731.0924369748"/>
    <n v="70"/>
    <n v="299"/>
    <n v="97"/>
    <n v="0"/>
    <n v="0"/>
    <n v="820082.25"/>
    <n v="213557.6692965411"/>
    <n v="0"/>
    <n v="0"/>
    <n v="194"/>
    <n v="427115.3385930822"/>
    <n v="814310.9243697479"/>
    <n v="65"/>
    <n v="267"/>
    <n v="65"/>
    <m/>
    <n v="0"/>
    <n v="0"/>
    <n v="587833.9969296543"/>
    <n v="178278.75"/>
    <n v="0"/>
    <n v="0"/>
    <n v="194"/>
    <n v="427115.3385930822"/>
    <n v="545672.2689075629"/>
    <n v="110"/>
    <n v="261"/>
    <n v="67"/>
    <m/>
    <n v="0"/>
    <n v="0"/>
    <n v="574624.244189662"/>
    <n v="183764.25"/>
    <n v="0"/>
    <n v="0"/>
    <n v="261"/>
    <n v="427115.3385930822"/>
    <n v="562462.1848739495"/>
    <n v="100"/>
    <n v="194"/>
    <n v="100"/>
    <n v="200"/>
    <n v="200"/>
    <n v="0"/>
    <n v="427115.3385930822"/>
    <n v="274275"/>
    <n v="530265"/>
    <n v="0"/>
    <n v="194"/>
    <n v="427115.3385930822"/>
    <n v="839495.7983193276"/>
    <n v="88"/>
    <n v="94"/>
    <n v="88"/>
    <n v="120"/>
    <n v="120"/>
    <n v="0"/>
    <n v="206952.792926545"/>
    <n v="241362"/>
    <n v="329130"/>
    <n v="0"/>
    <n v="214"/>
    <n v="206952.792926545"/>
    <n v="738756.3025210084"/>
    <n v="64"/>
    <n v="6"/>
    <n v="64"/>
    <n v="0"/>
    <n v="0"/>
    <n v="144"/>
    <n v="16456.5"/>
    <n v="175536"/>
    <n v="0"/>
    <n v="394956"/>
    <n v="150"/>
    <n v="411412.5"/>
    <n v="537277.3109243697"/>
    <n v="130"/>
    <n v="86"/>
    <n v="86"/>
    <n v="0"/>
    <n v="0"/>
    <n v="0"/>
    <m/>
    <n v="235876.5"/>
    <n v="235876.5"/>
    <n v="0"/>
    <n v="0"/>
    <n v="86"/>
    <n v="235876.5"/>
    <n v="577428.5714285715"/>
    <n v="100"/>
    <n v="0"/>
    <n v="100"/>
    <n v="150"/>
    <n v="150"/>
    <n v="0"/>
    <n v="274275"/>
    <n v="411412.5"/>
    <n v="411412.5"/>
    <n v="150"/>
    <n v="411412.5"/>
    <n v="705000.0000000001"/>
    <n v="100"/>
    <n v="50"/>
    <n v="100"/>
    <n v="0"/>
    <n v="0"/>
    <n v="137137.5"/>
    <n v="274275"/>
    <n v="0"/>
    <n v="50"/>
    <n v="137137.5"/>
    <n v="839495.7983193276"/>
    <n v="60"/>
    <n v="0"/>
    <n v="60"/>
    <n v="0"/>
    <m/>
    <n v="0"/>
    <n v="132097.5273999223"/>
    <n v="0"/>
    <n v="0"/>
    <n v="0"/>
    <n v="503697.4789915966"/>
  </r>
  <r>
    <m/>
    <x v="2"/>
    <x v="17"/>
    <x v="47"/>
    <s v="SIMTABCUT-WD"/>
    <x v="466"/>
    <x v="313"/>
    <x v="0"/>
    <x v="4"/>
    <n v="1"/>
    <x v="270"/>
    <n v="185"/>
    <m/>
    <n v="0"/>
    <n v="7263"/>
    <n v="1343655"/>
    <n v="1.07"/>
    <n v="1168.975"/>
    <n v="19319.32773109244"/>
    <n v="16798.31932773109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6338752362948961"/>
    <n v="12"/>
    <n v="0.5357779539596086"/>
    <n v="32"/>
    <s v=""/>
    <n v="41"/>
    <s v=""/>
    <n v="49"/>
    <s v=""/>
    <n v="58"/>
    <s v=""/>
    <n v="1.933333333333333"/>
    <n v="54"/>
    <s v=""/>
    <n v="2.16"/>
    <n v="16"/>
    <s v=""/>
    <n v="0.4"/>
    <n v="34"/>
    <s v=""/>
    <n v="1.36"/>
    <n v="30"/>
    <n v="266"/>
    <n v="25"/>
    <n v="0"/>
    <n v="0"/>
    <n v="0"/>
    <n v="984136.5"/>
    <n v="294581.7"/>
    <n v="181575"/>
    <n v="0"/>
    <n v="185"/>
    <n v="1343655"/>
    <n v="405868.2296447991"/>
    <n v="30"/>
    <n v="234"/>
    <n v="61.5"/>
    <n v="0"/>
    <n v="0"/>
    <n v="0"/>
    <n v="1223815.5"/>
    <n v="259143.3"/>
    <n v="446674.5"/>
    <n v="0"/>
    <n v="185"/>
    <n v="1343655"/>
    <n v="998435.8449262059"/>
    <n v="48"/>
    <n v="178"/>
    <n v="49"/>
    <n v="0"/>
    <n v="0"/>
    <n v="804827.25"/>
    <n v="1292814"/>
    <n v="355887"/>
    <n v="0"/>
    <n v="185"/>
    <n v="1343655"/>
    <n v="946647.0588235295"/>
    <n v="30"/>
    <n v="134"/>
    <n v="58"/>
    <n v="0"/>
    <n v="0"/>
    <n v="148398.3"/>
    <n v="421254"/>
    <n v="0"/>
    <n v="0"/>
    <n v="185"/>
    <n v="1343655"/>
    <n v="1120521.008403362"/>
    <n v="25"/>
    <n v="239"/>
    <n v="25"/>
    <m/>
    <n v="0"/>
    <n v="0"/>
    <n v="1735857"/>
    <n v="27686.25"/>
    <n v="0"/>
    <n v="0"/>
    <n v="185"/>
    <n v="1343655"/>
    <n v="482983.193277311"/>
    <n v="40"/>
    <n v="201"/>
    <n v="16"/>
    <m/>
    <n v="0"/>
    <n v="0"/>
    <n v="1459863"/>
    <n v="17719.2"/>
    <n v="0"/>
    <n v="0"/>
    <n v="201"/>
    <n v="1343655"/>
    <n v="309109.243697479"/>
    <n v="25"/>
    <n v="219"/>
    <n v="25"/>
    <n v="204"/>
    <n v="204"/>
    <n v="0"/>
    <n v="1590597"/>
    <n v="27686.25"/>
    <n v="218389.14"/>
    <n v="0"/>
    <n v="219"/>
    <n v="1343655"/>
    <n v="482983.193277311"/>
    <n v="30"/>
    <n v="194"/>
    <n v="30"/>
    <n v="0"/>
    <n v="0"/>
    <n v="0"/>
    <n v="1409022"/>
    <n v="33223.49999999999"/>
    <n v="0"/>
    <n v="0"/>
    <n v="194"/>
    <n v="1409022"/>
    <n v="579579.8319327731"/>
    <n v="80"/>
    <n v="164"/>
    <n v="80"/>
    <n v="0"/>
    <n v="0"/>
    <m/>
    <n v="181621.8"/>
    <n v="88595.99999999999"/>
    <n v="0"/>
    <n v="0"/>
    <n v="164"/>
    <n v="181621.8"/>
    <n v="1545546.218487395"/>
    <n v="60"/>
    <n v="84"/>
    <n v="60"/>
    <n v="0"/>
    <n v="0"/>
    <n v="0"/>
    <m/>
    <n v="93025.79999999999"/>
    <n v="66446.99999999999"/>
    <n v="0"/>
    <n v="0"/>
    <n v="84"/>
    <n v="93025.79999999999"/>
    <n v="1007899.159663866"/>
    <n v="40"/>
    <n v="24"/>
    <n v="40"/>
    <n v="150"/>
    <n v="150"/>
    <n v="26578.8"/>
    <n v="44297.99999999999"/>
    <n v="166117.5"/>
    <n v="166117.5"/>
    <n v="174"/>
    <n v="192696.3"/>
    <n v="705529.4117647059"/>
    <n v="50"/>
    <n v="134"/>
    <n v="50"/>
    <n v="0"/>
    <n v="0"/>
    <n v="148398.3"/>
    <n v="55372.49999999999"/>
    <n v="0"/>
    <n v="134"/>
    <n v="148398.3"/>
    <n v="965966.386554622"/>
    <n v="24"/>
    <n v="84"/>
    <n v="24"/>
    <n v="0"/>
    <m/>
    <n v="93025.79999999999"/>
    <n v="174312"/>
    <n v="0"/>
    <n v="84"/>
    <n v="93025.79999999999"/>
    <n v="463663.8655462185"/>
  </r>
  <r>
    <s v="Simplit-Menaje de Cocina"/>
    <x v="2"/>
    <x v="17"/>
    <x v="48"/>
    <s v="SIMCUROM-30"/>
    <x v="467"/>
    <x v="314"/>
    <x v="0"/>
    <x v="3"/>
    <n v="1"/>
    <x v="271"/>
    <n v="459"/>
    <n v="600"/>
    <n v="4742400"/>
    <n v="9218"/>
    <n v="4231062"/>
    <n v="8.32"/>
    <n v="9089.599999999999"/>
    <n v="21000"/>
    <n v="18478.99159663866"/>
    <s v="Shenzhen"/>
    <s v="30/70"/>
    <n v="60"/>
    <n v="500"/>
    <n v="171"/>
    <n v="0.5829007385159033"/>
    <n v="125"/>
    <n v="0.6316559688244411"/>
    <n v="108"/>
    <n v="0.6294845353749642"/>
    <n v="74"/>
    <n v="0.6481075293463521"/>
    <n v="0"/>
    <s v=""/>
    <n v="1"/>
    <s v=""/>
    <n v="0"/>
    <n v="0.6432640266645504"/>
    <n v="3"/>
    <n v="0.6229622990308666"/>
    <n v="78"/>
    <n v="0.6278825644559717"/>
    <n v="426"/>
    <n v="0.5126179880084183"/>
    <n v="363"/>
    <n v="0.5232164783116786"/>
    <n v="133"/>
    <n v="0.4831833147488033"/>
    <n v="30"/>
    <s v=""/>
    <n v="1"/>
    <s v=""/>
    <n v="93"/>
    <s v=""/>
    <n v="227"/>
    <s v=""/>
    <n v="1.261111111111111"/>
    <n v="237"/>
    <s v=""/>
    <n v="1.58"/>
    <n v="328"/>
    <s v=""/>
    <n v="0.82"/>
    <n v="106"/>
    <s v=""/>
    <n v="0.4608695652173913"/>
    <n v="0"/>
    <n v="28"/>
    <n v="28"/>
    <n v="500"/>
    <n v="0"/>
    <n v="0"/>
    <n v="1129205"/>
    <n v="241113.6"/>
    <n v="258104"/>
    <n v="0"/>
    <n v="459"/>
    <n v="4231062"/>
    <n v="494117.6470588236"/>
    <n v="0"/>
    <n v="2"/>
    <n v="1.5"/>
    <n v="500"/>
    <n v="500"/>
    <n v="0"/>
    <n v="2963587"/>
    <n v="17222.4"/>
    <n v="13827"/>
    <n v="0"/>
    <n v="459"/>
    <n v="4231062"/>
    <n v="26470.58823529412"/>
    <n v="300"/>
    <n v="552"/>
    <n v="93"/>
    <n v="0"/>
    <n v="0"/>
    <n v="4241440"/>
    <n v="5088336"/>
    <n v="857274"/>
    <n v="0"/>
    <n v="459"/>
    <n v="4231062"/>
    <n v="1953000"/>
    <n v="180"/>
    <n v="893"/>
    <n v="227"/>
    <n v="500"/>
    <n v="0"/>
    <n v="7689801.599999999"/>
    <n v="2092486"/>
    <n v="4305599.999999999"/>
    <n v="0"/>
    <n v="459"/>
    <n v="4231062"/>
    <n v="4767000"/>
    <n v="150"/>
    <n v="696"/>
    <n v="150"/>
    <n v="600"/>
    <n v="500"/>
    <n v="0"/>
    <n v="6415728"/>
    <n v="1291680"/>
    <n v="5166719.999999999"/>
    <n v="0"/>
    <n v="459"/>
    <n v="4231062"/>
    <n v="3150000"/>
    <n v="400"/>
    <n v="787"/>
    <n v="328"/>
    <m/>
    <n v="600"/>
    <n v="0"/>
    <n v="7254566"/>
    <n v="2824473.6"/>
    <n v="0"/>
    <n v="0"/>
    <n v="787"/>
    <n v="4231062"/>
    <n v="6888000"/>
    <n v="230"/>
    <n v="565"/>
    <n v="230"/>
    <n v="0"/>
    <n v="500"/>
    <n v="0"/>
    <n v="5208170"/>
    <n v="1980576"/>
    <n v="0"/>
    <n v="0"/>
    <n v="565"/>
    <n v="4231062"/>
    <n v="4830000"/>
    <n v="200"/>
    <n v="335"/>
    <n v="200"/>
    <n v="0"/>
    <n v="0"/>
    <n v="0"/>
    <n v="3088030"/>
    <n v="1722240"/>
    <n v="0"/>
    <n v="0"/>
    <n v="335"/>
    <n v="3088030"/>
    <n v="4200000"/>
    <n v="152"/>
    <n v="135"/>
    <n v="152"/>
    <n v="0"/>
    <n v="0"/>
    <m/>
    <n v="1162512"/>
    <n v="1308902.4"/>
    <n v="0"/>
    <n v="0"/>
    <n v="135"/>
    <n v="1162512"/>
    <n v="3192000"/>
    <n v="350"/>
    <n v="0"/>
    <n v="350"/>
    <n v="0"/>
    <n v="600"/>
    <n v="600"/>
    <n v="0"/>
    <n v="0"/>
    <n v="3013920"/>
    <n v="0"/>
    <n v="5166719.999999999"/>
    <n v="600"/>
    <n v="5166719.999999999"/>
    <n v="6467647.058823531"/>
    <n v="300"/>
    <n v="250"/>
    <n v="300"/>
    <n v="1000"/>
    <n v="500"/>
    <n v="2152800"/>
    <n v="2583360"/>
    <n v="8611199.999999998"/>
    <n v="4305599.999999999"/>
    <n v="750"/>
    <n v="6458399.999999998"/>
    <n v="5820882.352941177"/>
    <n v="350"/>
    <n v="450"/>
    <n v="350"/>
    <n v="0"/>
    <n v="500"/>
    <n v="3875040"/>
    <n v="3013920"/>
    <n v="4305599.999999999"/>
    <n v="950"/>
    <n v="8180639.999999998"/>
    <n v="7350000"/>
    <n v="180"/>
    <n v="600"/>
    <n v="180"/>
    <n v="0"/>
    <m/>
    <n v="5166719.999999999"/>
    <n v="1659240"/>
    <n v="0"/>
    <n v="600"/>
    <n v="5166719.999999999"/>
    <n v="3780000"/>
  </r>
  <r>
    <s v="Simplit-Menaje de Cocina"/>
    <x v="2"/>
    <x v="17"/>
    <x v="48"/>
    <s v="SIMCUPGL-30"/>
    <x v="468"/>
    <x v="315"/>
    <x v="0"/>
    <x v="3"/>
    <n v="1"/>
    <x v="272"/>
    <n v="544"/>
    <m/>
    <n v="0"/>
    <n v="7052"/>
    <n v="3836288"/>
    <n v="7.39"/>
    <n v="8073.575"/>
    <n v="21000"/>
    <n v="14277.31092436975"/>
    <s v="Shenzhen"/>
    <s v="30/70"/>
    <n v="60"/>
    <n v="500"/>
    <n v="70"/>
    <n v="0.6284336318230674"/>
    <n v="27"/>
    <n v="0.6458683298050791"/>
    <n v="70"/>
    <n v="0.613494312585335"/>
    <n v="152"/>
    <n v="0.5395451883322887"/>
    <n v="121"/>
    <n v="0.6283637257720893"/>
    <n v="59"/>
    <n v="0.4759513002096881"/>
    <n v="1"/>
    <n v="0.6617061630776372"/>
    <n v="2"/>
    <n v="0.6004200501253133"/>
    <n v="39"/>
    <n v="0.6162261370840322"/>
    <n v="218"/>
    <n v="0.4967984619641476"/>
    <n v="140"/>
    <n v="0.5216344508017386"/>
    <n v="59"/>
    <n v="0.527067702506263"/>
    <n v="33"/>
    <s v=""/>
    <n v="94"/>
    <s v=""/>
    <n v="192"/>
    <s v=""/>
    <n v="86"/>
    <s v=""/>
    <n v="0.7478260869565218"/>
    <n v="62"/>
    <s v=""/>
    <n v="0.4769230769230769"/>
    <n v="332"/>
    <s v=""/>
    <n v="1.106666666666667"/>
    <n v="148"/>
    <s v=""/>
    <n v="0.8222222222222222"/>
    <n v="120"/>
    <n v="4"/>
    <n v="20"/>
    <n v="0"/>
    <n v="500"/>
    <n v="0"/>
    <n v="2489356"/>
    <n v="30594.6"/>
    <n v="141040"/>
    <n v="0"/>
    <n v="544"/>
    <n v="3836288"/>
    <n v="352941.1764705883"/>
    <n v="120"/>
    <n v="500"/>
    <n v="141"/>
    <n v="0"/>
    <n v="0"/>
    <n v="0"/>
    <n v="2954788"/>
    <n v="3824325"/>
    <n v="994332"/>
    <n v="0"/>
    <n v="544"/>
    <n v="3836288"/>
    <n v="2488235.294117647"/>
    <n v="200"/>
    <n v="386"/>
    <n v="192"/>
    <n v="0"/>
    <n v="0"/>
    <n v="2954780.5"/>
    <n v="2722072"/>
    <n v="1353984"/>
    <n v="0"/>
    <n v="544"/>
    <n v="3836288"/>
    <n v="4032000"/>
    <n v="115"/>
    <n v="1155"/>
    <n v="86"/>
    <n v="500"/>
    <n v="0"/>
    <n v="8834190.75"/>
    <n v="606472"/>
    <n v="3824325"/>
    <n v="0"/>
    <n v="544"/>
    <n v="3836288"/>
    <n v="1806000"/>
    <n v="130"/>
    <n v="606"/>
    <n v="130"/>
    <n v="500"/>
    <n v="500"/>
    <n v="0"/>
    <n v="4273512"/>
    <n v="994324.5"/>
    <n v="3824325"/>
    <n v="0"/>
    <n v="544"/>
    <n v="3836288"/>
    <n v="2730000"/>
    <n v="300"/>
    <n v="876"/>
    <n v="332"/>
    <m/>
    <n v="0"/>
    <n v="0"/>
    <n v="6177552"/>
    <n v="2539351.8"/>
    <n v="0"/>
    <n v="0"/>
    <n v="876"/>
    <n v="3836288"/>
    <n v="6972000"/>
    <n v="180"/>
    <n v="692"/>
    <n v="180"/>
    <n v="0"/>
    <n v="0"/>
    <n v="0"/>
    <n v="4879984"/>
    <n v="1376757"/>
    <n v="0"/>
    <n v="0"/>
    <n v="692"/>
    <n v="3836288"/>
    <n v="3780000"/>
    <n v="152"/>
    <n v="512"/>
    <n v="152"/>
    <n v="0"/>
    <n v="0"/>
    <n v="0"/>
    <n v="3610624"/>
    <n v="1162594.8"/>
    <n v="0"/>
    <n v="0"/>
    <n v="512"/>
    <n v="3610624"/>
    <n v="3192000"/>
    <n v="100"/>
    <n v="360"/>
    <n v="100"/>
    <n v="500"/>
    <n v="250"/>
    <n v="500"/>
    <n v="2753514"/>
    <n v="764865"/>
    <n v="3824325"/>
    <n v="3824325"/>
    <n v="860"/>
    <n v="6577839"/>
    <n v="2100000"/>
    <n v="250"/>
    <n v="760"/>
    <n v="250"/>
    <n v="0"/>
    <n v="0"/>
    <n v="0"/>
    <m/>
    <n v="5812974"/>
    <n v="1912162.5"/>
    <n v="0"/>
    <n v="0"/>
    <n v="760"/>
    <n v="5812974"/>
    <n v="3569327.731092437"/>
    <n v="140"/>
    <n v="510"/>
    <n v="140"/>
    <n v="0"/>
    <n v="0"/>
    <n v="3900811.5"/>
    <n v="1070811"/>
    <n v="0"/>
    <n v="0"/>
    <n v="510"/>
    <n v="3900811.5"/>
    <n v="2098764.705882353"/>
    <n v="180"/>
    <n v="370"/>
    <n v="180"/>
    <n v="500"/>
    <n v="500"/>
    <n v="2830000.5"/>
    <n v="1376757"/>
    <n v="3824325"/>
    <n v="870"/>
    <n v="6654325.5"/>
    <n v="3780000"/>
    <n v="84"/>
    <n v="690"/>
    <n v="84"/>
    <n v="0"/>
    <m/>
    <n v="5277568.5"/>
    <n v="592368"/>
    <n v="0"/>
    <n v="690"/>
    <n v="5277568.5"/>
    <n v="1764000"/>
  </r>
  <r>
    <s v="Simplit-Menaje de Cocina"/>
    <x v="2"/>
    <x v="17"/>
    <x v="48"/>
    <s v="SIMCUVER-CR"/>
    <x v="469"/>
    <x v="316"/>
    <x v="0"/>
    <x v="3"/>
    <n v="1"/>
    <x v="273"/>
    <n v="544"/>
    <m/>
    <n v="0"/>
    <n v="10700"/>
    <n v="5820800"/>
    <n v="9.800000000000001"/>
    <n v="10706.5"/>
    <n v="25201.68067226891"/>
    <n v="19319.32773109244"/>
    <s v="Shenzhen"/>
    <s v="30/70"/>
    <n v="60"/>
    <n v="500"/>
    <n v="17"/>
    <n v="0.4777311609160312"/>
    <n v="52"/>
    <n v="0.5588634650855973"/>
    <n v="76"/>
    <n v="0.5620454036035868"/>
    <n v="71"/>
    <n v="0.5970486654555974"/>
    <n v="72"/>
    <n v="0.5984962196399056"/>
    <n v="212"/>
    <n v="0.5141689309684244"/>
    <n v="81"/>
    <n v="0.5699275070782804"/>
    <n v="100"/>
    <n v="0.5749743170967289"/>
    <n v="14"/>
    <n v="0.6295067670566713"/>
    <n v="196"/>
    <n v="0.5074216078177567"/>
    <n v="160"/>
    <n v="0.6092220942716485"/>
    <n v="352"/>
    <n v="0.5162983781616968"/>
    <n v="45"/>
    <s v=""/>
    <n v="50"/>
    <s v=""/>
    <n v="194"/>
    <s v=""/>
    <n v="143"/>
    <s v=""/>
    <n v="0.89375"/>
    <n v="102"/>
    <s v=""/>
    <n v="1.275"/>
    <n v="312"/>
    <s v=""/>
    <n v="1.248"/>
    <n v="155"/>
    <s v=""/>
    <n v="1.033333333333333"/>
    <n v="0"/>
    <n v="50"/>
    <n v="50"/>
    <n v="500"/>
    <n v="0"/>
    <n v="0"/>
    <n v="3413300"/>
    <n v="507150"/>
    <n v="535000"/>
    <n v="0"/>
    <n v="544"/>
    <n v="5820800"/>
    <n v="1058894.145893652"/>
    <n v="5"/>
    <n v="40"/>
    <n v="75"/>
    <n v="0"/>
    <n v="500"/>
    <n v="0"/>
    <n v="4408400"/>
    <n v="405720"/>
    <n v="802500"/>
    <n v="0"/>
    <n v="544"/>
    <n v="5820800"/>
    <n v="1588341.218840478"/>
    <n v="220"/>
    <n v="472"/>
    <n v="194"/>
    <n v="0"/>
    <n v="0"/>
    <n v="4417340"/>
    <n v="5050400"/>
    <n v="2075800"/>
    <n v="0"/>
    <n v="544"/>
    <n v="5820800"/>
    <n v="4889126.050420168"/>
    <n v="160"/>
    <n v="243"/>
    <n v="143"/>
    <n v="500"/>
    <n v="0"/>
    <n v="2464749"/>
    <n v="1530100"/>
    <n v="5071500"/>
    <n v="0"/>
    <n v="544"/>
    <n v="5820800"/>
    <n v="3603840.336134454"/>
    <n v="80"/>
    <n v="646"/>
    <n v="80"/>
    <n v="500"/>
    <n v="0"/>
    <n v="0"/>
    <n v="6912200"/>
    <n v="811440"/>
    <n v="5071500"/>
    <n v="0"/>
    <n v="544"/>
    <n v="5820800"/>
    <n v="2016134.453781513"/>
    <n v="250"/>
    <n v="856"/>
    <n v="312"/>
    <m/>
    <n v="500"/>
    <n v="0"/>
    <n v="9159200"/>
    <n v="3164616"/>
    <n v="0"/>
    <n v="0"/>
    <n v="856"/>
    <n v="5820800"/>
    <n v="7862924.369747899"/>
    <n v="150"/>
    <n v="699"/>
    <n v="150"/>
    <n v="0"/>
    <n v="500"/>
    <n v="0"/>
    <n v="7479300"/>
    <n v="1521450"/>
    <n v="0"/>
    <n v="0"/>
    <n v="699"/>
    <n v="5820800"/>
    <n v="3780252.100840336"/>
    <n v="120"/>
    <n v="549"/>
    <n v="120"/>
    <n v="0"/>
    <n v="0"/>
    <n v="0"/>
    <n v="5874300"/>
    <n v="1217160"/>
    <n v="0"/>
    <n v="0"/>
    <n v="549"/>
    <n v="5874300"/>
    <n v="3024201.680672269"/>
    <n v="100"/>
    <n v="429"/>
    <n v="100"/>
    <n v="0"/>
    <n v="0"/>
    <m/>
    <n v="4351347"/>
    <n v="1014300"/>
    <n v="0"/>
    <n v="0"/>
    <n v="429"/>
    <n v="4351347"/>
    <n v="2520168.06722689"/>
    <n v="300"/>
    <n v="329"/>
    <n v="300"/>
    <n v="0"/>
    <n v="0"/>
    <n v="0"/>
    <m/>
    <n v="3337047"/>
    <n v="3042900"/>
    <n v="0"/>
    <n v="0"/>
    <n v="329"/>
    <n v="3337047"/>
    <n v="5795798.319327732"/>
    <n v="120"/>
    <n v="29"/>
    <n v="120"/>
    <n v="500"/>
    <n v="500"/>
    <n v="294147"/>
    <n v="1217160"/>
    <n v="5071500"/>
    <n v="5071500"/>
    <n v="529"/>
    <n v="5365647"/>
    <n v="2434235.294117647"/>
    <n v="200"/>
    <n v="409"/>
    <n v="200"/>
    <n v="0"/>
    <n v="0"/>
    <n v="4148487"/>
    <n v="2028600"/>
    <n v="0"/>
    <n v="409"/>
    <n v="4148487"/>
    <n v="5040336.134453781"/>
    <n v="72"/>
    <n v="209"/>
    <n v="72"/>
    <n v="0"/>
    <m/>
    <n v="2119887"/>
    <n v="770400"/>
    <n v="0"/>
    <n v="209"/>
    <n v="2119887"/>
    <n v="1814521.008403361"/>
  </r>
  <r>
    <s v="Simplit-Menaje de Cocina"/>
    <x v="2"/>
    <x v="17"/>
    <x v="48"/>
    <s v="SIMCUVER-WO"/>
    <x v="470"/>
    <x v="317"/>
    <x v="0"/>
    <x v="4"/>
    <n v="0.9"/>
    <x v="274"/>
    <n v="126"/>
    <m/>
    <n v="0"/>
    <n v="19949"/>
    <n v="2513574"/>
    <n v="19"/>
    <n v="20757.5"/>
    <n v="42008.40336134454"/>
    <n v="33605.04201680672"/>
    <s v="Shenzhen"/>
    <s v="30/70"/>
    <n v="60"/>
    <n v="500"/>
    <n v="0"/>
    <s v=""/>
    <n v="4"/>
    <n v="0.5657707129680928"/>
    <n v="24"/>
    <n v="0.5266160166615961"/>
    <n v="18"/>
    <n v="0.4935158740651672"/>
    <n v="30"/>
    <n v="0.5396275999614906"/>
    <n v="166"/>
    <n v="0.4100811131873237"/>
    <n v="67"/>
    <n v="0.4358836853768434"/>
    <n v="56"/>
    <n v="0.4242143496589195"/>
    <n v="56"/>
    <n v="0.5482705930481129"/>
    <n v="50"/>
    <n v="0.5012631932934093"/>
    <n v="10"/>
    <n v="0.5317566512943314"/>
    <n v="55"/>
    <n v="0.5177077364299044"/>
    <n v="24"/>
    <s v=""/>
    <n v="37"/>
    <s v=""/>
    <n v="27"/>
    <s v=""/>
    <n v="23"/>
    <s v=""/>
    <n v="0.6571428571428571"/>
    <n v="22"/>
    <s v=""/>
    <n v="0.6285714285714286"/>
    <n v="65"/>
    <s v=""/>
    <n v="0.7222222222222222"/>
    <n v="25"/>
    <s v=""/>
    <n v="0.3571428571428572"/>
    <n v="45"/>
    <n v="263"/>
    <n v="45"/>
    <n v="0"/>
    <n v="0"/>
    <n v="0"/>
    <n v="2543497.5"/>
    <n v="5171895"/>
    <n v="897705"/>
    <n v="0"/>
    <n v="126"/>
    <n v="2513574"/>
    <n v="1588553.068286138"/>
    <n v="40"/>
    <n v="240"/>
    <n v="55.5"/>
    <n v="100"/>
    <n v="100"/>
    <n v="0"/>
    <n v="2104619.5"/>
    <n v="4719600"/>
    <n v="1107169.5"/>
    <n v="0"/>
    <n v="126"/>
    <n v="2513574"/>
    <n v="1959215.450886237"/>
    <n v="60"/>
    <n v="174"/>
    <n v="27"/>
    <n v="0"/>
    <n v="0"/>
    <n v="1616897.5"/>
    <n v="3471126"/>
    <n v="538623"/>
    <n v="0"/>
    <n v="126"/>
    <n v="2513574"/>
    <n v="1134226.890756303"/>
    <n v="35"/>
    <n v="281"/>
    <n v="23"/>
    <n v="0"/>
    <n v="0"/>
    <n v="5525865"/>
    <n v="458827"/>
    <n v="0"/>
    <n v="0"/>
    <n v="126"/>
    <n v="2513574"/>
    <n v="966193.2773109245"/>
    <n v="35"/>
    <n v="148"/>
    <n v="31.5"/>
    <n v="300"/>
    <n v="0"/>
    <n v="0"/>
    <n v="2952452"/>
    <n v="619447.5"/>
    <n v="5899500"/>
    <n v="0"/>
    <n v="126"/>
    <n v="2513574"/>
    <n v="1323264.705882353"/>
    <n v="90"/>
    <n v="191"/>
    <n v="65"/>
    <m/>
    <n v="0"/>
    <n v="0"/>
    <n v="3810259"/>
    <n v="1278225"/>
    <n v="0"/>
    <n v="0"/>
    <n v="191"/>
    <n v="2513574"/>
    <n v="2730546.218487395"/>
    <n v="70"/>
    <n v="151"/>
    <n v="63"/>
    <n v="0"/>
    <n v="150"/>
    <n v="0"/>
    <n v="3012299"/>
    <n v="1238895"/>
    <n v="0"/>
    <n v="0"/>
    <n v="151"/>
    <n v="2513574"/>
    <n v="2646529.411764706"/>
    <n v="60"/>
    <n v="88"/>
    <n v="54"/>
    <n v="0"/>
    <n v="0"/>
    <n v="0"/>
    <n v="1755512"/>
    <n v="1061910"/>
    <n v="0"/>
    <n v="0"/>
    <n v="88"/>
    <n v="1755512"/>
    <n v="2268453.781512605"/>
    <n v="45"/>
    <n v="34"/>
    <n v="40.5"/>
    <n v="0"/>
    <n v="0"/>
    <n v="300"/>
    <n v="668610"/>
    <n v="796432.5"/>
    <n v="0"/>
    <n v="5899500"/>
    <n v="334"/>
    <n v="6568110"/>
    <n v="1701340.336134454"/>
    <n v="60"/>
    <n v="293.5"/>
    <n v="54"/>
    <n v="0"/>
    <n v="0"/>
    <n v="0"/>
    <n v="0"/>
    <n v="5771677.5"/>
    <n v="1061910"/>
    <n v="0"/>
    <n v="0"/>
    <n v="293.5"/>
    <n v="5771677.5"/>
    <n v="1814672.268907563"/>
    <n v="50"/>
    <n v="239.5"/>
    <n v="45"/>
    <n v="0"/>
    <n v="0"/>
    <n v="4709767.5"/>
    <n v="884925"/>
    <n v="0"/>
    <n v="0"/>
    <n v="239.5"/>
    <n v="4709767.5"/>
    <n v="1587838.235294118"/>
    <n v="60"/>
    <n v="194.5"/>
    <n v="54"/>
    <n v="0"/>
    <n v="0"/>
    <n v="3824842.5"/>
    <n v="1061910"/>
    <n v="0"/>
    <n v="194.5"/>
    <n v="3824842.5"/>
    <n v="2268453.781512605"/>
    <n v="30"/>
    <n v="140.5"/>
    <n v="27"/>
    <n v="0"/>
    <m/>
    <n v="2762932.5"/>
    <n v="538623"/>
    <n v="0"/>
    <n v="140.5"/>
    <n v="2762932.5"/>
    <n v="1134226.890756303"/>
  </r>
  <r>
    <m/>
    <x v="2"/>
    <x v="17"/>
    <x v="48"/>
    <s v="SIMCUPAR-BK"/>
    <x v="471"/>
    <x v="318"/>
    <x v="0"/>
    <x v="2"/>
    <n v="1"/>
    <x v="12"/>
    <n v="0"/>
    <m/>
    <n v="0"/>
    <n v="9804.9"/>
    <n v="0"/>
    <n v="9.800000000000001"/>
    <n v="10706.5"/>
    <n v="25201.68067226891"/>
    <n v="19319.32773109244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s v=""/>
    <n v="10"/>
    <s v=""/>
    <n v="0"/>
    <n v="46"/>
    <s v=""/>
    <n v="1.15"/>
    <n v="123"/>
    <s v=""/>
    <n v="1.025"/>
    <n v="23"/>
    <s v=""/>
    <n v="2.875"/>
    <n v="0"/>
    <n v="0"/>
    <n v="0"/>
    <n v="0"/>
    <n v="0"/>
    <n v="0"/>
    <n v="9804.9"/>
    <n v="0"/>
    <n v="0"/>
    <n v="0"/>
    <n v="0"/>
    <n v="0"/>
    <n v="0"/>
    <n v="0"/>
    <n v="0"/>
    <n v="0"/>
    <n v="0"/>
    <n v="0"/>
    <n v="0"/>
    <n v="107853.9"/>
    <n v="0"/>
    <n v="0"/>
    <n v="0"/>
    <n v="0"/>
    <n v="0"/>
    <n v="0"/>
    <n v="0"/>
    <n v="0"/>
    <n v="1"/>
    <n v="0"/>
    <n v="0"/>
    <n v="513573.9"/>
    <n v="0"/>
    <n v="9804.9"/>
    <n v="0"/>
    <n v="0"/>
    <n v="0"/>
    <n v="25201.68067226891"/>
    <n v="0"/>
    <n v="182"/>
    <n v="10"/>
    <n v="0"/>
    <n v="0"/>
    <n v="1846026"/>
    <n v="98049"/>
    <n v="0"/>
    <n v="0"/>
    <n v="0"/>
    <n v="0"/>
    <n v="252016.8067226891"/>
    <n v="40"/>
    <n v="46"/>
    <n v="40"/>
    <n v="0"/>
    <n v="200"/>
    <n v="0"/>
    <n v="451025.4"/>
    <n v="405720"/>
    <n v="0"/>
    <n v="0"/>
    <n v="0"/>
    <n v="0"/>
    <n v="1008067.226890756"/>
    <n v="120"/>
    <n v="123"/>
    <n v="123"/>
    <m/>
    <n v="0"/>
    <n v="0"/>
    <n v="1206002.7"/>
    <n v="1247589"/>
    <n v="0"/>
    <n v="0"/>
    <n v="123"/>
    <n v="0"/>
    <n v="3099806.722689075"/>
    <n v="8"/>
    <n v="23"/>
    <n v="8"/>
    <n v="300"/>
    <n v="300"/>
    <n v="0"/>
    <n v="225512.7"/>
    <n v="81144"/>
    <n v="2941470"/>
    <n v="0"/>
    <n v="23"/>
    <n v="0"/>
    <n v="201613.4453781513"/>
    <n v="0"/>
    <n v="15"/>
    <n v="0"/>
    <n v="150"/>
    <n v="150"/>
    <n v="0"/>
    <n v="147073.5"/>
    <n v="0"/>
    <n v="1521450"/>
    <n v="0"/>
    <n v="165"/>
    <n v="147073.5"/>
    <n v="0"/>
    <n v="70"/>
    <n v="15"/>
    <n v="70"/>
    <n v="0"/>
    <n v="150"/>
    <n v="450"/>
    <n v="152145"/>
    <n v="710010"/>
    <n v="0"/>
    <n v="4564350"/>
    <n v="465"/>
    <n v="4716495"/>
    <n v="1764117.647058824"/>
    <n v="180"/>
    <n v="395"/>
    <n v="180"/>
    <n v="0"/>
    <n v="0"/>
    <n v="0"/>
    <n v="0"/>
    <n v="4006485"/>
    <n v="1825740"/>
    <n v="0"/>
    <n v="0"/>
    <n v="395"/>
    <n v="4006485"/>
    <n v="3477478.991596639"/>
    <n v="150"/>
    <n v="215"/>
    <n v="150"/>
    <n v="300"/>
    <n v="300"/>
    <n v="2180745"/>
    <n v="1521450"/>
    <n v="3042900"/>
    <n v="3042900"/>
    <n v="515"/>
    <n v="5223645"/>
    <n v="3042794.117647059"/>
    <n v="200"/>
    <n v="365"/>
    <n v="200"/>
    <n v="300"/>
    <n v="300"/>
    <n v="3702195"/>
    <n v="2028600"/>
    <n v="3042900"/>
    <n v="665"/>
    <n v="6745095"/>
    <n v="5040336.134453781"/>
    <n v="90"/>
    <n v="465"/>
    <n v="90"/>
    <n v="0"/>
    <n v="300"/>
    <n v="4716495"/>
    <n v="882441"/>
    <n v="3042900"/>
    <n v="765"/>
    <n v="7759395"/>
    <n v="2268151.260504202"/>
  </r>
  <r>
    <m/>
    <x v="2"/>
    <x v="17"/>
    <x v="48"/>
    <s v="SIMCUCER-24"/>
    <x v="472"/>
    <x v="319"/>
    <x v="0"/>
    <x v="2"/>
    <n v="1"/>
    <x v="12"/>
    <n v="800"/>
    <m/>
    <n v="0"/>
    <n v="7153.575"/>
    <n v="5722860"/>
    <n v="7.15"/>
    <n v="7811.374999999999"/>
    <n v="18478.99159663866"/>
    <n v="14277.31092436975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2"/>
    <s v=""/>
    <n v="0.55"/>
    <n v="119"/>
    <s v=""/>
    <n v="0.7933333333333333"/>
    <n v="57"/>
    <s v=""/>
    <n v="0.8142857142857143"/>
    <n v="0"/>
    <n v="0"/>
    <n v="0"/>
    <n v="0"/>
    <n v="0"/>
    <n v="0"/>
    <n v="0"/>
    <n v="0"/>
    <n v="0"/>
    <n v="0"/>
    <n v="800"/>
    <n v="5722860"/>
    <n v="0"/>
    <n v="0"/>
    <n v="0"/>
    <n v="0"/>
    <n v="0"/>
    <n v="0"/>
    <n v="0"/>
    <n v="0"/>
    <n v="0"/>
    <n v="0"/>
    <n v="0"/>
    <n v="800"/>
    <n v="5722860"/>
    <n v="0"/>
    <n v="0"/>
    <n v="0"/>
    <n v="0"/>
    <n v="0"/>
    <n v="0"/>
    <n v="296009.9999999999"/>
    <n v="0"/>
    <n v="0"/>
    <n v="0"/>
    <n v="800"/>
    <n v="5722860"/>
    <n v="0"/>
    <n v="0"/>
    <n v="500"/>
    <n v="0"/>
    <n v="0"/>
    <n v="0"/>
    <n v="3700125"/>
    <n v="0"/>
    <n v="0"/>
    <n v="0"/>
    <n v="800"/>
    <n v="5722860"/>
    <n v="0"/>
    <n v="40"/>
    <n v="822"/>
    <n v="40"/>
    <n v="0"/>
    <n v="500"/>
    <n v="0"/>
    <n v="5880238.649999999"/>
    <n v="296009.9999999999"/>
    <n v="0"/>
    <n v="0"/>
    <n v="800"/>
    <n v="5722860"/>
    <n v="739159.6638655463"/>
    <n v="150"/>
    <n v="919"/>
    <n v="119"/>
    <m/>
    <n v="0"/>
    <n v="0"/>
    <n v="6574135.425"/>
    <n v="880629.7499999999"/>
    <n v="0"/>
    <n v="0"/>
    <n v="919"/>
    <n v="5722860"/>
    <n v="2199000"/>
    <n v="70"/>
    <n v="857"/>
    <n v="70"/>
    <n v="500"/>
    <n v="500"/>
    <n v="0"/>
    <n v="6130613.774999999"/>
    <n v="518017.4999999999"/>
    <n v="3576787.5"/>
    <n v="0"/>
    <n v="857"/>
    <n v="5722860"/>
    <n v="1293529.411764706"/>
    <n v="70"/>
    <n v="787"/>
    <n v="70"/>
    <n v="0"/>
    <n v="0"/>
    <n v="0"/>
    <n v="5629863.524999999"/>
    <n v="518017.4999999999"/>
    <n v="0"/>
    <n v="0"/>
    <n v="787"/>
    <n v="5629863.524999999"/>
    <n v="1293529.411764706"/>
    <n v="70"/>
    <n v="717"/>
    <n v="70"/>
    <n v="0"/>
    <n v="0"/>
    <m/>
    <n v="5305979.249999999"/>
    <n v="518017.4999999999"/>
    <n v="0"/>
    <n v="0"/>
    <n v="717"/>
    <n v="5305979.249999999"/>
    <n v="1293529.411764706"/>
    <n v="150"/>
    <n v="647"/>
    <n v="150"/>
    <n v="0"/>
    <n v="0"/>
    <n v="0"/>
    <m/>
    <n v="4787961.749999999"/>
    <n v="1110037.5"/>
    <n v="0"/>
    <n v="0"/>
    <n v="647"/>
    <n v="4787961.749999999"/>
    <n v="2141596.638655462"/>
    <n v="120"/>
    <n v="497"/>
    <n v="120"/>
    <n v="0"/>
    <n v="0"/>
    <n v="3677924.25"/>
    <n v="888029.9999999999"/>
    <n v="0"/>
    <n v="0"/>
    <n v="497"/>
    <n v="3677924.25"/>
    <n v="1798941.176470588"/>
    <n v="200"/>
    <n v="377"/>
    <n v="200"/>
    <n v="0"/>
    <n v="0"/>
    <n v="2789894.25"/>
    <n v="1480050"/>
    <n v="0"/>
    <n v="377"/>
    <n v="2789894.25"/>
    <n v="3695798.319327732"/>
    <n v="72"/>
    <n v="177"/>
    <n v="72"/>
    <n v="0"/>
    <m/>
    <n v="1309844.25"/>
    <n v="515057.4"/>
    <n v="0"/>
    <n v="177"/>
    <n v="1309844.25"/>
    <n v="1330487.394957983"/>
  </r>
  <r>
    <s v="Simplit-Menaje de Cocina"/>
    <x v="2"/>
    <x v="17"/>
    <x v="48"/>
    <s v="SIMCUMAR-WO"/>
    <x v="473"/>
    <x v="320"/>
    <x v="0"/>
    <x v="0"/>
    <n v="1"/>
    <x v="275"/>
    <n v="34"/>
    <m/>
    <n v="0"/>
    <n v="5598"/>
    <n v="190332"/>
    <n v="5.25"/>
    <n v="5735.625"/>
    <n v="10915.96638655462"/>
    <n v="12596.63865546219"/>
    <s v="Shenzhen"/>
    <s v="30/70"/>
    <n v="60"/>
    <n v="300"/>
    <n v="0"/>
    <s v=""/>
    <n v="0"/>
    <s v=""/>
    <n v="7"/>
    <n v="0.6395347218405965"/>
    <n v="9"/>
    <n v="0.6274195973266476"/>
    <n v="5"/>
    <n v="0.6546829918521639"/>
    <n v="17"/>
    <n v="0.5592976177680214"/>
    <n v="15"/>
    <n v="0.6240904715986249"/>
    <n v="9"/>
    <n v="0.5971196784960427"/>
    <n v="14"/>
    <n v="0.5485603069557088"/>
    <n v="41"/>
    <n v="0.5572589535449507"/>
    <n v="15"/>
    <n v="0.652392211507785"/>
    <n v="19"/>
    <n v="0.5839761935706153"/>
    <n v="9"/>
    <s v=""/>
    <n v="19"/>
    <s v=""/>
    <n v="15"/>
    <s v=""/>
    <n v="19"/>
    <s v=""/>
    <n v="1.266666666666667"/>
    <n v="11"/>
    <s v=""/>
    <n v="0.7333333333333333"/>
    <n v="29"/>
    <s v=""/>
    <n v="1.45"/>
    <n v="5"/>
    <s v=""/>
    <n v="0.25"/>
    <n v="15"/>
    <n v="144"/>
    <n v="15"/>
    <n v="0"/>
    <n v="0"/>
    <n v="0"/>
    <n v="327483"/>
    <n v="782460"/>
    <n v="83970"/>
    <n v="0"/>
    <n v="34"/>
    <n v="190332"/>
    <n v="137596.2149565709"/>
    <n v="10"/>
    <n v="134"/>
    <n v="28.5"/>
    <n v="0"/>
    <n v="0"/>
    <n v="0"/>
    <n v="349875"/>
    <n v="728122.5"/>
    <n v="159543"/>
    <n v="0"/>
    <n v="34"/>
    <n v="190332"/>
    <n v="261432.8084174847"/>
    <n v="40"/>
    <n v="111"/>
    <n v="15"/>
    <n v="0"/>
    <n v="0"/>
    <n v="271838.25"/>
    <n v="621378"/>
    <n v="83970"/>
    <n v="0"/>
    <n v="34"/>
    <n v="190332"/>
    <n v="163739.4957983193"/>
    <n v="15"/>
    <n v="100"/>
    <n v="19"/>
    <n v="0"/>
    <n v="0"/>
    <n v="543375"/>
    <n v="106362"/>
    <n v="0"/>
    <n v="0"/>
    <n v="34"/>
    <n v="190332"/>
    <n v="207403.3613445378"/>
    <n v="15"/>
    <n v="45"/>
    <n v="15"/>
    <m/>
    <n v="0"/>
    <n v="0"/>
    <n v="251910"/>
    <n v="81506.25"/>
    <n v="0"/>
    <n v="0"/>
    <n v="34"/>
    <n v="190332"/>
    <n v="163739.4957983193"/>
    <n v="20"/>
    <n v="63"/>
    <n v="29"/>
    <m/>
    <n v="0"/>
    <n v="0"/>
    <n v="352674"/>
    <n v="157578.75"/>
    <n v="0"/>
    <n v="0"/>
    <n v="63"/>
    <n v="190332"/>
    <n v="316563.025210084"/>
    <n v="20"/>
    <n v="39"/>
    <n v="20"/>
    <n v="100"/>
    <n v="100"/>
    <n v="0"/>
    <n v="218322"/>
    <n v="108675"/>
    <n v="525262.5"/>
    <n v="0"/>
    <n v="39"/>
    <n v="190332"/>
    <n v="218319.3277310925"/>
    <n v="24"/>
    <n v="19"/>
    <n v="24"/>
    <n v="0"/>
    <n v="0"/>
    <n v="0"/>
    <n v="106362"/>
    <n v="130410"/>
    <n v="0"/>
    <n v="0"/>
    <n v="19"/>
    <n v="106362"/>
    <n v="261983.1932773109"/>
    <n v="0"/>
    <n v="0"/>
    <n v="0"/>
    <n v="0"/>
    <n v="0"/>
    <n v="100"/>
    <n v="0"/>
    <n v="0"/>
    <n v="0"/>
    <n v="543375"/>
    <n v="100"/>
    <n v="543375"/>
    <n v="0"/>
    <n v="0"/>
    <n v="100"/>
    <n v="0"/>
    <n v="0"/>
    <n v="0"/>
    <n v="0"/>
    <m/>
    <n v="543375"/>
    <n v="0"/>
    <n v="0"/>
    <n v="0"/>
    <n v="100"/>
    <n v="543375"/>
    <n v="0"/>
    <n v="0"/>
    <n v="100"/>
    <n v="0"/>
    <n v="0"/>
    <n v="0"/>
    <n v="543375"/>
    <n v="0"/>
    <n v="0"/>
    <n v="0"/>
    <n v="100"/>
    <n v="543375"/>
    <n v="0"/>
    <n v="0"/>
    <n v="100"/>
    <n v="0"/>
    <n v="0"/>
    <n v="0"/>
    <n v="543375"/>
    <n v="0"/>
    <n v="0"/>
    <n v="100"/>
    <n v="543375"/>
    <n v="0"/>
    <n v="0"/>
    <n v="100"/>
    <n v="0"/>
    <n v="0"/>
    <m/>
    <n v="543375"/>
    <n v="0"/>
    <n v="0"/>
    <n v="100"/>
    <n v="543375"/>
    <n v="0"/>
  </r>
  <r>
    <s v="Simplit-Menaje de Cocina"/>
    <x v="2"/>
    <x v="17"/>
    <x v="48"/>
    <s v="SIMCUMAR-BK"/>
    <x v="474"/>
    <x v="321"/>
    <x v="0"/>
    <x v="4"/>
    <n v="1"/>
    <x v="276"/>
    <n v="3"/>
    <m/>
    <n v="0"/>
    <n v="2936"/>
    <n v="8808"/>
    <n v="2.77"/>
    <n v="3026.225"/>
    <n v="10915.96638655462"/>
    <n v="10915.96638655462"/>
    <s v="Shenzhen"/>
    <s v="30/70"/>
    <n v="60"/>
    <n v="300"/>
    <n v="0"/>
    <s v=""/>
    <n v="0"/>
    <s v=""/>
    <n v="6"/>
    <n v="0.8148676183127798"/>
    <n v="23"/>
    <n v="0.778768165084896"/>
    <n v="24"/>
    <n v="0.7546726955795164"/>
    <n v="70"/>
    <n v="0.7363547471164167"/>
    <n v="34"/>
    <n v="0.705327175299031"/>
    <n v="99"/>
    <n v="0.7079737671726428"/>
    <n v="12"/>
    <n v="0.7656102534333502"/>
    <n v="5"/>
    <n v="0.7523952995066948"/>
    <n v="8"/>
    <n v="0.7680838879124785"/>
    <n v="27"/>
    <n v="0.7912277513689231"/>
    <n v="13"/>
    <s v=""/>
    <n v="49"/>
    <s v=""/>
    <n v="50"/>
    <s v=""/>
    <n v="96"/>
    <s v=""/>
    <n v="0.6857142857142857"/>
    <n v="17"/>
    <s v=""/>
    <n v="0.5666666666666667"/>
    <n v="17"/>
    <s v=""/>
    <n v="0.17"/>
    <n v="-1"/>
    <s v=""/>
    <n v="0"/>
    <n v="35"/>
    <n v="93"/>
    <n v="35"/>
    <n v="150"/>
    <n v="150"/>
    <n v="0"/>
    <n v="465356"/>
    <n v="266626.35"/>
    <n v="102760"/>
    <n v="0"/>
    <n v="3"/>
    <n v="8808"/>
    <n v="321057.8348986654"/>
    <n v="15"/>
    <n v="83"/>
    <n v="73.5"/>
    <n v="0"/>
    <n v="0"/>
    <n v="0"/>
    <n v="644452"/>
    <n v="237956.85"/>
    <n v="215796"/>
    <n v="0"/>
    <n v="3"/>
    <n v="8808"/>
    <n v="674221.4532871973"/>
    <n v="50"/>
    <n v="153"/>
    <n v="50"/>
    <n v="0"/>
    <n v="0"/>
    <n v="514664.5"/>
    <n v="449208"/>
    <n v="146800"/>
    <n v="0"/>
    <n v="3"/>
    <n v="8808"/>
    <n v="545798.3193277312"/>
    <n v="140"/>
    <n v="145"/>
    <n v="96"/>
    <n v="0"/>
    <n v="0"/>
    <n v="415707.75"/>
    <n v="281856"/>
    <n v="0"/>
    <n v="0"/>
    <n v="3"/>
    <n v="8808"/>
    <n v="1047932.773109244"/>
    <n v="30"/>
    <n v="20"/>
    <n v="30"/>
    <m/>
    <n v="0"/>
    <n v="0"/>
    <n v="58720"/>
    <n v="86008.5"/>
    <n v="0"/>
    <n v="0"/>
    <n v="3"/>
    <n v="8808"/>
    <n v="327478.9915966387"/>
    <n v="100"/>
    <n v="20"/>
    <n v="17"/>
    <m/>
    <n v="0"/>
    <n v="0"/>
    <n v="58720"/>
    <n v="48738.14999999999"/>
    <n v="0"/>
    <n v="0"/>
    <n v="20"/>
    <n v="8808"/>
    <n v="185571.4285714286"/>
    <n v="0"/>
    <n v="2"/>
    <n v="0"/>
    <n v="200"/>
    <n v="200"/>
    <n v="0"/>
    <n v="5872"/>
    <n v="0"/>
    <n v="554277"/>
    <n v="0"/>
    <n v="2"/>
    <n v="8808"/>
    <n v="0"/>
    <n v="60"/>
    <n v="2"/>
    <n v="60"/>
    <n v="0"/>
    <n v="0"/>
    <n v="0"/>
    <n v="5872"/>
    <n v="172017"/>
    <n v="0"/>
    <n v="0"/>
    <n v="2"/>
    <n v="5872"/>
    <n v="654957.9831932774"/>
    <n v="60"/>
    <n v="0"/>
    <n v="60"/>
    <n v="500"/>
    <n v="500"/>
    <n v="204"/>
    <n v="0"/>
    <n v="172017"/>
    <n v="1433475"/>
    <n v="584857.7999999999"/>
    <n v="204"/>
    <n v="584857.7999999999"/>
    <n v="654957.9831932774"/>
    <n v="50"/>
    <n v="644"/>
    <n v="50"/>
    <n v="0"/>
    <n v="0"/>
    <n v="0"/>
    <n v="500"/>
    <n v="1846315.8"/>
    <n v="143347.5"/>
    <n v="0"/>
    <n v="1433475"/>
    <n v="644"/>
    <n v="3279790.8"/>
    <n v="545798.3193277312"/>
    <n v="40"/>
    <n v="594"/>
    <n v="40"/>
    <n v="0"/>
    <n v="0"/>
    <n v="1702968.3"/>
    <n v="114678"/>
    <n v="0"/>
    <n v="0"/>
    <n v="594"/>
    <n v="1702968.3"/>
    <n v="458470.5882352942"/>
    <n v="60"/>
    <n v="554"/>
    <n v="60"/>
    <n v="0"/>
    <n v="0"/>
    <n v="1588290.3"/>
    <n v="172017"/>
    <n v="0"/>
    <n v="554"/>
    <n v="1588290.3"/>
    <n v="654957.9831932774"/>
    <n v="24"/>
    <n v="494"/>
    <n v="24"/>
    <n v="0"/>
    <m/>
    <n v="1416273.3"/>
    <n v="70464"/>
    <n v="0"/>
    <n v="494"/>
    <n v="1416273.3"/>
    <n v="261983.1932773109"/>
  </r>
  <r>
    <s v="Simplit-Menaje de Cocina"/>
    <x v="2"/>
    <x v="17"/>
    <x v="48"/>
    <s v="SIMCUPRO-4"/>
    <x v="475"/>
    <x v="322"/>
    <x v="0"/>
    <x v="6"/>
    <n v="1"/>
    <x v="12"/>
    <n v="168"/>
    <m/>
    <n v="0"/>
    <n v="6707"/>
    <n v="1126776"/>
    <n v="6.31"/>
    <n v="6893.674999999999"/>
    <n v="14277.31092436975"/>
    <n v="12596.63865546219"/>
    <s v="Shenzhen"/>
    <s v="30/70"/>
    <n v="60"/>
    <n v="500"/>
    <n v="0"/>
    <s v=""/>
    <n v="1"/>
    <n v="0.6226662698197954"/>
    <n v="3"/>
    <n v="0.5793096582161552"/>
    <n v="11"/>
    <n v="0.5100605052879706"/>
    <n v="25"/>
    <n v="0.4949069118660224"/>
    <n v="54"/>
    <n v="0.4054895145484301"/>
    <n v="9"/>
    <n v="0.446890485243245"/>
    <n v="21"/>
    <n v="0.3594059875350467"/>
    <n v="9"/>
    <n v="0.4063075600521265"/>
    <n v="50"/>
    <n v="0.4097787676531646"/>
    <n v="25"/>
    <n v="0.4365723043133022"/>
    <n v="32"/>
    <n v="0.4720878116281022"/>
    <n v="6"/>
    <s v=""/>
    <n v="6"/>
    <s v=""/>
    <n v="16"/>
    <s v=""/>
    <n v="27"/>
    <s v=""/>
    <n v="0.9"/>
    <n v="9"/>
    <s v=""/>
    <n v="0.45"/>
    <n v="15"/>
    <s v=""/>
    <n v="0.4285714285714285"/>
    <n v="9"/>
    <s v=""/>
    <n v="0.36"/>
    <n v="15"/>
    <n v="256"/>
    <n v="15"/>
    <n v="0"/>
    <n v="0"/>
    <n v="0"/>
    <n v="268280"/>
    <n v="1671897.6"/>
    <n v="100605"/>
    <n v="0"/>
    <n v="168"/>
    <n v="1126776"/>
    <n v="179966.1040886943"/>
    <n v="10"/>
    <n v="250"/>
    <n v="9"/>
    <n v="0"/>
    <n v="0"/>
    <n v="0"/>
    <n v="348764"/>
    <n v="1632712.5"/>
    <n v="60363"/>
    <n v="0"/>
    <n v="168"/>
    <n v="1126776"/>
    <n v="107979.6624532166"/>
    <n v="15"/>
    <n v="249"/>
    <n v="16"/>
    <n v="0"/>
    <n v="0"/>
    <n v="419018"/>
    <n v="1670043"/>
    <n v="107312"/>
    <n v="0"/>
    <n v="168"/>
    <n v="1126776"/>
    <n v="228436.974789916"/>
    <n v="30"/>
    <n v="232"/>
    <n v="27"/>
    <n v="0"/>
    <n v="0"/>
    <n v="1515157.2"/>
    <n v="181089"/>
    <n v="0"/>
    <n v="0"/>
    <n v="168"/>
    <n v="1126776"/>
    <n v="385487.3949579832"/>
    <n v="20"/>
    <n v="177"/>
    <n v="20"/>
    <m/>
    <n v="0"/>
    <n v="0"/>
    <n v="1187139"/>
    <n v="130617"/>
    <n v="0"/>
    <n v="0"/>
    <n v="168"/>
    <n v="1126776"/>
    <n v="285546.218487395"/>
    <n v="35"/>
    <n v="183"/>
    <n v="15"/>
    <m/>
    <n v="0"/>
    <n v="0"/>
    <n v="1227381"/>
    <n v="97962.74999999999"/>
    <n v="0"/>
    <n v="0"/>
    <n v="183"/>
    <n v="1126776"/>
    <n v="214159.6638655462"/>
    <n v="25"/>
    <n v="177"/>
    <n v="25"/>
    <n v="0"/>
    <n v="0"/>
    <n v="0"/>
    <n v="1187139"/>
    <n v="163271.25"/>
    <n v="0"/>
    <n v="0"/>
    <n v="177"/>
    <n v="1126776"/>
    <n v="356932.7731092437"/>
    <n v="25"/>
    <n v="152"/>
    <n v="25"/>
    <n v="0"/>
    <n v="0"/>
    <n v="0"/>
    <n v="1019464"/>
    <n v="163271.25"/>
    <n v="0"/>
    <n v="0"/>
    <n v="152"/>
    <n v="1019464"/>
    <n v="356932.7731092437"/>
    <n v="25"/>
    <n v="127"/>
    <n v="25"/>
    <n v="0"/>
    <n v="0"/>
    <m/>
    <n v="829417.95"/>
    <n v="163271.25"/>
    <n v="0"/>
    <n v="0"/>
    <n v="127"/>
    <n v="829417.95"/>
    <n v="356932.7731092437"/>
    <n v="30"/>
    <n v="102"/>
    <n v="30"/>
    <n v="0"/>
    <n v="0"/>
    <n v="0"/>
    <m/>
    <n v="666146.7"/>
    <n v="195925.5"/>
    <n v="0"/>
    <n v="0"/>
    <n v="102"/>
    <n v="666146.7"/>
    <n v="377899.1596638656"/>
    <n v="25"/>
    <n v="72"/>
    <n v="25"/>
    <n v="0"/>
    <n v="0"/>
    <n v="470221.2"/>
    <n v="163271.25"/>
    <n v="0"/>
    <n v="0"/>
    <n v="72"/>
    <n v="470221.2"/>
    <n v="330661.7647058824"/>
    <n v="30"/>
    <n v="47"/>
    <n v="30"/>
    <n v="0"/>
    <n v="0"/>
    <n v="306949.95"/>
    <n v="195925.5"/>
    <n v="0"/>
    <n v="47"/>
    <n v="306949.95"/>
    <n v="428319.3277310925"/>
    <n v="15"/>
    <n v="17"/>
    <n v="15"/>
    <n v="0"/>
    <m/>
    <n v="111024.45"/>
    <n v="100605"/>
    <n v="0"/>
    <n v="17"/>
    <n v="111024.45"/>
    <n v="214159.6638655462"/>
  </r>
  <r>
    <s v="Simplit-Menaje de Cocina"/>
    <x v="2"/>
    <x v="17"/>
    <x v="48"/>
    <s v="SIMCUSTA-5"/>
    <x v="476"/>
    <x v="323"/>
    <x v="0"/>
    <x v="3"/>
    <n v="1"/>
    <x v="277"/>
    <n v="25"/>
    <m/>
    <n v="0"/>
    <n v="12797"/>
    <n v="319925"/>
    <n v="12.15"/>
    <n v="13273.875"/>
    <n v="33605.04201680672"/>
    <n v="25201.68067226891"/>
    <s v="Shenzhen"/>
    <s v="30/70"/>
    <n v="60"/>
    <n v="300"/>
    <n v="18"/>
    <n v="0.5632866737868604"/>
    <n v="14"/>
    <n v="0.5556651811423777"/>
    <n v="40"/>
    <n v="0.5819891953685591"/>
    <n v="40"/>
    <n v="0.5858560194261164"/>
    <n v="21"/>
    <n v="0.6099516678836078"/>
    <n v="140"/>
    <n v="0.4760949695362375"/>
    <n v="83"/>
    <n v="0.4837714841651755"/>
    <n v="44"/>
    <n v="0.5209891894111128"/>
    <n v="36"/>
    <n v="0.5773132729758029"/>
    <n v="60"/>
    <n v="0.5301801164836262"/>
    <n v="41"/>
    <n v="0.6088481708221413"/>
    <n v="49"/>
    <n v="0.640089289200248"/>
    <n v="55"/>
    <s v=""/>
    <n v="50"/>
    <s v=""/>
    <n v="79"/>
    <s v=""/>
    <n v="54"/>
    <s v=""/>
    <n v="1.08"/>
    <n v="53"/>
    <s v=""/>
    <n v="1.177777777777778"/>
    <n v="145"/>
    <s v=""/>
    <n v="0.9666666666666667"/>
    <n v="33"/>
    <s v=""/>
    <n v="0.3473684210526316"/>
    <n v="40"/>
    <n v="191"/>
    <n v="40"/>
    <n v="100"/>
    <n v="100"/>
    <n v="0"/>
    <n v="2482618"/>
    <n v="2401872.75"/>
    <n v="511880"/>
    <n v="0"/>
    <n v="25"/>
    <n v="319925"/>
    <n v="1129581.244262411"/>
    <n v="40"/>
    <n v="160"/>
    <n v="75"/>
    <n v="0"/>
    <n v="0"/>
    <n v="0"/>
    <n v="2661776"/>
    <n v="2012040"/>
    <n v="959775"/>
    <n v="0"/>
    <n v="25"/>
    <n v="319925"/>
    <n v="2117964.832992021"/>
    <n v="60"/>
    <n v="95"/>
    <n v="79"/>
    <n v="0"/>
    <n v="0"/>
    <n v="2267887.25"/>
    <n v="1215715"/>
    <n v="1010963"/>
    <n v="0"/>
    <n v="25"/>
    <n v="319925"/>
    <n v="2654798.319327731"/>
    <n v="50"/>
    <n v="304"/>
    <n v="54"/>
    <n v="0"/>
    <n v="0"/>
    <n v="3822876"/>
    <n v="691038"/>
    <n v="0"/>
    <n v="0"/>
    <n v="25"/>
    <n v="319925"/>
    <n v="1814672.268907563"/>
    <n v="45"/>
    <n v="78"/>
    <n v="45"/>
    <m/>
    <n v="0"/>
    <n v="0"/>
    <n v="998166"/>
    <n v="565886.2499999999"/>
    <n v="0"/>
    <n v="0"/>
    <n v="25"/>
    <n v="319925"/>
    <n v="1512226.890756303"/>
    <n v="150"/>
    <n v="170"/>
    <n v="145"/>
    <m/>
    <n v="0"/>
    <n v="0"/>
    <n v="2175490"/>
    <n v="1823411.25"/>
    <n v="0"/>
    <n v="0"/>
    <n v="170"/>
    <n v="319925"/>
    <n v="4872731.092436975"/>
    <n v="95"/>
    <n v="58"/>
    <n v="95"/>
    <n v="250"/>
    <n v="250"/>
    <n v="0"/>
    <n v="742226"/>
    <n v="1194648.75"/>
    <n v="3039018.75"/>
    <n v="0"/>
    <n v="58"/>
    <n v="319925"/>
    <n v="3192478.991596639"/>
    <n v="55"/>
    <n v="0"/>
    <n v="55"/>
    <n v="0"/>
    <n v="0"/>
    <n v="252"/>
    <n v="0"/>
    <n v="691638.7499999999"/>
    <n v="0"/>
    <n v="3168963"/>
    <n v="0"/>
    <n v="3168963"/>
    <n v="1848277.31092437"/>
    <n v="45"/>
    <n v="197"/>
    <n v="45"/>
    <n v="0"/>
    <n v="0"/>
    <m/>
    <n v="2477324.25"/>
    <n v="565886.2499999999"/>
    <n v="0"/>
    <n v="0"/>
    <n v="197"/>
    <n v="2477324.25"/>
    <n v="1512226.890756303"/>
    <n v="65"/>
    <n v="152"/>
    <n v="65"/>
    <n v="0"/>
    <n v="0"/>
    <n v="0"/>
    <m/>
    <n v="1911438"/>
    <n v="817391.2499999999"/>
    <n v="0"/>
    <n v="0"/>
    <n v="152"/>
    <n v="1911438"/>
    <n v="1638109.243697479"/>
    <n v="50"/>
    <n v="87"/>
    <n v="50"/>
    <n v="0"/>
    <n v="0"/>
    <n v="1094046.75"/>
    <n v="628762.4999999999"/>
    <n v="0"/>
    <n v="0"/>
    <n v="87"/>
    <n v="1094046.75"/>
    <n v="1323088.235294118"/>
    <n v="65"/>
    <n v="37"/>
    <n v="65"/>
    <n v="250"/>
    <n v="250"/>
    <n v="465284.2499999999"/>
    <n v="817391.2499999999"/>
    <n v="3143812.5"/>
    <n v="287"/>
    <n v="3609096.75"/>
    <n v="2184327.731092437"/>
    <n v="30"/>
    <n v="222"/>
    <n v="30"/>
    <n v="0"/>
    <m/>
    <n v="2791705.5"/>
    <n v="383910"/>
    <n v="0"/>
    <n v="222"/>
    <n v="2791705.5"/>
    <n v="1008151.260504202"/>
  </r>
  <r>
    <s v="Simplit-Menaje de Cocina"/>
    <x v="2"/>
    <x v="17"/>
    <x v="48"/>
    <s v="SIMCUKUC-5"/>
    <x v="477"/>
    <x v="324"/>
    <x v="0"/>
    <x v="3"/>
    <n v="1"/>
    <x v="278"/>
    <n v="373"/>
    <m/>
    <n v="0"/>
    <n v="14820"/>
    <n v="5527860"/>
    <n v="14.25"/>
    <n v="15568.125"/>
    <n v="33605.04201680672"/>
    <n v="29403.36134453782"/>
    <s v="Shenzhen"/>
    <s v="30/70"/>
    <n v="60"/>
    <n v="300"/>
    <n v="12"/>
    <n v="0.6147775752055618"/>
    <n v="8"/>
    <n v="0.6230460348032169"/>
    <n v="25"/>
    <n v="0.6189333189029542"/>
    <n v="27"/>
    <n v="0.5713100105861468"/>
    <n v="31"/>
    <n v="0.6103337661222444"/>
    <n v="102"/>
    <n v="0.5124679152843801"/>
    <n v="55"/>
    <n v="0.5112231583257013"/>
    <n v="84"/>
    <n v="0.5127548320462745"/>
    <n v="63"/>
    <n v="0.5581360449608369"/>
    <n v="48"/>
    <n v="0.5551522934531286"/>
    <n v="33"/>
    <n v="0.6608817399672167"/>
    <n v="24"/>
    <n v="0.6451912195432726"/>
    <n v="26"/>
    <s v=""/>
    <n v="42"/>
    <s v=""/>
    <n v="75"/>
    <s v=""/>
    <n v="38"/>
    <s v=""/>
    <n v="0.76"/>
    <n v="48"/>
    <s v=""/>
    <n v="1.371428571428571"/>
    <n v="82"/>
    <s v=""/>
    <n v="0.82"/>
    <n v="27"/>
    <s v=""/>
    <n v="0.45"/>
    <n v="40"/>
    <n v="175"/>
    <n v="40"/>
    <n v="200"/>
    <n v="100"/>
    <n v="0"/>
    <n v="2637960"/>
    <n v="2581031.25"/>
    <n v="592800"/>
    <n v="0"/>
    <n v="373"/>
    <n v="5527860"/>
    <n v="1129581.244262411"/>
    <n v="12"/>
    <n v="158"/>
    <n v="63"/>
    <n v="0"/>
    <n v="0"/>
    <n v="0"/>
    <n v="2608320"/>
    <n v="2330302.5"/>
    <n v="933660"/>
    <n v="0"/>
    <n v="373"/>
    <n v="5527860"/>
    <n v="1779090.459713297"/>
    <n v="60"/>
    <n v="111"/>
    <n v="75"/>
    <n v="0"/>
    <n v="0"/>
    <n v="2190866.25"/>
    <n v="1645020"/>
    <n v="1111500"/>
    <n v="0"/>
    <n v="373"/>
    <n v="5527860"/>
    <n v="2520378.151260504"/>
    <n v="50"/>
    <n v="319"/>
    <n v="38"/>
    <n v="0"/>
    <n v="0"/>
    <n v="4704851.249999999"/>
    <n v="563160"/>
    <n v="0"/>
    <n v="0"/>
    <n v="373"/>
    <n v="5527860"/>
    <n v="1276991.596638655"/>
    <n v="35"/>
    <n v="421"/>
    <n v="35"/>
    <m/>
    <n v="0"/>
    <n v="0"/>
    <n v="6239220"/>
    <n v="516206.2499999999"/>
    <n v="0"/>
    <n v="0"/>
    <n v="373"/>
    <n v="5527860"/>
    <n v="1176176.470588235"/>
    <n v="100"/>
    <n v="455"/>
    <n v="82"/>
    <m/>
    <n v="0"/>
    <n v="0"/>
    <n v="6743100"/>
    <n v="1209397.5"/>
    <n v="0"/>
    <n v="0"/>
    <n v="455"/>
    <n v="5527860"/>
    <n v="2755613.445378151"/>
    <n v="60"/>
    <n v="400"/>
    <n v="60"/>
    <n v="250"/>
    <n v="250"/>
    <n v="0"/>
    <n v="5928000"/>
    <n v="884924.9999999999"/>
    <n v="3564281.25"/>
    <n v="0"/>
    <n v="400"/>
    <n v="5527860"/>
    <n v="2016302.521008403"/>
    <n v="90"/>
    <n v="340"/>
    <n v="90"/>
    <n v="0"/>
    <n v="0"/>
    <n v="0"/>
    <n v="5038800"/>
    <n v="1327387.5"/>
    <n v="0"/>
    <n v="0"/>
    <n v="340"/>
    <n v="5038800"/>
    <n v="3024453.781512605"/>
    <n v="65"/>
    <n v="250"/>
    <n v="65"/>
    <n v="0"/>
    <n v="0"/>
    <m/>
    <n v="3687187.5"/>
    <n v="958668.7499999999"/>
    <n v="0"/>
    <n v="0"/>
    <n v="250"/>
    <n v="3687187.5"/>
    <n v="2184327.731092437"/>
    <n v="50"/>
    <n v="185"/>
    <n v="50"/>
    <n v="0"/>
    <n v="0"/>
    <n v="0"/>
    <m/>
    <n v="2728518.75"/>
    <n v="737437.4999999999"/>
    <n v="0"/>
    <n v="0"/>
    <n v="185"/>
    <n v="2728518.75"/>
    <n v="1470168.067226891"/>
    <n v="45"/>
    <n v="135"/>
    <n v="45"/>
    <n v="0"/>
    <n v="0"/>
    <n v="1991081.25"/>
    <n v="663693.7499999999"/>
    <n v="0"/>
    <n v="0"/>
    <n v="135"/>
    <n v="1991081.25"/>
    <n v="1389308.823529412"/>
    <n v="50"/>
    <n v="90"/>
    <n v="50"/>
    <n v="0"/>
    <n v="0"/>
    <n v="1327387.5"/>
    <n v="737437.4999999999"/>
    <n v="0"/>
    <n v="90"/>
    <n v="1327387.5"/>
    <n v="1680252.100840336"/>
    <n v="27"/>
    <n v="40"/>
    <n v="27"/>
    <n v="0"/>
    <m/>
    <n v="589949.9999999999"/>
    <n v="400140"/>
    <n v="0"/>
    <n v="40"/>
    <n v="589949.9999999999"/>
    <n v="907336.1344537814"/>
  </r>
  <r>
    <s v="Simplit-Menaje de Cocina"/>
    <x v="2"/>
    <x v="17"/>
    <x v="48"/>
    <s v="SIMCUHOL-5"/>
    <x v="478"/>
    <x v="325"/>
    <x v="0"/>
    <x v="4"/>
    <n v="0.8"/>
    <x v="279"/>
    <n v="180"/>
    <m/>
    <n v="0"/>
    <n v="21523"/>
    <n v="3874140"/>
    <n v="21.98"/>
    <n v="24013.15"/>
    <n v="50411.76470588236"/>
    <n v="42008.40336134454"/>
    <s v="Shenzhen"/>
    <s v="30/70"/>
    <n v="60"/>
    <n v="300"/>
    <n v="35"/>
    <n v="0.5004669617151666"/>
    <n v="3"/>
    <n v="0.5966833894577692"/>
    <n v="5"/>
    <n v="0.6034750612590372"/>
    <n v="22"/>
    <n v="0.493700920280932"/>
    <n v="20"/>
    <n v="0.5343574028471769"/>
    <n v="79"/>
    <n v="0.4511486934270019"/>
    <n v="42"/>
    <n v="0.4713737421885402"/>
    <n v="73"/>
    <n v="0.4504438149853616"/>
    <n v="56"/>
    <n v="0.4945808501640116"/>
    <n v="72"/>
    <n v="0.4961256684843404"/>
    <n v="26"/>
    <n v="0.568074196682598"/>
    <n v="29"/>
    <n v="0.577353842383551"/>
    <n v="27"/>
    <s v=""/>
    <n v="6"/>
    <s v=""/>
    <n v="2"/>
    <s v=""/>
    <n v="12"/>
    <s v=""/>
    <n v="0.2666666666666667"/>
    <n v="20"/>
    <s v=""/>
    <n v="0.5"/>
    <n v="68"/>
    <s v=""/>
    <n v="0.7555555555555555"/>
    <n v="20"/>
    <s v=""/>
    <n v="0.3333333333333333"/>
    <n v="35"/>
    <n v="38"/>
    <n v="35"/>
    <n v="0"/>
    <n v="0"/>
    <n v="0"/>
    <n v="990058"/>
    <n v="864473.4"/>
    <n v="753305"/>
    <n v="0"/>
    <n v="180"/>
    <n v="3874140"/>
    <n v="1482698.961937716"/>
    <n v="0"/>
    <n v="25"/>
    <n v="9"/>
    <n v="300"/>
    <n v="300"/>
    <n v="0"/>
    <n v="495029"/>
    <n v="568732.5"/>
    <n v="193707"/>
    <n v="0"/>
    <n v="180"/>
    <n v="3874140"/>
    <n v="381265.4473554128"/>
    <n v="30"/>
    <n v="21"/>
    <n v="2"/>
    <n v="0"/>
    <n v="0"/>
    <n v="1029299.6"/>
    <n v="451983"/>
    <n v="43046"/>
    <n v="0"/>
    <n v="180"/>
    <n v="3874140"/>
    <n v="100823.5294117647"/>
    <n v="45"/>
    <n v="293"/>
    <n v="12"/>
    <n v="0"/>
    <n v="0"/>
    <n v="6665544.899999999"/>
    <n v="258276"/>
    <n v="0"/>
    <n v="0"/>
    <n v="180"/>
    <n v="3874140"/>
    <n v="604941.1764705883"/>
    <n v="40"/>
    <n v="200"/>
    <n v="32"/>
    <m/>
    <n v="0"/>
    <n v="0"/>
    <n v="4304600"/>
    <n v="727977.6"/>
    <n v="0"/>
    <n v="0"/>
    <n v="180"/>
    <n v="3874140"/>
    <n v="1613176.470588235"/>
    <n v="90"/>
    <n v="248"/>
    <n v="68"/>
    <m/>
    <n v="0"/>
    <n v="0"/>
    <n v="5337704"/>
    <n v="1546952.4"/>
    <n v="0"/>
    <n v="0"/>
    <n v="248"/>
    <n v="3874140"/>
    <n v="3428000"/>
    <n v="60"/>
    <n v="200"/>
    <n v="48"/>
    <n v="0"/>
    <n v="0"/>
    <n v="0"/>
    <n v="4304600"/>
    <n v="1091966.4"/>
    <n v="0"/>
    <n v="0"/>
    <n v="200"/>
    <n v="3874140"/>
    <n v="2419764.705882353"/>
    <n v="75"/>
    <n v="152"/>
    <n v="60"/>
    <n v="0"/>
    <n v="0"/>
    <n v="0"/>
    <n v="3271496"/>
    <n v="1364958"/>
    <n v="0"/>
    <n v="0"/>
    <n v="152"/>
    <n v="3271496"/>
    <n v="3024705.882352941"/>
    <n v="60"/>
    <n v="92"/>
    <n v="48"/>
    <n v="250"/>
    <n v="100"/>
    <n v="0"/>
    <n v="2092935.6"/>
    <n v="1091966.4"/>
    <n v="5687325"/>
    <n v="0"/>
    <n v="92"/>
    <n v="2092935.6"/>
    <n v="2419764.705882353"/>
    <n v="70"/>
    <n v="144"/>
    <n v="56"/>
    <n v="0"/>
    <n v="0"/>
    <n v="0"/>
    <n v="100"/>
    <n v="3275899.2"/>
    <n v="1273960.8"/>
    <n v="0"/>
    <n v="2274930"/>
    <n v="144"/>
    <n v="5550829.199999999"/>
    <n v="2352470.588235294"/>
    <n v="50"/>
    <n v="88"/>
    <n v="40"/>
    <n v="0"/>
    <n v="0"/>
    <n v="2001938.4"/>
    <n v="909972"/>
    <n v="0"/>
    <n v="0"/>
    <n v="88"/>
    <n v="2001938.4"/>
    <n v="1764352.941176471"/>
    <n v="60"/>
    <n v="48"/>
    <n v="48"/>
    <n v="0"/>
    <n v="0"/>
    <n v="1091966.4"/>
    <n v="1091966.4"/>
    <n v="0"/>
    <n v="48"/>
    <n v="1091966.4"/>
    <n v="2419764.705882353"/>
    <n v="30"/>
    <n v="0"/>
    <n v="24"/>
    <n v="0"/>
    <m/>
    <n v="0"/>
    <n v="516552"/>
    <n v="0"/>
    <n v="0"/>
    <n v="0"/>
    <n v="1209882.352941177"/>
  </r>
  <r>
    <m/>
    <x v="2"/>
    <x v="17"/>
    <x v="48"/>
    <s v="SIMCENVER-CR"/>
    <x v="479"/>
    <x v="326"/>
    <x v="0"/>
    <x v="4"/>
    <n v="1"/>
    <x v="280"/>
    <n v="30"/>
    <m/>
    <n v="0"/>
    <n v="3049"/>
    <n v="91470"/>
    <n v="2.77"/>
    <n v="3026.225"/>
    <n v="12596.63865546219"/>
    <n v="10915.96638655462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16"/>
    <n v="0.7502277845181047"/>
    <n v="20"/>
    <n v="0.7315961463369907"/>
    <n v="30"/>
    <n v="0.7828478113661718"/>
    <n v="9"/>
    <s v=""/>
    <n v="24"/>
    <s v=""/>
    <n v="48"/>
    <s v=""/>
    <n v="33"/>
    <s v=""/>
    <n v="0.825"/>
    <n v="17"/>
    <s v=""/>
    <n v="0.4857142857142857"/>
    <n v="52"/>
    <s v=""/>
    <n v="0.9454545454545454"/>
    <n v="19"/>
    <s v=""/>
    <n v="0.475"/>
    <n v="30"/>
    <n v="240"/>
    <n v="20"/>
    <n v="0"/>
    <n v="0"/>
    <n v="0"/>
    <n v="317096"/>
    <n v="688068"/>
    <n v="60980"/>
    <n v="0"/>
    <n v="30"/>
    <n v="91470"/>
    <n v="211708.2126968435"/>
    <n v="25"/>
    <n v="231"/>
    <n v="36"/>
    <n v="0"/>
    <n v="0"/>
    <n v="0"/>
    <n v="356733"/>
    <n v="662265.45"/>
    <n v="109764"/>
    <n v="0"/>
    <n v="30"/>
    <n v="91470"/>
    <n v="381074.7828543183"/>
    <n v="45"/>
    <n v="209"/>
    <n v="48"/>
    <n v="0"/>
    <n v="0"/>
    <n v="347312.25"/>
    <n v="637241"/>
    <n v="146352"/>
    <n v="0"/>
    <n v="30"/>
    <n v="91470"/>
    <n v="604638.6554621849"/>
    <n v="40"/>
    <n v="141"/>
    <n v="33"/>
    <n v="200"/>
    <n v="0"/>
    <n v="404239.95"/>
    <n v="100617"/>
    <n v="573390"/>
    <n v="0"/>
    <n v="30"/>
    <n v="91470"/>
    <n v="415689.0756302521"/>
    <n v="35"/>
    <n v="47"/>
    <n v="35"/>
    <m/>
    <n v="0"/>
    <n v="0"/>
    <n v="143303"/>
    <n v="100343.25"/>
    <n v="0"/>
    <n v="0"/>
    <n v="30"/>
    <n v="91470"/>
    <n v="440882.3529411765"/>
    <n v="55"/>
    <n v="82"/>
    <n v="52"/>
    <m/>
    <n v="0"/>
    <n v="0"/>
    <n v="250018"/>
    <n v="149081.4"/>
    <n v="0"/>
    <n v="0"/>
    <n v="82"/>
    <n v="91470"/>
    <n v="655025.2100840337"/>
    <n v="40"/>
    <n v="49"/>
    <n v="40"/>
    <n v="0"/>
    <n v="0"/>
    <n v="0"/>
    <n v="149401"/>
    <n v="114678"/>
    <n v="0"/>
    <n v="0"/>
    <n v="49"/>
    <n v="91470"/>
    <n v="503865.5462184874"/>
    <n v="35"/>
    <n v="9"/>
    <n v="35"/>
    <n v="0"/>
    <n v="200"/>
    <n v="0"/>
    <n v="27441"/>
    <n v="100343.25"/>
    <n v="0"/>
    <n v="0"/>
    <n v="209"/>
    <n v="27441"/>
    <n v="440882.3529411765"/>
    <n v="40"/>
    <n v="0"/>
    <n v="40"/>
    <n v="0"/>
    <n v="0"/>
    <n v="200"/>
    <n v="0"/>
    <n v="114678"/>
    <n v="0"/>
    <n v="573390"/>
    <n v="200"/>
    <n v="573390"/>
    <n v="503865.5462184874"/>
    <n v="50"/>
    <n v="160"/>
    <n v="50"/>
    <n v="0"/>
    <n v="0"/>
    <n v="0"/>
    <m/>
    <n v="458712"/>
    <n v="143347.5"/>
    <n v="0"/>
    <n v="0"/>
    <n v="160"/>
    <n v="458712"/>
    <n v="545798.3193277312"/>
    <n v="40"/>
    <n v="110"/>
    <n v="40"/>
    <n v="0"/>
    <n v="0"/>
    <n v="315364.5"/>
    <n v="114678"/>
    <n v="0"/>
    <n v="0"/>
    <n v="110"/>
    <n v="315364.5"/>
    <n v="458470.5882352942"/>
    <n v="70"/>
    <n v="70"/>
    <n v="70"/>
    <n v="0"/>
    <n v="0"/>
    <n v="200686.5"/>
    <n v="200686.5"/>
    <n v="0"/>
    <n v="70"/>
    <n v="200686.5"/>
    <n v="881764.705882353"/>
    <n v="24"/>
    <n v="0"/>
    <n v="24"/>
    <n v="0"/>
    <m/>
    <n v="0"/>
    <n v="73176"/>
    <n v="0"/>
    <n v="0"/>
    <n v="0"/>
    <n v="302319.3277310925"/>
  </r>
  <r>
    <s v="Simplit-Menaje de Cocina"/>
    <x v="2"/>
    <x v="17"/>
    <x v="45"/>
    <s v="SIMO28TOUL"/>
    <x v="480"/>
    <x v="327"/>
    <x v="0"/>
    <x v="6"/>
    <n v="1.8"/>
    <x v="12"/>
    <n v="0"/>
    <m/>
    <n v="0"/>
    <n v="20545"/>
    <n v="0"/>
    <n v="17.52"/>
    <n v="19140.6"/>
    <n v="29403.36134453782"/>
    <n v="25201.68067226891"/>
    <s v="Ningbo"/>
    <s v="20/80"/>
    <n v="45"/>
    <n v="600"/>
    <n v="6"/>
    <n v="0.507656545807472"/>
    <n v="2"/>
    <n v="0.3648560917550314"/>
    <n v="4"/>
    <n v="0.4612673655725067"/>
    <n v="11"/>
    <n v="0.4236495449390246"/>
    <n v="7"/>
    <n v="0.4992505209793193"/>
    <n v="23"/>
    <n v="0.3383045635063973"/>
    <n v="25"/>
    <n v="0.3968697308473308"/>
    <n v="31"/>
    <n v="0.2410421959870562"/>
    <n v="29"/>
    <n v="0.227553480197069"/>
    <n v="214"/>
    <n v="-0.1484392368364368"/>
    <n v="28"/>
    <n v="0.3120384549103803"/>
    <n v="34"/>
    <n v="0.3133066816928772"/>
    <n v="25"/>
    <s v=""/>
    <n v="44"/>
    <s v=""/>
    <n v="51"/>
    <s v=""/>
    <n v="34"/>
    <s v=""/>
    <n v="1.7"/>
    <n v="26"/>
    <s v=""/>
    <n v="1.3"/>
    <n v="-3"/>
    <s v=""/>
    <n v="-0.1153846153846154"/>
    <n v="0"/>
    <s v=""/>
    <n v="0"/>
    <n v="25"/>
    <n v="182"/>
    <n v="30"/>
    <n v="0"/>
    <n v="0"/>
    <n v="0"/>
    <n v="3020115"/>
    <n v="3300242.399999999"/>
    <n v="616350"/>
    <n v="0"/>
    <n v="0"/>
    <n v="0"/>
    <n v="741261.2103664996"/>
    <n v="25"/>
    <n v="156"/>
    <n v="66"/>
    <n v="0"/>
    <n v="0"/>
    <n v="0"/>
    <n v="3102295"/>
    <n v="2828779.2"/>
    <n v="1355970"/>
    <n v="0"/>
    <n v="0"/>
    <n v="0"/>
    <n v="1630774.662806299"/>
    <n v="25"/>
    <n v="51"/>
    <n v="51"/>
    <n v="0"/>
    <n v="0"/>
    <n v="2399120.2"/>
    <n v="1047795"/>
    <n v="1047795"/>
    <n v="0"/>
    <n v="0"/>
    <n v="0"/>
    <n v="1499571.428571429"/>
    <n v="20"/>
    <n v="68"/>
    <n v="34"/>
    <n v="0"/>
    <n v="0"/>
    <n v="1233057.6"/>
    <n v="698530"/>
    <n v="0"/>
    <n v="0"/>
    <n v="0"/>
    <n v="0"/>
    <n v="999714.2857142858"/>
    <n v="20"/>
    <n v="26"/>
    <n v="36"/>
    <m/>
    <n v="0"/>
    <n v="0"/>
    <n v="534170"/>
    <n v="652795.2"/>
    <n v="0"/>
    <n v="0"/>
    <n v="0"/>
    <n v="0"/>
    <n v="1058521.008403362"/>
    <n v="26"/>
    <n v="-3"/>
    <n v="-3"/>
    <m/>
    <n v="0"/>
    <n v="0"/>
    <n v="-61635"/>
    <n v="-54399.59999999999"/>
    <n v="0"/>
    <n v="0"/>
    <n v="-3"/>
    <n v="0"/>
    <n v="-88210.08403361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Mundo Café"/>
    <x v="2"/>
    <x v="18"/>
    <x v="49"/>
    <n v="1630369674271"/>
    <x v="481"/>
    <x v="328"/>
    <x v="0"/>
    <x v="3"/>
    <n v="1"/>
    <x v="281"/>
    <n v="383"/>
    <m/>
    <n v="0"/>
    <n v="3204"/>
    <n v="1227132"/>
    <n v="2.95"/>
    <n v="3222.875"/>
    <n v="8394.957983193277"/>
    <n v="8394.957983193277"/>
    <s v="Shenzhen"/>
    <s v="30/70"/>
    <n v="30"/>
    <n v="300"/>
    <n v="68"/>
    <n v="0.6619229830745129"/>
    <n v="82"/>
    <n v="0.5757532242414646"/>
    <n v="159"/>
    <n v="0.6360106087594413"/>
    <n v="23"/>
    <n v="0.6986673312252898"/>
    <n v="13"/>
    <n v="0.4496104042865175"/>
    <n v="93"/>
    <n v="0.6576734357855023"/>
    <n v="81"/>
    <n v="0.6827868019896786"/>
    <n v="106"/>
    <n v="0.6437253136038982"/>
    <n v="81"/>
    <n v="0.6309347687859503"/>
    <n v="159"/>
    <n v="0.6349911340108025"/>
    <n v="110"/>
    <n v="0.6371012529665262"/>
    <n v="12"/>
    <n v="0.6301317075530846"/>
    <n v="85"/>
    <n v="0.1512068173470764"/>
    <n v="127"/>
    <n v="0.3511234511045258"/>
    <n v="238"/>
    <n v="0.3515947785523625"/>
    <n v="152"/>
    <n v="0.3413015965573506"/>
    <n v="0.95"/>
    <n v="6"/>
    <n v="0.753344003414426"/>
    <n v="0.05"/>
    <n v="170"/>
    <n v="0.5344359912408139"/>
    <n v="0.85"/>
    <n v="0"/>
    <n v="0.3522405476733733"/>
    <n v="0"/>
    <n v="103"/>
    <n v="605"/>
    <n v="65"/>
    <n v="300"/>
    <n v="300"/>
    <n v="0"/>
    <n v="1581174"/>
    <n v="1847216.25"/>
    <n v="208260"/>
    <n v="0"/>
    <n v="383"/>
    <n v="1227132"/>
    <n v="458548.1251324059"/>
    <n v="80"/>
    <n v="517"/>
    <n v="190.5"/>
    <n v="0"/>
    <n v="0"/>
    <n v="0"/>
    <n v="1859922"/>
    <n v="1578530.25"/>
    <n v="610362"/>
    <n v="0"/>
    <n v="383"/>
    <n v="1227132"/>
    <n v="1343898.735964974"/>
    <n v="150"/>
    <n v="310"/>
    <n v="238"/>
    <n v="0"/>
    <n v="0"/>
    <n v="1615950"/>
    <n v="993240"/>
    <n v="762552"/>
    <n v="0"/>
    <n v="383"/>
    <n v="1227132"/>
    <n v="1998000"/>
    <n v="160"/>
    <n v="156"/>
    <n v="152"/>
    <n v="0"/>
    <n v="0"/>
    <n v="476306.9999999999"/>
    <n v="487008"/>
    <n v="0"/>
    <n v="0"/>
    <n v="383"/>
    <n v="1227132"/>
    <n v="1276033.613445378"/>
    <n v="120"/>
    <n v="389"/>
    <n v="120"/>
    <m/>
    <n v="0"/>
    <n v="0"/>
    <n v="1246356"/>
    <n v="366389.9999999999"/>
    <n v="0"/>
    <n v="0"/>
    <n v="383"/>
    <n v="1227132"/>
    <n v="1007394.957983193"/>
    <n v="200"/>
    <n v="553"/>
    <n v="170"/>
    <m/>
    <n v="300"/>
    <n v="0"/>
    <n v="1771812"/>
    <n v="519052.4999999999"/>
    <n v="0"/>
    <n v="0"/>
    <n v="553"/>
    <n v="1227132"/>
    <n v="1427142.857142857"/>
    <n v="120"/>
    <n v="383"/>
    <n v="120"/>
    <n v="300"/>
    <n v="300"/>
    <n v="0"/>
    <n v="1227132"/>
    <n v="366389.9999999999"/>
    <n v="885442.5"/>
    <n v="0"/>
    <n v="383"/>
    <n v="1227132"/>
    <n v="1007394.957983193"/>
    <n v="150"/>
    <n v="263"/>
    <n v="150"/>
    <n v="0"/>
    <n v="0"/>
    <n v="0"/>
    <n v="842652"/>
    <n v="457987.4999999999"/>
    <n v="0"/>
    <n v="0"/>
    <n v="263"/>
    <n v="842652"/>
    <n v="1259243.697478991"/>
    <n v="120"/>
    <n v="113"/>
    <n v="120"/>
    <n v="300"/>
    <n v="150"/>
    <n v="0"/>
    <n v="345017.2499999999"/>
    <n v="366389.9999999999"/>
    <n v="915974.9999999999"/>
    <n v="0"/>
    <n v="113"/>
    <n v="345017.2499999999"/>
    <n v="1007394.957983193"/>
    <n v="150"/>
    <n v="150"/>
    <n v="150"/>
    <n v="0"/>
    <n v="0"/>
    <n v="0"/>
    <n v="150"/>
    <n v="457987.4999999999"/>
    <n v="457987.4999999999"/>
    <n v="0"/>
    <n v="457987.4999999999"/>
    <n v="150"/>
    <n v="915974.9999999999"/>
    <n v="1259243.697478991"/>
    <n v="90"/>
    <n v="0"/>
    <n v="90"/>
    <n v="0"/>
    <n v="0"/>
    <n v="0"/>
    <n v="274792.4999999999"/>
    <n v="0"/>
    <n v="0"/>
    <n v="0"/>
    <n v="0"/>
    <n v="793323.5294117647"/>
    <n v="180"/>
    <n v="0"/>
    <n v="180"/>
    <n v="0"/>
    <n v="0"/>
    <n v="0"/>
    <n v="549584.9999999999"/>
    <n v="0"/>
    <n v="0"/>
    <n v="0"/>
    <n v="1511092.43697479"/>
    <n v="54"/>
    <n v="0"/>
    <n v="54"/>
    <n v="0"/>
    <m/>
    <n v="0"/>
    <n v="173016"/>
    <n v="0"/>
    <n v="0"/>
    <n v="0"/>
    <n v="453327.7310924369"/>
  </r>
  <r>
    <s v="Simplit-Mundo Café"/>
    <x v="2"/>
    <x v="18"/>
    <x v="49"/>
    <n v="1629726159155"/>
    <x v="482"/>
    <x v="329"/>
    <x v="0"/>
    <x v="4"/>
    <n v="1"/>
    <x v="282"/>
    <n v="4"/>
    <m/>
    <n v="0"/>
    <n v="5928.811820548155"/>
    <n v="23715.24728219262"/>
    <n v="6.35"/>
    <n v="6937.374999999999"/>
    <n v="14277.31092436975"/>
    <n v="14277.31092436975"/>
    <s v="Shenzhen"/>
    <s v="30/70"/>
    <n v="30"/>
    <n v="200"/>
    <n v="53"/>
    <n v="0.4699766020415954"/>
    <n v="63"/>
    <n v="0.4200005414135144"/>
    <n v="123"/>
    <n v="0.472052592593097"/>
    <n v="68"/>
    <n v="0.5072607416313285"/>
    <n v="47"/>
    <n v="0.4316304670525455"/>
    <n v="25"/>
    <n v="0.559243562977356"/>
    <n v="68"/>
    <n v="0.4986852951145322"/>
    <n v="50"/>
    <n v="0.6033288509326853"/>
    <n v="37"/>
    <n v="0.5083251118820242"/>
    <n v="99"/>
    <n v="0.4630307071194623"/>
    <n v="98"/>
    <n v="0.4846477697438995"/>
    <n v="177"/>
    <n v="0.5020875108916604"/>
    <n v="55"/>
    <n v="0.2989538723650215"/>
    <n v="17"/>
    <n v="0.3286569090965143"/>
    <n v="33"/>
    <n v="0.3602347779251809"/>
    <n v="169"/>
    <n v="0.4005220791299735"/>
    <n v="2.414285714285714"/>
    <n v="176"/>
    <n v="0.4394592712636921"/>
    <n v="3.52"/>
    <n v="86"/>
    <n v="0.3959299396250971"/>
    <n v="0.7166666666666667"/>
    <n v="15"/>
    <n v="0.3895893931006925"/>
    <n v="0.15"/>
    <n v="60"/>
    <n v="78"/>
    <n v="78"/>
    <n v="0"/>
    <n v="0"/>
    <n v="0"/>
    <n v="809282.8135048233"/>
    <n v="512635.4999999999"/>
    <n v="462447.3220027561"/>
    <n v="0"/>
    <n v="4"/>
    <n v="23715.24728219262"/>
    <n v="935823.7412612105"/>
    <n v="0"/>
    <n v="24"/>
    <n v="25.5"/>
    <n v="200"/>
    <n v="200"/>
    <n v="0"/>
    <n v="1348804.689174705"/>
    <n v="157734"/>
    <n v="151184.701423978"/>
    <n v="0"/>
    <n v="4"/>
    <n v="23715.24728219262"/>
    <n v="305942.3769507803"/>
    <n v="120"/>
    <n v="37"/>
    <n v="33"/>
    <n v="0"/>
    <n v="0"/>
    <n v="1526232.487750727"/>
    <n v="219366.0373602817"/>
    <n v="195650.7900780891"/>
    <n v="0"/>
    <n v="4"/>
    <n v="23715.24728219262"/>
    <n v="471151.2605042017"/>
    <n v="70"/>
    <n v="299"/>
    <n v="169"/>
    <n v="200"/>
    <n v="0"/>
    <n v="1965102.75"/>
    <n v="1001969.197672638"/>
    <n v="1314450"/>
    <n v="0"/>
    <n v="4"/>
    <n v="23715.24728219262"/>
    <n v="2412865.546218487"/>
    <n v="50"/>
    <n v="180"/>
    <n v="50"/>
    <m/>
    <n v="0"/>
    <n v="0"/>
    <n v="1067186.127698668"/>
    <n v="328612.4999999999"/>
    <n v="0"/>
    <n v="0"/>
    <n v="4"/>
    <n v="23715.24728219262"/>
    <n v="713865.5462184874"/>
    <n v="120"/>
    <n v="90"/>
    <n v="86"/>
    <m/>
    <n v="80"/>
    <n v="0"/>
    <n v="533593.0638493339"/>
    <n v="565213.4999999999"/>
    <n v="0"/>
    <n v="0"/>
    <n v="90"/>
    <n v="23715.24728219262"/>
    <n v="1227848.739495798"/>
    <n v="100"/>
    <n v="19"/>
    <n v="100"/>
    <n v="200"/>
    <n v="200"/>
    <n v="0"/>
    <n v="112647.4245904149"/>
    <n v="657224.9999999999"/>
    <n v="1270635"/>
    <n v="0"/>
    <n v="19"/>
    <n v="23715.24728219262"/>
    <n v="1427731.092436975"/>
    <n v="90"/>
    <n v="0"/>
    <n v="90"/>
    <n v="100"/>
    <n v="100"/>
    <n v="0"/>
    <n v="0"/>
    <n v="591502.4999999999"/>
    <n v="657224.9999999999"/>
    <n v="0"/>
    <n v="100"/>
    <n v="0"/>
    <n v="1284957.983193277"/>
    <n v="80"/>
    <n v="0"/>
    <n v="80"/>
    <n v="0"/>
    <n v="0"/>
    <n v="100"/>
    <n v="0"/>
    <n v="525779.9999999999"/>
    <n v="0"/>
    <n v="657224.9999999999"/>
    <n v="100"/>
    <n v="657224.9999999999"/>
    <n v="1142184.87394958"/>
    <n v="100"/>
    <n v="220"/>
    <n v="100"/>
    <n v="0"/>
    <n v="0"/>
    <n v="0"/>
    <n v="200"/>
    <n v="1445895"/>
    <n v="657224.9999999999"/>
    <n v="0"/>
    <n v="1314450"/>
    <n v="220"/>
    <n v="2760345"/>
    <n v="1427731.092436975"/>
    <n v="70"/>
    <n v="120"/>
    <n v="70"/>
    <n v="0"/>
    <n v="0"/>
    <n v="788669.9999999999"/>
    <n v="460057.4999999999"/>
    <n v="0"/>
    <n v="0"/>
    <n v="120"/>
    <n v="788669.9999999999"/>
    <n v="1049382.352941177"/>
    <n v="150"/>
    <n v="50"/>
    <n v="150"/>
    <n v="0"/>
    <n v="0"/>
    <n v="328612.4999999999"/>
    <n v="985837.4999999999"/>
    <n v="0"/>
    <n v="50"/>
    <n v="328612.4999999999"/>
    <n v="2141596.638655462"/>
    <n v="42"/>
    <n v="0"/>
    <n v="42"/>
    <n v="0"/>
    <m/>
    <n v="0"/>
    <n v="249010.0964630225"/>
    <n v="0"/>
    <n v="0"/>
    <n v="0"/>
    <n v="599647.0588235295"/>
  </r>
  <r>
    <s v="Simplit-Mundo Café"/>
    <x v="2"/>
    <x v="18"/>
    <x v="49"/>
    <n v="1652825295706"/>
    <x v="483"/>
    <x v="330"/>
    <x v="0"/>
    <x v="3"/>
    <n v="1"/>
    <x v="283"/>
    <n v="247"/>
    <m/>
    <n v="0"/>
    <n v="5345.638895605107"/>
    <n v="1320372.807214461"/>
    <n v="5.6"/>
    <n v="6117.999999999999"/>
    <n v="19319.32773109244"/>
    <n v="19319.32773109244"/>
    <s v="Shenzhen"/>
    <s v="30/70"/>
    <n v="30"/>
    <n v="200"/>
    <n v="60"/>
    <n v="0.670706189271785"/>
    <n v="45"/>
    <n v="0.5657471650609542"/>
    <n v="85"/>
    <n v="0.6831466989472081"/>
    <n v="5"/>
    <s v=""/>
    <n v="0"/>
    <s v=""/>
    <n v="133"/>
    <n v="0.6694588357835176"/>
    <n v="209"/>
    <n v="0.652248719017045"/>
    <n v="78"/>
    <n v="0.6541854397885032"/>
    <n v="110"/>
    <n v="0.6499144058374102"/>
    <n v="95"/>
    <n v="0.6287635405069667"/>
    <n v="79"/>
    <n v="0.6935453257238537"/>
    <n v="144"/>
    <n v="0.7067743567690034"/>
    <n v="84"/>
    <n v="0.5054176043665797"/>
    <n v="92"/>
    <n v="0.45422603099875"/>
    <n v="122"/>
    <n v="0.5206523771078381"/>
    <n v="140"/>
    <n v="0.4615642342434569"/>
    <n v="1"/>
    <n v="127"/>
    <n v="0.6990882237187163"/>
    <n v="1.27"/>
    <n v="-1"/>
    <n v="-0.2059721552830422"/>
    <n v="-0.005555555555555556"/>
    <n v="7"/>
    <n v="0.5299909383523221"/>
    <n v="0.03888888888888889"/>
    <n v="80"/>
    <n v="76"/>
    <n v="76"/>
    <n v="500"/>
    <n v="500"/>
    <n v="0"/>
    <n v="1796134.668923316"/>
    <n v="440496"/>
    <n v="406268.5560659881"/>
    <n v="0"/>
    <n v="247"/>
    <n v="1320372.807214461"/>
    <n v="1233839.418120189"/>
    <n v="80"/>
    <n v="488"/>
    <n v="138"/>
    <n v="0"/>
    <n v="0"/>
    <n v="0"/>
    <n v="2138255.558242043"/>
    <n v="2828448"/>
    <n v="737698.1675935048"/>
    <n v="0"/>
    <n v="247"/>
    <n v="1320372.807214461"/>
    <n v="2240392.627639291"/>
    <n v="100"/>
    <n v="324"/>
    <n v="122"/>
    <n v="0"/>
    <n v="0"/>
    <n v="1980157.390648538"/>
    <n v="1731987.002176055"/>
    <n v="652167.945263823"/>
    <n v="0"/>
    <n v="247"/>
    <n v="1320372.807214461"/>
    <n v="2356957.983193277"/>
    <n v="140"/>
    <n v="272"/>
    <n v="140"/>
    <n v="0"/>
    <n v="0"/>
    <n v="1576512"/>
    <n v="748389.445384715"/>
    <n v="0"/>
    <n v="0"/>
    <n v="247"/>
    <n v="1320372.807214461"/>
    <n v="2704705.882352941"/>
    <n v="100"/>
    <n v="374"/>
    <n v="100"/>
    <m/>
    <n v="0"/>
    <n v="0"/>
    <n v="1999268.94695631"/>
    <n v="579600"/>
    <n v="0"/>
    <n v="0"/>
    <n v="247"/>
    <n v="1320372.807214461"/>
    <n v="1931932.773109244"/>
    <n v="180"/>
    <n v="246"/>
    <n v="-1"/>
    <m/>
    <n v="0"/>
    <n v="0"/>
    <n v="1315027.168318856"/>
    <n v="-5796"/>
    <n v="0"/>
    <n v="0"/>
    <n v="246"/>
    <n v="1320372.807214461"/>
    <n v="-19319.32773109244"/>
    <n v="180"/>
    <n v="254"/>
    <n v="180"/>
    <n v="350"/>
    <n v="350"/>
    <n v="0"/>
    <n v="1357792.279483697"/>
    <n v="1043280"/>
    <n v="1960980"/>
    <n v="0"/>
    <n v="254"/>
    <n v="1320372.807214461"/>
    <n v="3477478.991596639"/>
    <n v="150"/>
    <n v="74"/>
    <n v="150"/>
    <n v="200"/>
    <n v="200"/>
    <n v="0"/>
    <n v="395577.2782747779"/>
    <n v="869400"/>
    <n v="1159200"/>
    <n v="0"/>
    <n v="274"/>
    <n v="395577.2782747779"/>
    <n v="2897899.159663866"/>
    <n v="120"/>
    <n v="0"/>
    <n v="120"/>
    <n v="200"/>
    <n v="200"/>
    <n v="400"/>
    <n v="0"/>
    <n v="695520"/>
    <n v="1159200"/>
    <n v="2318400"/>
    <n v="400"/>
    <n v="2318400"/>
    <n v="2318319.327731092"/>
    <n v="120"/>
    <n v="480"/>
    <n v="120"/>
    <n v="0"/>
    <n v="0"/>
    <n v="0"/>
    <n v="200"/>
    <n v="2782080"/>
    <n v="695520"/>
    <n v="0"/>
    <n v="1159200"/>
    <n v="480"/>
    <n v="3941280"/>
    <n v="2318319.327731092"/>
    <n v="70"/>
    <n v="360"/>
    <n v="70"/>
    <n v="0"/>
    <n v="0"/>
    <n v="2086560"/>
    <n v="405720"/>
    <n v="0"/>
    <n v="0"/>
    <n v="360"/>
    <n v="2086560"/>
    <n v="1419970.588235294"/>
    <n v="130"/>
    <n v="290"/>
    <n v="130"/>
    <n v="0"/>
    <n v="0"/>
    <n v="1680840"/>
    <n v="753480"/>
    <n v="0"/>
    <n v="290"/>
    <n v="1680840"/>
    <n v="2511512.605042017"/>
    <n v="42"/>
    <n v="160"/>
    <n v="42"/>
    <n v="0"/>
    <m/>
    <n v="927360"/>
    <n v="224516.8336154145"/>
    <n v="0"/>
    <n v="160"/>
    <n v="927360"/>
    <n v="811411.7647058824"/>
  </r>
  <r>
    <s v="Simplit-Mundo Café"/>
    <x v="2"/>
    <x v="18"/>
    <x v="49"/>
    <s v="SIMCAFFRCO"/>
    <x v="484"/>
    <x v="331"/>
    <x v="0"/>
    <x v="0"/>
    <n v="1"/>
    <x v="284"/>
    <n v="302"/>
    <m/>
    <n v="0"/>
    <n v="4861"/>
    <n v="1468022"/>
    <n v="4.3"/>
    <n v="4697.75"/>
    <n v="12596.63865546219"/>
    <n v="12596.63865546219"/>
    <s v="Shenzhen"/>
    <s v="30/70"/>
    <n v="30"/>
    <n v="200"/>
    <n v="1"/>
    <n v="0.6613378160678014"/>
    <n v="11"/>
    <n v="0.4995461480152371"/>
    <n v="26"/>
    <n v="0.5918664965552439"/>
    <n v="43"/>
    <n v="0.5802988021814971"/>
    <n v="42"/>
    <n v="0.5576723472076592"/>
    <n v="80"/>
    <n v="0.5548887236444187"/>
    <n v="22"/>
    <n v="0.63717168422049"/>
    <n v="56"/>
    <n v="0.5816301545350294"/>
    <n v="42"/>
    <n v="0.5458392559166402"/>
    <n v="61"/>
    <n v="0.5179855702294532"/>
    <n v="324"/>
    <n v="0.4298832721459818"/>
    <n v="76"/>
    <n v="0.5554569555426507"/>
    <n v="1"/>
    <s v=""/>
    <n v="35"/>
    <s v=""/>
    <n v="53"/>
    <s v=""/>
    <n v="40"/>
    <s v=""/>
    <n v="0.8888888888888888"/>
    <n v="45"/>
    <s v=""/>
    <n v="1"/>
    <n v="105"/>
    <s v=""/>
    <n v="1.05"/>
    <n v="44"/>
    <s v=""/>
    <n v="0.55"/>
    <n v="40"/>
    <n v="32"/>
    <n v="32"/>
    <n v="0"/>
    <n v="0"/>
    <n v="0"/>
    <n v="668387.5"/>
    <n v="142416"/>
    <n v="155552"/>
    <n v="0"/>
    <n v="302"/>
    <n v="1468022"/>
    <n v="338733.1403149496"/>
    <n v="5"/>
    <n v="31"/>
    <n v="52.5"/>
    <n v="200"/>
    <n v="200"/>
    <n v="0"/>
    <n v="707275.5"/>
    <n v="137965.5"/>
    <n v="255202.5"/>
    <n v="0"/>
    <n v="302"/>
    <n v="1468022"/>
    <n v="555734.0583292141"/>
    <n v="60"/>
    <n v="197"/>
    <n v="53"/>
    <n v="0"/>
    <n v="0"/>
    <n v="652345.5"/>
    <n v="957617"/>
    <n v="257633"/>
    <n v="0"/>
    <n v="302"/>
    <n v="1468022"/>
    <n v="667621.8487394959"/>
    <n v="45"/>
    <n v="347"/>
    <n v="40"/>
    <n v="200"/>
    <n v="0"/>
    <n v="1544323.5"/>
    <n v="194440"/>
    <n v="890100"/>
    <n v="0"/>
    <n v="302"/>
    <n v="1468022"/>
    <n v="503865.5462184874"/>
    <n v="45"/>
    <n v="347"/>
    <n v="45"/>
    <m/>
    <n v="0"/>
    <n v="0"/>
    <n v="1686767"/>
    <n v="200272.5"/>
    <n v="0"/>
    <n v="0"/>
    <n v="302"/>
    <n v="1468022"/>
    <n v="566848.7394957984"/>
    <n v="100"/>
    <n v="407"/>
    <n v="105"/>
    <m/>
    <n v="0"/>
    <n v="0"/>
    <n v="1978427"/>
    <n v="467302.5"/>
    <n v="0"/>
    <n v="0"/>
    <n v="407"/>
    <n v="1468022"/>
    <n v="1322647.05882353"/>
    <n v="80"/>
    <n v="346"/>
    <n v="80"/>
    <n v="200"/>
    <n v="200"/>
    <n v="0"/>
    <n v="1681906"/>
    <n v="356040"/>
    <n v="860429.9999999999"/>
    <n v="0"/>
    <n v="346"/>
    <n v="1468022"/>
    <n v="1007731.092436975"/>
    <n v="80"/>
    <n v="266"/>
    <n v="80"/>
    <n v="0"/>
    <n v="0"/>
    <n v="0"/>
    <n v="1293026"/>
    <n v="356040"/>
    <n v="0"/>
    <n v="0"/>
    <n v="266"/>
    <n v="1293026"/>
    <n v="1007731.092436975"/>
    <n v="60"/>
    <n v="186"/>
    <n v="60"/>
    <n v="0"/>
    <n v="0"/>
    <m/>
    <n v="827793"/>
    <n v="267030"/>
    <n v="0"/>
    <n v="0"/>
    <n v="186"/>
    <n v="827793"/>
    <n v="755798.3193277312"/>
    <n v="100"/>
    <n v="126"/>
    <n v="100"/>
    <n v="0"/>
    <n v="0"/>
    <n v="0"/>
    <m/>
    <n v="560763"/>
    <n v="445050"/>
    <n v="0"/>
    <n v="0"/>
    <n v="126"/>
    <n v="560763"/>
    <n v="1259663.865546219"/>
    <n v="50"/>
    <n v="26"/>
    <n v="50"/>
    <n v="0"/>
    <n v="0"/>
    <n v="115713"/>
    <n v="222525"/>
    <n v="0"/>
    <n v="0"/>
    <n v="26"/>
    <n v="115713"/>
    <n v="661323.5294117648"/>
    <n v="100"/>
    <n v="0"/>
    <n v="100"/>
    <n v="0"/>
    <n v="0"/>
    <n v="0"/>
    <n v="445050"/>
    <n v="0"/>
    <n v="0"/>
    <n v="0"/>
    <n v="1259663.865546219"/>
    <n v="30"/>
    <n v="0"/>
    <n v="30"/>
    <n v="0"/>
    <m/>
    <n v="0"/>
    <n v="145830"/>
    <n v="0"/>
    <n v="0"/>
    <n v="0"/>
    <n v="377899.1596638656"/>
  </r>
  <r>
    <m/>
    <x v="2"/>
    <x v="18"/>
    <x v="49"/>
    <s v="SMCFIT4LC-GR"/>
    <x v="485"/>
    <x v="332"/>
    <x v="0"/>
    <x v="2"/>
    <n v="1"/>
    <x v="12"/>
    <n v="0"/>
    <m/>
    <n v="0"/>
    <n v="3601.8"/>
    <n v="0"/>
    <n v="3.6"/>
    <n v="3601.8"/>
    <n v="9080.16806722689"/>
    <n v="7718.142857142857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720360"/>
    <n v="0"/>
    <n v="0"/>
    <n v="0"/>
    <n v="0"/>
    <n v="50"/>
    <n v="0"/>
    <n v="50"/>
    <n v="0"/>
    <n v="200"/>
    <n v="0"/>
    <n v="0"/>
    <n v="186300"/>
    <n v="0"/>
    <n v="0"/>
    <n v="200"/>
    <n v="0"/>
    <n v="454008.4033613445"/>
    <n v="77"/>
    <n v="0"/>
    <n v="77"/>
    <n v="0"/>
    <n v="0"/>
    <n v="200"/>
    <n v="0"/>
    <n v="286901.9999999999"/>
    <n v="0"/>
    <n v="745199.9999999999"/>
    <n v="200"/>
    <n v="745199.9999999999"/>
    <n v="699172.9411764706"/>
    <n v="60"/>
    <n v="123"/>
    <n v="60"/>
    <n v="0"/>
    <n v="0"/>
    <n v="0"/>
    <m/>
    <n v="458297.9999999999"/>
    <n v="223560"/>
    <n v="0"/>
    <n v="0"/>
    <n v="123"/>
    <n v="458297.9999999999"/>
    <n v="463088.5714285714"/>
    <n v="40"/>
    <n v="63"/>
    <n v="40"/>
    <n v="200"/>
    <n v="200"/>
    <n v="234738"/>
    <n v="149040"/>
    <n v="745199.9999999999"/>
    <n v="745199.9999999999"/>
    <n v="263"/>
    <n v="979937.9999999999"/>
    <n v="324162"/>
    <n v="60"/>
    <n v="223"/>
    <n v="60"/>
    <n v="0"/>
    <n v="0"/>
    <n v="830897.9999999999"/>
    <n v="223560"/>
    <n v="0"/>
    <n v="223"/>
    <n v="830897.9999999999"/>
    <n v="544810.0840336134"/>
    <n v="24"/>
    <n v="163"/>
    <n v="24"/>
    <n v="0"/>
    <m/>
    <n v="607337.9999999999"/>
    <n v="86443.2"/>
    <n v="0"/>
    <n v="163"/>
    <n v="607337.9999999999"/>
    <n v="217924.0336134454"/>
  </r>
  <r>
    <m/>
    <x v="2"/>
    <x v="18"/>
    <x v="49"/>
    <s v="SMCFIT4SV-WH"/>
    <x v="486"/>
    <x v="333"/>
    <x v="0"/>
    <x v="2"/>
    <n v="1"/>
    <x v="12"/>
    <n v="0"/>
    <m/>
    <n v="0"/>
    <n v="4002"/>
    <n v="0"/>
    <n v="4"/>
    <n v="4002"/>
    <n v="10089.0756302521"/>
    <n v="8575.714285714284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800399.9999999999"/>
    <n v="0"/>
    <n v="0"/>
    <n v="0"/>
    <n v="0"/>
    <n v="40"/>
    <n v="0"/>
    <n v="40"/>
    <n v="0"/>
    <n v="200"/>
    <n v="0"/>
    <n v="0"/>
    <n v="165600"/>
    <n v="0"/>
    <n v="0"/>
    <n v="200"/>
    <n v="0"/>
    <n v="403563.025210084"/>
    <n v="64"/>
    <n v="0"/>
    <n v="64"/>
    <n v="0"/>
    <n v="0"/>
    <n v="200"/>
    <n v="0"/>
    <n v="264960"/>
    <n v="0"/>
    <n v="828000"/>
    <n v="200"/>
    <n v="828000"/>
    <n v="645700.8403361344"/>
    <n v="80"/>
    <n v="136"/>
    <n v="80"/>
    <n v="0"/>
    <n v="0"/>
    <n v="0"/>
    <m/>
    <n v="563040"/>
    <n v="331200"/>
    <n v="0"/>
    <n v="0"/>
    <n v="136"/>
    <n v="563040"/>
    <n v="686057.1428571427"/>
    <n v="60"/>
    <n v="56"/>
    <n v="60"/>
    <n v="200"/>
    <n v="200"/>
    <n v="231840"/>
    <n v="248400"/>
    <n v="828000"/>
    <n v="828000"/>
    <n v="256"/>
    <n v="1059840"/>
    <n v="540269.9999999999"/>
    <n v="80"/>
    <n v="196"/>
    <n v="80"/>
    <n v="0"/>
    <n v="0"/>
    <n v="811440"/>
    <n v="331200"/>
    <n v="0"/>
    <n v="196"/>
    <n v="811440"/>
    <n v="807126.0504201681"/>
    <n v="36"/>
    <n v="116"/>
    <n v="36"/>
    <n v="0"/>
    <m/>
    <n v="480240"/>
    <n v="144072"/>
    <n v="0"/>
    <n v="116"/>
    <n v="480240"/>
    <n v="363206.7226890756"/>
  </r>
  <r>
    <m/>
    <x v="2"/>
    <x v="18"/>
    <x v="49"/>
    <s v="SMCFIT12LC-GR"/>
    <x v="487"/>
    <x v="334"/>
    <x v="0"/>
    <x v="2"/>
    <n v="1"/>
    <x v="12"/>
    <n v="0"/>
    <m/>
    <n v="0"/>
    <n v="6002.999999999999"/>
    <n v="0"/>
    <n v="6"/>
    <n v="6002.999999999999"/>
    <n v="15133.61344537815"/>
    <n v="12863.57142857143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1200600"/>
    <n v="0"/>
    <n v="0"/>
    <n v="0"/>
    <n v="0"/>
    <n v="56"/>
    <n v="0"/>
    <n v="56"/>
    <n v="0"/>
    <n v="200"/>
    <n v="0"/>
    <n v="0"/>
    <n v="347759.9999999999"/>
    <n v="0"/>
    <n v="0"/>
    <n v="200"/>
    <n v="0"/>
    <n v="847482.3529411764"/>
    <n v="62"/>
    <n v="0"/>
    <n v="62"/>
    <n v="0"/>
    <n v="0"/>
    <n v="200"/>
    <n v="0"/>
    <n v="385019.9999999999"/>
    <n v="0"/>
    <n v="1242000"/>
    <n v="200"/>
    <n v="1242000"/>
    <n v="938284.0336134452"/>
    <n v="70"/>
    <n v="138"/>
    <n v="70"/>
    <n v="0"/>
    <n v="0"/>
    <n v="0"/>
    <m/>
    <n v="856979.9999999999"/>
    <n v="434699.9999999999"/>
    <n v="0"/>
    <n v="0"/>
    <n v="138"/>
    <n v="856979.9999999999"/>
    <n v="900449.9999999998"/>
    <n v="50"/>
    <n v="68"/>
    <n v="50"/>
    <n v="200"/>
    <n v="200"/>
    <n v="422279.9999999999"/>
    <n v="310499.9999999999"/>
    <n v="1242000"/>
    <n v="1242000"/>
    <n v="268"/>
    <n v="1664280"/>
    <n v="675337.4999999999"/>
    <n v="70"/>
    <n v="218"/>
    <n v="70"/>
    <n v="0"/>
    <n v="0"/>
    <n v="1353780"/>
    <n v="434699.9999999999"/>
    <n v="0"/>
    <n v="218"/>
    <n v="1353780"/>
    <n v="1059352.94117647"/>
    <n v="30"/>
    <n v="148"/>
    <n v="30"/>
    <n v="0"/>
    <m/>
    <n v="919079.9999999999"/>
    <n v="180090"/>
    <n v="0"/>
    <n v="148"/>
    <n v="919079.9999999999"/>
    <n v="454008.4033613445"/>
  </r>
  <r>
    <m/>
    <x v="2"/>
    <x v="18"/>
    <x v="49"/>
    <s v="SMCFIT12SV-WH"/>
    <x v="488"/>
    <x v="335"/>
    <x v="0"/>
    <x v="2"/>
    <n v="1"/>
    <x v="12"/>
    <n v="0"/>
    <m/>
    <n v="0"/>
    <n v="6303.15"/>
    <n v="0"/>
    <n v="6.3"/>
    <n v="6303.15"/>
    <n v="15890.29411764706"/>
    <n v="13506.75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1260630"/>
    <n v="0"/>
    <n v="0"/>
    <n v="0"/>
    <n v="0"/>
    <n v="36"/>
    <n v="0"/>
    <n v="36"/>
    <n v="0"/>
    <n v="200"/>
    <n v="0"/>
    <n v="0"/>
    <n v="234738"/>
    <n v="0"/>
    <n v="0"/>
    <n v="200"/>
    <n v="0"/>
    <n v="572050.5882352941"/>
    <n v="51"/>
    <n v="0"/>
    <n v="51"/>
    <n v="0"/>
    <n v="0"/>
    <n v="200"/>
    <n v="0"/>
    <n v="332545.4999999999"/>
    <n v="0"/>
    <n v="1304100"/>
    <n v="200"/>
    <n v="1304100"/>
    <n v="810404.9999999999"/>
    <n v="80"/>
    <n v="149"/>
    <n v="80"/>
    <n v="0"/>
    <n v="0"/>
    <n v="0"/>
    <m/>
    <n v="971554.4999999999"/>
    <n v="521639.9999999999"/>
    <n v="0"/>
    <n v="0"/>
    <n v="149"/>
    <n v="971554.4999999999"/>
    <n v="1080540"/>
    <n v="50"/>
    <n v="69"/>
    <n v="50"/>
    <n v="200"/>
    <n v="200"/>
    <n v="449914.4999999999"/>
    <n v="326024.9999999999"/>
    <n v="1304100"/>
    <n v="1304100"/>
    <n v="269"/>
    <n v="1754014.5"/>
    <n v="709104.3749999999"/>
    <n v="80"/>
    <n v="219"/>
    <n v="80"/>
    <n v="0"/>
    <n v="0"/>
    <n v="1427989.5"/>
    <n v="521639.9999999999"/>
    <n v="0"/>
    <n v="219"/>
    <n v="1427989.5"/>
    <n v="1271223.529411765"/>
    <n v="30"/>
    <n v="139"/>
    <n v="30"/>
    <n v="0"/>
    <m/>
    <n v="906349.4999999999"/>
    <n v="189094.5"/>
    <n v="0"/>
    <n v="139"/>
    <n v="906349.4999999999"/>
    <n v="476708.8235294117"/>
  </r>
  <r>
    <m/>
    <x v="2"/>
    <x v="18"/>
    <x v="50"/>
    <s v="SMCONTCAFMI"/>
    <x v="489"/>
    <x v="336"/>
    <x v="0"/>
    <x v="2"/>
    <n v="1"/>
    <x v="12"/>
    <n v="181"/>
    <m/>
    <n v="0"/>
    <n v="3801.9"/>
    <n v="688143.8999999999"/>
    <n v="3.8"/>
    <n v="3801.9"/>
    <n v="9584.621848739494"/>
    <n v="8146.92857142857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8"/>
    <s v=""/>
    <n v="0.5142857142857142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81"/>
    <n v="688143.8999999999"/>
    <n v="0"/>
    <n v="0"/>
    <n v="0"/>
    <n v="0"/>
    <n v="0"/>
    <n v="0"/>
    <n v="0"/>
    <n v="0"/>
    <n v="0"/>
    <n v="0"/>
    <n v="181"/>
    <n v="688143.8999999999"/>
    <n v="0"/>
    <n v="0"/>
    <n v="181"/>
    <n v="0"/>
    <m/>
    <m/>
    <n v="0"/>
    <n v="688143.8999999999"/>
    <n v="0"/>
    <n v="0"/>
    <n v="0"/>
    <n v="181"/>
    <n v="688143.8999999999"/>
    <n v="0"/>
    <n v="0"/>
    <n v="181"/>
    <n v="0"/>
    <m/>
    <n v="0"/>
    <n v="0"/>
    <n v="688143.8999999999"/>
    <n v="0"/>
    <n v="0"/>
    <n v="0"/>
    <n v="181"/>
    <n v="688143.8999999999"/>
    <n v="0"/>
    <n v="35"/>
    <n v="199"/>
    <n v="35"/>
    <n v="200"/>
    <n v="200"/>
    <n v="0"/>
    <n v="756578.1"/>
    <n v="137655"/>
    <n v="760379.9999999999"/>
    <n v="0"/>
    <n v="199"/>
    <n v="688143.8999999999"/>
    <n v="335461.7647058823"/>
    <n v="50"/>
    <n v="164"/>
    <n v="50"/>
    <n v="0"/>
    <n v="0"/>
    <n v="0"/>
    <n v="623511.6"/>
    <n v="196650"/>
    <n v="0"/>
    <n v="0"/>
    <n v="164"/>
    <n v="623511.6"/>
    <n v="479231.0924369748"/>
    <n v="40"/>
    <n v="114"/>
    <n v="40"/>
    <n v="0"/>
    <n v="0"/>
    <m/>
    <n v="448361.9999999999"/>
    <n v="157320"/>
    <n v="0"/>
    <n v="0"/>
    <n v="114"/>
    <n v="448361.9999999999"/>
    <n v="383384.8739495798"/>
    <n v="80"/>
    <n v="74"/>
    <n v="74"/>
    <n v="150"/>
    <n v="150"/>
    <n v="150"/>
    <n v="0"/>
    <n v="291041.9999999999"/>
    <n v="291041.9999999999"/>
    <n v="589949.9999999999"/>
    <n v="589949.9999999999"/>
    <n v="224"/>
    <n v="880991.9999999998"/>
    <n v="602872.7142857142"/>
    <n v="40"/>
    <n v="150"/>
    <n v="40"/>
    <n v="0"/>
    <n v="0"/>
    <n v="589949.9999999999"/>
    <n v="157320"/>
    <n v="0"/>
    <n v="0"/>
    <n v="150"/>
    <n v="589949.9999999999"/>
    <n v="342170.9999999999"/>
    <n v="40"/>
    <n v="110"/>
    <n v="40"/>
    <n v="0"/>
    <n v="0"/>
    <n v="432629.9999999999"/>
    <n v="157320"/>
    <n v="0"/>
    <n v="110"/>
    <n v="432629.9999999999"/>
    <n v="383384.8739495798"/>
    <n v="24"/>
    <n v="70"/>
    <n v="24"/>
    <n v="0"/>
    <m/>
    <n v="275309.9999999999"/>
    <n v="91245.59999999999"/>
    <n v="0"/>
    <n v="70"/>
    <n v="275309.9999999999"/>
    <n v="230030.9243697479"/>
  </r>
  <r>
    <s v="Simplit-Mundo Café"/>
    <x v="2"/>
    <x v="18"/>
    <x v="51"/>
    <n v="1654207295633"/>
    <x v="490"/>
    <x v="337"/>
    <x v="0"/>
    <x v="0"/>
    <n v="1.3"/>
    <x v="285"/>
    <n v="459"/>
    <m/>
    <n v="0"/>
    <n v="1363.607970986682"/>
    <n v="625896.058682887"/>
    <n v="1"/>
    <n v="1092.5"/>
    <n v="5033.613445378151"/>
    <n v="4193.27731092437"/>
    <s v="Shenzhen"/>
    <s v="30/70"/>
    <n v="30"/>
    <n v="100"/>
    <n v="22"/>
    <n v="0.7847246808510638"/>
    <n v="10"/>
    <s v=""/>
    <n v="52"/>
    <n v="0.7652453458750389"/>
    <n v="135"/>
    <n v="0.6622521894902491"/>
    <n v="125"/>
    <n v="0.676884595973152"/>
    <n v="189"/>
    <n v="0.7292511829646083"/>
    <n v="161"/>
    <n v="0.7363653546732983"/>
    <n v="198"/>
    <n v="0.6682661471579052"/>
    <n v="225"/>
    <n v="0.622344414329851"/>
    <n v="167"/>
    <n v="0.7040967146803172"/>
    <n v="162"/>
    <n v="0.7027707229869317"/>
    <n v="283"/>
    <n v="0.61288575951175"/>
    <n v="27"/>
    <n v="0.6120123313812148"/>
    <n v="11"/>
    <n v="0.6130511190429024"/>
    <n v="124"/>
    <n v="0.6072226490467715"/>
    <n v="250"/>
    <n v="0.6282764499093244"/>
    <n v="2.5"/>
    <n v="302"/>
    <n v="0.6446869712351946"/>
    <n v="2.516666666666667"/>
    <n v="267"/>
    <n v="0.5430463580776086"/>
    <n v="1.335"/>
    <n v="104"/>
    <n v="0.6147387183229458"/>
    <n v="0.65"/>
    <n v="180"/>
    <n v="51"/>
    <n v="51"/>
    <n v="450"/>
    <n v="450"/>
    <n v="0"/>
    <n v="261130.9264439496"/>
    <n v="52785"/>
    <n v="69544.00652032078"/>
    <n v="0"/>
    <n v="459"/>
    <n v="625896.058682887"/>
    <n v="215726.2905162065"/>
    <n v="130"/>
    <n v="490"/>
    <n v="16.5"/>
    <n v="150"/>
    <n v="50"/>
    <n v="0"/>
    <n v="532488.9126702993"/>
    <n v="507150"/>
    <n v="22499.53152128025"/>
    <n v="0"/>
    <n v="459"/>
    <n v="625896.058682887"/>
    <n v="69793.79987289035"/>
    <n v="180"/>
    <n v="583"/>
    <n v="124"/>
    <n v="0"/>
    <n v="0"/>
    <n v="671449.3811490191"/>
    <n v="794983.4470852356"/>
    <n v="169087.3884023486"/>
    <n v="0"/>
    <n v="459"/>
    <n v="625896.058682887"/>
    <n v="624168.0672268908"/>
    <n v="100"/>
    <n v="989"/>
    <n v="250"/>
    <n v="500"/>
    <n v="0"/>
    <n v="1023615"/>
    <n v="340901.9927466705"/>
    <n v="517500"/>
    <n v="0"/>
    <n v="459"/>
    <n v="625896.058682887"/>
    <n v="1258403.361344538"/>
    <n v="120"/>
    <n v="761"/>
    <n v="156"/>
    <m/>
    <n v="0"/>
    <n v="0"/>
    <n v="1037705.665920865"/>
    <n v="161460"/>
    <n v="0"/>
    <n v="0"/>
    <n v="459"/>
    <n v="625896.058682887"/>
    <n v="785243.6974789916"/>
    <n v="200"/>
    <n v="726"/>
    <n v="267"/>
    <m/>
    <n v="0"/>
    <n v="0"/>
    <n v="989979.3869363311"/>
    <n v="276345"/>
    <n v="0"/>
    <n v="0"/>
    <n v="726"/>
    <n v="625896.058682887"/>
    <n v="1343974.789915966"/>
    <n v="160"/>
    <n v="563"/>
    <n v="208"/>
    <n v="300"/>
    <n v="300"/>
    <n v="0"/>
    <n v="767711.2876655019"/>
    <n v="215280"/>
    <n v="300149.9999999999"/>
    <n v="0"/>
    <n v="563"/>
    <n v="625896.058682887"/>
    <n v="1046991.596638656"/>
    <n v="200"/>
    <n v="355"/>
    <n v="260"/>
    <n v="0"/>
    <n v="0"/>
    <n v="0"/>
    <n v="484080.8297002721"/>
    <n v="269100"/>
    <n v="0"/>
    <n v="0"/>
    <n v="355"/>
    <n v="484080.8297002721"/>
    <n v="1308739.495798319"/>
    <n v="230"/>
    <n v="95"/>
    <n v="299"/>
    <n v="0"/>
    <n v="0"/>
    <m/>
    <n v="98325"/>
    <n v="309465"/>
    <n v="0"/>
    <n v="0"/>
    <n v="95"/>
    <n v="98325"/>
    <n v="1505050.420168067"/>
    <n v="150"/>
    <n v="0"/>
    <n v="0"/>
    <n v="500"/>
    <n v="500"/>
    <n v="500"/>
    <n v="0"/>
    <n v="0"/>
    <n v="0"/>
    <n v="517500"/>
    <n v="517500"/>
    <n v="500"/>
    <n v="517500"/>
    <n v="0"/>
    <n v="120"/>
    <n v="500"/>
    <n v="156"/>
    <n v="0"/>
    <n v="0"/>
    <n v="517500"/>
    <n v="161460"/>
    <n v="0"/>
    <n v="0"/>
    <n v="500"/>
    <n v="517500"/>
    <n v="686858.8235294119"/>
    <n v="150"/>
    <n v="344"/>
    <n v="195"/>
    <n v="0"/>
    <n v="0"/>
    <n v="356040"/>
    <n v="201825"/>
    <n v="0"/>
    <n v="344"/>
    <n v="356040"/>
    <n v="981554.6218487396"/>
    <n v="72"/>
    <n v="149"/>
    <n v="93.60000000000001"/>
    <n v="0"/>
    <m/>
    <n v="154215"/>
    <n v="127633.7060843534"/>
    <n v="0"/>
    <n v="149"/>
    <n v="154215"/>
    <n v="471146.218487395"/>
  </r>
  <r>
    <s v="Simplit-Mundo Café"/>
    <x v="2"/>
    <x v="18"/>
    <x v="51"/>
    <n v="1654207307551"/>
    <x v="491"/>
    <x v="338"/>
    <x v="0"/>
    <x v="0"/>
    <n v="1"/>
    <x v="286"/>
    <n v="633"/>
    <m/>
    <n v="0"/>
    <n v="1749.046767936278"/>
    <n v="1107146.604103664"/>
    <n v="1.35"/>
    <n v="1474.875"/>
    <n v="5873.949579831933"/>
    <n v="5033.613445378151"/>
    <s v="Shenzhen"/>
    <s v="30/70"/>
    <n v="30"/>
    <n v="100"/>
    <n v="100"/>
    <n v="0.6643164089229505"/>
    <n v="108"/>
    <n v="0.649306474647419"/>
    <n v="127"/>
    <n v="0.6544388591590138"/>
    <n v="96"/>
    <n v="0.6454358147002516"/>
    <n v="75"/>
    <n v="0.6803366615780936"/>
    <n v="154"/>
    <n v="0.6693591284967749"/>
    <n v="127"/>
    <n v="0.6555472538589387"/>
    <n v="223"/>
    <n v="0.6029533033381617"/>
    <n v="126"/>
    <n v="0.569709539116417"/>
    <n v="122"/>
    <n v="0.6007135953247997"/>
    <n v="50"/>
    <n v="0.5125040597596622"/>
    <n v="158"/>
    <n v="0.5516868608188036"/>
    <n v="15"/>
    <n v="0.7022392050430427"/>
    <n v="8"/>
    <n v="0.5069746262560745"/>
    <n v="83"/>
    <n v="0.617794951960003"/>
    <n v="59"/>
    <n v="0.6589485712896846"/>
    <n v="0.7375"/>
    <n v="61"/>
    <n v="0.2740490876381393"/>
    <n v="0.8133333333333334"/>
    <n v="170"/>
    <n v="0.5123103057757644"/>
    <n v="1.133333333333333"/>
    <n v="55"/>
    <n v="0.5355765564721298"/>
    <n v="0.4230769230769231"/>
    <n v="100"/>
    <n v="42"/>
    <n v="30"/>
    <n v="300"/>
    <n v="300"/>
    <n v="0"/>
    <n v="218630.8459920347"/>
    <n v="58684.5"/>
    <n v="52471.40303808834"/>
    <n v="0"/>
    <n v="633"/>
    <n v="1107146.604103664"/>
    <n v="148082.7625167714"/>
    <n v="100"/>
    <n v="475"/>
    <n v="12"/>
    <n v="150"/>
    <n v="100"/>
    <n v="0"/>
    <n v="269353.2022621868"/>
    <n v="663693.75"/>
    <n v="20988.56121523534"/>
    <n v="0"/>
    <n v="633"/>
    <n v="1107146.604103664"/>
    <n v="59233.10500670857"/>
    <n v="140"/>
    <n v="428"/>
    <n v="83"/>
    <n v="0"/>
    <n v="0"/>
    <n v="353158.3910469515"/>
    <n v="748592.016676727"/>
    <n v="145170.8817387111"/>
    <n v="0"/>
    <n v="633"/>
    <n v="1107146.604103664"/>
    <n v="487537.8151260504"/>
    <n v="80"/>
    <n v="662"/>
    <n v="59"/>
    <n v="300"/>
    <n v="0"/>
    <n v="924979.5"/>
    <n v="103193.7593082404"/>
    <n v="419175"/>
    <n v="0"/>
    <n v="633"/>
    <n v="1107146.604103664"/>
    <n v="346563.025210084"/>
    <n v="75"/>
    <n v="694"/>
    <n v="75"/>
    <m/>
    <n v="0"/>
    <n v="0"/>
    <n v="1213838.456947777"/>
    <n v="104793.75"/>
    <n v="0"/>
    <n v="0"/>
    <n v="633"/>
    <n v="1107146.604103664"/>
    <n v="440546.218487395"/>
    <n v="150"/>
    <n v="803"/>
    <n v="170"/>
    <m/>
    <n v="0"/>
    <n v="0"/>
    <n v="1404484.554652831"/>
    <n v="237532.5"/>
    <n v="0"/>
    <n v="0"/>
    <n v="803"/>
    <n v="1107146.604103664"/>
    <n v="998571.4285714286"/>
    <n v="130"/>
    <n v="688"/>
    <n v="130"/>
    <n v="350"/>
    <n v="350"/>
    <n v="0"/>
    <n v="1203344.176340159"/>
    <n v="181642.5"/>
    <n v="472736.25"/>
    <n v="0"/>
    <n v="688"/>
    <n v="1107146.604103664"/>
    <n v="763613.4453781513"/>
    <n v="200"/>
    <n v="558"/>
    <n v="200"/>
    <n v="0"/>
    <n v="0"/>
    <n v="0"/>
    <n v="975968.0965084431"/>
    <n v="279450"/>
    <n v="0"/>
    <n v="0"/>
    <n v="558"/>
    <n v="975968.0965084431"/>
    <n v="1174789.915966387"/>
    <n v="130"/>
    <n v="358"/>
    <n v="130"/>
    <n v="0"/>
    <n v="0"/>
    <m/>
    <n v="500215.5"/>
    <n v="181642.5"/>
    <n v="0"/>
    <n v="0"/>
    <n v="358"/>
    <n v="500215.5"/>
    <n v="763613.4453781513"/>
    <n v="100"/>
    <n v="228"/>
    <n v="100"/>
    <n v="0"/>
    <n v="0"/>
    <n v="0"/>
    <m/>
    <n v="318573"/>
    <n v="139725"/>
    <n v="0"/>
    <n v="0"/>
    <n v="228"/>
    <n v="318573"/>
    <n v="503361.3445378151"/>
    <n v="50"/>
    <n v="128"/>
    <n v="50"/>
    <n v="0"/>
    <n v="0"/>
    <n v="178848"/>
    <n v="69862.5"/>
    <n v="0"/>
    <n v="0"/>
    <n v="128"/>
    <n v="178848"/>
    <n v="264264.705882353"/>
    <n v="160"/>
    <n v="78"/>
    <n v="160"/>
    <n v="0"/>
    <n v="0"/>
    <n v="108985.5"/>
    <n v="223560"/>
    <n v="0"/>
    <n v="78"/>
    <n v="108985.5"/>
    <n v="939831.9327731093"/>
    <n v="30"/>
    <n v="0"/>
    <n v="30"/>
    <n v="0"/>
    <m/>
    <n v="0"/>
    <n v="52471.40303808834"/>
    <n v="0"/>
    <n v="0"/>
    <n v="0"/>
    <n v="176218.487394958"/>
  </r>
  <r>
    <s v="Simplit-Mundo Café"/>
    <x v="2"/>
    <x v="18"/>
    <x v="51"/>
    <n v="1654207333519"/>
    <x v="492"/>
    <x v="339"/>
    <x v="0"/>
    <x v="0"/>
    <n v="1"/>
    <x v="287"/>
    <n v="326"/>
    <m/>
    <n v="0"/>
    <n v="1801.457760314342"/>
    <n v="587275.2298624755"/>
    <n v="1.35"/>
    <n v="1474.875"/>
    <n v="5873.949579831933"/>
    <n v="5033.613445378151"/>
    <s v="Shenzhen"/>
    <s v="30/70"/>
    <n v="30"/>
    <n v="100"/>
    <n v="6"/>
    <n v="0.7242764757709254"/>
    <n v="2"/>
    <n v="0.7127736170212767"/>
    <n v="53"/>
    <n v="0.6551895306859206"/>
    <n v="116"/>
    <n v="0.5361707121640106"/>
    <n v="83"/>
    <n v="0.6289129415492521"/>
    <n v="151"/>
    <n v="0.7141851524171955"/>
    <n v="110"/>
    <n v="0.6654484371782915"/>
    <n v="205"/>
    <n v="0.6317181919642103"/>
    <n v="97"/>
    <n v="0.6111859848769537"/>
    <n v="278"/>
    <n v="0.5950916433625832"/>
    <n v="209"/>
    <n v="0.5497047489121019"/>
    <n v="130"/>
    <n v="0.5736730110140975"/>
    <n v="10"/>
    <n v="0.3781090958942605"/>
    <n v="137"/>
    <n v="0.4857495835862766"/>
    <n v="138"/>
    <n v="0.5827783833649763"/>
    <n v="92"/>
    <n v="0.4935795156098809"/>
    <n v="0.92"/>
    <n v="107"/>
    <n v="0.7031060594400751"/>
    <n v="1.3375"/>
    <n v="232"/>
    <n v="0.5580700586041555"/>
    <n v="1.288888888888889"/>
    <n v="42"/>
    <n v="0.5216646554172336"/>
    <n v="0.2333333333333333"/>
    <n v="150"/>
    <n v="36"/>
    <n v="40"/>
    <n v="450"/>
    <n v="450"/>
    <n v="0"/>
    <n v="690859.0510805502"/>
    <n v="50301"/>
    <n v="72058.31041257369"/>
    <n v="0"/>
    <n v="326"/>
    <n v="587275.2298624755"/>
    <n v="197443.6833556952"/>
    <n v="120"/>
    <n v="473"/>
    <n v="205.5"/>
    <n v="150"/>
    <n v="50"/>
    <n v="0"/>
    <n v="784534.8546168959"/>
    <n v="660899.25"/>
    <n v="370199.5697445973"/>
    <n v="0"/>
    <n v="326"/>
    <n v="587275.2298624755"/>
    <n v="1014366.923239884"/>
    <n v="190"/>
    <n v="343"/>
    <n v="138"/>
    <n v="0"/>
    <n v="0"/>
    <n v="526115.2848722986"/>
    <n v="617900.0117878193"/>
    <n v="248601.1709233792"/>
    <n v="0"/>
    <n v="326"/>
    <n v="587275.2298624755"/>
    <n v="810605.0420168068"/>
    <n v="100"/>
    <n v="484"/>
    <n v="92"/>
    <n v="150"/>
    <n v="0"/>
    <n v="676269"/>
    <n v="165734.1139489195"/>
    <n v="209587.5"/>
    <n v="0"/>
    <n v="326"/>
    <n v="587275.2298624755"/>
    <n v="540403.3613445378"/>
    <n v="80"/>
    <n v="433"/>
    <n v="80"/>
    <m/>
    <n v="0"/>
    <n v="0"/>
    <n v="780031.2102161101"/>
    <n v="111780"/>
    <n v="0"/>
    <n v="0"/>
    <n v="326"/>
    <n v="587275.2298624755"/>
    <n v="469915.9663865546"/>
    <n v="180"/>
    <n v="558"/>
    <n v="232"/>
    <m/>
    <n v="0"/>
    <n v="0"/>
    <n v="1005213.430255403"/>
    <n v="324162"/>
    <n v="0"/>
    <n v="0"/>
    <n v="558"/>
    <n v="587275.2298624755"/>
    <n v="1362756.302521009"/>
    <n v="180"/>
    <n v="368"/>
    <n v="180"/>
    <n v="430"/>
    <n v="430"/>
    <n v="0"/>
    <n v="662936.4557956778"/>
    <n v="251505"/>
    <n v="580790.25"/>
    <n v="0"/>
    <n v="368"/>
    <n v="587275.2298624755"/>
    <n v="1057310.924369748"/>
    <n v="205"/>
    <n v="188"/>
    <n v="205"/>
    <n v="150"/>
    <n v="150"/>
    <n v="0"/>
    <n v="338674.0589390963"/>
    <n v="286436.25"/>
    <n v="209587.5"/>
    <n v="0"/>
    <n v="338"/>
    <n v="338674.0589390963"/>
    <n v="1204159.663865546"/>
    <n v="100"/>
    <n v="0"/>
    <n v="100"/>
    <n v="0"/>
    <n v="0"/>
    <n v="150"/>
    <n v="0"/>
    <n v="139725"/>
    <n v="0"/>
    <n v="209587.5"/>
    <n v="150"/>
    <n v="209587.5"/>
    <n v="587394.9579831933"/>
    <n v="130"/>
    <n v="50"/>
    <n v="50"/>
    <n v="0"/>
    <n v="0"/>
    <n v="0"/>
    <m/>
    <n v="69862.5"/>
    <n v="69862.5"/>
    <n v="0"/>
    <n v="0"/>
    <n v="50"/>
    <n v="69862.5"/>
    <n v="251680.6722689076"/>
    <n v="100"/>
    <n v="0"/>
    <n v="100"/>
    <n v="200"/>
    <n v="200"/>
    <n v="0"/>
    <n v="139725"/>
    <n v="279450"/>
    <n v="279450"/>
    <n v="200"/>
    <n v="279450"/>
    <n v="528529.4117647059"/>
    <n v="130"/>
    <n v="100"/>
    <n v="130"/>
    <n v="0"/>
    <n v="0"/>
    <n v="139725"/>
    <n v="181642.5"/>
    <n v="0"/>
    <n v="100"/>
    <n v="139725"/>
    <n v="763613.4453781513"/>
    <n v="60"/>
    <n v="0"/>
    <n v="60"/>
    <n v="0"/>
    <m/>
    <n v="0"/>
    <n v="108087.4656188605"/>
    <n v="0"/>
    <n v="0"/>
    <n v="0"/>
    <n v="352436.974789916"/>
  </r>
  <r>
    <s v="Simplit-Mundo Café"/>
    <x v="2"/>
    <x v="18"/>
    <x v="29"/>
    <n v="1660858266475"/>
    <x v="493"/>
    <x v="340"/>
    <x v="0"/>
    <x v="6"/>
    <n v="1"/>
    <x v="12"/>
    <n v="2"/>
    <m/>
    <n v="0"/>
    <n v="9058"/>
    <n v="18116"/>
    <n v="8"/>
    <n v="8740"/>
    <n v="21000"/>
    <n v="12596.63865546219"/>
    <s v="Shenzhen"/>
    <s v="30/70"/>
    <n v="30"/>
    <n v="100"/>
    <n v="44"/>
    <n v="0.481246881040239"/>
    <n v="5"/>
    <n v="0.5103064247561793"/>
    <n v="9"/>
    <n v="0.4787785556727726"/>
    <n v="12"/>
    <n v="0.4567460015197105"/>
    <n v="16"/>
    <n v="0.5001936082381788"/>
    <n v="24"/>
    <n v="0.4797549129973304"/>
    <n v="2"/>
    <n v="0.5686685714285713"/>
    <n v="0"/>
    <n v="0.4008493186929489"/>
    <n v="0"/>
    <s v=""/>
    <n v="1"/>
    <n v="0.4608002251125563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2"/>
    <n v="0"/>
    <n v="0"/>
    <n v="0"/>
    <n v="0"/>
    <n v="0"/>
    <n v="16560"/>
    <n v="0"/>
    <n v="0"/>
    <n v="2"/>
    <n v="18116"/>
    <n v="0"/>
    <n v="0"/>
    <n v="2"/>
    <n v="0"/>
    <n v="0"/>
    <n v="0"/>
    <n v="0"/>
    <n v="0"/>
    <n v="16560"/>
    <n v="0"/>
    <n v="0"/>
    <n v="2"/>
    <n v="18116"/>
    <n v="0"/>
    <n v="0"/>
    <n v="2"/>
    <n v="0"/>
    <n v="0"/>
    <n v="0"/>
    <n v="0"/>
    <n v="18116"/>
    <n v="0"/>
    <n v="0"/>
    <n v="2"/>
    <n v="18116"/>
    <n v="0"/>
    <n v="0"/>
    <n v="2"/>
    <n v="0"/>
    <n v="0"/>
    <n v="0"/>
    <n v="16560"/>
    <n v="0"/>
    <n v="0"/>
    <n v="0"/>
    <n v="2"/>
    <n v="18116"/>
    <n v="0"/>
    <n v="0"/>
    <n v="2"/>
    <n v="0"/>
    <m/>
    <n v="0"/>
    <n v="0"/>
    <n v="18116"/>
    <n v="0"/>
    <n v="0"/>
    <n v="0"/>
    <n v="2"/>
    <n v="18116"/>
    <n v="0"/>
    <n v="0"/>
    <n v="2"/>
    <n v="0"/>
    <m/>
    <n v="0"/>
    <n v="0"/>
    <n v="18116"/>
    <n v="0"/>
    <n v="0"/>
    <n v="0"/>
    <n v="2"/>
    <n v="18116"/>
    <n v="0"/>
    <n v="0"/>
    <n v="2"/>
    <n v="0"/>
    <n v="0"/>
    <n v="0"/>
    <n v="0"/>
    <n v="18116"/>
    <n v="0"/>
    <n v="0"/>
    <n v="0"/>
    <n v="2"/>
    <n v="18116"/>
    <n v="0"/>
    <n v="0"/>
    <n v="2"/>
    <n v="0"/>
    <n v="0"/>
    <n v="0"/>
    <n v="0"/>
    <n v="18116"/>
    <n v="0"/>
    <n v="0"/>
    <n v="0"/>
    <n v="2"/>
    <n v="18116"/>
    <n v="0"/>
    <n v="0"/>
    <n v="2"/>
    <n v="0"/>
    <n v="0"/>
    <n v="0"/>
    <m/>
    <n v="16560"/>
    <n v="0"/>
    <n v="0"/>
    <n v="0"/>
    <n v="2"/>
    <n v="16560"/>
    <n v="0"/>
    <n v="0"/>
    <n v="2"/>
    <n v="0"/>
    <n v="0"/>
    <n v="0"/>
    <n v="0"/>
    <m/>
    <n v="16560"/>
    <n v="0"/>
    <n v="0"/>
    <n v="0"/>
    <n v="2"/>
    <n v="16560"/>
    <n v="0"/>
    <n v="0"/>
    <n v="2"/>
    <n v="0"/>
    <n v="0"/>
    <n v="0"/>
    <n v="16560"/>
    <n v="0"/>
    <n v="0"/>
    <n v="0"/>
    <n v="2"/>
    <n v="16560"/>
    <n v="0"/>
    <n v="0"/>
    <n v="2"/>
    <n v="0"/>
    <n v="0"/>
    <n v="0"/>
    <n v="16560"/>
    <n v="0"/>
    <n v="0"/>
    <n v="2"/>
    <n v="16560"/>
    <n v="0"/>
    <n v="0"/>
    <n v="2"/>
    <n v="0"/>
    <n v="0"/>
    <m/>
    <n v="16560"/>
    <n v="0"/>
    <n v="0"/>
    <n v="2"/>
    <n v="16560"/>
    <n v="0"/>
  </r>
  <r>
    <s v="Simplit-Mundo Café"/>
    <x v="2"/>
    <x v="18"/>
    <x v="29"/>
    <n v="67951423489593"/>
    <x v="494"/>
    <x v="341"/>
    <x v="0"/>
    <x v="6"/>
    <n v="1"/>
    <x v="12"/>
    <n v="11"/>
    <m/>
    <n v="0"/>
    <n v="3731"/>
    <n v="41041"/>
    <n v="3.3"/>
    <n v="3605.25"/>
    <n v="7554.621848739496"/>
    <n v="5873.949579831933"/>
    <s v="Shenzhen"/>
    <s v="30/70"/>
    <n v="30"/>
    <n v="100"/>
    <n v="51"/>
    <n v="0.4567263026377487"/>
    <n v="7"/>
    <n v="0.5853178768544178"/>
    <n v="16"/>
    <n v="0.5620424538725004"/>
    <n v="26"/>
    <n v="0.4861944717902157"/>
    <n v="7"/>
    <n v="0.515504090732003"/>
    <n v="20"/>
    <n v="0.4589132396545056"/>
    <n v="9"/>
    <n v="0.5316286624627158"/>
    <n v="57"/>
    <n v="0.4313935498716718"/>
    <n v="3"/>
    <n v="0.5960485692188708"/>
    <n v="32"/>
    <n v="0.4443487621241092"/>
    <n v="22"/>
    <n v="0.4108002957411834"/>
    <n v="39"/>
    <n v="0.4471649869635491"/>
    <n v="31"/>
    <n v="0.4054952578334216"/>
    <n v="10"/>
    <n v="0.2715917069779275"/>
    <n v="11"/>
    <n v="0.2913135143961164"/>
    <n v="9"/>
    <n v="0.3340116643657619"/>
    <n v="0.9"/>
    <n v="1"/>
    <n v="0.8223333333333334"/>
    <n v="0.1"/>
    <n v="0"/>
    <s v=""/>
    <n v="0"/>
    <n v="0"/>
    <n v="0.3737408593544342"/>
    <n v="0"/>
    <n v="10"/>
    <n v="80"/>
    <n v="12"/>
    <n v="0"/>
    <n v="0"/>
    <n v="0"/>
    <n v="141778"/>
    <n v="273239.9999999999"/>
    <n v="44772"/>
    <n v="0"/>
    <n v="11"/>
    <n v="41041"/>
    <n v="76181.06065955796"/>
    <n v="10"/>
    <n v="66"/>
    <n v="15"/>
    <n v="0"/>
    <n v="0"/>
    <n v="0"/>
    <n v="130585"/>
    <n v="225423"/>
    <n v="55965"/>
    <n v="0"/>
    <n v="11"/>
    <n v="41041"/>
    <n v="95226.32582444744"/>
    <n v="10"/>
    <n v="47"/>
    <n v="11"/>
    <n v="0"/>
    <n v="0"/>
    <n v="108775"/>
    <n v="175357"/>
    <n v="41041"/>
    <n v="0"/>
    <n v="11"/>
    <n v="41041"/>
    <n v="83100.84033613445"/>
    <n v="10"/>
    <n v="35"/>
    <n v="9"/>
    <n v="0"/>
    <n v="0"/>
    <n v="119542.5"/>
    <n v="33579"/>
    <n v="0"/>
    <n v="0"/>
    <n v="11"/>
    <n v="41041"/>
    <n v="67991.59663865546"/>
    <n v="10"/>
    <n v="12"/>
    <n v="10"/>
    <m/>
    <n v="0"/>
    <n v="0"/>
    <n v="44772"/>
    <n v="34154.99999999999"/>
    <n v="0"/>
    <n v="0"/>
    <n v="11"/>
    <n v="41041"/>
    <n v="75546.21848739496"/>
    <n v="0"/>
    <n v="11"/>
    <n v="0"/>
    <m/>
    <n v="0"/>
    <n v="0"/>
    <n v="41041"/>
    <n v="0"/>
    <n v="0"/>
    <n v="0"/>
    <n v="11"/>
    <n v="41041"/>
    <n v="0"/>
    <n v="0"/>
    <n v="11"/>
    <n v="0"/>
    <n v="0"/>
    <n v="0"/>
    <n v="0"/>
    <n v="41041"/>
    <n v="0"/>
    <n v="0"/>
    <n v="0"/>
    <n v="11"/>
    <n v="41041"/>
    <n v="0"/>
    <n v="0"/>
    <n v="11"/>
    <n v="0"/>
    <n v="0"/>
    <n v="0"/>
    <n v="0"/>
    <n v="41041"/>
    <n v="0"/>
    <n v="0"/>
    <n v="0"/>
    <n v="11"/>
    <n v="41041"/>
    <n v="0"/>
    <n v="0"/>
    <n v="11"/>
    <n v="0"/>
    <n v="0"/>
    <n v="0"/>
    <m/>
    <n v="37570.49999999999"/>
    <n v="0"/>
    <n v="0"/>
    <n v="0"/>
    <n v="11"/>
    <n v="37570.49999999999"/>
    <n v="0"/>
    <n v="0"/>
    <n v="11"/>
    <n v="0"/>
    <n v="0"/>
    <n v="0"/>
    <n v="0"/>
    <m/>
    <n v="37570.49999999999"/>
    <n v="0"/>
    <n v="0"/>
    <n v="0"/>
    <n v="11"/>
    <n v="37570.49999999999"/>
    <n v="0"/>
    <n v="0"/>
    <n v="11"/>
    <n v="0"/>
    <n v="0"/>
    <n v="0"/>
    <n v="37570.49999999999"/>
    <n v="0"/>
    <n v="0"/>
    <n v="0"/>
    <n v="11"/>
    <n v="37570.49999999999"/>
    <n v="0"/>
    <n v="0"/>
    <n v="11"/>
    <n v="0"/>
    <n v="0"/>
    <n v="0"/>
    <n v="37570.49999999999"/>
    <n v="0"/>
    <n v="0"/>
    <n v="11"/>
    <n v="37570.49999999999"/>
    <n v="0"/>
    <n v="0"/>
    <n v="11"/>
    <n v="0"/>
    <n v="0"/>
    <m/>
    <n v="37570.49999999999"/>
    <n v="0"/>
    <n v="0"/>
    <n v="11"/>
    <n v="37570.49999999999"/>
    <n v="0"/>
  </r>
  <r>
    <s v="Simplit-Mundo Café"/>
    <x v="2"/>
    <x v="18"/>
    <x v="29"/>
    <n v="67951425161311"/>
    <x v="495"/>
    <x v="341"/>
    <x v="0"/>
    <x v="6"/>
    <n v="1"/>
    <x v="12"/>
    <n v="4"/>
    <m/>
    <n v="0"/>
    <n v="3798"/>
    <n v="15192"/>
    <n v="3.3"/>
    <n v="3605.25"/>
    <n v="9235.294117647059"/>
    <n v="9235.294117647059"/>
    <s v="Shenzhen"/>
    <s v="30/70"/>
    <n v="30"/>
    <n v="100"/>
    <n v="62"/>
    <n v="0.488144602636712"/>
    <n v="22"/>
    <n v="0.5786275410330216"/>
    <n v="65"/>
    <n v="0.4759280167475912"/>
    <n v="10"/>
    <n v="0.4256021315523855"/>
    <n v="8"/>
    <n v="0.449981207743286"/>
    <n v="42"/>
    <n v="0.4610658337304736"/>
    <n v="9"/>
    <n v="0.5698795544625552"/>
    <n v="136"/>
    <n v="0.4319596196380915"/>
    <n v="3"/>
    <n v="0.5320119714797102"/>
    <n v="26"/>
    <n v="0.4058441792245168"/>
    <n v="4"/>
    <n v="0.4973208021708915"/>
    <n v="7"/>
    <n v="0.4385211684107913"/>
    <n v="0"/>
    <s v=""/>
    <n v="1"/>
    <n v="0.2511709647204863"/>
    <n v="2"/>
    <n v="0.319595022127375"/>
    <n v="4"/>
    <n v="0.4523786917352225"/>
    <n v="0"/>
    <n v="1"/>
    <n v="0.5887197452229299"/>
    <n v="0"/>
    <n v="0"/>
    <s v=""/>
    <n v="0"/>
    <n v="0"/>
    <n v="0.4232564762496082"/>
    <n v="0"/>
    <n v="0"/>
    <n v="5"/>
    <n v="0"/>
    <n v="0"/>
    <n v="0"/>
    <n v="0"/>
    <n v="13293"/>
    <n v="17077.5"/>
    <n v="0"/>
    <n v="0"/>
    <n v="4"/>
    <n v="15192"/>
    <n v="0"/>
    <n v="0"/>
    <n v="13"/>
    <n v="1.5"/>
    <n v="0"/>
    <n v="0"/>
    <n v="0"/>
    <n v="28485"/>
    <n v="44401.49999999999"/>
    <n v="5697"/>
    <n v="0"/>
    <n v="4"/>
    <n v="15192"/>
    <n v="11641.12703905092"/>
    <n v="0"/>
    <n v="12"/>
    <n v="2"/>
    <n v="0"/>
    <n v="0"/>
    <n v="22788"/>
    <n v="45576"/>
    <n v="7596"/>
    <n v="0"/>
    <n v="4"/>
    <n v="15192"/>
    <n v="18470.58823529412"/>
    <n v="0"/>
    <n v="10"/>
    <n v="4"/>
    <n v="0"/>
    <n v="0"/>
    <n v="34154.99999999999"/>
    <n v="15192"/>
    <n v="0"/>
    <n v="0"/>
    <n v="4"/>
    <n v="15192"/>
    <n v="36941.17647058824"/>
    <n v="0"/>
    <n v="5"/>
    <n v="0"/>
    <m/>
    <n v="0"/>
    <n v="0"/>
    <n v="18990"/>
    <n v="0"/>
    <n v="0"/>
    <n v="0"/>
    <n v="4"/>
    <n v="15192"/>
    <n v="0"/>
    <n v="0"/>
    <n v="4"/>
    <n v="0"/>
    <m/>
    <n v="0"/>
    <n v="0"/>
    <n v="15192"/>
    <n v="0"/>
    <n v="0"/>
    <n v="0"/>
    <n v="4"/>
    <n v="15192"/>
    <n v="0"/>
    <n v="0"/>
    <n v="4"/>
    <n v="0"/>
    <n v="0"/>
    <n v="0"/>
    <n v="0"/>
    <n v="15192"/>
    <n v="0"/>
    <n v="0"/>
    <n v="0"/>
    <n v="4"/>
    <n v="15192"/>
    <n v="0"/>
    <n v="0"/>
    <n v="4"/>
    <n v="0"/>
    <n v="0"/>
    <n v="0"/>
    <n v="0"/>
    <n v="15192"/>
    <n v="0"/>
    <n v="0"/>
    <n v="0"/>
    <n v="4"/>
    <n v="15192"/>
    <n v="0"/>
    <n v="0"/>
    <n v="4"/>
    <n v="0"/>
    <n v="0"/>
    <n v="0"/>
    <m/>
    <n v="13662"/>
    <n v="0"/>
    <n v="0"/>
    <n v="0"/>
    <n v="4"/>
    <n v="13662"/>
    <n v="0"/>
    <n v="0"/>
    <n v="4"/>
    <n v="0"/>
    <n v="0"/>
    <n v="0"/>
    <n v="0"/>
    <m/>
    <n v="13662"/>
    <n v="0"/>
    <n v="0"/>
    <n v="0"/>
    <n v="4"/>
    <n v="13662"/>
    <n v="0"/>
    <n v="0"/>
    <n v="4"/>
    <n v="0"/>
    <n v="0"/>
    <n v="0"/>
    <n v="13662"/>
    <n v="0"/>
    <n v="0"/>
    <n v="0"/>
    <n v="4"/>
    <n v="13662"/>
    <n v="0"/>
    <n v="0"/>
    <n v="4"/>
    <n v="0"/>
    <n v="0"/>
    <n v="0"/>
    <n v="13662"/>
    <n v="0"/>
    <n v="0"/>
    <n v="4"/>
    <n v="13662"/>
    <n v="0"/>
    <n v="0"/>
    <n v="4"/>
    <n v="0"/>
    <n v="0"/>
    <m/>
    <n v="13662"/>
    <n v="0"/>
    <n v="0"/>
    <n v="4"/>
    <n v="13662"/>
    <n v="0"/>
  </r>
  <r>
    <s v="Simplit-Organización"/>
    <x v="2"/>
    <x v="19"/>
    <x v="50"/>
    <n v="1645629782262"/>
    <x v="496"/>
    <x v="342"/>
    <x v="0"/>
    <x v="0"/>
    <n v="1"/>
    <x v="288"/>
    <n v="200"/>
    <m/>
    <n v="0"/>
    <n v="3423.4"/>
    <n v="684680"/>
    <n v="3.7"/>
    <n v="4042.25"/>
    <n v="9235.294117647059"/>
    <n v="7554.621848739496"/>
    <s v="Shenzhen"/>
    <s v="20/80 Credit"/>
    <n v="30"/>
    <n v="100"/>
    <n v="33"/>
    <n v="0.5120950579333178"/>
    <n v="39"/>
    <n v="0.5439438591321006"/>
    <n v="48"/>
    <n v="0.4938110241474474"/>
    <n v="46"/>
    <n v="0.4487273679455065"/>
    <n v="39"/>
    <n v="0.4924353373923099"/>
    <n v="62"/>
    <n v="0.5002632024121081"/>
    <n v="51"/>
    <n v="0.4588324400926093"/>
    <n v="44"/>
    <n v="0.5577582294075691"/>
    <n v="37"/>
    <n v="0.4450329759073982"/>
    <n v="30"/>
    <n v="0.5215723462832669"/>
    <n v="26"/>
    <n v="0.4785449560127686"/>
    <n v="35"/>
    <n v="0.5192157124056705"/>
    <n v="19"/>
    <n v="0.5965965298301533"/>
    <n v="12"/>
    <n v="0.5560983229646767"/>
    <n v="37"/>
    <n v="0.5761124587388365"/>
    <n v="38"/>
    <n v="0.572465914748951"/>
    <n v="0.8444444444444444"/>
    <n v="19"/>
    <n v="0.5335316444731433"/>
    <n v="0.475"/>
    <n v="26"/>
    <n v="0.4580618507432653"/>
    <n v="0.4333333333333333"/>
    <n v="4"/>
    <n v="0.5594948437828249"/>
    <n v="0.08"/>
    <n v="35"/>
    <n v="66"/>
    <n v="45"/>
    <n v="150"/>
    <n v="150"/>
    <n v="0"/>
    <n v="342340"/>
    <n v="252747"/>
    <n v="154053"/>
    <n v="0"/>
    <n v="200"/>
    <n v="684680"/>
    <n v="349233.8111715275"/>
    <n v="40"/>
    <n v="148"/>
    <n v="18"/>
    <n v="0"/>
    <n v="0"/>
    <n v="0"/>
    <n v="318376.2"/>
    <n v="566765.9999999999"/>
    <n v="61621.2"/>
    <n v="0"/>
    <n v="200"/>
    <n v="684680"/>
    <n v="139693.524468611"/>
    <n v="50"/>
    <n v="140"/>
    <n v="37"/>
    <n v="0"/>
    <n v="0"/>
    <n v="409935"/>
    <n v="479276"/>
    <n v="126665.8"/>
    <n v="0"/>
    <n v="200"/>
    <n v="684680"/>
    <n v="341705.8823529412"/>
    <n v="45"/>
    <n v="93"/>
    <n v="38"/>
    <n v="100"/>
    <n v="0"/>
    <n v="356143.4999999999"/>
    <n v="130089.2"/>
    <n v="382949.9999999999"/>
    <n v="0"/>
    <n v="200"/>
    <n v="684680"/>
    <n v="350941.1764705883"/>
    <n v="40"/>
    <n v="219"/>
    <n v="40"/>
    <m/>
    <n v="0"/>
    <n v="0"/>
    <n v="749724.6"/>
    <n v="153180"/>
    <n v="0"/>
    <n v="0"/>
    <n v="200"/>
    <n v="684680"/>
    <n v="369411.7647058824"/>
    <n v="60"/>
    <n v="226"/>
    <n v="26"/>
    <m/>
    <n v="0"/>
    <n v="0"/>
    <n v="773688.4"/>
    <n v="99566.99999999999"/>
    <n v="0"/>
    <n v="0"/>
    <n v="226"/>
    <n v="684680"/>
    <n v="240117.6470588236"/>
    <n v="50"/>
    <n v="204"/>
    <n v="50"/>
    <n v="100"/>
    <n v="100"/>
    <n v="0"/>
    <n v="698373.6"/>
    <n v="191475"/>
    <n v="370185"/>
    <n v="0"/>
    <n v="204"/>
    <n v="684680"/>
    <n v="461764.705882353"/>
    <n v="43"/>
    <n v="154"/>
    <n v="43"/>
    <n v="0"/>
    <n v="0"/>
    <n v="0"/>
    <n v="527203.6"/>
    <n v="164668.5"/>
    <n v="0"/>
    <n v="0"/>
    <n v="154"/>
    <n v="527203.6"/>
    <n v="397117.6470588236"/>
    <n v="35"/>
    <n v="111"/>
    <n v="35"/>
    <n v="0"/>
    <n v="0"/>
    <m/>
    <n v="425074.4999999999"/>
    <n v="134032.5"/>
    <n v="0"/>
    <n v="0"/>
    <n v="111"/>
    <n v="425074.4999999999"/>
    <n v="323235.2941176471"/>
    <n v="50"/>
    <n v="76"/>
    <n v="50"/>
    <n v="0"/>
    <n v="0"/>
    <n v="0"/>
    <m/>
    <n v="291041.9999999999"/>
    <n v="191475"/>
    <n v="0"/>
    <n v="0"/>
    <n v="76"/>
    <n v="291041.9999999999"/>
    <n v="377731.0924369748"/>
    <n v="40"/>
    <n v="26"/>
    <n v="40"/>
    <n v="100"/>
    <n v="100"/>
    <n v="99566.99999999999"/>
    <n v="153180"/>
    <n v="382949.9999999999"/>
    <n v="382949.9999999999"/>
    <n v="126"/>
    <n v="482516.9999999999"/>
    <n v="317294.1176470589"/>
    <n v="50"/>
    <n v="86"/>
    <n v="50"/>
    <n v="0"/>
    <n v="0"/>
    <n v="329336.9999999999"/>
    <n v="191475"/>
    <n v="0"/>
    <n v="86"/>
    <n v="329336.9999999999"/>
    <n v="461764.705882353"/>
    <n v="24"/>
    <n v="36"/>
    <n v="24"/>
    <n v="0"/>
    <m/>
    <n v="137862"/>
    <n v="82161.60000000001"/>
    <n v="0"/>
    <n v="36"/>
    <n v="137862"/>
    <n v="221647.0588235294"/>
  </r>
  <r>
    <s v="Simplit-Organización"/>
    <x v="2"/>
    <x v="19"/>
    <x v="50"/>
    <n v="1654207748340"/>
    <x v="497"/>
    <x v="343"/>
    <x v="0"/>
    <x v="3"/>
    <n v="1"/>
    <x v="289"/>
    <n v="728"/>
    <m/>
    <n v="0"/>
    <n v="7281.091026496419"/>
    <n v="5300634.267289393"/>
    <n v="6.9"/>
    <n v="7538.249999999999"/>
    <n v="16798.31932773109"/>
    <n v="15957.98319327731"/>
    <s v="Shenzhen"/>
    <s v="30/70"/>
    <n v="30"/>
    <n v="100"/>
    <n v="303"/>
    <n v="0.506158909047447"/>
    <n v="159"/>
    <n v="0.495524412441892"/>
    <n v="302"/>
    <n v="0.5024459525887783"/>
    <n v="33"/>
    <n v="0.5154362015209542"/>
    <n v="4"/>
    <n v="0.5197810556951978"/>
    <n v="232"/>
    <n v="0.4547383987583439"/>
    <n v="192"/>
    <n v="0.5608494966340405"/>
    <n v="98"/>
    <n v="0.568953649416084"/>
    <n v="87"/>
    <n v="0.5938490555005804"/>
    <n v="368"/>
    <n v="0.4280578120433528"/>
    <n v="150"/>
    <n v="0.4797924179716733"/>
    <n v="156"/>
    <n v="0.507519570060755"/>
    <n v="137"/>
    <n v="0.3293040538730006"/>
    <n v="118"/>
    <n v="0.3170186763174414"/>
    <n v="156"/>
    <n v="0.3809143206818778"/>
    <n v="131"/>
    <n v="0.4425187067645784"/>
    <n v="0.8733333333333333"/>
    <n v="157"/>
    <n v="0.5439253518919533"/>
    <n v="0.8722222222222222"/>
    <n v="208"/>
    <n v="0.4361924140830997"/>
    <n v="0.832"/>
    <n v="0"/>
    <n v="0.4154409316656602"/>
    <n v="0"/>
    <n v="250"/>
    <n v="238"/>
    <n v="150"/>
    <n v="150"/>
    <n v="150"/>
    <n v="0"/>
    <n v="3516766.96579777"/>
    <n v="1699677"/>
    <n v="1092163.653974463"/>
    <n v="0"/>
    <n v="728"/>
    <n v="5300634.267289393"/>
    <n v="2117435.209377869"/>
    <n v="180"/>
    <n v="282"/>
    <n v="177"/>
    <n v="350"/>
    <n v="250"/>
    <n v="0"/>
    <n v="3378426.236294338"/>
    <n v="2013903"/>
    <n v="1288753.111689866"/>
    <n v="0"/>
    <n v="728"/>
    <n v="5300634.267289393"/>
    <n v="2498573.547065885"/>
    <n v="300"/>
    <n v="884"/>
    <n v="156"/>
    <n v="0"/>
    <n v="0"/>
    <n v="3375143.124604472"/>
    <n v="6436484.467422834"/>
    <n v="1135850.200133441"/>
    <n v="0"/>
    <n v="728"/>
    <n v="5300634.267289393"/>
    <n v="2620537.81512605"/>
    <n v="150"/>
    <n v="688"/>
    <n v="131"/>
    <n v="650"/>
    <n v="0"/>
    <n v="4913351.999999999"/>
    <n v="953822.9244710308"/>
    <n v="4641974.999999999"/>
    <n v="0"/>
    <n v="728"/>
    <n v="5300634.267289393"/>
    <n v="2200579.831932773"/>
    <n v="180"/>
    <n v="885"/>
    <n v="180"/>
    <m/>
    <n v="0"/>
    <n v="0"/>
    <n v="6443765.558449331"/>
    <n v="1285470"/>
    <n v="0"/>
    <n v="0"/>
    <n v="728"/>
    <n v="5300634.267289393"/>
    <n v="3023697.478991597"/>
    <n v="250"/>
    <n v="936"/>
    <n v="208"/>
    <m/>
    <n v="306"/>
    <n v="0"/>
    <n v="6815101.200800648"/>
    <n v="1485432"/>
    <n v="0"/>
    <n v="0"/>
    <n v="936"/>
    <n v="5300634.267289393"/>
    <n v="3494050.420168067"/>
    <n v="200"/>
    <n v="728"/>
    <n v="200"/>
    <n v="350"/>
    <n v="350"/>
    <n v="0"/>
    <n v="5300634.267289393"/>
    <n v="1428300"/>
    <n v="2416207.5"/>
    <n v="0"/>
    <n v="728"/>
    <n v="5300634.267289393"/>
    <n v="3359663.865546219"/>
    <n v="150"/>
    <n v="528"/>
    <n v="150"/>
    <n v="0"/>
    <n v="0"/>
    <n v="0"/>
    <n v="3844416.061990109"/>
    <n v="1071225"/>
    <n v="0"/>
    <n v="0"/>
    <n v="528"/>
    <n v="3844416.061990109"/>
    <n v="2519747.899159664"/>
    <n v="150"/>
    <n v="378"/>
    <n v="150"/>
    <n v="0"/>
    <n v="0"/>
    <m/>
    <n v="2699487"/>
    <n v="1071225"/>
    <n v="0"/>
    <n v="0"/>
    <n v="378"/>
    <n v="2699487"/>
    <n v="2519747.899159664"/>
    <n v="300"/>
    <n v="228"/>
    <n v="228"/>
    <n v="0"/>
    <n v="0"/>
    <n v="0"/>
    <m/>
    <n v="1628262"/>
    <n v="1628262"/>
    <n v="0"/>
    <n v="0"/>
    <n v="228"/>
    <n v="1628262"/>
    <n v="3638420.168067227"/>
    <n v="160"/>
    <n v="0"/>
    <n v="160"/>
    <n v="300"/>
    <n v="300"/>
    <n v="0"/>
    <n v="1142640"/>
    <n v="2142450"/>
    <n v="2142450"/>
    <n v="300"/>
    <n v="2142450"/>
    <n v="2680941.176470588"/>
    <n v="200"/>
    <n v="140"/>
    <n v="200"/>
    <n v="0"/>
    <n v="0"/>
    <n v="999809.9999999999"/>
    <n v="1428300"/>
    <n v="0"/>
    <n v="140"/>
    <n v="999809.9999999999"/>
    <n v="3359663.865546219"/>
    <n v="96"/>
    <n v="0"/>
    <n v="96"/>
    <n v="0"/>
    <m/>
    <n v="0"/>
    <n v="698984.7385436562"/>
    <n v="0"/>
    <n v="0"/>
    <n v="0"/>
    <n v="1612638.655462185"/>
  </r>
  <r>
    <s v="Simplit-Organización"/>
    <x v="2"/>
    <x v="19"/>
    <x v="50"/>
    <n v="1660858416606"/>
    <x v="498"/>
    <x v="344"/>
    <x v="0"/>
    <x v="4"/>
    <n v="1"/>
    <x v="290"/>
    <n v="163"/>
    <m/>
    <n v="0"/>
    <n v="6387.006289308176"/>
    <n v="1041082.025157233"/>
    <n v="6.1"/>
    <n v="6664.249999999999"/>
    <n v="14277.31092436975"/>
    <n v="13436.97478991597"/>
    <s v="Shenzhen"/>
    <s v="30/70"/>
    <n v="45"/>
    <n v="200"/>
    <n v="40"/>
    <n v="0.6650359124869079"/>
    <n v="30"/>
    <n v="0.680442654241076"/>
    <n v="32"/>
    <n v="0.6558405349071409"/>
    <n v="24"/>
    <n v="0.6673315443670087"/>
    <n v="59"/>
    <n v="0.6045597891383537"/>
    <n v="67"/>
    <n v="0.6516213608668786"/>
    <n v="28"/>
    <n v="0.6724871882508384"/>
    <n v="33"/>
    <n v="0.6760514857167618"/>
    <n v="24"/>
    <n v="0.6738714937828298"/>
    <n v="60"/>
    <n v="0.6252199931132395"/>
    <n v="44"/>
    <n v="0.6016689389375798"/>
    <n v="34"/>
    <n v="0.5917408616166437"/>
    <n v="68"/>
    <n v="0.3807762727155586"/>
    <n v="41"/>
    <n v="0.3126776017615714"/>
    <n v="58"/>
    <n v="0.3310279430741168"/>
    <n v="37"/>
    <n v="0.397012459056055"/>
    <n v="1.057142857142857"/>
    <n v="11"/>
    <n v="0.4679678934130022"/>
    <n v="0.2"/>
    <n v="5"/>
    <n v="0.5413331681046373"/>
    <n v="0.07142857142857142"/>
    <n v="1"/>
    <n v="0.3670747196186752"/>
    <n v="0.02857142857142857"/>
    <n v="34"/>
    <n v="214"/>
    <n v="55"/>
    <n v="0"/>
    <n v="0"/>
    <n v="0"/>
    <n v="1114532.597484277"/>
    <n v="1351089"/>
    <n v="351285.3459119497"/>
    <n v="0"/>
    <n v="163"/>
    <n v="1041082.025157233"/>
    <n v="659875.7149918792"/>
    <n v="40"/>
    <n v="157"/>
    <n v="61.5"/>
    <n v="0"/>
    <n v="0"/>
    <n v="0"/>
    <n v="999566.4842767295"/>
    <n v="991219.4999999999"/>
    <n v="392800.8867924528"/>
    <n v="0"/>
    <n v="163"/>
    <n v="1041082.025157233"/>
    <n v="737861.0267636467"/>
    <n v="45"/>
    <n v="105"/>
    <n v="58"/>
    <n v="0"/>
    <n v="0"/>
    <n v="954008.0974842766"/>
    <n v="670635.6603773584"/>
    <n v="370446.3647798742"/>
    <n v="0"/>
    <n v="163"/>
    <n v="1041082.025157233"/>
    <n v="828084.0336134455"/>
    <n v="35"/>
    <n v="55"/>
    <n v="37"/>
    <n v="0"/>
    <n v="0"/>
    <n v="347242.4999999999"/>
    <n v="236319.2327044025"/>
    <n v="0"/>
    <n v="0"/>
    <n v="163"/>
    <n v="1041082.025157233"/>
    <n v="528260.5042016808"/>
    <n v="55"/>
    <n v="174"/>
    <n v="55"/>
    <m/>
    <n v="0"/>
    <n v="0"/>
    <n v="1111339.094339623"/>
    <n v="347242.4999999999"/>
    <n v="0"/>
    <n v="0"/>
    <n v="163"/>
    <n v="1041082.025157233"/>
    <n v="785252.1008403362"/>
    <n v="70"/>
    <n v="168"/>
    <n v="5"/>
    <m/>
    <n v="0"/>
    <n v="0"/>
    <n v="1073017.056603773"/>
    <n v="31567.5"/>
    <n v="0"/>
    <n v="0"/>
    <n v="168"/>
    <n v="1041082.025157233"/>
    <n v="71386.55462184874"/>
    <n v="35"/>
    <n v="164"/>
    <n v="35"/>
    <n v="200"/>
    <n v="200"/>
    <n v="0"/>
    <n v="1047469.031446541"/>
    <n v="220972.5"/>
    <n v="1220610"/>
    <n v="0"/>
    <n v="164"/>
    <n v="1041082.025157233"/>
    <n v="499705.8823529412"/>
    <n v="30"/>
    <n v="129"/>
    <n v="30"/>
    <n v="0"/>
    <n v="0"/>
    <n v="0"/>
    <n v="823923.8113207547"/>
    <n v="189405"/>
    <n v="0"/>
    <n v="0"/>
    <n v="129"/>
    <n v="823923.8113207547"/>
    <n v="428319.3277310925"/>
    <n v="25"/>
    <n v="99"/>
    <n v="25"/>
    <n v="0"/>
    <n v="0"/>
    <m/>
    <n v="625036.4999999999"/>
    <n v="157837.5"/>
    <n v="0"/>
    <n v="0"/>
    <n v="99"/>
    <n v="625036.4999999999"/>
    <n v="356932.7731092437"/>
    <n v="50"/>
    <n v="74"/>
    <n v="50"/>
    <n v="0"/>
    <n v="0"/>
    <n v="0"/>
    <m/>
    <n v="467198.9999999999"/>
    <n v="315674.9999999999"/>
    <n v="0"/>
    <n v="0"/>
    <n v="74"/>
    <n v="467198.9999999999"/>
    <n v="671848.7394957984"/>
    <n v="40"/>
    <n v="24"/>
    <n v="40"/>
    <n v="0"/>
    <n v="0"/>
    <n v="151524"/>
    <n v="252540"/>
    <n v="0"/>
    <n v="0"/>
    <n v="24"/>
    <n v="151524"/>
    <n v="564352.9411764706"/>
    <n v="40"/>
    <n v="0"/>
    <n v="40"/>
    <n v="0"/>
    <n v="0"/>
    <n v="0"/>
    <n v="252540"/>
    <n v="0"/>
    <n v="0"/>
    <n v="0"/>
    <n v="571092.4369747899"/>
    <n v="24"/>
    <n v="0"/>
    <n v="24"/>
    <n v="0"/>
    <m/>
    <n v="0"/>
    <n v="153288.1509433962"/>
    <n v="0"/>
    <n v="0"/>
    <n v="0"/>
    <n v="342655.462184874"/>
  </r>
  <r>
    <s v="Simplit-Organización"/>
    <x v="2"/>
    <x v="19"/>
    <x v="50"/>
    <n v="1627418212924"/>
    <x v="499"/>
    <x v="345"/>
    <x v="0"/>
    <x v="3"/>
    <n v="1"/>
    <x v="291"/>
    <n v="79"/>
    <m/>
    <n v="0"/>
    <n v="5979.956252190897"/>
    <n v="472416.5439230809"/>
    <n v="6.050000000000001"/>
    <n v="6609.625000000001"/>
    <n v="14277.31092436975"/>
    <n v="12596.63865546219"/>
    <s v="Ningbo"/>
    <s v="20/80 Credit"/>
    <n v="30"/>
    <n v="100"/>
    <n v="463"/>
    <n v="0.6262236243305331"/>
    <n v="254"/>
    <n v="0.5708830171453699"/>
    <n v="374"/>
    <n v="0.4801033885167744"/>
    <n v="232"/>
    <n v="0.483458082120271"/>
    <n v="266"/>
    <n v="0.6143769373645734"/>
    <n v="650"/>
    <n v="0.5495801141967687"/>
    <n v="288"/>
    <n v="0.4763534063380787"/>
    <n v="591"/>
    <n v="0.3983209805902408"/>
    <n v="517"/>
    <n v="0.3853612688188991"/>
    <n v="615"/>
    <n v="0.3452374167594131"/>
    <n v="65"/>
    <n v="0.4827695609603658"/>
    <n v="26"/>
    <n v="0.4907347977320722"/>
    <n v="133"/>
    <n v="0.2832125286596324"/>
    <n v="172"/>
    <n v="0.4598303841164506"/>
    <n v="461"/>
    <n v="0.3840911753478927"/>
    <n v="253"/>
    <n v="0.403268470636329"/>
    <n v="0.8433333333333334"/>
    <n v="318"/>
    <n v="0.4611539335314332"/>
    <n v="1.330543933054393"/>
    <n v="660"/>
    <n v="0.2498193800935026"/>
    <n v="1.32"/>
    <n v="82"/>
    <n v="0.3485078920021729"/>
    <n v="0.2733333333333333"/>
    <n v="220"/>
    <n v="580"/>
    <n v="164"/>
    <n v="400"/>
    <n v="400"/>
    <n v="0"/>
    <n v="5280301.370684562"/>
    <n v="3631815"/>
    <n v="980712.8253593072"/>
    <n v="0"/>
    <n v="79"/>
    <n v="472416.5439230809"/>
    <n v="1967629.404703058"/>
    <n v="200"/>
    <n v="1064"/>
    <n v="258"/>
    <n v="600"/>
    <n v="600"/>
    <n v="0"/>
    <n v="5812517.477129553"/>
    <n v="6662502.000000001"/>
    <n v="1542828.713065251"/>
    <n v="0"/>
    <n v="79"/>
    <n v="472416.5439230809"/>
    <n v="3095416.990325543"/>
    <n v="220"/>
    <n v="913"/>
    <n v="461"/>
    <n v="0"/>
    <n v="0"/>
    <n v="5766247.014064301"/>
    <n v="5459700.058250289"/>
    <n v="2756759.832260004"/>
    <n v="0"/>
    <n v="79"/>
    <n v="472416.5439230809"/>
    <n v="6581840.336134454"/>
    <n v="300"/>
    <n v="383"/>
    <n v="253"/>
    <n v="600"/>
    <n v="0"/>
    <n v="2398250.25"/>
    <n v="1512928.931804297"/>
    <n v="3757050"/>
    <n v="0"/>
    <n v="79"/>
    <n v="472416.5439230809"/>
    <n v="3612159.663865547"/>
    <n v="239"/>
    <n v="397"/>
    <n v="239"/>
    <n v="500"/>
    <n v="500"/>
    <n v="0"/>
    <n v="2374042.632119786"/>
    <n v="1496558.25"/>
    <n v="3130875"/>
    <n v="0"/>
    <n v="79"/>
    <n v="472416.5439230809"/>
    <n v="3412277.31092437"/>
    <n v="500"/>
    <n v="739"/>
    <n v="660"/>
    <m/>
    <n v="500"/>
    <n v="0"/>
    <n v="4419187.670369073"/>
    <n v="4132755"/>
    <n v="0"/>
    <n v="0"/>
    <n v="739"/>
    <n v="472416.5439230809"/>
    <n v="9423025.210084034"/>
    <n v="300"/>
    <n v="161"/>
    <n v="300"/>
    <n v="0"/>
    <n v="0"/>
    <n v="0"/>
    <n v="962772.9566027345"/>
    <n v="1878525"/>
    <n v="0"/>
    <n v="0"/>
    <n v="161"/>
    <n v="472416.5439230809"/>
    <n v="4283193.277310925"/>
    <n v="350"/>
    <n v="0"/>
    <n v="350"/>
    <n v="600"/>
    <n v="600"/>
    <n v="600"/>
    <n v="0"/>
    <n v="2191612.5"/>
    <n v="3757050"/>
    <n v="3757050"/>
    <n v="600"/>
    <n v="3757050"/>
    <n v="4997058.823529412"/>
    <n v="250"/>
    <n v="250"/>
    <n v="250"/>
    <n v="0"/>
    <n v="0"/>
    <n v="600"/>
    <n v="1565437.5"/>
    <n v="1565437.5"/>
    <n v="0"/>
    <n v="3757050"/>
    <n v="850"/>
    <n v="5322487.500000001"/>
    <n v="3569327.731092437"/>
    <n v="350"/>
    <n v="600"/>
    <n v="350"/>
    <n v="500"/>
    <n v="500"/>
    <n v="500"/>
    <n v="0"/>
    <n v="3757050"/>
    <n v="2191612.5"/>
    <n v="3130875"/>
    <n v="3130875"/>
    <n v="1100"/>
    <n v="6887925.000000001"/>
    <n v="4408823.529411765"/>
    <n v="200"/>
    <n v="750"/>
    <n v="200"/>
    <n v="500"/>
    <n v="500"/>
    <n v="4696312.500000001"/>
    <n v="1252350"/>
    <n v="3130875"/>
    <n v="3130875"/>
    <n v="1250"/>
    <n v="7827187.500000002"/>
    <n v="2645294.117647059"/>
    <n v="300"/>
    <n v="1050"/>
    <n v="300"/>
    <n v="0"/>
    <n v="0"/>
    <n v="6574837.500000001"/>
    <n v="1878525"/>
    <n v="0"/>
    <n v="1050"/>
    <n v="6574837.500000001"/>
    <n v="4283193.277310925"/>
    <n v="120"/>
    <n v="750"/>
    <n v="120"/>
    <n v="0"/>
    <m/>
    <n v="4696312.500000001"/>
    <n v="717594.7502629077"/>
    <n v="0"/>
    <n v="750"/>
    <n v="4696312.500000001"/>
    <n v="1713277.31092437"/>
  </r>
  <r>
    <s v="Simplit-Organización"/>
    <x v="2"/>
    <x v="19"/>
    <x v="50"/>
    <n v="1660859287583"/>
    <x v="500"/>
    <x v="346"/>
    <x v="0"/>
    <x v="4"/>
    <n v="1"/>
    <x v="292"/>
    <n v="190"/>
    <m/>
    <n v="0"/>
    <n v="7980.104417670683"/>
    <n v="1516219.83935743"/>
    <n v="8.15"/>
    <n v="8903.875"/>
    <n v="16798.31932773109"/>
    <n v="16798.31932773109"/>
    <s v="Shenzhen"/>
    <s v="30/70"/>
    <n v="30"/>
    <n v="200"/>
    <n v="61"/>
    <n v="0.4819311379800208"/>
    <n v="75"/>
    <n v="0.4617051022031397"/>
    <n v="156"/>
    <n v="0.4582976055215239"/>
    <n v="60"/>
    <n v="0.4846298187898472"/>
    <n v="77"/>
    <n v="0.4801455364944587"/>
    <n v="81"/>
    <n v="0.432553851373211"/>
    <n v="61"/>
    <n v="0.4832580437784402"/>
    <n v="65"/>
    <n v="0.5220673649381078"/>
    <n v="47"/>
    <n v="0.5306835229480681"/>
    <n v="98"/>
    <n v="0.4904272137958757"/>
    <n v="101"/>
    <n v="0.4919200992770907"/>
    <n v="71"/>
    <n v="0.4784194864402874"/>
    <n v="90"/>
    <n v="0.3793108708636401"/>
    <n v="75"/>
    <n v="0.3710300680993396"/>
    <n v="92"/>
    <n v="0.3154668895511678"/>
    <n v="73"/>
    <n v="0.3638316958624318"/>
    <n v="1.216666666666667"/>
    <n v="78"/>
    <n v="0.5322319557551527"/>
    <n v="1.114285714285714"/>
    <n v="29"/>
    <n v="0.3110689465772928"/>
    <n v="0.3118279569892473"/>
    <n v="0"/>
    <n v="0.3855314964098301"/>
    <n v="0"/>
    <n v="70"/>
    <n v="133"/>
    <n v="90"/>
    <n v="150"/>
    <n v="150"/>
    <n v="0"/>
    <n v="2350140.751004016"/>
    <n v="1121888.25"/>
    <n v="718209.3975903614"/>
    <n v="0"/>
    <n v="190"/>
    <n v="1516219.83935743"/>
    <n v="1270461.125626721"/>
    <n v="80"/>
    <n v="188"/>
    <n v="112.5"/>
    <n v="0"/>
    <n v="0"/>
    <n v="0"/>
    <n v="2214478.975903614"/>
    <n v="1585827"/>
    <n v="897761.7469879518"/>
    <n v="0"/>
    <n v="190"/>
    <n v="1516219.83935743"/>
    <n v="1588076.407033402"/>
    <n v="113"/>
    <n v="83"/>
    <n v="92"/>
    <n v="0"/>
    <n v="0"/>
    <n v="1907184.728915663"/>
    <n v="662348.6666666666"/>
    <n v="734169.6064257028"/>
    <n v="0"/>
    <n v="190"/>
    <n v="1516219.83935743"/>
    <n v="1545445.378151261"/>
    <n v="60"/>
    <n v="207"/>
    <n v="73"/>
    <n v="200"/>
    <n v="0"/>
    <n v="1746096.75"/>
    <n v="582547.6224899598"/>
    <n v="1687050"/>
    <n v="0"/>
    <n v="190"/>
    <n v="1516219.83935743"/>
    <n v="1226277.31092437"/>
    <n v="70"/>
    <n v="268"/>
    <n v="70"/>
    <m/>
    <n v="0"/>
    <n v="0"/>
    <n v="2138667.983935743"/>
    <n v="590467.5"/>
    <n v="0"/>
    <n v="0"/>
    <n v="190"/>
    <n v="1516219.83935743"/>
    <n v="1175882.352941176"/>
    <n v="93"/>
    <n v="219"/>
    <n v="29"/>
    <m/>
    <n v="0"/>
    <n v="0"/>
    <n v="1747642.86746988"/>
    <n v="244622.25"/>
    <n v="0"/>
    <n v="0"/>
    <n v="219"/>
    <n v="1516219.83935743"/>
    <n v="487151.2605042017"/>
    <n v="78"/>
    <n v="190"/>
    <n v="78"/>
    <n v="200"/>
    <n v="200"/>
    <n v="0"/>
    <n v="1516219.83935743"/>
    <n v="657949.5"/>
    <n v="1630815"/>
    <n v="0"/>
    <n v="190"/>
    <n v="1516219.83935743"/>
    <n v="1310268.907563025"/>
    <n v="70"/>
    <n v="112"/>
    <n v="70"/>
    <n v="100"/>
    <n v="100"/>
    <n v="0"/>
    <n v="893771.6947791164"/>
    <n v="590467.5"/>
    <n v="843525"/>
    <n v="0"/>
    <n v="212"/>
    <n v="893771.6947791164"/>
    <n v="1175882.352941176"/>
    <n v="63"/>
    <n v="42"/>
    <n v="63"/>
    <n v="0"/>
    <n v="0"/>
    <n v="100"/>
    <n v="354280.5"/>
    <n v="531420.75"/>
    <n v="0"/>
    <n v="843525"/>
    <n v="142"/>
    <n v="1197805.5"/>
    <n v="1058294.117647059"/>
    <n v="100"/>
    <n v="79"/>
    <n v="79"/>
    <n v="0"/>
    <n v="0"/>
    <n v="0"/>
    <m/>
    <n v="666384.75"/>
    <n v="666384.75"/>
    <n v="0"/>
    <n v="0"/>
    <n v="79"/>
    <n v="666384.75"/>
    <n v="1327067.226890756"/>
    <n v="90"/>
    <n v="0"/>
    <n v="90"/>
    <n v="200"/>
    <n v="200"/>
    <n v="0"/>
    <n v="759172.5"/>
    <n v="1687050"/>
    <n v="1687050"/>
    <n v="200"/>
    <n v="1687050"/>
    <n v="1587441.176470588"/>
    <n v="80"/>
    <n v="110"/>
    <n v="80"/>
    <n v="0"/>
    <n v="0"/>
    <n v="927877.5"/>
    <n v="674820"/>
    <n v="0"/>
    <n v="110"/>
    <n v="927877.5"/>
    <n v="1343865.546218487"/>
    <n v="54"/>
    <n v="30"/>
    <n v="54"/>
    <n v="0"/>
    <m/>
    <n v="253057.5"/>
    <n v="430925.6385542169"/>
    <n v="0"/>
    <n v="30"/>
    <n v="253057.5"/>
    <n v="907109.243697479"/>
  </r>
  <r>
    <s v="Simplit-Organización"/>
    <x v="2"/>
    <x v="19"/>
    <x v="50"/>
    <n v="67327712330533"/>
    <x v="501"/>
    <x v="347"/>
    <x v="0"/>
    <x v="4"/>
    <n v="1"/>
    <x v="293"/>
    <n v="253"/>
    <m/>
    <n v="0"/>
    <n v="5869.94661190965"/>
    <n v="1485096.492813141"/>
    <n v="6.050000000000001"/>
    <n v="6609.625000000001"/>
    <n v="14277.31092436975"/>
    <n v="12596.63865546219"/>
    <s v="Ningbo"/>
    <s v="20/80 Credit"/>
    <n v="30"/>
    <n v="100"/>
    <n v="250"/>
    <n v="0.5126722623934655"/>
    <n v="283"/>
    <n v="0.6635044825880078"/>
    <n v="171"/>
    <n v="0.5207540916622377"/>
    <n v="153"/>
    <n v="0.4899308088172237"/>
    <n v="169"/>
    <n v="0.5079537974848251"/>
    <n v="607"/>
    <n v="0.4260055714320903"/>
    <n v="264"/>
    <n v="0.4876393859128768"/>
    <n v="271"/>
    <n v="0.4269615451099935"/>
    <n v="246"/>
    <n v="0.4823315236066498"/>
    <n v="1224"/>
    <n v="0.2601373705403253"/>
    <n v="190"/>
    <n v="0.4395874687401978"/>
    <n v="21"/>
    <n v="-1.113488826474541"/>
    <n v="38"/>
    <n v="0.2936778186110294"/>
    <n v="93"/>
    <n v="0.3509172269623097"/>
    <n v="370"/>
    <n v="0.3674918433670126"/>
    <n v="255"/>
    <n v="0.4651148192344368"/>
    <n v="1.02"/>
    <n v="248"/>
    <n v="0.4916015083552611"/>
    <n v="1.24"/>
    <n v="354"/>
    <n v="0.4268676300435927"/>
    <n v="0.885"/>
    <n v="190"/>
    <n v="0.4107376940985172"/>
    <n v="0.6333333333333333"/>
    <n v="180"/>
    <n v="109"/>
    <n v="180"/>
    <n v="500"/>
    <n v="500"/>
    <n v="0"/>
    <n v="4047328.188911703"/>
    <n v="682530.7500000001"/>
    <n v="1056590.390143737"/>
    <n v="0"/>
    <n v="253"/>
    <n v="1485096.492813141"/>
    <n v="2159593.249064332"/>
    <n v="200"/>
    <n v="919"/>
    <n v="139.5"/>
    <n v="450"/>
    <n v="300"/>
    <n v="0"/>
    <n v="4487574.184804928"/>
    <n v="5754548.250000001"/>
    <n v="818857.5523613961"/>
    <n v="0"/>
    <n v="253"/>
    <n v="1485096.492813141"/>
    <n v="1673684.768024857"/>
    <n v="180"/>
    <n v="849"/>
    <n v="370"/>
    <n v="0"/>
    <n v="0"/>
    <n v="4921066.632443531"/>
    <n v="4983584.673511293"/>
    <n v="2171880.246406571"/>
    <n v="0"/>
    <n v="253"/>
    <n v="1485096.492813141"/>
    <n v="5282605.042016807"/>
    <n v="250"/>
    <n v="449"/>
    <n v="255"/>
    <n v="450"/>
    <n v="0"/>
    <n v="2811525.75"/>
    <n v="1496836.386036961"/>
    <n v="2817787.5"/>
    <n v="0"/>
    <n v="253"/>
    <n v="1485096.492813141"/>
    <n v="3640714.285714286"/>
    <n v="200"/>
    <n v="501"/>
    <n v="200"/>
    <n v="400"/>
    <n v="400"/>
    <n v="0"/>
    <n v="2940843.252566734"/>
    <n v="1252350"/>
    <n v="2504700"/>
    <n v="0"/>
    <n v="253"/>
    <n v="1485096.492813141"/>
    <n v="2855462.18487395"/>
    <n v="400"/>
    <n v="607"/>
    <n v="354"/>
    <m/>
    <n v="400"/>
    <n v="0"/>
    <n v="3563057.593429158"/>
    <n v="2216659.5"/>
    <n v="0"/>
    <n v="0"/>
    <n v="607"/>
    <n v="1485096.492813141"/>
    <n v="5054168.067226891"/>
    <n v="300"/>
    <n v="443"/>
    <n v="300"/>
    <n v="0"/>
    <n v="0"/>
    <n v="0"/>
    <n v="2600386.349075975"/>
    <n v="1878525"/>
    <n v="0"/>
    <n v="0"/>
    <n v="443"/>
    <n v="1485096.492813141"/>
    <n v="4283193.277310925"/>
    <n v="300"/>
    <n v="143"/>
    <n v="300"/>
    <n v="0"/>
    <n v="0"/>
    <n v="0"/>
    <n v="839402.3655030798"/>
    <n v="1878525"/>
    <n v="0"/>
    <n v="0"/>
    <n v="143"/>
    <n v="839402.3655030798"/>
    <n v="4283193.277310925"/>
    <n v="200"/>
    <n v="0"/>
    <n v="200"/>
    <n v="500"/>
    <n v="500"/>
    <n v="0"/>
    <n v="0"/>
    <n v="1252350"/>
    <n v="3130875"/>
    <n v="0"/>
    <n v="0"/>
    <n v="0"/>
    <n v="2855462.18487395"/>
    <n v="400"/>
    <n v="500"/>
    <n v="400"/>
    <n v="500"/>
    <n v="500"/>
    <n v="500"/>
    <n v="500"/>
    <n v="3130875"/>
    <n v="2504700"/>
    <n v="3130875"/>
    <n v="6261750.000000001"/>
    <n v="1000"/>
    <n v="9392625.000000002"/>
    <n v="5038655.462184874"/>
    <n v="250"/>
    <n v="600"/>
    <n v="250"/>
    <n v="0"/>
    <n v="0"/>
    <n v="3757050"/>
    <n v="1565437.5"/>
    <n v="0"/>
    <n v="0"/>
    <n v="600"/>
    <n v="3757050"/>
    <n v="3306617.647058824"/>
    <n v="250"/>
    <n v="350"/>
    <n v="250"/>
    <n v="0"/>
    <n v="0"/>
    <n v="2191612.5"/>
    <n v="1565437.5"/>
    <n v="0"/>
    <n v="350"/>
    <n v="2191612.5"/>
    <n v="3569327.731092437"/>
    <n v="150"/>
    <n v="100"/>
    <n v="150"/>
    <n v="0"/>
    <m/>
    <n v="626175.0000000001"/>
    <n v="880491.9917864475"/>
    <n v="0"/>
    <n v="100"/>
    <n v="626175.0000000001"/>
    <n v="2141596.638655462"/>
  </r>
  <r>
    <s v="Simplit-Organización"/>
    <x v="2"/>
    <x v="19"/>
    <x v="50"/>
    <s v="SIMCONCERS"/>
    <x v="502"/>
    <x v="348"/>
    <x v="0"/>
    <x v="1"/>
    <n v="0.6"/>
    <x v="294"/>
    <n v="78"/>
    <m/>
    <n v="0"/>
    <n v="1884"/>
    <n v="146952"/>
    <n v="1.4"/>
    <n v="1529.5"/>
    <n v="4193.27731092437"/>
    <n v="4613.445378151261"/>
    <s v="Shenzhen"/>
    <s v="30/70"/>
    <n v="30"/>
    <n v="50"/>
    <n v="21"/>
    <n v="0.5140035233459609"/>
    <n v="29"/>
    <n v="0.4861933968419678"/>
    <n v="19"/>
    <n v="0.5457405617484944"/>
    <n v="25"/>
    <n v="0.5743651303119781"/>
    <n v="27"/>
    <n v="0.4246291768541158"/>
    <n v="41"/>
    <n v="0.556781478929146"/>
    <n v="31"/>
    <n v="0.5358105971540925"/>
    <n v="20"/>
    <n v="0.4961128444871905"/>
    <n v="30"/>
    <n v="0.5513100246627014"/>
    <n v="19"/>
    <n v="0.5764047668500855"/>
    <n v="20"/>
    <n v="0.616766093718964"/>
    <n v="45"/>
    <n v="0.6149758282252238"/>
    <n v="21"/>
    <n v="0.431902744424031"/>
    <n v="29"/>
    <n v="0.3694150988475685"/>
    <n v="11"/>
    <n v="0.2724231926017941"/>
    <n v="9"/>
    <n v="0.5001038020669176"/>
    <n v="0.36"/>
    <n v="39"/>
    <n v="0.5597985472821784"/>
    <n v="1.444444444444444"/>
    <n v="4"/>
    <n v="-0.03098892988929889"/>
    <n v="0.0975609756097561"/>
    <n v="0"/>
    <n v="0.4193998519456186"/>
    <n v="0"/>
    <n v="20"/>
    <n v="73"/>
    <n v="20"/>
    <n v="0"/>
    <n v="0"/>
    <n v="0"/>
    <n v="140358"/>
    <n v="105777"/>
    <n v="37680"/>
    <n v="0"/>
    <n v="78"/>
    <n v="146952"/>
    <n v="70475.24892309867"/>
    <n v="25"/>
    <n v="52"/>
    <n v="43.5"/>
    <n v="50"/>
    <n v="50"/>
    <n v="0"/>
    <n v="119634"/>
    <n v="75348"/>
    <n v="81954"/>
    <n v="0"/>
    <n v="78"/>
    <n v="146952"/>
    <n v="153283.6664077396"/>
    <n v="30"/>
    <n v="23"/>
    <n v="11"/>
    <n v="0"/>
    <n v="0"/>
    <n v="61153.8"/>
    <n v="43332"/>
    <n v="20724"/>
    <n v="0"/>
    <n v="78"/>
    <n v="146952"/>
    <n v="46126.05042016807"/>
    <n v="25"/>
    <n v="58"/>
    <n v="9"/>
    <n v="0"/>
    <n v="0"/>
    <n v="84042"/>
    <n v="16956"/>
    <n v="0"/>
    <n v="0"/>
    <n v="78"/>
    <n v="146952"/>
    <n v="37739.49579831933"/>
    <n v="27"/>
    <n v="117"/>
    <n v="16.2"/>
    <m/>
    <n v="0"/>
    <n v="0"/>
    <n v="220428"/>
    <n v="23473.8"/>
    <n v="0"/>
    <n v="0"/>
    <n v="78"/>
    <n v="146952"/>
    <n v="67931.0924369748"/>
    <n v="41"/>
    <n v="82"/>
    <n v="4"/>
    <m/>
    <n v="0"/>
    <n v="0"/>
    <n v="154488"/>
    <n v="5796"/>
    <n v="0"/>
    <n v="0"/>
    <n v="82"/>
    <n v="146952"/>
    <n v="16773.10924369748"/>
    <n v="31"/>
    <n v="78"/>
    <n v="18.6"/>
    <n v="100"/>
    <n v="100"/>
    <n v="0"/>
    <n v="146952"/>
    <n v="26951.4"/>
    <n v="140070"/>
    <n v="0"/>
    <n v="78"/>
    <n v="146952"/>
    <n v="77994.95798319326"/>
    <n v="20"/>
    <n v="59.40000000000001"/>
    <n v="12"/>
    <n v="0"/>
    <n v="0"/>
    <n v="0"/>
    <n v="111909.6"/>
    <n v="17388"/>
    <n v="0"/>
    <n v="0"/>
    <n v="59.40000000000001"/>
    <n v="111909.6"/>
    <n v="50319.32773109244"/>
    <n v="30"/>
    <n v="47.40000000000001"/>
    <n v="18"/>
    <n v="0"/>
    <n v="0"/>
    <m/>
    <n v="68682.60000000001"/>
    <n v="26082"/>
    <n v="0"/>
    <n v="0"/>
    <n v="47.40000000000001"/>
    <n v="68682.60000000001"/>
    <n v="75478.99159663866"/>
    <n v="20"/>
    <n v="29.40000000000001"/>
    <n v="12"/>
    <n v="0"/>
    <n v="0"/>
    <n v="0"/>
    <m/>
    <n v="42600.60000000001"/>
    <n v="17388"/>
    <n v="0"/>
    <n v="0"/>
    <n v="29.40000000000001"/>
    <n v="42600.60000000001"/>
    <n v="55361.34453781514"/>
    <n v="20"/>
    <n v="17.40000000000001"/>
    <n v="12"/>
    <n v="0"/>
    <n v="0"/>
    <n v="25212.60000000001"/>
    <n v="17388"/>
    <n v="0"/>
    <n v="0"/>
    <n v="17.40000000000001"/>
    <n v="25212.60000000001"/>
    <n v="58129.4117647059"/>
    <n v="45"/>
    <n v="5.400000000000006"/>
    <n v="27"/>
    <n v="0"/>
    <n v="0"/>
    <n v="7824.600000000009"/>
    <n v="39123"/>
    <n v="0"/>
    <n v="5.400000000000006"/>
    <n v="7824.600000000009"/>
    <n v="113218.487394958"/>
    <n v="12"/>
    <n v="0"/>
    <n v="7.199999999999999"/>
    <n v="0"/>
    <m/>
    <n v="0"/>
    <n v="13564.8"/>
    <n v="0"/>
    <n v="0"/>
    <n v="0"/>
    <n v="30191.59663865546"/>
  </r>
  <r>
    <s v="Simplit-Organización"/>
    <x v="2"/>
    <x v="19"/>
    <x v="50"/>
    <s v="SIMCONCERM"/>
    <x v="503"/>
    <x v="349"/>
    <x v="0"/>
    <x v="1"/>
    <n v="0.8"/>
    <x v="295"/>
    <n v="91"/>
    <m/>
    <n v="0"/>
    <n v="3257"/>
    <n v="296387"/>
    <n v="2.6"/>
    <n v="2840.5"/>
    <n v="6714.285714285715"/>
    <n v="5453.781512605042"/>
    <s v="Shenzhen"/>
    <s v="30/70"/>
    <n v="30"/>
    <n v="50"/>
    <n v="22"/>
    <n v="0.4927443041506801"/>
    <n v="30"/>
    <n v="0.4601286003749289"/>
    <n v="18"/>
    <n v="0.4816837733408228"/>
    <n v="39"/>
    <n v="0.3664260998517054"/>
    <n v="21"/>
    <n v="0.5014412197562843"/>
    <n v="17"/>
    <n v="0.4004781178183213"/>
    <n v="39"/>
    <n v="0.3708549809404787"/>
    <n v="21"/>
    <n v="0.3734700871464588"/>
    <n v="25"/>
    <n v="0.3574449152542373"/>
    <n v="11"/>
    <n v="0.4374976562885479"/>
    <n v="12"/>
    <n v="0.4169990940440704"/>
    <n v="28"/>
    <n v="0.3845316296229641"/>
    <n v="10"/>
    <n v="0.2872249852776025"/>
    <n v="19"/>
    <n v="0.3538710193144339"/>
    <n v="51"/>
    <n v="0.2943527118527549"/>
    <n v="17"/>
    <n v="0.1921273101004323"/>
    <n v="0.4857142857142857"/>
    <n v="19"/>
    <n v="0.4113439752832131"/>
    <n v="0.9047619047619048"/>
    <n v="21"/>
    <n v="0.261618716384724"/>
    <n v="1.235294117647059"/>
    <n v="0"/>
    <n v="0.2965629224613998"/>
    <n v="0"/>
    <n v="25"/>
    <n v="106"/>
    <n v="20"/>
    <n v="0"/>
    <n v="0"/>
    <n v="0"/>
    <n v="324071.5"/>
    <n v="285246"/>
    <n v="65140"/>
    <n v="0"/>
    <n v="91"/>
    <n v="296387"/>
    <n v="112845.1380552221"/>
    <n v="20"/>
    <n v="94"/>
    <n v="28.5"/>
    <n v="50"/>
    <n v="50"/>
    <n v="0"/>
    <n v="314300.5"/>
    <n v="252954"/>
    <n v="92824.5"/>
    <n v="0"/>
    <n v="91"/>
    <n v="296387"/>
    <n v="160804.3217286915"/>
    <n v="20"/>
    <n v="80"/>
    <n v="51"/>
    <n v="0"/>
    <n v="0"/>
    <n v="266684.8"/>
    <n v="260560"/>
    <n v="166107"/>
    <n v="0"/>
    <n v="91"/>
    <n v="296387"/>
    <n v="342428.5714285714"/>
    <n v="35"/>
    <n v="71"/>
    <n v="17"/>
    <n v="0"/>
    <n v="0"/>
    <n v="191061"/>
    <n v="55369"/>
    <n v="0"/>
    <n v="0"/>
    <n v="91"/>
    <n v="296387"/>
    <n v="114142.8571428571"/>
    <n v="21"/>
    <n v="110"/>
    <n v="16.8"/>
    <m/>
    <n v="0"/>
    <n v="0"/>
    <n v="358270"/>
    <n v="45208.8"/>
    <n v="0"/>
    <n v="0"/>
    <n v="91"/>
    <n v="296387"/>
    <n v="112800"/>
    <n v="17"/>
    <n v="112"/>
    <n v="21"/>
    <m/>
    <n v="0"/>
    <n v="0"/>
    <n v="364784"/>
    <n v="56511"/>
    <n v="0"/>
    <n v="0"/>
    <n v="112"/>
    <n v="296387"/>
    <n v="141000"/>
    <n v="39"/>
    <n v="91"/>
    <n v="31.2"/>
    <n v="100"/>
    <n v="100"/>
    <n v="0"/>
    <n v="296387"/>
    <n v="83959.20000000001"/>
    <n v="260130"/>
    <n v="0"/>
    <n v="91"/>
    <n v="296387"/>
    <n v="209485.7142857143"/>
    <n v="21"/>
    <n v="59.8"/>
    <n v="16.8"/>
    <n v="0"/>
    <n v="0"/>
    <n v="0"/>
    <n v="194768.6"/>
    <n v="45208.8"/>
    <n v="0"/>
    <n v="0"/>
    <n v="59.8"/>
    <n v="194768.6"/>
    <n v="112800"/>
    <n v="25"/>
    <n v="43"/>
    <n v="20"/>
    <n v="0"/>
    <n v="0"/>
    <m/>
    <n v="115713"/>
    <n v="53820"/>
    <n v="0"/>
    <n v="0"/>
    <n v="43"/>
    <n v="115713"/>
    <n v="134285.7142857143"/>
    <n v="15"/>
    <n v="23"/>
    <n v="12"/>
    <n v="0"/>
    <n v="0"/>
    <n v="0"/>
    <m/>
    <n v="61893"/>
    <n v="32292"/>
    <n v="0"/>
    <n v="0"/>
    <n v="23"/>
    <n v="61893"/>
    <n v="65445.37815126051"/>
    <n v="12"/>
    <n v="11"/>
    <n v="9.600000000000001"/>
    <n v="0"/>
    <n v="0"/>
    <n v="29601"/>
    <n v="25833.6"/>
    <n v="0"/>
    <n v="0"/>
    <n v="11"/>
    <n v="29601"/>
    <n v="54974.11764705883"/>
    <n v="28"/>
    <n v="1.399999999999999"/>
    <n v="22.4"/>
    <n v="0"/>
    <n v="0"/>
    <n v="3767.399999999996"/>
    <n v="60278.40000000001"/>
    <n v="0"/>
    <n v="1.399999999999999"/>
    <n v="3767.399999999996"/>
    <n v="150400"/>
    <n v="7.199999999999999"/>
    <n v="0"/>
    <n v="5.76"/>
    <n v="0"/>
    <m/>
    <n v="0"/>
    <n v="18760.32"/>
    <n v="0"/>
    <n v="0"/>
    <n v="0"/>
    <n v="38674.28571428572"/>
  </r>
  <r>
    <s v="Simplit-Organización"/>
    <x v="2"/>
    <x v="19"/>
    <x v="50"/>
    <s v="SIMCONCERL"/>
    <x v="504"/>
    <x v="350"/>
    <x v="0"/>
    <x v="1"/>
    <n v="0.7"/>
    <x v="296"/>
    <n v="111"/>
    <m/>
    <n v="0"/>
    <n v="3890"/>
    <n v="431790"/>
    <n v="3.2"/>
    <n v="3496"/>
    <n v="8394.957983193277"/>
    <n v="7134.453781512605"/>
    <s v="Shenzhen"/>
    <s v="30/70"/>
    <n v="30"/>
    <n v="50"/>
    <n v="18"/>
    <n v="0.5050664952738099"/>
    <n v="22"/>
    <n v="0.4218721597862299"/>
    <n v="17"/>
    <n v="0.4363321348383828"/>
    <n v="28"/>
    <n v="0.3460853798593521"/>
    <n v="14"/>
    <n v="0.5121934688847812"/>
    <n v="13"/>
    <n v="0.440626298817628"/>
    <n v="15"/>
    <n v="0.4833588695666561"/>
    <n v="19"/>
    <n v="0.3554928464432728"/>
    <n v="38"/>
    <n v="0.3278073507092684"/>
    <n v="11"/>
    <n v="0.4972540730245502"/>
    <n v="10"/>
    <n v="0.5118858205938842"/>
    <n v="24"/>
    <n v="0.4171091664047855"/>
    <n v="17"/>
    <n v="0.6265142452700017"/>
    <n v="21"/>
    <n v="0.339172736251183"/>
    <n v="20"/>
    <n v="0.2491397446879829"/>
    <n v="13"/>
    <n v="0.4225395182912393"/>
    <n v="0.4642857142857143"/>
    <n v="10"/>
    <n v="0.421356141797197"/>
    <n v="0.7142857142857143"/>
    <n v="18"/>
    <n v="0.30893939596866"/>
    <n v="1.384615384615385"/>
    <n v="0"/>
    <n v="0.3874849504846268"/>
    <n v="0"/>
    <n v="20"/>
    <n v="195"/>
    <n v="20"/>
    <n v="0"/>
    <n v="0"/>
    <n v="0"/>
    <n v="278135"/>
    <n v="645839.9999999999"/>
    <n v="77800"/>
    <n v="0"/>
    <n v="111"/>
    <n v="431790"/>
    <n v="141091.730809971"/>
    <n v="25"/>
    <n v="180"/>
    <n v="31.5"/>
    <n v="50"/>
    <n v="0"/>
    <n v="0"/>
    <n v="250905"/>
    <n v="596159.9999999999"/>
    <n v="122535"/>
    <n v="0"/>
    <n v="111"/>
    <n v="431790"/>
    <n v="222219.4760257044"/>
    <n v="14.7"/>
    <n v="153"/>
    <n v="20"/>
    <n v="0"/>
    <n v="0"/>
    <n v="160827.6"/>
    <n v="595170"/>
    <n v="77800"/>
    <n v="0"/>
    <n v="111"/>
    <n v="431790"/>
    <n v="167899.1596638655"/>
    <n v="28"/>
    <n v="173"/>
    <n v="13"/>
    <n v="0"/>
    <n v="0"/>
    <n v="572975.9999999999"/>
    <n v="50570"/>
    <n v="0"/>
    <n v="0"/>
    <n v="111"/>
    <n v="431790"/>
    <n v="109134.4537815126"/>
    <n v="14"/>
    <n v="121"/>
    <n v="9.799999999999999"/>
    <m/>
    <n v="0"/>
    <n v="0"/>
    <n v="470690"/>
    <n v="32457.59999999999"/>
    <n v="0"/>
    <n v="0"/>
    <n v="111"/>
    <n v="431790"/>
    <n v="82270.58823529411"/>
    <n v="13"/>
    <n v="129"/>
    <n v="18"/>
    <m/>
    <n v="0"/>
    <n v="0"/>
    <n v="501810"/>
    <n v="59615.99999999999"/>
    <n v="0"/>
    <n v="0"/>
    <n v="129"/>
    <n v="431790"/>
    <n v="151109.243697479"/>
    <n v="15"/>
    <n v="111"/>
    <n v="10.5"/>
    <n v="0"/>
    <n v="0"/>
    <n v="0"/>
    <n v="431790"/>
    <n v="34775.99999999999"/>
    <n v="0"/>
    <n v="0"/>
    <n v="111"/>
    <n v="431790"/>
    <n v="88147.05882352941"/>
    <n v="19"/>
    <n v="100.5"/>
    <n v="13.3"/>
    <n v="0"/>
    <n v="0"/>
    <n v="0"/>
    <n v="390945"/>
    <n v="44049.59999999999"/>
    <n v="0"/>
    <n v="0"/>
    <n v="100.5"/>
    <n v="390945"/>
    <n v="111652.9411764706"/>
    <n v="38"/>
    <n v="87.2"/>
    <n v="26.6"/>
    <n v="0"/>
    <n v="0"/>
    <m/>
    <n v="288806.4"/>
    <n v="88099.19999999998"/>
    <n v="0"/>
    <n v="0"/>
    <n v="87.2"/>
    <n v="288806.4"/>
    <n v="223305.8823529411"/>
    <n v="15"/>
    <n v="60.60000000000001"/>
    <n v="10.5"/>
    <n v="0"/>
    <n v="0"/>
    <n v="0"/>
    <m/>
    <n v="200707.2"/>
    <n v="34775.99999999999"/>
    <n v="0"/>
    <n v="0"/>
    <n v="60.60000000000001"/>
    <n v="200707.2"/>
    <n v="74911.76470588235"/>
    <n v="10"/>
    <n v="50.10000000000001"/>
    <n v="7"/>
    <n v="0"/>
    <n v="0"/>
    <n v="165931.2"/>
    <n v="23184"/>
    <n v="0"/>
    <n v="0"/>
    <n v="50.10000000000001"/>
    <n v="165931.2"/>
    <n v="52438.23529411765"/>
    <n v="24"/>
    <n v="43.10000000000001"/>
    <n v="16.8"/>
    <n v="0"/>
    <n v="0"/>
    <n v="142747.2"/>
    <n v="55641.59999999998"/>
    <n v="0"/>
    <n v="43.10000000000001"/>
    <n v="142747.2"/>
    <n v="141035.294117647"/>
    <n v="6"/>
    <n v="26.30000000000001"/>
    <n v="4.199999999999999"/>
    <n v="0"/>
    <m/>
    <n v="87105.60000000002"/>
    <n v="16338"/>
    <n v="0"/>
    <n v="26.30000000000001"/>
    <n v="87105.60000000002"/>
    <n v="35258.82352941175"/>
  </r>
  <r>
    <s v="Simplit-Organización"/>
    <x v="2"/>
    <x v="19"/>
    <x v="50"/>
    <n v="1660858812938"/>
    <x v="505"/>
    <x v="348"/>
    <x v="0"/>
    <x v="1"/>
    <n v="0.6"/>
    <x v="297"/>
    <n v="192"/>
    <m/>
    <n v="0"/>
    <n v="1846"/>
    <n v="354432"/>
    <n v="1.4"/>
    <n v="1529.5"/>
    <n v="4193.27731092437"/>
    <n v="4613.445378151261"/>
    <s v="Shenzhen"/>
    <s v="30/70"/>
    <n v="30"/>
    <n v="50"/>
    <n v="9"/>
    <n v="0.5983781814396502"/>
    <n v="31"/>
    <n v="0.6167639055812083"/>
    <n v="30"/>
    <n v="0.5759645669291339"/>
    <n v="56"/>
    <n v="0.5220394319766704"/>
    <n v="15"/>
    <n v="0.5828800722922672"/>
    <n v="71"/>
    <n v="0.4760976967504001"/>
    <n v="18"/>
    <n v="0.47740610447459"/>
    <n v="11"/>
    <n v="0.6028980798175664"/>
    <n v="41"/>
    <n v="0.4757313991219699"/>
    <n v="31"/>
    <n v="0.5182972832670013"/>
    <n v="10"/>
    <n v="0.5414803775459514"/>
    <n v="26"/>
    <n v="0.550542373257342"/>
    <n v="18"/>
    <n v="0.4715909001804187"/>
    <n v="10"/>
    <n v="0.2170792586056731"/>
    <n v="54"/>
    <n v="0.5201186440633304"/>
    <n v="15"/>
    <n v="0.4611087288429229"/>
    <n v="0.3"/>
    <n v="53"/>
    <n v="0.5155511182108626"/>
    <n v="2.304347826086957"/>
    <n v="14"/>
    <n v="0.3047270222890058"/>
    <n v="0.1971830985915493"/>
    <n v="0"/>
    <n v="0.4781122315555054"/>
    <n v="0"/>
    <n v="20"/>
    <n v="105"/>
    <n v="15"/>
    <n v="0"/>
    <n v="0"/>
    <n v="0"/>
    <n v="155064"/>
    <n v="152145"/>
    <n v="27690"/>
    <n v="0"/>
    <n v="192"/>
    <n v="354432"/>
    <n v="52856.43669232399"/>
    <n v="30"/>
    <n v="174"/>
    <n v="15"/>
    <n v="100"/>
    <n v="50"/>
    <n v="0"/>
    <n v="155064"/>
    <n v="252126"/>
    <n v="27690"/>
    <n v="0"/>
    <n v="192"/>
    <n v="354432"/>
    <n v="52856.43669232399"/>
    <n v="30"/>
    <n v="167"/>
    <n v="54"/>
    <n v="0"/>
    <n v="0"/>
    <n v="147370.2"/>
    <n v="308282"/>
    <n v="99684"/>
    <n v="0"/>
    <n v="192"/>
    <n v="354432"/>
    <n v="226436.974789916"/>
    <n v="50"/>
    <n v="208"/>
    <n v="15"/>
    <n v="0"/>
    <n v="0"/>
    <n v="301392"/>
    <n v="27690"/>
    <n v="0"/>
    <n v="0"/>
    <n v="192"/>
    <n v="354432"/>
    <n v="62899.15966386555"/>
    <n v="23"/>
    <n v="245"/>
    <n v="13.8"/>
    <m/>
    <n v="0"/>
    <n v="0"/>
    <n v="452270"/>
    <n v="19996.2"/>
    <n v="0"/>
    <n v="0"/>
    <n v="192"/>
    <n v="354432"/>
    <n v="57867.2268907563"/>
    <n v="71"/>
    <n v="206"/>
    <n v="14"/>
    <m/>
    <n v="0"/>
    <n v="0"/>
    <n v="380276"/>
    <n v="20286"/>
    <n v="0"/>
    <n v="0"/>
    <n v="206"/>
    <n v="354432"/>
    <n v="58705.88235294117"/>
    <n v="18"/>
    <n v="192"/>
    <n v="10.8"/>
    <n v="100"/>
    <n v="100"/>
    <n v="0"/>
    <n v="354432"/>
    <n v="15649.2"/>
    <n v="140070"/>
    <n v="0"/>
    <n v="192"/>
    <n v="354432"/>
    <n v="45287.39495798319"/>
    <n v="40"/>
    <n v="181.2"/>
    <n v="24"/>
    <n v="0"/>
    <n v="0"/>
    <n v="0"/>
    <n v="334495.2"/>
    <n v="34776"/>
    <n v="0"/>
    <n v="0"/>
    <n v="181.2"/>
    <n v="334495.2"/>
    <n v="100638.6554621849"/>
    <n v="41"/>
    <n v="157.2"/>
    <n v="24.6"/>
    <n v="0"/>
    <n v="0"/>
    <m/>
    <n v="227782.8"/>
    <n v="35645.39999999999"/>
    <n v="0"/>
    <n v="0"/>
    <n v="157.2"/>
    <n v="227782.8"/>
    <n v="103154.6218487395"/>
    <n v="30"/>
    <n v="132.6"/>
    <n v="18"/>
    <n v="0"/>
    <n v="0"/>
    <n v="0"/>
    <m/>
    <n v="192137.4"/>
    <n v="26082"/>
    <n v="0"/>
    <n v="0"/>
    <n v="132.6"/>
    <n v="192137.4"/>
    <n v="83042.01680672271"/>
    <n v="10"/>
    <n v="114.6"/>
    <n v="6"/>
    <n v="0"/>
    <n v="0"/>
    <n v="166055.4"/>
    <n v="8694"/>
    <n v="0"/>
    <n v="0"/>
    <n v="114.6"/>
    <n v="166055.4"/>
    <n v="29064.70588235295"/>
    <n v="26"/>
    <n v="108.6"/>
    <n v="15.6"/>
    <n v="0"/>
    <n v="0"/>
    <n v="157361.4"/>
    <n v="22604.4"/>
    <n v="0"/>
    <n v="108.6"/>
    <n v="157361.4"/>
    <n v="65415.12605042017"/>
    <n v="6"/>
    <n v="93"/>
    <n v="3.6"/>
    <n v="0"/>
    <m/>
    <n v="134757"/>
    <n v="6645.599999999999"/>
    <n v="0"/>
    <n v="93"/>
    <n v="134757"/>
    <n v="15095.79831932773"/>
  </r>
  <r>
    <s v="Simplit-Organización"/>
    <x v="2"/>
    <x v="19"/>
    <x v="50"/>
    <n v="1660858828618"/>
    <x v="506"/>
    <x v="349"/>
    <x v="0"/>
    <x v="1"/>
    <n v="0.6"/>
    <x v="298"/>
    <n v="145"/>
    <m/>
    <n v="0"/>
    <n v="3294"/>
    <n v="477630"/>
    <n v="2.6"/>
    <n v="2840.5"/>
    <n v="6714.285714285715"/>
    <n v="5453.781512605042"/>
    <s v="Shenzhen"/>
    <s v="30/70"/>
    <n v="30"/>
    <n v="50"/>
    <n v="14"/>
    <n v="0.5064203817856433"/>
    <n v="17"/>
    <n v="0.4650575265173604"/>
    <n v="19"/>
    <n v="0.4726171323096158"/>
    <n v="35"/>
    <n v="0.3732255913743402"/>
    <n v="10"/>
    <n v="0.3691451409962254"/>
    <n v="29"/>
    <n v="0.3684458106956249"/>
    <n v="31"/>
    <n v="0.3382689742139186"/>
    <n v="44"/>
    <n v="0.3285686278215127"/>
    <n v="24"/>
    <n v="0.3470729585579418"/>
    <n v="16"/>
    <n v="0.4549495657929991"/>
    <n v="9"/>
    <n v="0.3867063861478309"/>
    <n v="28"/>
    <n v="0.3630520799351763"/>
    <n v="8"/>
    <n v="0.3971259925733098"/>
    <n v="7"/>
    <n v="0.281714112582278"/>
    <n v="52"/>
    <n v="0.2979234588823128"/>
    <n v="9"/>
    <n v="0.3896561949396817"/>
    <n v="0.2571428571428571"/>
    <n v="22"/>
    <n v="0.3929308523747491"/>
    <n v="2.2"/>
    <n v="12"/>
    <n v="0.05068131016600601"/>
    <n v="0.4137931034482759"/>
    <n v="0"/>
    <n v="0.3043152628093936"/>
    <n v="0"/>
    <n v="15"/>
    <n v="86"/>
    <n v="10"/>
    <n v="0"/>
    <n v="0"/>
    <n v="0"/>
    <n v="238815"/>
    <n v="231426"/>
    <n v="32940"/>
    <n v="0"/>
    <n v="145"/>
    <n v="477630"/>
    <n v="56422.56902761105"/>
    <n v="20"/>
    <n v="170"/>
    <n v="10.5"/>
    <n v="100"/>
    <n v="50"/>
    <n v="0"/>
    <n v="235521"/>
    <n v="457470"/>
    <n v="34587"/>
    <n v="0"/>
    <n v="145"/>
    <n v="477630"/>
    <n v="59243.69747899161"/>
    <n v="25"/>
    <n v="165"/>
    <n v="52"/>
    <n v="0"/>
    <n v="0"/>
    <n v="217080"/>
    <n v="543510"/>
    <n v="171288"/>
    <n v="0"/>
    <n v="145"/>
    <n v="477630"/>
    <n v="349142.8571428572"/>
    <n v="35"/>
    <n v="200"/>
    <n v="9"/>
    <n v="0"/>
    <n v="0"/>
    <n v="538200"/>
    <n v="29646"/>
    <n v="0"/>
    <n v="0"/>
    <n v="145"/>
    <n v="477630"/>
    <n v="60428.57142857143"/>
    <n v="10"/>
    <n v="167"/>
    <n v="6"/>
    <m/>
    <n v="0"/>
    <n v="0"/>
    <n v="550098"/>
    <n v="16146"/>
    <n v="0"/>
    <n v="0"/>
    <n v="145"/>
    <n v="477630"/>
    <n v="40285.71428571429"/>
    <n v="29"/>
    <n v="157"/>
    <n v="12"/>
    <m/>
    <n v="0"/>
    <n v="0"/>
    <n v="517158"/>
    <n v="32292"/>
    <n v="0"/>
    <n v="0"/>
    <n v="157"/>
    <n v="477630"/>
    <n v="80571.42857142858"/>
    <n v="31"/>
    <n v="145"/>
    <n v="18.6"/>
    <n v="0"/>
    <n v="0"/>
    <n v="0"/>
    <n v="477630"/>
    <n v="50052.59999999999"/>
    <n v="0"/>
    <n v="0"/>
    <n v="145"/>
    <n v="477630"/>
    <n v="124885.7142857143"/>
    <n v="40"/>
    <n v="126.4"/>
    <n v="24"/>
    <n v="0"/>
    <n v="0"/>
    <n v="0"/>
    <n v="416361.6"/>
    <n v="64584"/>
    <n v="0"/>
    <n v="0"/>
    <n v="126.4"/>
    <n v="416361.6"/>
    <n v="161142.8571428572"/>
    <n v="24"/>
    <n v="102.4"/>
    <n v="14.4"/>
    <n v="0"/>
    <n v="0"/>
    <m/>
    <n v="275558.4"/>
    <n v="38750.39999999999"/>
    <n v="0"/>
    <n v="0"/>
    <n v="102.4"/>
    <n v="275558.4"/>
    <n v="96685.71428571428"/>
    <n v="15"/>
    <n v="88"/>
    <n v="9"/>
    <n v="0"/>
    <n v="0"/>
    <n v="0"/>
    <m/>
    <n v="236808"/>
    <n v="24219"/>
    <n v="0"/>
    <n v="0"/>
    <n v="88"/>
    <n v="236808"/>
    <n v="49084.03361344538"/>
    <n v="10"/>
    <n v="79"/>
    <n v="6"/>
    <n v="0"/>
    <n v="0"/>
    <n v="212589"/>
    <n v="16146"/>
    <n v="0"/>
    <n v="0"/>
    <n v="79"/>
    <n v="212589"/>
    <n v="34358.82352941177"/>
    <n v="28"/>
    <n v="73"/>
    <n v="16.8"/>
    <n v="0"/>
    <n v="0"/>
    <n v="196443"/>
    <n v="45208.8"/>
    <n v="0"/>
    <n v="73"/>
    <n v="196443"/>
    <n v="112800"/>
    <n v="6"/>
    <n v="56.2"/>
    <n v="3.6"/>
    <n v="0"/>
    <m/>
    <n v="151234.2"/>
    <n v="11858.4"/>
    <n v="0"/>
    <n v="56.2"/>
    <n v="151234.2"/>
    <n v="24171.42857142857"/>
  </r>
  <r>
    <s v="Simplit-Organización"/>
    <x v="2"/>
    <x v="19"/>
    <x v="50"/>
    <n v="1660858844449"/>
    <x v="507"/>
    <x v="350"/>
    <x v="0"/>
    <x v="1"/>
    <n v="0.7"/>
    <x v="299"/>
    <n v="286"/>
    <m/>
    <n v="0"/>
    <n v="3946"/>
    <n v="1128556"/>
    <n v="3.2"/>
    <n v="3496"/>
    <n v="8394.957983193277"/>
    <n v="7134.453781512605"/>
    <s v="Shenzhen"/>
    <s v="30/70"/>
    <n v="30"/>
    <n v="50"/>
    <n v="9"/>
    <n v="0.5316478126133941"/>
    <n v="15"/>
    <n v="0.4636850769695416"/>
    <n v="13"/>
    <n v="0.4789371178578959"/>
    <n v="18"/>
    <n v="0.451734312231611"/>
    <n v="5"/>
    <s v=""/>
    <n v="21"/>
    <n v="0.2853103671594507"/>
    <n v="27"/>
    <n v="0.2983121274747121"/>
    <n v="31"/>
    <n v="0.2909476890003583"/>
    <n v="24"/>
    <n v="0.2301479907379337"/>
    <n v="26"/>
    <n v="0.4413021546337441"/>
    <n v="8"/>
    <n v="0.4384316928731877"/>
    <n v="22"/>
    <n v="0.3477020419423213"/>
    <n v="6"/>
    <n v="0.2898193706853431"/>
    <n v="5"/>
    <s v=""/>
    <n v="22"/>
    <n v="0.2856182756244157"/>
    <n v="10"/>
    <n v="0.3027074486226283"/>
    <n v="0.5"/>
    <n v="26"/>
    <n v="0.3198286601138127"/>
    <n v="2"/>
    <n v="17"/>
    <n v="0.2216488337631121"/>
    <n v="0.8095238095238095"/>
    <n v="0"/>
    <n v="0.282186503822588"/>
    <n v="0"/>
    <n v="15"/>
    <n v="204"/>
    <n v="10"/>
    <n v="100"/>
    <n v="100"/>
    <n v="0"/>
    <n v="155867"/>
    <n v="675647.9999999999"/>
    <n v="39460"/>
    <n v="0"/>
    <n v="286"/>
    <n v="1128556"/>
    <n v="70545.86540498552"/>
    <n v="15"/>
    <n v="388"/>
    <n v="7.5"/>
    <n v="0"/>
    <n v="0"/>
    <n v="0"/>
    <n v="155867"/>
    <n v="1285056"/>
    <n v="29595"/>
    <n v="0"/>
    <n v="286"/>
    <n v="1128556"/>
    <n v="52909.39905373914"/>
    <n v="15"/>
    <n v="387"/>
    <n v="22"/>
    <n v="0"/>
    <n v="0"/>
    <n v="156411.2"/>
    <n v="1527102"/>
    <n v="86812"/>
    <n v="0"/>
    <n v="286"/>
    <n v="1128556"/>
    <n v="184689.0756302521"/>
    <n v="20"/>
    <n v="359"/>
    <n v="10"/>
    <n v="0"/>
    <n v="0"/>
    <n v="1189008"/>
    <n v="39460"/>
    <n v="0"/>
    <n v="0"/>
    <n v="286"/>
    <n v="1128556"/>
    <n v="83949.57983193277"/>
    <n v="13"/>
    <n v="312"/>
    <n v="9.1"/>
    <m/>
    <n v="0"/>
    <n v="0"/>
    <n v="1231152"/>
    <n v="30139.19999999999"/>
    <n v="0"/>
    <n v="0"/>
    <n v="286"/>
    <n v="1128556"/>
    <n v="76394.11764705881"/>
    <n v="21"/>
    <n v="303"/>
    <n v="17"/>
    <m/>
    <n v="0"/>
    <n v="0"/>
    <n v="1195638"/>
    <n v="56303.99999999999"/>
    <n v="0"/>
    <n v="0"/>
    <n v="303"/>
    <n v="1128556"/>
    <n v="142714.2857142857"/>
    <n v="27"/>
    <n v="286"/>
    <n v="18.9"/>
    <n v="0"/>
    <n v="0"/>
    <n v="0"/>
    <n v="1128556"/>
    <n v="62596.79999999999"/>
    <n v="0"/>
    <n v="0"/>
    <n v="286"/>
    <n v="1128556"/>
    <n v="158664.7058823529"/>
    <n v="31"/>
    <n v="267.1"/>
    <n v="21.7"/>
    <n v="0"/>
    <n v="0"/>
    <n v="0"/>
    <n v="1053976.6"/>
    <n v="71870.39999999999"/>
    <n v="0"/>
    <n v="0"/>
    <n v="267.1"/>
    <n v="1053976.6"/>
    <n v="182170.5882352941"/>
    <n v="24"/>
    <n v="245.4"/>
    <n v="16.8"/>
    <n v="0"/>
    <n v="0"/>
    <m/>
    <n v="812764.8"/>
    <n v="55641.59999999998"/>
    <n v="0"/>
    <n v="0"/>
    <n v="245.4"/>
    <n v="812764.8"/>
    <n v="141035.294117647"/>
    <n v="30"/>
    <n v="228.6"/>
    <n v="21"/>
    <n v="0"/>
    <n v="0"/>
    <n v="0"/>
    <m/>
    <n v="757123.2"/>
    <n v="69551.99999999999"/>
    <n v="0"/>
    <n v="0"/>
    <n v="228.6"/>
    <n v="757123.2"/>
    <n v="149823.5294117647"/>
    <n v="10"/>
    <n v="207.6"/>
    <n v="7"/>
    <n v="0"/>
    <n v="0"/>
    <n v="687571.2"/>
    <n v="23184"/>
    <n v="0"/>
    <n v="0"/>
    <n v="207.6"/>
    <n v="687571.2"/>
    <n v="52438.23529411765"/>
    <n v="22"/>
    <n v="200.6"/>
    <n v="15.4"/>
    <n v="0"/>
    <n v="0"/>
    <n v="664387.2"/>
    <n v="51004.79999999999"/>
    <n v="0"/>
    <n v="200.6"/>
    <n v="664387.2"/>
    <n v="129282.3529411764"/>
    <n v="6"/>
    <n v="185.2"/>
    <n v="4.199999999999999"/>
    <n v="0"/>
    <m/>
    <n v="613382.4"/>
    <n v="16573.2"/>
    <n v="0"/>
    <n v="185.2"/>
    <n v="613382.4"/>
    <n v="35258.82352941175"/>
  </r>
  <r>
    <s v="Simplit-Organización"/>
    <x v="2"/>
    <x v="19"/>
    <x v="50"/>
    <n v="1660859102915"/>
    <x v="508"/>
    <x v="351"/>
    <x v="0"/>
    <x v="6"/>
    <n v="1"/>
    <x v="12"/>
    <n v="1"/>
    <m/>
    <n v="0"/>
    <n v="5693"/>
    <n v="5693"/>
    <n v="4.9"/>
    <n v="5353.25"/>
    <n v="12596.63865546219"/>
    <n v="12176.4705882353"/>
    <s v="Shenzhen"/>
    <s v="30/70"/>
    <n v="30"/>
    <n v="50"/>
    <n v="17"/>
    <n v="0.4990092449922959"/>
    <n v="28"/>
    <n v="0.4835902361853174"/>
    <n v="31"/>
    <n v="0.5468032650134694"/>
    <n v="19"/>
    <n v="0.4639078827728118"/>
    <n v="6"/>
    <n v="0.5830404745315539"/>
    <n v="10"/>
    <n v="0.4119463879114055"/>
    <n v="3"/>
    <n v="0.4721392663669658"/>
    <n v="3"/>
    <n v="0.3839573639216535"/>
    <n v="12"/>
    <n v="0.4818636894558803"/>
    <n v="9"/>
    <n v="0.5288878672244954"/>
    <n v="22"/>
    <n v="0.5124641878425511"/>
    <n v="6"/>
    <n v="0.5480746374692725"/>
    <n v="14"/>
    <n v="0.290943018119697"/>
    <n v="32"/>
    <n v="0.2399545674119422"/>
    <n v="55"/>
    <n v="0.282303096097653"/>
    <n v="18"/>
    <n v="0.3379282676725013"/>
    <n v="0.9"/>
    <n v="14"/>
    <n v="0.6094842295972989"/>
    <n v="0.9333333333333333"/>
    <n v="3"/>
    <n v="0.4618196457326892"/>
    <n v="0.3"/>
    <n v="0"/>
    <n v="0.3233054966025881"/>
    <n v="0"/>
    <n v="20"/>
    <n v="152"/>
    <n v="20"/>
    <n v="0"/>
    <n v="0"/>
    <n v="0"/>
    <n v="700239"/>
    <n v="770868"/>
    <n v="113860"/>
    <n v="0"/>
    <n v="1"/>
    <n v="5693"/>
    <n v="211708.2126968435"/>
    <n v="25"/>
    <n v="123"/>
    <n v="48"/>
    <n v="0"/>
    <n v="0"/>
    <n v="0"/>
    <n v="688853"/>
    <n v="623794.5"/>
    <n v="273264"/>
    <n v="0"/>
    <n v="1"/>
    <n v="5693"/>
    <n v="508099.7104724243"/>
    <n v="30"/>
    <n v="69"/>
    <n v="55"/>
    <n v="0"/>
    <n v="0"/>
    <n v="491661.5"/>
    <n v="392817"/>
    <n v="313115"/>
    <n v="0"/>
    <n v="1"/>
    <n v="5693"/>
    <n v="692815.1260504202"/>
    <n v="20"/>
    <n v="32"/>
    <n v="18"/>
    <n v="0"/>
    <n v="0"/>
    <n v="162288"/>
    <n v="102474"/>
    <n v="0"/>
    <n v="0"/>
    <n v="1"/>
    <n v="5693"/>
    <n v="226739.4957983193"/>
    <n v="15"/>
    <n v="15"/>
    <n v="15"/>
    <m/>
    <n v="0"/>
    <n v="0"/>
    <n v="85395"/>
    <n v="76072.5"/>
    <n v="0"/>
    <n v="0"/>
    <n v="1"/>
    <n v="5693"/>
    <n v="188949.5798319328"/>
    <n v="10"/>
    <n v="4"/>
    <n v="3"/>
    <m/>
    <n v="0"/>
    <n v="0"/>
    <n v="22772"/>
    <n v="15214.5"/>
    <n v="0"/>
    <n v="0"/>
    <n v="4"/>
    <n v="5693"/>
    <n v="37789.91596638656"/>
    <n v="8"/>
    <n v="1"/>
    <n v="8"/>
    <n v="0"/>
    <n v="0"/>
    <n v="0"/>
    <n v="5693"/>
    <n v="40572"/>
    <n v="0"/>
    <n v="0"/>
    <n v="1"/>
    <n v="5693"/>
    <n v="100773.1092436975"/>
    <n v="8"/>
    <n v="0"/>
    <n v="8"/>
    <n v="0"/>
    <n v="0"/>
    <n v="0"/>
    <n v="0"/>
    <n v="40572"/>
    <n v="0"/>
    <n v="0"/>
    <n v="0"/>
    <n v="0"/>
    <n v="100773.1092436975"/>
    <n v="12"/>
    <n v="0"/>
    <n v="12"/>
    <n v="0"/>
    <n v="0"/>
    <m/>
    <n v="0"/>
    <n v="60858"/>
    <n v="0"/>
    <n v="0"/>
    <n v="0"/>
    <n v="0"/>
    <n v="151159.663865546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Organización"/>
    <x v="2"/>
    <x v="19"/>
    <x v="50"/>
    <s v="SIMTUPBENT"/>
    <x v="509"/>
    <x v="352"/>
    <x v="0"/>
    <x v="1"/>
    <n v="0.6"/>
    <x v="300"/>
    <n v="120"/>
    <m/>
    <n v="0"/>
    <n v="2922"/>
    <n v="350640"/>
    <n v="2.8"/>
    <n v="3059"/>
    <n v="8394.957983193277"/>
    <n v="7554.621848739496"/>
    <s v="Shenzhen"/>
    <s v="30/70"/>
    <n v="30"/>
    <n v="100"/>
    <n v="5"/>
    <n v="0.6197736748064324"/>
    <n v="17"/>
    <n v="0.5529543578252153"/>
    <n v="28"/>
    <n v="0.561880115057434"/>
    <n v="7"/>
    <n v="0.5774983454665784"/>
    <n v="25"/>
    <n v="0.5670511641072818"/>
    <n v="32"/>
    <n v="0.5771802730255468"/>
    <n v="19"/>
    <n v="0.5758124755408288"/>
    <n v="29"/>
    <n v="0.5418568654490192"/>
    <n v="15"/>
    <n v="0.5658541945132796"/>
    <n v="17"/>
    <n v="0.5510258853022562"/>
    <n v="5"/>
    <n v="0.4567733151803948"/>
    <n v="1"/>
    <n v="0.4567733151803948"/>
    <n v="7"/>
    <s v=""/>
    <n v="13"/>
    <s v=""/>
    <n v="18"/>
    <s v=""/>
    <n v="7"/>
    <s v=""/>
    <n v="0.28"/>
    <n v="10"/>
    <s v=""/>
    <n v="0.4"/>
    <n v="16"/>
    <s v=""/>
    <n v="0.5"/>
    <n v="8"/>
    <s v=""/>
    <n v="0.4210526315789473"/>
    <n v="20"/>
    <n v="117"/>
    <n v="15"/>
    <n v="0"/>
    <n v="0"/>
    <n v="0"/>
    <n v="153405"/>
    <n v="339066"/>
    <n v="43830"/>
    <n v="0"/>
    <n v="120"/>
    <n v="350640"/>
    <n v="105818.7981074783"/>
    <n v="25"/>
    <n v="110"/>
    <n v="19.5"/>
    <n v="100"/>
    <n v="100"/>
    <n v="0"/>
    <n v="130029"/>
    <n v="318780"/>
    <n v="56979"/>
    <n v="0"/>
    <n v="120"/>
    <n v="350640"/>
    <n v="137564.4375397218"/>
    <n v="50"/>
    <n v="199"/>
    <n v="18"/>
    <n v="0"/>
    <n v="0"/>
    <n v="116520"/>
    <n v="581478"/>
    <n v="52596"/>
    <n v="0"/>
    <n v="120"/>
    <n v="350640"/>
    <n v="151109.243697479"/>
    <n v="25"/>
    <n v="176"/>
    <n v="7"/>
    <n v="0"/>
    <n v="0"/>
    <n v="510048"/>
    <n v="20454"/>
    <n v="0"/>
    <n v="0"/>
    <n v="120"/>
    <n v="350640"/>
    <n v="58764.70588235294"/>
    <n v="25"/>
    <n v="130"/>
    <n v="15"/>
    <m/>
    <n v="0"/>
    <n v="0"/>
    <n v="379860"/>
    <n v="43470"/>
    <n v="0"/>
    <n v="0"/>
    <n v="120"/>
    <n v="350640"/>
    <n v="125924.3697478992"/>
    <n v="32"/>
    <n v="136"/>
    <n v="16"/>
    <m/>
    <n v="0"/>
    <n v="0"/>
    <n v="397392"/>
    <n v="46368"/>
    <n v="0"/>
    <n v="0"/>
    <n v="136"/>
    <n v="350640"/>
    <n v="134319.3277310924"/>
    <n v="19"/>
    <n v="128"/>
    <n v="11.4"/>
    <n v="0"/>
    <n v="0"/>
    <n v="0"/>
    <n v="374016"/>
    <n v="33037.2"/>
    <n v="0"/>
    <n v="0"/>
    <n v="128"/>
    <n v="350640"/>
    <n v="95702.52100840336"/>
    <n v="29"/>
    <n v="116.6"/>
    <n v="17.4"/>
    <n v="0"/>
    <n v="0"/>
    <n v="0"/>
    <n v="340705.2"/>
    <n v="50425.2"/>
    <n v="0"/>
    <n v="0"/>
    <n v="116.6"/>
    <n v="340705.2"/>
    <n v="146072.268907563"/>
    <n v="15"/>
    <n v="99.19999999999999"/>
    <n v="9"/>
    <n v="0"/>
    <n v="0"/>
    <m/>
    <n v="287481.6"/>
    <n v="26082"/>
    <n v="0"/>
    <n v="0"/>
    <n v="99.19999999999999"/>
    <n v="287481.6"/>
    <n v="75554.62184873949"/>
    <n v="17"/>
    <n v="90.19999999999999"/>
    <n v="10.2"/>
    <n v="0"/>
    <n v="0"/>
    <n v="0"/>
    <m/>
    <n v="261399.6"/>
    <n v="29559.6"/>
    <n v="0"/>
    <n v="0"/>
    <n v="90.19999999999999"/>
    <n v="261399.6"/>
    <n v="77057.14285714286"/>
    <n v="15"/>
    <n v="79.99999999999999"/>
    <n v="9"/>
    <n v="0"/>
    <n v="0"/>
    <n v="231840"/>
    <n v="26082"/>
    <n v="0"/>
    <n v="0"/>
    <n v="79.99999999999999"/>
    <n v="231840"/>
    <n v="71391.17647058824"/>
    <n v="20"/>
    <n v="70.99999999999999"/>
    <n v="12"/>
    <n v="0"/>
    <n v="0"/>
    <n v="205758"/>
    <n v="34776"/>
    <n v="0"/>
    <n v="70.99999999999999"/>
    <n v="205758"/>
    <n v="100739.4957983193"/>
    <n v="9"/>
    <n v="58.99999999999999"/>
    <n v="5.399999999999999"/>
    <n v="0"/>
    <m/>
    <n v="170982"/>
    <n v="15778.8"/>
    <n v="0"/>
    <n v="58.99999999999999"/>
    <n v="170982"/>
    <n v="45332.77310924369"/>
  </r>
  <r>
    <s v="Simplit-Organización"/>
    <x v="2"/>
    <x v="19"/>
    <x v="50"/>
    <s v="SIMTUPSILBL"/>
    <x v="510"/>
    <x v="352"/>
    <x v="0"/>
    <x v="0"/>
    <n v="0.8"/>
    <x v="301"/>
    <n v="64"/>
    <m/>
    <n v="0"/>
    <n v="2878"/>
    <n v="184192"/>
    <n v="2.8"/>
    <n v="3059"/>
    <n v="8394.957983193277"/>
    <n v="7554.621848739496"/>
    <s v="Shenzhen"/>
    <s v="30/70"/>
    <n v="30"/>
    <n v="100"/>
    <n v="15"/>
    <n v="0.5571095571095571"/>
    <n v="18"/>
    <n v="0.5769682726204466"/>
    <n v="53"/>
    <n v="0.5657378098608492"/>
    <n v="22"/>
    <n v="0.5997406110287562"/>
    <n v="21"/>
    <n v="0.5758262461324134"/>
    <n v="34"/>
    <n v="0.5913570423947999"/>
    <n v="15"/>
    <n v="0.5880760978541807"/>
    <n v="31"/>
    <n v="0.5998467276811102"/>
    <n v="7"/>
    <n v="0.6096116827143231"/>
    <n v="17"/>
    <n v="0.5895711924721632"/>
    <n v="0"/>
    <s v=""/>
    <n v="0"/>
    <s v=""/>
    <n v="12"/>
    <s v=""/>
    <n v="20"/>
    <s v=""/>
    <n v="43"/>
    <s v=""/>
    <n v="16"/>
    <s v=""/>
    <n v="0.64"/>
    <n v="13"/>
    <s v=""/>
    <n v="0.6190476190476191"/>
    <n v="5"/>
    <s v=""/>
    <n v="0.1470588235294118"/>
    <n v="9"/>
    <s v=""/>
    <n v="0.6"/>
    <n v="20"/>
    <n v="106"/>
    <n v="20"/>
    <n v="0"/>
    <n v="0"/>
    <n v="0"/>
    <n v="267654"/>
    <n v="307188"/>
    <n v="57560"/>
    <n v="0"/>
    <n v="64"/>
    <n v="184192"/>
    <n v="141091.730809971"/>
    <n v="25"/>
    <n v="95"/>
    <n v="30"/>
    <n v="100"/>
    <n v="100"/>
    <n v="0"/>
    <n v="256142"/>
    <n v="275310"/>
    <n v="86340"/>
    <n v="0"/>
    <n v="64"/>
    <n v="184192"/>
    <n v="211637.5962149566"/>
    <n v="50"/>
    <n v="160"/>
    <n v="43"/>
    <n v="0"/>
    <n v="0"/>
    <n v="218488.4"/>
    <n v="460480"/>
    <n v="123754"/>
    <n v="0"/>
    <n v="64"/>
    <n v="184192"/>
    <n v="360983.1932773109"/>
    <n v="25"/>
    <n v="132"/>
    <n v="16"/>
    <n v="0"/>
    <n v="0"/>
    <n v="382536"/>
    <n v="46048"/>
    <n v="0"/>
    <n v="0"/>
    <n v="64"/>
    <n v="184192"/>
    <n v="134319.3277310924"/>
    <n v="21"/>
    <n v="77"/>
    <n v="16.8"/>
    <m/>
    <n v="0"/>
    <n v="0"/>
    <n v="221606"/>
    <n v="48686.4"/>
    <n v="0"/>
    <n v="0"/>
    <n v="64"/>
    <n v="184192"/>
    <n v="141035.294117647"/>
    <n v="34"/>
    <n v="69"/>
    <n v="5"/>
    <m/>
    <n v="0"/>
    <n v="0"/>
    <n v="198582"/>
    <n v="14490"/>
    <n v="0"/>
    <n v="0"/>
    <n v="69"/>
    <n v="184192"/>
    <n v="41974.78991596639"/>
    <n v="15"/>
    <n v="73"/>
    <n v="12"/>
    <n v="0"/>
    <n v="0"/>
    <n v="0"/>
    <n v="210094"/>
    <n v="34776"/>
    <n v="0"/>
    <n v="0"/>
    <n v="73"/>
    <n v="184192"/>
    <n v="100739.4957983193"/>
    <n v="31"/>
    <n v="61"/>
    <n v="24.8"/>
    <n v="0"/>
    <n v="0"/>
    <n v="0"/>
    <n v="175558"/>
    <n v="71870.40000000001"/>
    <n v="0"/>
    <n v="0"/>
    <n v="61"/>
    <n v="175558"/>
    <n v="208194.9579831933"/>
    <n v="13"/>
    <n v="36.2"/>
    <n v="10.4"/>
    <n v="0"/>
    <n v="0"/>
    <m/>
    <n v="104907.6"/>
    <n v="30139.2"/>
    <n v="0"/>
    <n v="0"/>
    <n v="36.2"/>
    <n v="104907.6"/>
    <n v="87307.56302521008"/>
    <n v="17"/>
    <n v="25.8"/>
    <n v="13.6"/>
    <n v="0"/>
    <n v="0"/>
    <n v="0"/>
    <m/>
    <n v="74768.40000000001"/>
    <n v="39412.8"/>
    <n v="0"/>
    <n v="0"/>
    <n v="25.8"/>
    <n v="74768.40000000001"/>
    <n v="102742.8571428572"/>
    <n v="17"/>
    <n v="12.2"/>
    <n v="13.6"/>
    <n v="0"/>
    <n v="0"/>
    <n v="35355.60000000001"/>
    <n v="39412.8"/>
    <n v="0"/>
    <n v="0"/>
    <n v="12.2"/>
    <n v="35355.60000000001"/>
    <n v="107880"/>
    <n v="17"/>
    <n v="0"/>
    <n v="13.6"/>
    <n v="0"/>
    <n v="0"/>
    <n v="0"/>
    <n v="39412.8"/>
    <n v="0"/>
    <n v="0"/>
    <n v="0"/>
    <n v="114171.4285714286"/>
    <n v="10.2"/>
    <n v="0"/>
    <n v="8.16"/>
    <n v="0"/>
    <m/>
    <n v="0"/>
    <n v="23484.48"/>
    <n v="0"/>
    <n v="0"/>
    <n v="0"/>
    <n v="68502.85714285714"/>
  </r>
  <r>
    <s v="Simplit-Organización"/>
    <x v="2"/>
    <x v="19"/>
    <x v="50"/>
    <s v="SIMTUPSILGR"/>
    <x v="511"/>
    <x v="352"/>
    <x v="0"/>
    <x v="0"/>
    <n v="1"/>
    <x v="302"/>
    <n v="42"/>
    <m/>
    <n v="0"/>
    <n v="2967"/>
    <n v="124614"/>
    <n v="2.8"/>
    <n v="3059"/>
    <n v="8394.957983193277"/>
    <n v="7554.621848739496"/>
    <s v="Shenzhen"/>
    <s v="30/70"/>
    <n v="30"/>
    <n v="100"/>
    <n v="28"/>
    <n v="0.6062097288753889"/>
    <n v="32"/>
    <n v="0.5878502124348307"/>
    <n v="58"/>
    <n v="0.5843069683158781"/>
    <n v="31"/>
    <n v="0.601916561376823"/>
    <n v="21"/>
    <n v="0.5841046588076004"/>
    <n v="35"/>
    <n v="0.5882340374775461"/>
    <n v="19"/>
    <n v="0.5889113377295021"/>
    <n v="2"/>
    <n v="0.6224659854014598"/>
    <n v="1"/>
    <n v="0.6375534377127299"/>
    <n v="12"/>
    <n v="0.5813852090802328"/>
    <n v="13"/>
    <n v="0.63831103887986"/>
    <n v="16"/>
    <n v="0.5532896682107753"/>
    <n v="22"/>
    <s v=""/>
    <n v="34"/>
    <s v=""/>
    <n v="57"/>
    <s v=""/>
    <n v="27"/>
    <s v=""/>
    <n v="0.9"/>
    <n v="27"/>
    <s v=""/>
    <n v="1.285714285714286"/>
    <n v="27"/>
    <s v=""/>
    <n v="0.7714285714285715"/>
    <n v="13"/>
    <s v=""/>
    <n v="0.6842105263157895"/>
    <n v="20"/>
    <n v="168"/>
    <n v="24"/>
    <n v="0"/>
    <n v="0"/>
    <n v="0"/>
    <n v="391644"/>
    <n v="486864"/>
    <n v="71208"/>
    <n v="0"/>
    <n v="42"/>
    <n v="124614"/>
    <n v="169310.0769719653"/>
    <n v="35"/>
    <n v="152"/>
    <n v="51"/>
    <n v="100"/>
    <n v="100"/>
    <n v="0"/>
    <n v="400545"/>
    <n v="440496"/>
    <n v="151317"/>
    <n v="0"/>
    <n v="42"/>
    <n v="124614"/>
    <n v="359783.9135654262"/>
    <n v="50"/>
    <n v="209"/>
    <n v="57"/>
    <n v="0"/>
    <n v="0"/>
    <n v="310086"/>
    <n v="620103"/>
    <n v="169119"/>
    <n v="0"/>
    <n v="42"/>
    <n v="124614"/>
    <n v="478512.6050420168"/>
    <n v="30"/>
    <n v="164"/>
    <n v="27"/>
    <n v="0"/>
    <n v="0"/>
    <n v="475272"/>
    <n v="80109"/>
    <n v="0"/>
    <n v="0"/>
    <n v="42"/>
    <n v="124614"/>
    <n v="226663.8655462185"/>
    <n v="21"/>
    <n v="69"/>
    <n v="21"/>
    <m/>
    <n v="0"/>
    <n v="0"/>
    <n v="204723"/>
    <n v="60858"/>
    <n v="0"/>
    <n v="0"/>
    <n v="42"/>
    <n v="124614"/>
    <n v="176294.1176470588"/>
    <n v="35"/>
    <n v="69"/>
    <n v="27"/>
    <m/>
    <n v="0"/>
    <n v="0"/>
    <n v="204723"/>
    <n v="78246"/>
    <n v="0"/>
    <n v="0"/>
    <n v="69"/>
    <n v="124614"/>
    <n v="226663.8655462185"/>
    <n v="19"/>
    <n v="55"/>
    <n v="19"/>
    <n v="0"/>
    <n v="0"/>
    <n v="0"/>
    <n v="163185"/>
    <n v="55062"/>
    <n v="0"/>
    <n v="0"/>
    <n v="55"/>
    <n v="124614"/>
    <n v="159504.2016806723"/>
    <n v="17"/>
    <n v="36"/>
    <n v="17"/>
    <n v="0"/>
    <n v="0"/>
    <n v="0"/>
    <n v="106812"/>
    <n v="49266"/>
    <n v="0"/>
    <n v="0"/>
    <n v="36"/>
    <n v="106812"/>
    <n v="142714.2857142857"/>
    <n v="15"/>
    <n v="19"/>
    <n v="15"/>
    <n v="0"/>
    <n v="0"/>
    <m/>
    <n v="55062"/>
    <n v="43470"/>
    <n v="0"/>
    <n v="0"/>
    <n v="19"/>
    <n v="55062"/>
    <n v="125924.3697478992"/>
    <n v="16"/>
    <n v="4"/>
    <n v="4"/>
    <n v="0"/>
    <n v="0"/>
    <n v="0"/>
    <m/>
    <n v="11592"/>
    <n v="11592"/>
    <n v="0"/>
    <n v="0"/>
    <n v="4"/>
    <n v="11592"/>
    <n v="30218.48739495799"/>
    <n v="16"/>
    <n v="0"/>
    <n v="16"/>
    <n v="0"/>
    <n v="0"/>
    <n v="0"/>
    <n v="46368"/>
    <n v="0"/>
    <n v="0"/>
    <n v="0"/>
    <n v="0"/>
    <n v="126917.6470588235"/>
    <n v="16"/>
    <n v="0"/>
    <n v="16"/>
    <n v="0"/>
    <n v="0"/>
    <n v="0"/>
    <n v="46368"/>
    <n v="0"/>
    <n v="0"/>
    <n v="0"/>
    <n v="134319.3277310924"/>
    <n v="9.6"/>
    <n v="0"/>
    <n v="9.6"/>
    <n v="0"/>
    <m/>
    <n v="0"/>
    <n v="28483.2"/>
    <n v="0"/>
    <n v="0"/>
    <n v="0"/>
    <n v="80591.59663865545"/>
  </r>
  <r>
    <s v="Simplit-Organización"/>
    <x v="2"/>
    <x v="19"/>
    <x v="50"/>
    <s v="SIMTUPSILRD"/>
    <x v="512"/>
    <x v="352"/>
    <x v="0"/>
    <x v="0"/>
    <n v="0.7"/>
    <x v="303"/>
    <n v="102"/>
    <m/>
    <n v="0"/>
    <n v="2965"/>
    <n v="302430"/>
    <n v="2.8"/>
    <n v="3059"/>
    <n v="8394.957983193277"/>
    <n v="7554.621848739496"/>
    <s v="Shenzhen"/>
    <s v="30/70"/>
    <n v="30"/>
    <n v="100"/>
    <n v="11"/>
    <n v="0.5852827632411509"/>
    <n v="31"/>
    <n v="0.5617075509678294"/>
    <n v="51"/>
    <n v="0.5092522349402624"/>
    <n v="35"/>
    <n v="0.5811610547231624"/>
    <n v="26"/>
    <n v="0.5921347422232935"/>
    <n v="40"/>
    <n v="0.5718194675079115"/>
    <n v="12"/>
    <n v="0.5837568504396102"/>
    <n v="6"/>
    <n v="0.6063803112566069"/>
    <n v="4"/>
    <n v="0.6169293307914364"/>
    <n v="6"/>
    <n v="0.6155437889283628"/>
    <n v="8"/>
    <n v="0.5354144253140997"/>
    <n v="20"/>
    <n v="0.5560586550686473"/>
    <n v="18"/>
    <s v=""/>
    <n v="24"/>
    <s v=""/>
    <n v="44"/>
    <s v=""/>
    <n v="15"/>
    <s v=""/>
    <n v="0.4285714285714285"/>
    <n v="18"/>
    <s v=""/>
    <n v="0.6923076923076923"/>
    <n v="14"/>
    <s v=""/>
    <n v="0.35"/>
    <n v="8"/>
    <s v=""/>
    <n v="0.5714285714285714"/>
    <n v="20"/>
    <n v="162"/>
    <n v="15"/>
    <n v="0"/>
    <n v="0"/>
    <n v="0"/>
    <n v="281675"/>
    <n v="469476"/>
    <n v="44475"/>
    <n v="0"/>
    <n v="102"/>
    <n v="302430"/>
    <n v="105818.7981074783"/>
    <n v="35"/>
    <n v="148"/>
    <n v="36"/>
    <n v="100"/>
    <n v="100"/>
    <n v="0"/>
    <n v="281675"/>
    <n v="428904"/>
    <n v="106740"/>
    <n v="0"/>
    <n v="102"/>
    <n v="302430"/>
    <n v="253965.1154579479"/>
    <n v="50"/>
    <n v="217"/>
    <n v="44"/>
    <n v="0"/>
    <n v="0"/>
    <n v="227678.6"/>
    <n v="643405"/>
    <n v="130460"/>
    <n v="0"/>
    <n v="102"/>
    <n v="302430"/>
    <n v="369378.1512605042"/>
    <n v="35"/>
    <n v="180"/>
    <n v="15"/>
    <n v="0"/>
    <n v="0"/>
    <n v="521640"/>
    <n v="44475"/>
    <n v="0"/>
    <n v="0"/>
    <n v="102"/>
    <n v="302430"/>
    <n v="125924.3697478992"/>
    <n v="26"/>
    <n v="120"/>
    <n v="18.2"/>
    <m/>
    <n v="0"/>
    <n v="0"/>
    <n v="355800"/>
    <n v="52743.6"/>
    <n v="0"/>
    <n v="0"/>
    <n v="102"/>
    <n v="302430"/>
    <n v="152788.2352941176"/>
    <n v="40"/>
    <n v="116"/>
    <n v="14"/>
    <m/>
    <n v="0"/>
    <n v="0"/>
    <n v="343940"/>
    <n v="40572"/>
    <n v="0"/>
    <n v="0"/>
    <n v="116"/>
    <n v="302430"/>
    <n v="117529.4117647059"/>
    <n v="14"/>
    <n v="110"/>
    <n v="9.799999999999999"/>
    <n v="0"/>
    <n v="0"/>
    <n v="0"/>
    <n v="326150"/>
    <n v="28400.4"/>
    <n v="0"/>
    <n v="0"/>
    <n v="110"/>
    <n v="302430"/>
    <n v="82270.58823529411"/>
    <n v="18"/>
    <n v="100.2"/>
    <n v="12.6"/>
    <n v="0"/>
    <n v="0"/>
    <n v="0"/>
    <n v="297093"/>
    <n v="36514.8"/>
    <n v="0"/>
    <n v="0"/>
    <n v="100.2"/>
    <n v="297093"/>
    <n v="105776.4705882353"/>
    <n v="16"/>
    <n v="87.60000000000001"/>
    <n v="11.2"/>
    <n v="0"/>
    <n v="0"/>
    <m/>
    <n v="253864.8"/>
    <n v="32457.6"/>
    <n v="0"/>
    <n v="0"/>
    <n v="87.60000000000001"/>
    <n v="253864.8"/>
    <n v="94023.5294117647"/>
    <n v="17"/>
    <n v="76.40000000000001"/>
    <n v="11.9"/>
    <n v="0"/>
    <n v="0"/>
    <n v="0"/>
    <m/>
    <n v="221407.2"/>
    <n v="34486.2"/>
    <n v="0"/>
    <n v="0"/>
    <n v="76.40000000000001"/>
    <n v="221407.2"/>
    <n v="89900"/>
    <n v="17"/>
    <n v="64.5"/>
    <n v="11.9"/>
    <n v="0"/>
    <n v="0"/>
    <n v="186921"/>
    <n v="34486.2"/>
    <n v="0"/>
    <n v="0"/>
    <n v="64.5"/>
    <n v="186921"/>
    <n v="94395"/>
    <n v="17"/>
    <n v="52.6"/>
    <n v="11.9"/>
    <n v="0"/>
    <n v="0"/>
    <n v="152434.8"/>
    <n v="34486.2"/>
    <n v="0"/>
    <n v="52.6"/>
    <n v="152434.8"/>
    <n v="99899.99999999999"/>
    <n v="10.2"/>
    <n v="40.7"/>
    <n v="7.139999999999999"/>
    <n v="0"/>
    <m/>
    <n v="117948.6"/>
    <n v="21170.09999999999"/>
    <n v="0"/>
    <n v="40.7"/>
    <n v="117948.6"/>
    <n v="59939.99999999999"/>
  </r>
  <r>
    <s v="Simplit-Organización"/>
    <x v="2"/>
    <x v="19"/>
    <x v="50"/>
    <n v="1650295261109"/>
    <x v="513"/>
    <x v="353"/>
    <x v="0"/>
    <x v="0"/>
    <n v="1.15"/>
    <x v="304"/>
    <n v="173"/>
    <m/>
    <n v="0"/>
    <n v="2329.232119784146"/>
    <n v="402957.1567226573"/>
    <n v="2.2"/>
    <n v="2403.5"/>
    <n v="6714.285714285715"/>
    <n v="5873.949579831933"/>
    <s v="Shenzhen"/>
    <s v="30/70"/>
    <n v="30"/>
    <n v="100"/>
    <n v="78"/>
    <n v="0.6614208476315153"/>
    <n v="50"/>
    <n v="0.6611037227367068"/>
    <n v="71"/>
    <n v="0.654724240268542"/>
    <n v="44"/>
    <n v="0.6500628465783199"/>
    <n v="60"/>
    <n v="0.681485233588515"/>
    <n v="71"/>
    <n v="0.6509597712993616"/>
    <n v="72"/>
    <n v="0.6289037066051772"/>
    <n v="60"/>
    <n v="0.6353555693134739"/>
    <n v="31"/>
    <n v="0.6763487407479071"/>
    <n v="110"/>
    <n v="0.5937503178902263"/>
    <n v="71"/>
    <n v="0.5941004565726121"/>
    <n v="68"/>
    <n v="0.6265988763776243"/>
    <n v="59"/>
    <n v="0.5532149993153958"/>
    <n v="51"/>
    <n v="0.5094737252768646"/>
    <n v="93"/>
    <n v="0.5204855774377164"/>
    <n v="93"/>
    <n v="0.4935592874846769"/>
    <n v="1.430769230769231"/>
    <n v="49"/>
    <n v="0.6037991499076036"/>
    <n v="0.8166666666666667"/>
    <n v="30"/>
    <n v="0.4726802575107296"/>
    <n v="0.4285714285714285"/>
    <n v="0"/>
    <n v="0.523142676921503"/>
    <n v="0"/>
    <n v="70"/>
    <n v="87"/>
    <n v="90"/>
    <n v="150"/>
    <n v="150"/>
    <n v="0"/>
    <n v="604435.735083986"/>
    <n v="198099"/>
    <n v="209630.8907805732"/>
    <n v="0"/>
    <n v="173"/>
    <n v="402957.1567226573"/>
    <n v="507803.1212484995"/>
    <n v="70"/>
    <n v="179"/>
    <n v="76.5"/>
    <n v="0"/>
    <n v="0"/>
    <n v="0"/>
    <n v="611423.4314433384"/>
    <n v="407583"/>
    <n v="178186.2571634872"/>
    <n v="0"/>
    <n v="173"/>
    <n v="402957.1567226573"/>
    <n v="431632.6530612246"/>
    <n v="77"/>
    <n v="135"/>
    <n v="93"/>
    <n v="0"/>
    <n v="0"/>
    <n v="590350.1742798511"/>
    <n v="314446.3361708598"/>
    <n v="216618.5871399256"/>
    <n v="0"/>
    <n v="173"/>
    <n v="402957.1567226573"/>
    <n v="624428.5714285715"/>
    <n v="65"/>
    <n v="172"/>
    <n v="93"/>
    <n v="150"/>
    <n v="0"/>
    <n v="391644"/>
    <n v="216618.5871399256"/>
    <n v="341550"/>
    <n v="0"/>
    <n v="173"/>
    <n v="402957.1567226573"/>
    <n v="624428.5714285715"/>
    <n v="60"/>
    <n v="222"/>
    <n v="69"/>
    <m/>
    <n v="0"/>
    <n v="0"/>
    <n v="517089.5305920804"/>
    <n v="157113"/>
    <n v="0"/>
    <n v="0"/>
    <n v="173"/>
    <n v="402957.1567226573"/>
    <n v="463285.7142857143"/>
    <n v="70"/>
    <n v="203"/>
    <n v="30"/>
    <m/>
    <n v="0"/>
    <n v="0"/>
    <n v="472834.1203161817"/>
    <n v="68310"/>
    <n v="0"/>
    <n v="0"/>
    <n v="203"/>
    <n v="402957.1567226573"/>
    <n v="201428.5714285714"/>
    <n v="70"/>
    <n v="173"/>
    <n v="80.5"/>
    <n v="200"/>
    <n v="200"/>
    <n v="0"/>
    <n v="402957.1567226573"/>
    <n v="183298.5"/>
    <n v="440220"/>
    <n v="0"/>
    <n v="173"/>
    <n v="402957.1567226573"/>
    <n v="540500"/>
    <n v="60"/>
    <n v="92.5"/>
    <n v="69"/>
    <n v="100"/>
    <n v="100"/>
    <n v="0"/>
    <n v="215453.9710800335"/>
    <n v="157113"/>
    <n v="227700"/>
    <n v="0"/>
    <n v="192.5"/>
    <n v="215453.9710800335"/>
    <n v="463285.7142857143"/>
    <n v="46"/>
    <n v="23.5"/>
    <n v="52.9"/>
    <n v="0"/>
    <n v="0"/>
    <n v="100"/>
    <n v="53509.5"/>
    <n v="120453.3"/>
    <n v="0"/>
    <n v="227700"/>
    <n v="123.5"/>
    <n v="281209.5"/>
    <n v="355185.7142857143"/>
    <n v="110"/>
    <n v="70.59999999999999"/>
    <n v="70.59999999999999"/>
    <n v="0"/>
    <n v="0"/>
    <n v="0"/>
    <m/>
    <n v="160756.2"/>
    <n v="160756.2"/>
    <n v="0"/>
    <n v="0"/>
    <n v="70.59999999999999"/>
    <n v="160756.2"/>
    <n v="414700.8403361344"/>
    <n v="60"/>
    <n v="0"/>
    <n v="69"/>
    <n v="250"/>
    <n v="250"/>
    <n v="0"/>
    <n v="157113"/>
    <n v="569250"/>
    <n v="569250"/>
    <n v="250"/>
    <n v="569250"/>
    <n v="425567.6470588236"/>
    <n v="80"/>
    <n v="181"/>
    <n v="92"/>
    <n v="0"/>
    <n v="0"/>
    <n v="412137"/>
    <n v="209484"/>
    <n v="0"/>
    <n v="181"/>
    <n v="412137"/>
    <n v="617714.2857142858"/>
    <n v="36"/>
    <n v="89"/>
    <n v="41.4"/>
    <n v="0"/>
    <m/>
    <n v="202653"/>
    <n v="96430.20975906364"/>
    <n v="0"/>
    <n v="89"/>
    <n v="202653"/>
    <n v="277971.4285714286"/>
  </r>
  <r>
    <s v="Simplit-Organización"/>
    <x v="2"/>
    <x v="19"/>
    <x v="50"/>
    <n v="1654189204021"/>
    <x v="514"/>
    <x v="354"/>
    <x v="0"/>
    <x v="4"/>
    <n v="0.8"/>
    <x v="305"/>
    <n v="460"/>
    <m/>
    <n v="0"/>
    <n v="3789"/>
    <n v="1742940"/>
    <n v="3.6"/>
    <n v="3933"/>
    <n v="9235.294117647059"/>
    <n v="8394.957983193277"/>
    <s v="Shenzhen"/>
    <s v="30/70"/>
    <n v="30"/>
    <n v="300"/>
    <n v="38"/>
    <n v="0.6168168723967252"/>
    <n v="59"/>
    <n v="0.6132165539191464"/>
    <n v="118"/>
    <n v="0.6162661622481708"/>
    <n v="61"/>
    <n v="0.6212415174159351"/>
    <n v="81"/>
    <n v="0.6336301566502822"/>
    <n v="104"/>
    <n v="0.5793580262391734"/>
    <n v="64"/>
    <n v="0.6245891250771998"/>
    <n v="59"/>
    <n v="0.6580299035779293"/>
    <n v="49"/>
    <n v="0.6532511696627603"/>
    <n v="85"/>
    <n v="0.5563634834583681"/>
    <n v="86"/>
    <n v="0.5501837089055748"/>
    <n v="54"/>
    <n v="0.5788966088860693"/>
    <n v="92"/>
    <n v="0.4168074167022009"/>
    <n v="77"/>
    <n v="0.5120530256460805"/>
    <n v="119"/>
    <n v="0.4148894663083965"/>
    <n v="30"/>
    <n v="0.4124401161665384"/>
    <n v="0.5"/>
    <n v="35"/>
    <n v="0.5033149750361072"/>
    <n v="0.4375"/>
    <n v="62"/>
    <n v="0.37626895348581"/>
    <n v="0.5636363636363636"/>
    <n v="0"/>
    <n v="0.4371317151050118"/>
    <n v="0"/>
    <n v="50"/>
    <n v="332"/>
    <n v="70"/>
    <n v="0"/>
    <n v="0"/>
    <n v="0"/>
    <n v="1153750.5"/>
    <n v="1237032"/>
    <n v="265230"/>
    <n v="0"/>
    <n v="460"/>
    <n v="1742940"/>
    <n v="543252.5951557094"/>
    <n v="60"/>
    <n v="231"/>
    <n v="115.5"/>
    <n v="0"/>
    <n v="0"/>
    <n v="0"/>
    <n v="1002190.5"/>
    <n v="860705.9999999999"/>
    <n v="437629.5"/>
    <n v="0"/>
    <n v="460"/>
    <n v="1742940"/>
    <n v="896366.7820069205"/>
    <n v="100"/>
    <n v="149"/>
    <n v="119"/>
    <n v="0"/>
    <n v="0"/>
    <n v="803025"/>
    <n v="564561"/>
    <n v="450891"/>
    <n v="0"/>
    <n v="460"/>
    <n v="1742940"/>
    <n v="1099000"/>
    <n v="60"/>
    <n v="120"/>
    <n v="30"/>
    <n v="300"/>
    <n v="0"/>
    <n v="447119.9999999999"/>
    <n v="113670"/>
    <n v="1117800"/>
    <n v="0"/>
    <n v="460"/>
    <n v="1742940"/>
    <n v="277058.8235294118"/>
    <n v="80"/>
    <n v="495"/>
    <n v="64"/>
    <m/>
    <n v="0"/>
    <n v="0"/>
    <n v="1875555"/>
    <n v="238464"/>
    <n v="0"/>
    <n v="0"/>
    <n v="460"/>
    <n v="1742940"/>
    <n v="591058.8235294118"/>
    <n v="110"/>
    <n v="522"/>
    <n v="62"/>
    <m/>
    <n v="180"/>
    <n v="0"/>
    <n v="1977858"/>
    <n v="231012"/>
    <n v="0"/>
    <n v="0"/>
    <n v="522"/>
    <n v="1742940"/>
    <n v="572588.2352941177"/>
    <n v="87"/>
    <n v="460"/>
    <n v="69.60000000000001"/>
    <n v="300"/>
    <n v="300"/>
    <n v="0"/>
    <n v="1742940"/>
    <n v="259329.6"/>
    <n v="1080540"/>
    <n v="0"/>
    <n v="460"/>
    <n v="1742940"/>
    <n v="642776.4705882354"/>
    <n v="60"/>
    <n v="390.4"/>
    <n v="48"/>
    <n v="0"/>
    <n v="0"/>
    <n v="0"/>
    <n v="1479225.6"/>
    <n v="178848"/>
    <n v="0"/>
    <n v="0"/>
    <n v="390.4"/>
    <n v="1479225.6"/>
    <n v="443294.1176470589"/>
    <n v="50"/>
    <n v="342.4"/>
    <n v="40"/>
    <n v="0"/>
    <n v="0"/>
    <m/>
    <n v="1275782.4"/>
    <n v="149040"/>
    <n v="0"/>
    <n v="0"/>
    <n v="342.4"/>
    <n v="1275782.4"/>
    <n v="369411.7647058824"/>
    <n v="70"/>
    <n v="302.4"/>
    <n v="56"/>
    <n v="0"/>
    <n v="0"/>
    <n v="0"/>
    <m/>
    <n v="1126742.4"/>
    <n v="208656"/>
    <n v="0"/>
    <n v="0"/>
    <n v="302.4"/>
    <n v="1126742.4"/>
    <n v="470117.6470588235"/>
    <n v="50"/>
    <n v="246.4"/>
    <n v="40"/>
    <n v="0"/>
    <n v="0"/>
    <n v="918086.3999999998"/>
    <n v="149040"/>
    <n v="0"/>
    <n v="0"/>
    <n v="246.4"/>
    <n v="918086.3999999998"/>
    <n v="352588.2352941177"/>
    <n v="70"/>
    <n v="206.4"/>
    <n v="56"/>
    <n v="0"/>
    <n v="0"/>
    <n v="769046.3999999998"/>
    <n v="208656"/>
    <n v="0"/>
    <n v="206.4"/>
    <n v="769046.3999999998"/>
    <n v="517176.4705882353"/>
    <n v="30"/>
    <n v="150.4"/>
    <n v="24"/>
    <n v="0"/>
    <m/>
    <n v="560390.3999999998"/>
    <n v="90936"/>
    <n v="0"/>
    <n v="150.4"/>
    <n v="560390.3999999998"/>
    <n v="221647.0588235294"/>
  </r>
  <r>
    <s v="Simplit-Organización"/>
    <x v="2"/>
    <x v="19"/>
    <x v="50"/>
    <n v="1654189048611"/>
    <x v="515"/>
    <x v="355"/>
    <x v="0"/>
    <x v="4"/>
    <n v="1.2"/>
    <x v="306"/>
    <n v="253"/>
    <m/>
    <n v="0"/>
    <n v="3086.79482386772"/>
    <n v="780959.0904385331"/>
    <n v="2.9"/>
    <n v="3168.25"/>
    <n v="7554.621848739496"/>
    <n v="6714.285714285715"/>
    <s v="Shenzhen"/>
    <s v="30/70"/>
    <n v="30"/>
    <n v="300"/>
    <n v="123"/>
    <n v="0.4931979740265034"/>
    <n v="64"/>
    <n v="0.5793583511629014"/>
    <n v="95"/>
    <n v="0.6030144800455145"/>
    <n v="54"/>
    <n v="0.5941209214298305"/>
    <n v="83"/>
    <n v="0.5932096825232211"/>
    <n v="102"/>
    <n v="0.6149388995834197"/>
    <n v="73"/>
    <n v="0.5831971807269489"/>
    <n v="74"/>
    <n v="0.5684304793917356"/>
    <n v="37"/>
    <n v="0.6585615891404852"/>
    <n v="144"/>
    <n v="0.5489703802297851"/>
    <n v="116"/>
    <n v="0.5680707011453372"/>
    <n v="78"/>
    <n v="0.5642173768785177"/>
    <n v="104"/>
    <n v="0.5283782745771736"/>
    <n v="56"/>
    <n v="0.4686010167579716"/>
    <n v="146"/>
    <n v="0.512033043868157"/>
    <n v="71"/>
    <n v="0.5194991610146628"/>
    <n v="1.42"/>
    <n v="42"/>
    <n v="0.4952421552231456"/>
    <n v="0.42"/>
    <n v="61"/>
    <n v="0.3467510276990368"/>
    <n v="0.4357142857142857"/>
    <n v="0"/>
    <n v="0.5009036333663794"/>
    <n v="0"/>
    <n v="100"/>
    <n v="171"/>
    <n v="100"/>
    <n v="100"/>
    <n v="100"/>
    <n v="0"/>
    <n v="1018642.291876348"/>
    <n v="513256.4999999999"/>
    <n v="308679.482386772"/>
    <n v="0"/>
    <n v="253"/>
    <n v="780959.0904385331"/>
    <n v="634842.172162983"/>
    <n v="60"/>
    <n v="321"/>
    <n v="84"/>
    <n v="0"/>
    <n v="0"/>
    <n v="0"/>
    <n v="929125.2419841838"/>
    <n v="963481.4999999999"/>
    <n v="259290.7652048885"/>
    <n v="0"/>
    <n v="253"/>
    <n v="780959.0904385331"/>
    <n v="533267.4246169056"/>
    <n v="100"/>
    <n v="284"/>
    <n v="146"/>
    <n v="0"/>
    <n v="0"/>
    <n v="1030014.476779295"/>
    <n v="876649.7299784324"/>
    <n v="450672.0442846871"/>
    <n v="0"/>
    <n v="253"/>
    <n v="780959.0904385331"/>
    <n v="1102974.789915967"/>
    <n v="50"/>
    <n v="339"/>
    <n v="71"/>
    <n v="300"/>
    <n v="0"/>
    <n v="1017508.5"/>
    <n v="219162.4324946081"/>
    <n v="900449.9999999999"/>
    <n v="0"/>
    <n v="253"/>
    <n v="780959.0904385331"/>
    <n v="536378.1512605043"/>
    <n v="100"/>
    <n v="295"/>
    <n v="120"/>
    <m/>
    <n v="0"/>
    <n v="0"/>
    <n v="910604.4730409774"/>
    <n v="360179.9999999999"/>
    <n v="0"/>
    <n v="0"/>
    <n v="253"/>
    <n v="780959.0904385331"/>
    <n v="906554.6218487396"/>
    <n v="140"/>
    <n v="314"/>
    <n v="61"/>
    <m/>
    <n v="0"/>
    <n v="0"/>
    <n v="969253.5746944641"/>
    <n v="183091.5"/>
    <n v="0"/>
    <n v="0"/>
    <n v="314"/>
    <n v="780959.0904385331"/>
    <n v="460831.9327731093"/>
    <n v="99"/>
    <n v="253"/>
    <n v="118.8"/>
    <n v="0"/>
    <n v="100"/>
    <n v="0"/>
    <n v="780959.0904385331"/>
    <n v="356578.2"/>
    <n v="0"/>
    <n v="0"/>
    <n v="253"/>
    <n v="780959.0904385331"/>
    <n v="897489.0756302521"/>
    <n v="100"/>
    <n v="134.2"/>
    <n v="120"/>
    <n v="300"/>
    <n v="300"/>
    <n v="0"/>
    <n v="414247.865363048"/>
    <n v="360179.9999999999"/>
    <n v="900449.9999999999"/>
    <n v="0"/>
    <n v="434.2"/>
    <n v="414247.865363048"/>
    <n v="906554.6218487396"/>
    <n v="70"/>
    <n v="14.19999999999999"/>
    <n v="84"/>
    <n v="0"/>
    <n v="0"/>
    <n v="300"/>
    <n v="42621.29999999996"/>
    <n v="252126"/>
    <n v="0"/>
    <n v="900449.9999999999"/>
    <n v="314.2"/>
    <n v="943071.2999999998"/>
    <n v="634588.2352941177"/>
    <n v="140"/>
    <n v="230.2"/>
    <n v="168"/>
    <n v="0"/>
    <n v="0"/>
    <n v="0"/>
    <m/>
    <n v="690945.2999999998"/>
    <n v="504251.9999999999"/>
    <n v="0"/>
    <n v="0"/>
    <n v="230.2"/>
    <n v="690945.2999999998"/>
    <n v="1128000"/>
    <n v="80"/>
    <n v="62.19999999999999"/>
    <n v="96"/>
    <n v="0"/>
    <n v="0"/>
    <n v="186693.2999999999"/>
    <n v="288143.9999999999"/>
    <n v="0"/>
    <n v="0"/>
    <n v="62.19999999999999"/>
    <n v="186693.2999999999"/>
    <n v="676800.0000000001"/>
    <n v="80"/>
    <n v="0"/>
    <n v="96"/>
    <n v="0"/>
    <n v="0"/>
    <n v="0"/>
    <n v="288143.9999999999"/>
    <n v="0"/>
    <n v="0"/>
    <n v="0"/>
    <n v="725243.6974789917"/>
    <n v="48"/>
    <n v="0"/>
    <n v="57.59999999999999"/>
    <n v="0"/>
    <m/>
    <n v="0"/>
    <n v="177799.3818547807"/>
    <n v="0"/>
    <n v="0"/>
    <n v="0"/>
    <n v="435146.2184873949"/>
  </r>
  <r>
    <s v="Simplit-Organización"/>
    <x v="2"/>
    <x v="19"/>
    <x v="50"/>
    <n v="1650295282448"/>
    <x v="516"/>
    <x v="356"/>
    <x v="0"/>
    <x v="0"/>
    <n v="1.3"/>
    <x v="307"/>
    <n v="82"/>
    <m/>
    <n v="0"/>
    <n v="3759.630537352556"/>
    <n v="308289.7040629096"/>
    <n v="3.2"/>
    <n v="3496"/>
    <n v="8394.957983193277"/>
    <n v="7554.621848739496"/>
    <s v="Shenzhen"/>
    <s v="30/70"/>
    <n v="30"/>
    <n v="300"/>
    <n v="51"/>
    <n v="0.6639889585947303"/>
    <n v="46"/>
    <n v="0.6361840675264454"/>
    <n v="53"/>
    <n v="0.6192792710428477"/>
    <n v="25"/>
    <n v="0.590673424781429"/>
    <n v="58"/>
    <n v="0.6231555520367679"/>
    <n v="25"/>
    <n v="0.6536663273341913"/>
    <n v="54"/>
    <n v="0.5884175799539534"/>
    <n v="41"/>
    <n v="0.6284243296272073"/>
    <n v="22"/>
    <n v="0.6618495363301778"/>
    <n v="72"/>
    <n v="0.5984601870274444"/>
    <n v="50"/>
    <n v="0.5281985063026174"/>
    <n v="49"/>
    <n v="0.5787474258806672"/>
    <n v="62"/>
    <n v="0.4345183620479733"/>
    <n v="51"/>
    <n v="0.3944817586440704"/>
    <n v="50"/>
    <n v="0.4210146535317484"/>
    <n v="56"/>
    <n v="0.3861786490765861"/>
    <n v="1.4"/>
    <n v="58"/>
    <n v="0.505119087510433"/>
    <n v="0.9666666666666667"/>
    <n v="37"/>
    <n v="0.4504281619776888"/>
    <n v="0.4625"/>
    <n v="0"/>
    <n v="0.4340104958593939"/>
    <n v="0"/>
    <n v="50"/>
    <n v="171"/>
    <n v="80"/>
    <n v="0"/>
    <n v="0"/>
    <n v="0"/>
    <n v="776363.7059633029"/>
    <n v="566351.9999999999"/>
    <n v="300770.4429882045"/>
    <n v="0"/>
    <n v="82"/>
    <n v="308289.7040629096"/>
    <n v="564366.9232398842"/>
    <n v="60"/>
    <n v="108"/>
    <n v="76.5"/>
    <n v="0"/>
    <n v="0"/>
    <n v="0"/>
    <n v="686132.5730668415"/>
    <n v="357695.9999999999"/>
    <n v="287611.7361074705"/>
    <n v="0"/>
    <n v="82"/>
    <n v="308289.7040629096"/>
    <n v="539675.8703481393"/>
    <n v="31"/>
    <n v="68"/>
    <n v="50"/>
    <n v="0"/>
    <n v="0"/>
    <n v="656856.8369593709"/>
    <n v="255654.8765399738"/>
    <n v="187981.5268676278"/>
    <n v="0"/>
    <n v="82"/>
    <n v="308289.7040629096"/>
    <n v="419747.8991596638"/>
    <n v="40"/>
    <n v="167"/>
    <n v="56"/>
    <n v="180"/>
    <n v="0"/>
    <n v="553103.9999999999"/>
    <n v="210539.3100917431"/>
    <n v="596159.9999999999"/>
    <n v="0"/>
    <n v="82"/>
    <n v="308289.7040629096"/>
    <n v="470117.6470588235"/>
    <n v="60"/>
    <n v="140"/>
    <n v="78"/>
    <m/>
    <n v="0"/>
    <n v="0"/>
    <n v="526348.2752293579"/>
    <n v="258336"/>
    <n v="0"/>
    <n v="0"/>
    <n v="82"/>
    <n v="308289.7040629096"/>
    <n v="654806.7226890756"/>
    <n v="80"/>
    <n v="119"/>
    <n v="37"/>
    <m/>
    <n v="0"/>
    <n v="0"/>
    <n v="447396.0339449542"/>
    <n v="122544"/>
    <n v="0"/>
    <n v="0"/>
    <n v="119"/>
    <n v="308289.7040629096"/>
    <n v="310613.4453781513"/>
    <n v="60"/>
    <n v="82"/>
    <n v="78"/>
    <n v="100"/>
    <n v="100"/>
    <n v="0"/>
    <n v="308289.7040629096"/>
    <n v="258336"/>
    <n v="320160"/>
    <n v="0"/>
    <n v="82"/>
    <n v="308289.7040629096"/>
    <n v="654806.7226890756"/>
    <n v="52"/>
    <n v="4"/>
    <n v="67.60000000000001"/>
    <n v="200"/>
    <n v="200"/>
    <n v="0"/>
    <n v="15038.52214941022"/>
    <n v="223891.2"/>
    <n v="662399.9999999999"/>
    <n v="0"/>
    <n v="204"/>
    <n v="15038.52214941022"/>
    <n v="567499.1596638656"/>
    <n v="28"/>
    <n v="0"/>
    <n v="36.4"/>
    <n v="0"/>
    <n v="0"/>
    <n v="200"/>
    <n v="0"/>
    <n v="120556.8"/>
    <n v="0"/>
    <n v="662399.9999999999"/>
    <n v="200"/>
    <n v="662399.9999999999"/>
    <n v="305576.4705882352"/>
    <n v="75"/>
    <n v="163.6"/>
    <n v="97.5"/>
    <n v="0"/>
    <n v="0"/>
    <n v="0"/>
    <m/>
    <n v="541843.2"/>
    <n v="322919.9999999999"/>
    <n v="0"/>
    <n v="0"/>
    <n v="163.6"/>
    <n v="541843.2"/>
    <n v="736575.6302521009"/>
    <n v="50"/>
    <n v="66.09999999999999"/>
    <n v="65"/>
    <n v="0"/>
    <n v="0"/>
    <n v="218923.2"/>
    <n v="215280"/>
    <n v="0"/>
    <n v="0"/>
    <n v="66.09999999999999"/>
    <n v="218923.2"/>
    <n v="515602.9411764707"/>
    <n v="60"/>
    <n v="1.099999999999994"/>
    <n v="78"/>
    <n v="0"/>
    <n v="0"/>
    <n v="3643.199999999981"/>
    <n v="258336"/>
    <n v="0"/>
    <n v="1.099999999999994"/>
    <n v="3643.199999999981"/>
    <n v="654806.7226890756"/>
    <n v="30"/>
    <n v="0"/>
    <n v="39"/>
    <n v="0"/>
    <m/>
    <n v="0"/>
    <n v="146625.5909567497"/>
    <n v="0"/>
    <n v="0"/>
    <n v="0"/>
    <n v="327403.3613445378"/>
  </r>
  <r>
    <m/>
    <x v="2"/>
    <x v="19"/>
    <x v="50"/>
    <s v="SIMOREXBAS-WD"/>
    <x v="517"/>
    <x v="357"/>
    <x v="0"/>
    <x v="3"/>
    <n v="1"/>
    <x v="308"/>
    <n v="22"/>
    <m/>
    <n v="0"/>
    <n v="5485"/>
    <n v="120670"/>
    <n v="5.1"/>
    <n v="5571.75"/>
    <n v="16798.31932773109"/>
    <n v="19319.32773109244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0"/>
    <n v="0.6592772661012457"/>
    <n v="146"/>
    <s v=""/>
    <n v="104"/>
    <s v=""/>
    <n v="6"/>
    <s v=""/>
    <n v="3"/>
    <s v=""/>
    <n v="0.3"/>
    <n v="4"/>
    <s v=""/>
    <n v="0"/>
    <n v="166"/>
    <s v=""/>
    <n v="0"/>
    <n v="98"/>
    <s v=""/>
    <n v="0.6533333333333333"/>
    <n v="50"/>
    <n v="270"/>
    <n v="90"/>
    <n v="0"/>
    <n v="0"/>
    <n v="0"/>
    <n v="1382220"/>
    <n v="1425195"/>
    <n v="493650"/>
    <n v="0"/>
    <n v="22"/>
    <n v="120670"/>
    <n v="1270461.125626721"/>
    <n v="80"/>
    <n v="110"/>
    <n v="156"/>
    <n v="0"/>
    <n v="0"/>
    <n v="0"/>
    <n v="905025"/>
    <n v="580635"/>
    <n v="855660"/>
    <n v="0"/>
    <n v="22"/>
    <n v="120670"/>
    <n v="2202132.617752984"/>
    <n v="150"/>
    <n v="2"/>
    <n v="6"/>
    <n v="0"/>
    <n v="0"/>
    <n v="49365"/>
    <n v="10970"/>
    <n v="32910"/>
    <n v="0"/>
    <n v="22"/>
    <n v="120670"/>
    <n v="100789.9159663866"/>
    <n v="10"/>
    <n v="3"/>
    <n v="3"/>
    <n v="300"/>
    <n v="0"/>
    <n v="15835.5"/>
    <n v="16455"/>
    <n v="1583550"/>
    <n v="0"/>
    <n v="22"/>
    <n v="120670"/>
    <n v="50394.95798319328"/>
    <n v="0"/>
    <n v="26"/>
    <n v="0"/>
    <m/>
    <n v="0"/>
    <n v="0"/>
    <n v="142610"/>
    <n v="0"/>
    <n v="0"/>
    <n v="0"/>
    <n v="22"/>
    <n v="120670"/>
    <n v="0"/>
    <n v="0"/>
    <n v="188"/>
    <n v="166"/>
    <m/>
    <n v="0"/>
    <n v="0"/>
    <n v="1031180"/>
    <n v="876231"/>
    <n v="0"/>
    <n v="0"/>
    <n v="188"/>
    <n v="120670"/>
    <n v="2788521.008403361"/>
    <n v="150"/>
    <n v="120"/>
    <n v="150"/>
    <n v="500"/>
    <n v="500"/>
    <n v="0"/>
    <n v="658200"/>
    <n v="791775"/>
    <n v="2551275"/>
    <n v="0"/>
    <n v="120"/>
    <n v="120670"/>
    <n v="2519747.899159664"/>
    <n v="150"/>
    <n v="0"/>
    <n v="150"/>
    <n v="0"/>
    <n v="0"/>
    <n v="504"/>
    <n v="0"/>
    <n v="791775"/>
    <n v="0"/>
    <n v="2660364"/>
    <n v="0"/>
    <n v="2660364"/>
    <n v="2519747.899159664"/>
    <n v="150"/>
    <n v="354"/>
    <n v="150"/>
    <n v="500"/>
    <n v="300"/>
    <n v="0"/>
    <n v="1868589"/>
    <n v="791775"/>
    <n v="2639250"/>
    <n v="0"/>
    <n v="354"/>
    <n v="1868589"/>
    <n v="2519747.899159664"/>
    <n v="250"/>
    <n v="504"/>
    <n v="250"/>
    <n v="0"/>
    <n v="0"/>
    <n v="0"/>
    <n v="300"/>
    <n v="2660364"/>
    <n v="1319625"/>
    <n v="0"/>
    <n v="1583550"/>
    <n v="504"/>
    <n v="4243914"/>
    <n v="4829831.93277311"/>
    <n v="120"/>
    <n v="254"/>
    <n v="120"/>
    <n v="0"/>
    <n v="0"/>
    <n v="1340739"/>
    <n v="633420"/>
    <n v="0"/>
    <n v="0"/>
    <n v="254"/>
    <n v="1340739"/>
    <n v="2434235.294117647"/>
    <n v="150"/>
    <n v="134"/>
    <n v="150"/>
    <n v="0"/>
    <n v="0"/>
    <n v="707319"/>
    <n v="791775"/>
    <n v="0"/>
    <n v="134"/>
    <n v="707319"/>
    <n v="2519747.899159664"/>
    <n v="72"/>
    <n v="0"/>
    <n v="72"/>
    <n v="0"/>
    <m/>
    <n v="0"/>
    <n v="394920"/>
    <n v="0"/>
    <n v="0"/>
    <n v="0"/>
    <n v="1209478.991596639"/>
  </r>
  <r>
    <m/>
    <x v="2"/>
    <x v="19"/>
    <x v="50"/>
    <s v="SIM4FRHRDUB-WD"/>
    <x v="518"/>
    <x v="358"/>
    <x v="0"/>
    <x v="2"/>
    <n v="1"/>
    <x v="12"/>
    <n v="290"/>
    <m/>
    <n v="0"/>
    <n v="6353.175"/>
    <n v="1842420.75"/>
    <n v="6.350000000000001"/>
    <n v="6353.175"/>
    <n v="16016.40756302521"/>
    <n v="13613.94642857143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7"/>
    <s v=""/>
    <n v="0.175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90"/>
    <n v="1842420.75"/>
    <n v="0"/>
    <n v="0"/>
    <n v="0"/>
    <n v="0"/>
    <n v="0"/>
    <n v="0"/>
    <n v="0"/>
    <n v="0"/>
    <n v="0"/>
    <n v="0"/>
    <n v="290"/>
    <n v="1842420.75"/>
    <n v="0"/>
    <n v="0"/>
    <n v="290"/>
    <n v="0"/>
    <m/>
    <m/>
    <n v="0"/>
    <n v="1842420.75"/>
    <n v="0"/>
    <n v="0"/>
    <n v="0"/>
    <n v="290"/>
    <n v="1842420.75"/>
    <n v="0"/>
    <n v="0"/>
    <n v="290"/>
    <n v="0"/>
    <m/>
    <n v="0"/>
    <n v="0"/>
    <n v="1842420.75"/>
    <n v="0"/>
    <n v="0"/>
    <n v="0"/>
    <n v="290"/>
    <n v="1842420.75"/>
    <n v="0"/>
    <n v="40"/>
    <n v="297"/>
    <n v="40"/>
    <n v="300"/>
    <n v="300"/>
    <n v="0"/>
    <n v="1886892.975"/>
    <n v="262890.0000000001"/>
    <n v="1905952.5"/>
    <n v="0"/>
    <n v="297"/>
    <n v="1842420.75"/>
    <n v="640656.3025210085"/>
    <n v="40"/>
    <n v="257"/>
    <n v="40"/>
    <n v="0"/>
    <n v="0"/>
    <n v="0"/>
    <n v="1632765.975"/>
    <n v="262890.0000000001"/>
    <n v="0"/>
    <n v="0"/>
    <n v="257"/>
    <n v="1632765.975"/>
    <n v="640656.3025210085"/>
    <n v="35"/>
    <n v="217"/>
    <n v="35"/>
    <n v="0"/>
    <n v="0"/>
    <m/>
    <n v="1426178.25"/>
    <n v="230028.75"/>
    <n v="0"/>
    <n v="0"/>
    <n v="217"/>
    <n v="1426178.25"/>
    <n v="560574.2647058824"/>
    <n v="80"/>
    <n v="182"/>
    <n v="80"/>
    <n v="0"/>
    <n v="0"/>
    <n v="0"/>
    <m/>
    <n v="1196149.5"/>
    <n v="525780.0000000001"/>
    <n v="0"/>
    <n v="0"/>
    <n v="182"/>
    <n v="1196149.5"/>
    <n v="1089115.714285714"/>
    <n v="60"/>
    <n v="102"/>
    <n v="60"/>
    <n v="0"/>
    <n v="0"/>
    <n v="670369.5000000001"/>
    <n v="394335.0000000001"/>
    <n v="0"/>
    <n v="0"/>
    <n v="102"/>
    <n v="670369.5000000001"/>
    <n v="857678.6250000001"/>
    <n v="100"/>
    <n v="42"/>
    <n v="100"/>
    <n v="0"/>
    <n v="0"/>
    <n v="276034.5000000001"/>
    <n v="657225.0000000001"/>
    <n v="0"/>
    <n v="42"/>
    <n v="276034.5000000001"/>
    <n v="1601640.756302521"/>
    <n v="36"/>
    <n v="0"/>
    <n v="36"/>
    <n v="0"/>
    <m/>
    <n v="0"/>
    <n v="228714.3"/>
    <n v="0"/>
    <n v="0"/>
    <n v="0"/>
    <n v="576590.6722689077"/>
  </r>
  <r>
    <m/>
    <x v="2"/>
    <x v="19"/>
    <x v="50"/>
    <s v="SIMOREXOSL-WD"/>
    <x v="519"/>
    <x v="359"/>
    <x v="0"/>
    <x v="2"/>
    <n v="1"/>
    <x v="12"/>
    <n v="0"/>
    <m/>
    <n v="0"/>
    <n v="4882.439999999999"/>
    <n v="0"/>
    <n v="4.88"/>
    <n v="4882.439999999999"/>
    <n v="12308.67226890756"/>
    <n v="10462.37142857142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80"/>
    <n v="0"/>
    <n v="80"/>
    <n v="300"/>
    <n v="300"/>
    <n v="0"/>
    <n v="0"/>
    <n v="404063.9999999999"/>
    <n v="1464732"/>
    <n v="0"/>
    <n v="0"/>
    <n v="0"/>
    <n v="984693.7815126048"/>
    <n v="120"/>
    <n v="0"/>
    <n v="120"/>
    <n v="500"/>
    <n v="500"/>
    <n v="300"/>
    <n v="0"/>
    <n v="606095.9999999999"/>
    <n v="2525400"/>
    <n v="1515240"/>
    <n v="500"/>
    <n v="1515240"/>
    <n v="1477040.672268907"/>
    <n v="150"/>
    <n v="180"/>
    <n v="150"/>
    <n v="0"/>
    <n v="0"/>
    <m/>
    <n v="909143.9999999999"/>
    <n v="757619.9999999999"/>
    <n v="0"/>
    <n v="0"/>
    <n v="180"/>
    <n v="909143.9999999999"/>
    <n v="1846300.840336134"/>
    <n v="200"/>
    <n v="530"/>
    <n v="200"/>
    <n v="0"/>
    <n v="0"/>
    <n v="0"/>
    <n v="500"/>
    <n v="2676924"/>
    <n v="1010160"/>
    <n v="0"/>
    <n v="2525400"/>
    <n v="530"/>
    <n v="5202323.999999999"/>
    <n v="2092474.285714285"/>
    <n v="120"/>
    <n v="330"/>
    <n v="120"/>
    <n v="0"/>
    <n v="0"/>
    <n v="1666764"/>
    <n v="606095.9999999999"/>
    <n v="0"/>
    <n v="0"/>
    <n v="330"/>
    <n v="1666764"/>
    <n v="1318258.8"/>
    <n v="200"/>
    <n v="210"/>
    <n v="200"/>
    <n v="500"/>
    <n v="500"/>
    <n v="1060668"/>
    <n v="1010160"/>
    <n v="2525400"/>
    <n v="710"/>
    <n v="3586067.999999999"/>
    <n v="2461734.453781512"/>
    <n v="72"/>
    <n v="510"/>
    <n v="72"/>
    <n v="0"/>
    <m/>
    <n v="2575908"/>
    <n v="351535.6799999999"/>
    <n v="0"/>
    <n v="510"/>
    <n v="2575908"/>
    <n v="886224.4033613442"/>
  </r>
  <r>
    <s v="Simplit-Organización"/>
    <x v="2"/>
    <x v="19"/>
    <x v="52"/>
    <n v="1627418180602"/>
    <x v="520"/>
    <x v="360"/>
    <x v="0"/>
    <x v="4"/>
    <n v="1"/>
    <x v="309"/>
    <n v="203"/>
    <m/>
    <n v="0"/>
    <n v="5828.784189611403"/>
    <n v="1183243.190491115"/>
    <n v="5.35"/>
    <n v="5844.875"/>
    <n v="12596.63865546219"/>
    <n v="10915.96638655462"/>
    <s v="Shenzhen"/>
    <s v="30/70"/>
    <n v="30"/>
    <n v="100"/>
    <n v="132"/>
    <n v="0.4555171202207749"/>
    <n v="54"/>
    <n v="0.4124274136367768"/>
    <n v="127"/>
    <n v="0.4578293158231049"/>
    <n v="58"/>
    <n v="0.4619154588193792"/>
    <n v="104"/>
    <n v="0.4118977125420525"/>
    <n v="170"/>
    <n v="0.458325301953143"/>
    <n v="84"/>
    <n v="0.4727614840695841"/>
    <n v="93"/>
    <n v="0.4443479898818681"/>
    <n v="64"/>
    <n v="0.4350573485248256"/>
    <n v="176"/>
    <n v="0.4054723982867305"/>
    <n v="42"/>
    <n v="0.4646262939585759"/>
    <n v="55"/>
    <n v="0.4574234234774379"/>
    <n v="55"/>
    <n v="0.3886995946454984"/>
    <n v="36"/>
    <n v="0.2546083614114361"/>
    <n v="96"/>
    <n v="0.2973848931637755"/>
    <n v="79"/>
    <n v="0.3753255581919675"/>
    <n v="0.9875"/>
    <n v="148"/>
    <n v="0.3903939529651165"/>
    <n v="1.48"/>
    <n v="142"/>
    <n v="0.3280302501982031"/>
    <n v="0.8352941176470589"/>
    <n v="0"/>
    <n v="0.3460909448944843"/>
    <n v="0"/>
    <n v="120"/>
    <n v="229"/>
    <n v="50"/>
    <n v="300"/>
    <n v="300"/>
    <n v="0"/>
    <n v="1165756.837922281"/>
    <n v="1268030.25"/>
    <n v="291439.2094805702"/>
    <n v="0"/>
    <n v="203"/>
    <n v="1183243.190491115"/>
    <n v="529270.5317421086"/>
    <n v="60"/>
    <n v="488"/>
    <n v="54"/>
    <n v="130"/>
    <n v="130"/>
    <n v="0"/>
    <n v="1334791.579421011"/>
    <n v="2702178"/>
    <n v="314754.3462390158"/>
    <n v="0"/>
    <n v="203"/>
    <n v="1183243.190491115"/>
    <n v="571612.1742814773"/>
    <n v="130"/>
    <n v="299"/>
    <n v="96"/>
    <n v="0"/>
    <n v="0"/>
    <n v="1573762.233181996"/>
    <n v="1742806.47269381"/>
    <n v="559563.2822026947"/>
    <n v="0"/>
    <n v="203"/>
    <n v="1183243.190491115"/>
    <n v="1209277.31092437"/>
    <n v="80"/>
    <n v="585"/>
    <n v="79"/>
    <n v="100"/>
    <n v="0"/>
    <n v="3239291.25"/>
    <n v="460473.9509793008"/>
    <n v="553725"/>
    <n v="0"/>
    <n v="203"/>
    <n v="1183243.190491115"/>
    <n v="995134.4537815127"/>
    <n v="100"/>
    <n v="351"/>
    <n v="100"/>
    <m/>
    <n v="0"/>
    <n v="0"/>
    <n v="2045903.250553603"/>
    <n v="553725"/>
    <n v="0"/>
    <n v="0"/>
    <n v="203"/>
    <n v="1183243.190491115"/>
    <n v="1259663.865546219"/>
    <n v="170"/>
    <n v="345"/>
    <n v="142"/>
    <m/>
    <n v="0"/>
    <n v="0"/>
    <n v="2010930.545415934"/>
    <n v="786289.5"/>
    <n v="0"/>
    <n v="0"/>
    <n v="345"/>
    <n v="1183243.190491115"/>
    <n v="1788722.68907563"/>
    <n v="85"/>
    <n v="203"/>
    <n v="85"/>
    <n v="100"/>
    <n v="100"/>
    <n v="0"/>
    <n v="1183243.190491115"/>
    <n v="470666.25"/>
    <n v="535267.4999999999"/>
    <n v="0"/>
    <n v="203"/>
    <n v="1183243.190491115"/>
    <n v="1070714.285714286"/>
    <n v="101"/>
    <n v="118"/>
    <n v="101"/>
    <n v="0"/>
    <n v="0"/>
    <n v="0"/>
    <n v="687796.5343741456"/>
    <n v="559262.25"/>
    <n v="0"/>
    <n v="0"/>
    <n v="118"/>
    <n v="687796.5343741456"/>
    <n v="1272260.504201681"/>
    <n v="65"/>
    <n v="17"/>
    <n v="65"/>
    <n v="200"/>
    <n v="200"/>
    <n v="0"/>
    <n v="94133.25"/>
    <n v="359921.25"/>
    <n v="1107450"/>
    <n v="0"/>
    <n v="17"/>
    <n v="94133.25"/>
    <n v="818781.5126050421"/>
    <n v="140"/>
    <n v="200"/>
    <n v="140"/>
    <n v="0"/>
    <n v="0"/>
    <n v="0"/>
    <n v="200"/>
    <n v="1107450"/>
    <n v="775215"/>
    <n v="0"/>
    <n v="1107450"/>
    <n v="200"/>
    <n v="2214900"/>
    <n v="1528235.294117647"/>
    <n v="70"/>
    <n v="60"/>
    <n v="70"/>
    <n v="0"/>
    <n v="0"/>
    <n v="332235"/>
    <n v="387607.5"/>
    <n v="0"/>
    <n v="0"/>
    <n v="60"/>
    <n v="332235"/>
    <n v="802323.5294117648"/>
    <n v="90"/>
    <n v="0"/>
    <n v="90"/>
    <n v="0"/>
    <n v="0"/>
    <n v="0"/>
    <n v="498352.5"/>
    <n v="0"/>
    <n v="0"/>
    <n v="0"/>
    <n v="1133697.478991597"/>
    <n v="42"/>
    <n v="0"/>
    <n v="42"/>
    <n v="0"/>
    <m/>
    <n v="0"/>
    <n v="244808.9359636789"/>
    <n v="0"/>
    <n v="0"/>
    <n v="0"/>
    <n v="529058.8235294118"/>
  </r>
  <r>
    <s v="Simplit-Organización"/>
    <x v="2"/>
    <x v="19"/>
    <x v="52"/>
    <n v="1660857800718"/>
    <x v="521"/>
    <x v="361"/>
    <x v="0"/>
    <x v="3"/>
    <n v="1"/>
    <x v="310"/>
    <n v="228"/>
    <m/>
    <n v="0"/>
    <n v="5537.34037339616"/>
    <n v="1262513.605134325"/>
    <n v="5.15"/>
    <n v="5626.375"/>
    <n v="12596.63865546219"/>
    <n v="10915.96638655462"/>
    <s v="Shenzhen"/>
    <s v="30/70"/>
    <n v="30"/>
    <n v="300"/>
    <n v="149"/>
    <n v="0.5196168815737238"/>
    <n v="115"/>
    <n v="0.5266993391454693"/>
    <n v="164"/>
    <n v="0.5595337806520951"/>
    <n v="106"/>
    <n v="0.5864041423165366"/>
    <n v="103"/>
    <n v="0.5468290754566608"/>
    <n v="13"/>
    <n v="0.5796735572831258"/>
    <n v="125"/>
    <n v="0.604409927905997"/>
    <n v="129"/>
    <n v="0.6243664164327213"/>
    <n v="99"/>
    <n v="0.6054411840947543"/>
    <n v="196"/>
    <n v="0.5359321125876859"/>
    <n v="117"/>
    <n v="0.5268154421941922"/>
    <n v="60"/>
    <n v="0.5762860370696409"/>
    <n v="111"/>
    <n v="0.4111485663328016"/>
    <n v="148"/>
    <n v="0.4159810358231894"/>
    <n v="203"/>
    <n v="0.3794384947516651"/>
    <n v="204"/>
    <n v="0.3781326348704289"/>
    <n v="1.569230769230769"/>
    <n v="77"/>
    <n v="0.5320492435808756"/>
    <n v="0.5923076923076923"/>
    <n v="25"/>
    <n v="0.3961289926941539"/>
    <n v="0.125"/>
    <n v="0"/>
    <n v="0.4069570508932315"/>
    <n v="0"/>
    <n v="150"/>
    <n v="311"/>
    <n v="120"/>
    <n v="320"/>
    <n v="320"/>
    <n v="0"/>
    <n v="3017850.503500907"/>
    <n v="1657707.75"/>
    <n v="664480.8448075393"/>
    <n v="0"/>
    <n v="228"/>
    <n v="1262513.605134325"/>
    <n v="1270249.276181061"/>
    <n v="120"/>
    <n v="512"/>
    <n v="222"/>
    <n v="0"/>
    <n v="0"/>
    <n v="0"/>
    <n v="3482987.094866185"/>
    <n v="2729088"/>
    <n v="1229289.562893948"/>
    <n v="0"/>
    <n v="228"/>
    <n v="1262513.605134325"/>
    <n v="2349961.160934963"/>
    <n v="150"/>
    <n v="370"/>
    <n v="203"/>
    <n v="0"/>
    <n v="0"/>
    <n v="2946630.031972237"/>
    <n v="2048815.938156579"/>
    <n v="1124080.09579942"/>
    <n v="0"/>
    <n v="228"/>
    <n v="1262513.605134325"/>
    <n v="2557117.647058824"/>
    <n v="130"/>
    <n v="273"/>
    <n v="204"/>
    <n v="0"/>
    <n v="0"/>
    <n v="1455158.25"/>
    <n v="1129617.436172817"/>
    <n v="0"/>
    <n v="0"/>
    <n v="228"/>
    <n v="1262513.605134325"/>
    <n v="2569714.285714286"/>
    <n v="130"/>
    <n v="305"/>
    <n v="130"/>
    <m/>
    <n v="0"/>
    <n v="0"/>
    <n v="1688888.813885829"/>
    <n v="692932.5"/>
    <n v="0"/>
    <n v="0"/>
    <n v="228"/>
    <n v="1262513.605134325"/>
    <n v="1637563.025210084"/>
    <n v="200"/>
    <n v="253"/>
    <n v="25"/>
    <m/>
    <n v="0"/>
    <n v="0"/>
    <n v="1400947.114469229"/>
    <n v="133256.25"/>
    <n v="0"/>
    <n v="0"/>
    <n v="253"/>
    <n v="1262513.605134325"/>
    <n v="314915.9663865546"/>
    <n v="150"/>
    <n v="228"/>
    <n v="150"/>
    <n v="300"/>
    <n v="300"/>
    <n v="0"/>
    <n v="1262513.605134325"/>
    <n v="799537.5"/>
    <n v="1545772.5"/>
    <n v="0"/>
    <n v="228"/>
    <n v="1262513.605134325"/>
    <n v="1889495.798319328"/>
    <n v="130"/>
    <n v="78"/>
    <n v="130"/>
    <n v="300"/>
    <n v="300"/>
    <n v="300"/>
    <n v="431912.5491249005"/>
    <n v="692932.5"/>
    <n v="1599075"/>
    <n v="1599075"/>
    <n v="378"/>
    <n v="2030987.5491249"/>
    <n v="1637563.025210084"/>
    <n v="108"/>
    <n v="248"/>
    <n v="108"/>
    <n v="300"/>
    <n v="0"/>
    <m/>
    <n v="1321902"/>
    <n v="575667"/>
    <n v="1599075"/>
    <n v="0"/>
    <n v="248"/>
    <n v="1321902"/>
    <n v="1360436.974789916"/>
    <n v="200"/>
    <n v="340"/>
    <n v="200"/>
    <n v="0"/>
    <n v="0"/>
    <n v="0"/>
    <n v="200"/>
    <n v="1812285"/>
    <n v="1066050"/>
    <n v="0"/>
    <n v="1066050"/>
    <n v="340"/>
    <n v="2878335"/>
    <n v="2183193.277310925"/>
    <n v="100"/>
    <n v="140"/>
    <n v="100"/>
    <n v="0"/>
    <n v="0"/>
    <n v="746235"/>
    <n v="533025"/>
    <n v="0"/>
    <n v="0"/>
    <n v="140"/>
    <n v="746235"/>
    <n v="1146176.470588235"/>
    <n v="120"/>
    <n v="40"/>
    <n v="120"/>
    <n v="300"/>
    <n v="300"/>
    <n v="213210"/>
    <n v="639630"/>
    <n v="1599075"/>
    <n v="340"/>
    <n v="1812285"/>
    <n v="1511596.638655462"/>
    <n v="60"/>
    <n v="220"/>
    <n v="60"/>
    <n v="0"/>
    <m/>
    <n v="1172655"/>
    <n v="332240.4224037696"/>
    <n v="0"/>
    <n v="220"/>
    <n v="1172655"/>
    <n v="755798.3193277312"/>
  </r>
  <r>
    <s v="Simplit-Organización"/>
    <x v="2"/>
    <x v="19"/>
    <x v="52"/>
    <n v="1660858702400"/>
    <x v="522"/>
    <x v="362"/>
    <x v="0"/>
    <x v="0"/>
    <n v="1"/>
    <x v="311"/>
    <n v="175"/>
    <m/>
    <n v="0"/>
    <n v="3343.607638888889"/>
    <n v="585131.3368055556"/>
    <n v="3.3"/>
    <n v="3605.25"/>
    <n v="10915.96638655462"/>
    <n v="7554.621848739496"/>
    <s v="Shenzhen"/>
    <s v="30/70"/>
    <n v="30"/>
    <n v="100"/>
    <n v="37"/>
    <n v="0.6429609313074486"/>
    <n v="28"/>
    <n v="0.6700253744542939"/>
    <n v="40"/>
    <n v="0.6369218772028877"/>
    <n v="26"/>
    <n v="0.6457225151932189"/>
    <n v="51"/>
    <n v="0.6265050551653535"/>
    <n v="107"/>
    <n v="0.588913986622762"/>
    <n v="47"/>
    <n v="0.5905802444829854"/>
    <n v="56"/>
    <n v="0.6346806756947696"/>
    <n v="42"/>
    <n v="0.6418878422145281"/>
    <n v="38"/>
    <n v="0.7259349120237082"/>
    <n v="-1"/>
    <n v="0.6110449377368706"/>
    <n v="0"/>
    <s v=""/>
    <n v="3"/>
    <n v="0.6936966430335261"/>
    <n v="15"/>
    <n v="0.6041198272326261"/>
    <n v="54"/>
    <n v="0.5635410528605423"/>
    <n v="36"/>
    <n v="0.5516028352034308"/>
    <n v="1.028571428571428"/>
    <n v="37"/>
    <n v="0.6281804701446438"/>
    <n v="0.74"/>
    <n v="42"/>
    <n v="0.5532676749095584"/>
    <n v="0.42"/>
    <n v="0"/>
    <n v="0.5782928498989934"/>
    <n v="0"/>
    <n v="35"/>
    <n v="4"/>
    <n v="20"/>
    <n v="150"/>
    <n v="150"/>
    <n v="0"/>
    <n v="322658.1371527778"/>
    <n v="13662"/>
    <n v="66872.15277777778"/>
    <n v="0"/>
    <n v="175"/>
    <n v="585131.3368055556"/>
    <n v="183461.6199420945"/>
    <n v="30"/>
    <n v="147"/>
    <n v="22.5"/>
    <n v="0"/>
    <n v="0"/>
    <n v="0"/>
    <n v="376155.859375"/>
    <n v="502078.4999999999"/>
    <n v="75231.171875"/>
    <n v="0"/>
    <n v="175"/>
    <n v="585131.3368055556"/>
    <n v="206394.3224348563"/>
    <n v="40"/>
    <n v="117"/>
    <n v="54"/>
    <n v="0"/>
    <n v="0"/>
    <n v="471699.6875"/>
    <n v="391202.0937500001"/>
    <n v="180554.8125"/>
    <n v="0"/>
    <n v="175"/>
    <n v="585131.3368055556"/>
    <n v="589462.1848739496"/>
    <n v="35"/>
    <n v="176"/>
    <n v="36"/>
    <n v="100"/>
    <n v="0"/>
    <n v="601127.9999999999"/>
    <n v="120369.875"/>
    <n v="341549.9999999999"/>
    <n v="0"/>
    <n v="175"/>
    <n v="585131.3368055556"/>
    <n v="392974.7899159664"/>
    <n v="50"/>
    <n v="212"/>
    <n v="50"/>
    <m/>
    <n v="0"/>
    <n v="0"/>
    <n v="708844.8194444445"/>
    <n v="170775"/>
    <n v="0"/>
    <n v="0"/>
    <n v="175"/>
    <n v="585131.3368055556"/>
    <n v="545798.3193277312"/>
    <n v="100"/>
    <n v="217"/>
    <n v="42"/>
    <m/>
    <n v="0"/>
    <n v="0"/>
    <n v="725562.857638889"/>
    <n v="143451"/>
    <n v="0"/>
    <n v="0"/>
    <n v="217"/>
    <n v="585131.3368055556"/>
    <n v="458470.5882352942"/>
    <n v="50"/>
    <n v="175"/>
    <n v="50"/>
    <n v="150"/>
    <n v="150"/>
    <n v="0"/>
    <n v="585131.3368055556"/>
    <n v="170775"/>
    <n v="495247.4999999999"/>
    <n v="0"/>
    <n v="175"/>
    <n v="585131.3368055556"/>
    <n v="545798.3193277312"/>
    <n v="50"/>
    <n v="125"/>
    <n v="50"/>
    <n v="0"/>
    <n v="0"/>
    <n v="0"/>
    <n v="417950.9548611111"/>
    <n v="170775"/>
    <n v="0"/>
    <n v="0"/>
    <n v="125"/>
    <n v="417950.9548611111"/>
    <n v="545798.3193277312"/>
    <n v="50"/>
    <n v="75"/>
    <n v="50"/>
    <n v="200"/>
    <n v="100"/>
    <n v="0"/>
    <n v="256162.5"/>
    <n v="170775"/>
    <n v="683099.9999999999"/>
    <n v="0"/>
    <n v="75"/>
    <n v="256162.5"/>
    <n v="545798.3193277312"/>
    <n v="60"/>
    <n v="125"/>
    <n v="60"/>
    <n v="0"/>
    <n v="0"/>
    <n v="0"/>
    <n v="100"/>
    <n v="426937.4999999999"/>
    <n v="204930"/>
    <n v="0"/>
    <n v="341549.9999999999"/>
    <n v="125"/>
    <n v="768487.4999999999"/>
    <n v="453277.3109243698"/>
    <n v="50"/>
    <n v="65"/>
    <n v="50"/>
    <n v="0"/>
    <n v="0"/>
    <n v="222007.5"/>
    <n v="170775"/>
    <n v="0"/>
    <n v="0"/>
    <n v="65"/>
    <n v="222007.5"/>
    <n v="396617.6470588236"/>
    <n v="60"/>
    <n v="15"/>
    <n v="60"/>
    <n v="0"/>
    <n v="0"/>
    <n v="51232.49999999999"/>
    <n v="204930"/>
    <n v="0"/>
    <n v="15"/>
    <n v="51232.49999999999"/>
    <n v="654957.9831932774"/>
    <n v="30"/>
    <n v="0"/>
    <n v="30"/>
    <n v="0"/>
    <m/>
    <n v="0"/>
    <n v="100308.2291666667"/>
    <n v="0"/>
    <n v="0"/>
    <n v="0"/>
    <n v="327478.9915966387"/>
  </r>
  <r>
    <m/>
    <x v="2"/>
    <x v="19"/>
    <x v="52"/>
    <s v="SIMMOLVER-WD"/>
    <x v="523"/>
    <x v="363"/>
    <x v="0"/>
    <x v="0"/>
    <n v="1"/>
    <x v="312"/>
    <n v="105"/>
    <m/>
    <n v="0"/>
    <n v="6715"/>
    <n v="705075"/>
    <n v="0.65"/>
    <n v="710.125"/>
    <n v="14277.31092436975"/>
    <n v="12596.63865546219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3"/>
    <n v="0.6178997728277474"/>
    <n v="14"/>
    <n v="0.5172289628875907"/>
    <n v="12"/>
    <s v=""/>
    <n v="19"/>
    <s v=""/>
    <n v="17"/>
    <s v=""/>
    <n v="26"/>
    <s v=""/>
    <n v="1.04"/>
    <n v="36"/>
    <s v=""/>
    <n v="1.8"/>
    <n v="35"/>
    <s v=""/>
    <n v="1"/>
    <n v="20"/>
    <s v=""/>
    <n v="0.8"/>
    <n v="25"/>
    <n v="270"/>
    <n v="20"/>
    <n v="0"/>
    <n v="0"/>
    <n v="0"/>
    <n v="439832.5"/>
    <n v="181642.5"/>
    <n v="134300"/>
    <n v="0"/>
    <n v="105"/>
    <n v="705075"/>
    <n v="239954.8054515924"/>
    <n v="25"/>
    <n v="259"/>
    <n v="28.5"/>
    <n v="0"/>
    <n v="0"/>
    <n v="0"/>
    <n v="480122.5"/>
    <n v="174242.25"/>
    <n v="191377.5"/>
    <n v="0"/>
    <n v="105"/>
    <n v="705075"/>
    <n v="341935.5977685192"/>
    <n v="45"/>
    <n v="241"/>
    <n v="17"/>
    <n v="0"/>
    <n v="0"/>
    <n v="302200"/>
    <n v="1618315"/>
    <n v="114155"/>
    <n v="0"/>
    <n v="105"/>
    <n v="705075"/>
    <n v="242714.2857142857"/>
    <n v="25"/>
    <n v="225"/>
    <n v="26"/>
    <n v="0"/>
    <n v="0"/>
    <n v="151368.75"/>
    <n v="174590"/>
    <n v="0"/>
    <n v="0"/>
    <n v="105"/>
    <n v="705075"/>
    <n v="371210.0840336135"/>
    <n v="20"/>
    <n v="141"/>
    <n v="20"/>
    <m/>
    <n v="0"/>
    <n v="0"/>
    <n v="946815"/>
    <n v="13455"/>
    <n v="0"/>
    <n v="0"/>
    <n v="105"/>
    <n v="705075"/>
    <n v="285546.218487395"/>
    <n v="35"/>
    <n v="140"/>
    <n v="35"/>
    <m/>
    <n v="0"/>
    <n v="0"/>
    <n v="940100"/>
    <n v="23546.25"/>
    <n v="0"/>
    <n v="0"/>
    <n v="140"/>
    <n v="705075"/>
    <n v="499705.8823529412"/>
    <n v="25"/>
    <n v="125"/>
    <n v="25"/>
    <n v="0"/>
    <n v="0"/>
    <n v="0"/>
    <n v="839375"/>
    <n v="16818.75"/>
    <n v="0"/>
    <n v="0"/>
    <n v="125"/>
    <n v="705075"/>
    <n v="356932.7731092437"/>
    <n v="20"/>
    <n v="100"/>
    <n v="20"/>
    <n v="0"/>
    <n v="0"/>
    <n v="0"/>
    <n v="671500"/>
    <n v="13455"/>
    <n v="0"/>
    <n v="0"/>
    <n v="100"/>
    <n v="671500"/>
    <n v="285546.218487395"/>
    <n v="30"/>
    <n v="80"/>
    <n v="30"/>
    <n v="0"/>
    <n v="0"/>
    <m/>
    <n v="53820"/>
    <n v="20182.5"/>
    <n v="0"/>
    <n v="0"/>
    <n v="80"/>
    <n v="53820"/>
    <n v="428319.3277310925"/>
    <n v="30"/>
    <n v="50"/>
    <n v="30"/>
    <n v="0"/>
    <n v="0"/>
    <n v="0"/>
    <m/>
    <n v="33637.5"/>
    <n v="20182.5"/>
    <n v="0"/>
    <n v="0"/>
    <n v="50"/>
    <n v="33637.5"/>
    <n v="377899.1596638656"/>
    <n v="30"/>
    <n v="20"/>
    <n v="30"/>
    <n v="150"/>
    <n v="150"/>
    <n v="13455"/>
    <n v="20182.5"/>
    <n v="100912.5"/>
    <n v="100912.5"/>
    <n v="170"/>
    <n v="114367.5"/>
    <n v="396794.1176470589"/>
    <n v="50"/>
    <n v="140"/>
    <n v="50"/>
    <n v="0"/>
    <n v="0"/>
    <n v="94185"/>
    <n v="33637.5"/>
    <n v="0"/>
    <n v="140"/>
    <n v="94185"/>
    <n v="713865.5462184874"/>
    <n v="18"/>
    <n v="90"/>
    <n v="18"/>
    <n v="0"/>
    <m/>
    <n v="60547.5"/>
    <n v="120870"/>
    <n v="0"/>
    <n v="90"/>
    <n v="60547.5"/>
    <n v="256991.5966386555"/>
  </r>
  <r>
    <s v="Simplit-Organización"/>
    <x v="2"/>
    <x v="19"/>
    <x v="53"/>
    <n v="1660858341796"/>
    <x v="524"/>
    <x v="364"/>
    <x v="0"/>
    <x v="3"/>
    <n v="1"/>
    <x v="313"/>
    <n v="1714"/>
    <m/>
    <n v="0"/>
    <n v="6340.041645954529"/>
    <n v="10866831.38116606"/>
    <n v="5"/>
    <n v="5462.5"/>
    <n v="16798.31932773109"/>
    <n v="12596.63865546219"/>
    <s v="Ningbo"/>
    <s v="20/80 Credit"/>
    <n v="30"/>
    <n v="100"/>
    <n v="280"/>
    <n v="0.597432372410997"/>
    <n v="225"/>
    <n v="0.6282743976155524"/>
    <n v="353"/>
    <n v="0.6286171900957941"/>
    <n v="214"/>
    <n v="0.6214663957196923"/>
    <n v="318"/>
    <n v="0.6001428018629379"/>
    <n v="576"/>
    <n v="0.600373908131168"/>
    <n v="331"/>
    <n v="0.5929818254729268"/>
    <n v="442"/>
    <n v="0.6001666812437543"/>
    <n v="387"/>
    <n v="0.6014234566408396"/>
    <n v="498"/>
    <n v="0.5542023718525021"/>
    <n v="132"/>
    <n v="0.6163753522155774"/>
    <n v="148"/>
    <n v="0.5654835623430474"/>
    <n v="155"/>
    <n v="0.4141504370046502"/>
    <n v="192"/>
    <n v="0.3789430531982174"/>
    <n v="205"/>
    <n v="0.4558777020050802"/>
    <n v="97"/>
    <n v="0.5100327704458626"/>
    <n v="0.485"/>
    <n v="118"/>
    <n v="0.5784590290997639"/>
    <n v="0.3933333333333333"/>
    <n v="203"/>
    <n v="0.4041456660324341"/>
    <n v="0.3690909090909091"/>
    <n v="0"/>
    <n v="0.4453040105518662"/>
    <n v="0"/>
    <n v="250"/>
    <n v="931"/>
    <n v="230"/>
    <n v="600"/>
    <n v="600"/>
    <n v="0"/>
    <n v="4583850.110025125"/>
    <n v="4817925"/>
    <n v="1458209.578569542"/>
    <n v="0"/>
    <n v="1714"/>
    <n v="10866831.38116606"/>
    <n v="3246733.987712733"/>
    <n v="200"/>
    <n v="1017"/>
    <n v="288"/>
    <n v="600"/>
    <n v="300"/>
    <n v="0"/>
    <n v="3740624.571113172"/>
    <n v="5262975"/>
    <n v="1825931.994034904"/>
    <n v="0"/>
    <n v="1714"/>
    <n v="10866831.38116606"/>
    <n v="4065475.602005508"/>
    <n v="455"/>
    <n v="794"/>
    <n v="205"/>
    <n v="0"/>
    <n v="0"/>
    <n v="3467192.577078268"/>
    <n v="5033993.066887896"/>
    <n v="1299708.537420678"/>
    <n v="0"/>
    <n v="1714"/>
    <n v="10866831.38116606"/>
    <n v="3443655.462184874"/>
    <n v="200"/>
    <n v="860"/>
    <n v="97"/>
    <n v="500"/>
    <n v="0"/>
    <n v="4450500"/>
    <n v="614984.0396575893"/>
    <n v="2587500"/>
    <n v="0"/>
    <n v="1714"/>
    <n v="10866831.38116606"/>
    <n v="1629436.974789916"/>
    <n v="300"/>
    <n v="1832"/>
    <n v="300"/>
    <m/>
    <n v="800"/>
    <n v="0"/>
    <n v="11614956.2953887"/>
    <n v="1552500"/>
    <n v="0"/>
    <n v="0"/>
    <n v="1714"/>
    <n v="10866831.38116606"/>
    <n v="5039495.798319328"/>
    <n v="550"/>
    <n v="1917"/>
    <n v="203"/>
    <m/>
    <n v="500"/>
    <n v="0"/>
    <n v="12153859.83529483"/>
    <n v="1050525"/>
    <n v="0"/>
    <n v="0"/>
    <n v="1917"/>
    <n v="10866831.38116606"/>
    <n v="3410058.823529412"/>
    <n v="250"/>
    <n v="1714"/>
    <n v="250"/>
    <n v="850"/>
    <n v="850"/>
    <n v="0"/>
    <n v="10866831.38116606"/>
    <n v="1293750"/>
    <n v="4252125"/>
    <n v="0"/>
    <n v="1714"/>
    <n v="10866831.38116606"/>
    <n v="4199579.831932773"/>
    <n v="300"/>
    <n v="1464"/>
    <n v="300"/>
    <n v="0"/>
    <n v="0"/>
    <n v="0"/>
    <n v="9281820.96967743"/>
    <n v="1552500"/>
    <n v="0"/>
    <n v="0"/>
    <n v="1464"/>
    <n v="9281820.96967743"/>
    <n v="5039495.798319328"/>
    <n v="300"/>
    <n v="1164"/>
    <n v="300"/>
    <n v="0"/>
    <n v="0"/>
    <m/>
    <n v="6023700"/>
    <n v="1552500"/>
    <n v="0"/>
    <n v="0"/>
    <n v="1164"/>
    <n v="6023700"/>
    <n v="5039495.798319328"/>
    <n v="300"/>
    <n v="864"/>
    <n v="300"/>
    <n v="0"/>
    <n v="0"/>
    <n v="0"/>
    <m/>
    <n v="4471200"/>
    <n v="1552500"/>
    <n v="0"/>
    <n v="0"/>
    <n v="864"/>
    <n v="4471200"/>
    <n v="3778991.596638656"/>
    <n v="150"/>
    <n v="564"/>
    <n v="150"/>
    <n v="0"/>
    <n v="0"/>
    <n v="2918700"/>
    <n v="776250"/>
    <n v="0"/>
    <n v="0"/>
    <n v="564"/>
    <n v="2918700"/>
    <n v="1983970.588235294"/>
    <n v="150"/>
    <n v="414"/>
    <n v="150"/>
    <n v="0"/>
    <n v="0"/>
    <n v="2142450"/>
    <n v="776250"/>
    <n v="0"/>
    <n v="414"/>
    <n v="2142450"/>
    <n v="2519747.899159664"/>
    <n v="90"/>
    <n v="264"/>
    <n v="90"/>
    <n v="0"/>
    <m/>
    <n v="1366200"/>
    <n v="570603.7481359076"/>
    <n v="0"/>
    <n v="264"/>
    <n v="1366200"/>
    <n v="1511848.739495798"/>
  </r>
  <r>
    <s v="Simplit-Organización"/>
    <x v="2"/>
    <x v="19"/>
    <x v="53"/>
    <n v="1660858356962"/>
    <x v="525"/>
    <x v="365"/>
    <x v="0"/>
    <x v="3"/>
    <n v="1"/>
    <x v="314"/>
    <n v="1145"/>
    <m/>
    <n v="0"/>
    <n v="6049.235048678721"/>
    <n v="6926374.130737135"/>
    <n v="5"/>
    <n v="5462.5"/>
    <n v="16798.31932773109"/>
    <n v="12596.63865546219"/>
    <s v="Ningbo"/>
    <s v="20/80 Credit"/>
    <n v="30"/>
    <n v="100"/>
    <n v="214"/>
    <n v="0.604014690722562"/>
    <n v="126"/>
    <n v="0.5844028381322078"/>
    <n v="212"/>
    <n v="0.6391616064667317"/>
    <n v="124"/>
    <n v="0.6401835562423009"/>
    <n v="213"/>
    <n v="0.6017962136579339"/>
    <n v="311"/>
    <n v="0.6000706098055307"/>
    <n v="153"/>
    <n v="0.6159769694774881"/>
    <n v="183"/>
    <n v="0.6127239860719192"/>
    <n v="149"/>
    <n v="0.6186029126681025"/>
    <n v="347"/>
    <n v="0.5587529488134907"/>
    <n v="182"/>
    <n v="0.5959061774272524"/>
    <n v="117"/>
    <n v="0.5996333288204095"/>
    <n v="74"/>
    <n v="0.2900133825939648"/>
    <n v="92"/>
    <n v="0.3944860956196631"/>
    <n v="66"/>
    <n v="0.3909889746457256"/>
    <n v="58"/>
    <n v="0.4916905660434328"/>
    <n v="0.58"/>
    <n v="93"/>
    <n v="0.5724849380179103"/>
    <n v="0.465"/>
    <n v="90"/>
    <n v="0.3586892767040463"/>
    <n v="0.2903225806451613"/>
    <n v="0"/>
    <n v="0.4161039952992658"/>
    <n v="0"/>
    <n v="200"/>
    <n v="691"/>
    <n v="100"/>
    <n v="250"/>
    <n v="250"/>
    <n v="0"/>
    <n v="1838967.454798331"/>
    <n v="3575925"/>
    <n v="604923.5048678721"/>
    <n v="0"/>
    <n v="1145"/>
    <n v="6926374.130737135"/>
    <n v="1411623.472918579"/>
    <n v="120"/>
    <n v="718"/>
    <n v="138"/>
    <n v="200"/>
    <n v="200"/>
    <n v="0"/>
    <n v="1584899.582753825"/>
    <n v="3715650"/>
    <n v="834794.4367176634"/>
    <n v="0"/>
    <n v="1145"/>
    <n v="6926374.130737135"/>
    <n v="1948040.392627639"/>
    <n v="200"/>
    <n v="619"/>
    <n v="66"/>
    <n v="0"/>
    <n v="0"/>
    <n v="1785105.146036161"/>
    <n v="3744476.495132128"/>
    <n v="399249.5132127956"/>
    <n v="0"/>
    <n v="1145"/>
    <n v="6926374.130737135"/>
    <n v="1108689.075630252"/>
    <n v="100"/>
    <n v="541"/>
    <n v="58"/>
    <n v="400"/>
    <n v="0"/>
    <n v="2799675"/>
    <n v="350855.6328233658"/>
    <n v="2070000"/>
    <n v="0"/>
    <n v="1145"/>
    <n v="6926374.130737135"/>
    <n v="974302.5210084034"/>
    <n v="200"/>
    <n v="1238"/>
    <n v="200"/>
    <m/>
    <n v="400"/>
    <n v="0"/>
    <n v="7488952.990264256"/>
    <n v="1035000"/>
    <n v="0"/>
    <n v="0"/>
    <n v="1145"/>
    <n v="6926374.130737135"/>
    <n v="3359663.865546219"/>
    <n v="310"/>
    <n v="1235"/>
    <n v="90"/>
    <m/>
    <n v="400"/>
    <n v="0"/>
    <n v="7470805.28511822"/>
    <n v="465750"/>
    <n v="0"/>
    <n v="0"/>
    <n v="1235"/>
    <n v="6926374.130737135"/>
    <n v="1511848.739495798"/>
    <n v="150"/>
    <n v="1145"/>
    <n v="150"/>
    <n v="500"/>
    <n v="500"/>
    <n v="0"/>
    <n v="6926374.130737135"/>
    <n v="776250"/>
    <n v="2501250"/>
    <n v="0"/>
    <n v="1145"/>
    <n v="6926374.130737135"/>
    <n v="2519747.899159664"/>
    <n v="150"/>
    <n v="995"/>
    <n v="150"/>
    <n v="0"/>
    <n v="0"/>
    <n v="0"/>
    <n v="6018988.873435327"/>
    <n v="776250"/>
    <n v="0"/>
    <n v="0"/>
    <n v="995"/>
    <n v="6018988.873435327"/>
    <n v="2519747.899159664"/>
    <n v="150"/>
    <n v="845"/>
    <n v="150"/>
    <n v="0"/>
    <n v="0"/>
    <m/>
    <n v="4372875"/>
    <n v="776250"/>
    <n v="0"/>
    <n v="0"/>
    <n v="845"/>
    <n v="4372875"/>
    <n v="2519747.899159664"/>
    <n v="200"/>
    <n v="695"/>
    <n v="200"/>
    <n v="0"/>
    <n v="0"/>
    <n v="0"/>
    <m/>
    <n v="3596625"/>
    <n v="1035000"/>
    <n v="0"/>
    <n v="0"/>
    <n v="695"/>
    <n v="3596625"/>
    <n v="2519327.731092437"/>
    <n v="150"/>
    <n v="495"/>
    <n v="150"/>
    <n v="0"/>
    <n v="0"/>
    <n v="2561625"/>
    <n v="776250"/>
    <n v="0"/>
    <n v="0"/>
    <n v="495"/>
    <n v="2561625"/>
    <n v="1983970.588235294"/>
    <n v="150"/>
    <n v="345"/>
    <n v="150"/>
    <n v="0"/>
    <n v="0"/>
    <n v="1785375"/>
    <n v="776250"/>
    <n v="0"/>
    <n v="345"/>
    <n v="1785375"/>
    <n v="2519747.899159664"/>
    <n v="90"/>
    <n v="195"/>
    <n v="90"/>
    <n v="0"/>
    <m/>
    <n v="1009125"/>
    <n v="544431.1543810848"/>
    <n v="0"/>
    <n v="195"/>
    <n v="1009125"/>
    <n v="1511848.739495798"/>
  </r>
  <r>
    <s v="Simplit-Organización"/>
    <x v="2"/>
    <x v="19"/>
    <x v="53"/>
    <n v="68540048936286"/>
    <x v="526"/>
    <x v="366"/>
    <x v="0"/>
    <x v="3"/>
    <n v="1"/>
    <x v="315"/>
    <n v="963"/>
    <m/>
    <n v="0"/>
    <n v="5594.78082462774"/>
    <n v="5387773.934116513"/>
    <n v="3.9"/>
    <n v="4260.75"/>
    <n v="12596.63865546219"/>
    <n v="10915.96638655462"/>
    <s v="Ningbo"/>
    <s v="20/80 Credit"/>
    <n v="30"/>
    <n v="100"/>
    <n v="336"/>
    <n v="0.6557828323462098"/>
    <n v="187"/>
    <n v="0.7279778177306514"/>
    <n v="192"/>
    <n v="0.6222200370014536"/>
    <n v="220"/>
    <n v="0.5961186157946269"/>
    <n v="305"/>
    <n v="0.5945425542083791"/>
    <n v="278"/>
    <n v="0.533505484499853"/>
    <n v="204"/>
    <n v="0.6087743665214519"/>
    <n v="246"/>
    <n v="0.6143659266202772"/>
    <n v="30"/>
    <n v="0.6224804603425218"/>
    <n v="374"/>
    <n v="0.5365541123553396"/>
    <n v="287"/>
    <n v="0.569079564706876"/>
    <n v="208"/>
    <n v="0.5791112435744317"/>
    <n v="136"/>
    <n v="0.3246675147429834"/>
    <n v="252"/>
    <n v="0.255543715716905"/>
    <n v="192"/>
    <n v="0.347966065001285"/>
    <n v="130"/>
    <n v="0.4740222197597069"/>
    <n v="0.5909090909090909"/>
    <n v="190"/>
    <n v="0.5248103017505319"/>
    <n v="0.6785714285714286"/>
    <n v="176"/>
    <n v="0.4375382140616435"/>
    <n v="0.5866666666666667"/>
    <n v="0"/>
    <n v="0.3841382955919906"/>
    <n v="0"/>
    <n v="280"/>
    <n v="439"/>
    <n v="160"/>
    <n v="300"/>
    <n v="300"/>
    <n v="0"/>
    <n v="4084190.00197825"/>
    <n v="1772023.5"/>
    <n v="895164.9319404385"/>
    <n v="0"/>
    <n v="963"/>
    <n v="5387773.934116513"/>
    <n v="1693665.701574748"/>
    <n v="190"/>
    <n v="273"/>
    <n v="378"/>
    <n v="600"/>
    <n v="600"/>
    <n v="0"/>
    <n v="3916346.577239417"/>
    <n v="1101964.5"/>
    <n v="2114827.151709286"/>
    <n v="0"/>
    <n v="963"/>
    <n v="5387773.934116513"/>
    <n v="4001285.219970342"/>
    <n v="300"/>
    <n v="528"/>
    <n v="192"/>
    <n v="0"/>
    <n v="0"/>
    <n v="2931739.425530132"/>
    <n v="2954044.275403447"/>
    <n v="1074197.918328526"/>
    <n v="0"/>
    <n v="963"/>
    <n v="5387773.934116513"/>
    <n v="2418554.62184874"/>
    <n v="220"/>
    <n v="404"/>
    <n v="130"/>
    <n v="500"/>
    <n v="0"/>
    <n v="1630746"/>
    <n v="727321.5072016062"/>
    <n v="2018250"/>
    <n v="0"/>
    <n v="963"/>
    <n v="5387773.934116513"/>
    <n v="1637563.025210084"/>
    <n v="280"/>
    <n v="1153"/>
    <n v="280"/>
    <m/>
    <n v="500"/>
    <n v="0"/>
    <n v="6450782.290795784"/>
    <n v="1130220"/>
    <n v="0"/>
    <n v="0"/>
    <n v="963"/>
    <n v="5387773.934116513"/>
    <n v="3527058.823529412"/>
    <n v="300"/>
    <n v="1139"/>
    <n v="176"/>
    <m/>
    <n v="500"/>
    <n v="0"/>
    <n v="6372455.359250996"/>
    <n v="710424"/>
    <n v="0"/>
    <n v="0"/>
    <n v="1139"/>
    <n v="5387773.934116513"/>
    <n v="2217008.403361345"/>
    <n v="150"/>
    <n v="963"/>
    <n v="150"/>
    <n v="650"/>
    <n v="650"/>
    <n v="0"/>
    <n v="5387773.934116513"/>
    <n v="605475"/>
    <n v="2536267.5"/>
    <n v="0"/>
    <n v="963"/>
    <n v="5387773.934116513"/>
    <n v="1889495.798319328"/>
    <n v="200"/>
    <n v="813"/>
    <n v="200"/>
    <n v="0"/>
    <n v="0"/>
    <n v="0"/>
    <n v="4548556.810422353"/>
    <n v="807300"/>
    <n v="0"/>
    <n v="0"/>
    <n v="813"/>
    <n v="4548556.810422353"/>
    <n v="2519327.731092437"/>
    <n v="150"/>
    <n v="613"/>
    <n v="150"/>
    <n v="0"/>
    <n v="0"/>
    <m/>
    <n v="2474374.5"/>
    <n v="605475"/>
    <n v="0"/>
    <n v="0"/>
    <n v="613"/>
    <n v="2474374.5"/>
    <n v="1889495.798319328"/>
    <n v="250"/>
    <n v="463"/>
    <n v="250"/>
    <n v="0"/>
    <n v="0"/>
    <n v="0"/>
    <m/>
    <n v="1868899.5"/>
    <n v="1009125"/>
    <n v="0"/>
    <n v="0"/>
    <n v="463"/>
    <n v="1868899.5"/>
    <n v="2728991.596638656"/>
    <n v="200"/>
    <n v="213"/>
    <n v="200"/>
    <n v="0"/>
    <n v="0"/>
    <n v="859774.5"/>
    <n v="807300"/>
    <n v="0"/>
    <n v="0"/>
    <n v="213"/>
    <n v="859774.5"/>
    <n v="2292352.941176471"/>
    <n v="200"/>
    <n v="13"/>
    <n v="200"/>
    <n v="0"/>
    <n v="0"/>
    <n v="52474.5"/>
    <n v="807300"/>
    <n v="0"/>
    <n v="13"/>
    <n v="52474.5"/>
    <n v="2519327.731092437"/>
    <n v="120"/>
    <n v="0"/>
    <n v="120"/>
    <n v="0"/>
    <m/>
    <n v="0"/>
    <n v="671373.6989553288"/>
    <n v="0"/>
    <n v="0"/>
    <n v="0"/>
    <n v="1511596.638655462"/>
  </r>
  <r>
    <s v="Simplit-Organización"/>
    <x v="2"/>
    <x v="19"/>
    <x v="53"/>
    <n v="68540051413139"/>
    <x v="527"/>
    <x v="367"/>
    <x v="0"/>
    <x v="3"/>
    <n v="1"/>
    <x v="316"/>
    <n v="530"/>
    <m/>
    <n v="0"/>
    <n v="5766.187477021592"/>
    <n v="3056079.362821443"/>
    <n v="3.9"/>
    <n v="4260.75"/>
    <n v="12596.63865546219"/>
    <n v="10915.96638655462"/>
    <s v="Ningbo"/>
    <s v="20/80 Credit"/>
    <n v="30"/>
    <n v="100"/>
    <n v="88"/>
    <n v="0.6936661095273223"/>
    <n v="125"/>
    <n v="0.6653221201128618"/>
    <n v="126"/>
    <n v="0.6484174737944511"/>
    <n v="80"/>
    <n v="0.6418037784760137"/>
    <n v="154"/>
    <n v="0.6269529636996698"/>
    <n v="215"/>
    <n v="0.6176525547052324"/>
    <n v="172"/>
    <n v="0.6028263830824374"/>
    <n v="166"/>
    <n v="0.6096016644929501"/>
    <n v="126"/>
    <n v="0.609219962252738"/>
    <n v="229"/>
    <n v="0.5426650709176535"/>
    <n v="122"/>
    <n v="0.5565212424466475"/>
    <n v="88"/>
    <n v="0.5177094682499498"/>
    <n v="140"/>
    <n v="0.3424849551582044"/>
    <n v="149"/>
    <n v="0.3574718045446841"/>
    <n v="174"/>
    <n v="0.4156878965338435"/>
    <n v="79"/>
    <n v="0.4618770169503221"/>
    <n v="0.8777777777777778"/>
    <n v="174"/>
    <n v="0.5166876035176629"/>
    <n v="1.16"/>
    <n v="189"/>
    <n v="0.385704523099125"/>
    <n v="0.9"/>
    <n v="0"/>
    <n v="0.4132826334573059"/>
    <n v="0"/>
    <n v="90"/>
    <n v="344"/>
    <n v="140"/>
    <n v="0"/>
    <n v="0"/>
    <n v="0"/>
    <n v="3099325.768899105"/>
    <n v="1388556"/>
    <n v="807266.2467830229"/>
    <n v="0"/>
    <n v="530"/>
    <n v="3056079.362821443"/>
    <n v="1481957.488877904"/>
    <n v="120"/>
    <n v="437"/>
    <n v="223.5"/>
    <n v="300"/>
    <n v="300"/>
    <n v="0"/>
    <n v="2747588.332800788"/>
    <n v="1763950.5"/>
    <n v="1288742.901114326"/>
    <n v="0"/>
    <n v="530"/>
    <n v="3056079.362821443"/>
    <n v="2365839.276887226"/>
    <n v="225"/>
    <n v="344"/>
    <n v="174"/>
    <n v="0"/>
    <n v="0"/>
    <n v="2064320.431686463"/>
    <n v="1983568.492095428"/>
    <n v="1003316.621001757"/>
    <n v="0"/>
    <n v="530"/>
    <n v="3056079.362821443"/>
    <n v="2191815.12605042"/>
    <n v="90"/>
    <n v="178"/>
    <n v="79"/>
    <n v="450"/>
    <n v="0"/>
    <n v="718497"/>
    <n v="455528.8106847057"/>
    <n v="1816425"/>
    <n v="0"/>
    <n v="530"/>
    <n v="3056079.362821443"/>
    <n v="995134.4537815127"/>
    <n v="150"/>
    <n v="704"/>
    <n v="150"/>
    <m/>
    <n v="450"/>
    <n v="0"/>
    <n v="4059395.983823201"/>
    <n v="605475"/>
    <n v="0"/>
    <n v="0"/>
    <n v="530"/>
    <n v="3056079.362821443"/>
    <n v="1889495.798319328"/>
    <n v="210"/>
    <n v="719"/>
    <n v="189"/>
    <m/>
    <n v="452"/>
    <n v="0"/>
    <n v="4145888.795978525"/>
    <n v="762898.5"/>
    <n v="0"/>
    <n v="0"/>
    <n v="719"/>
    <n v="3056079.362821443"/>
    <n v="2380764.705882353"/>
    <n v="130"/>
    <n v="530"/>
    <n v="130"/>
    <n v="450"/>
    <n v="450"/>
    <n v="0"/>
    <n v="3056079.362821443"/>
    <n v="524745"/>
    <n v="1755877.5"/>
    <n v="0"/>
    <n v="530"/>
    <n v="3056079.362821443"/>
    <n v="1637563.025210084"/>
    <n v="150"/>
    <n v="400"/>
    <n v="150"/>
    <n v="0"/>
    <n v="0"/>
    <n v="0"/>
    <n v="2306474.990808637"/>
    <n v="605475"/>
    <n v="0"/>
    <n v="0"/>
    <n v="400"/>
    <n v="2306474.990808637"/>
    <n v="1889495.798319328"/>
    <n v="100"/>
    <n v="250"/>
    <n v="100"/>
    <n v="0"/>
    <n v="0"/>
    <m/>
    <n v="1009125"/>
    <n v="403650"/>
    <n v="0"/>
    <n v="0"/>
    <n v="250"/>
    <n v="1009125"/>
    <n v="1259663.865546219"/>
    <n v="200"/>
    <n v="150"/>
    <n v="150"/>
    <n v="0"/>
    <n v="0"/>
    <n v="0"/>
    <m/>
    <n v="605475"/>
    <n v="605475"/>
    <n v="0"/>
    <n v="0"/>
    <n v="150"/>
    <n v="605475"/>
    <n v="1637394.957983193"/>
    <n v="100"/>
    <n v="0"/>
    <n v="100"/>
    <n v="0"/>
    <n v="0"/>
    <n v="0"/>
    <n v="403650"/>
    <n v="0"/>
    <n v="0"/>
    <n v="0"/>
    <n v="0"/>
    <n v="1146176.470588235"/>
    <n v="100"/>
    <n v="0"/>
    <n v="100"/>
    <n v="0"/>
    <n v="0"/>
    <n v="0"/>
    <n v="403650"/>
    <n v="0"/>
    <n v="0"/>
    <n v="0"/>
    <n v="1259663.865546219"/>
    <n v="60"/>
    <n v="0"/>
    <n v="60"/>
    <n v="0"/>
    <m/>
    <n v="0"/>
    <n v="345971.2486212955"/>
    <n v="0"/>
    <n v="0"/>
    <n v="0"/>
    <n v="755798.3193277312"/>
  </r>
  <r>
    <m/>
    <x v="2"/>
    <x v="19"/>
    <x v="53"/>
    <s v="SIMSECBIL"/>
    <x v="528"/>
    <x v="368"/>
    <x v="0"/>
    <x v="4"/>
    <n v="1"/>
    <x v="317"/>
    <n v="289"/>
    <m/>
    <n v="0"/>
    <n v="5857"/>
    <n v="1692673"/>
    <n v="5.2"/>
    <n v="5025.5"/>
    <n v="14277.31092436975"/>
    <n v="10915.96638655462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5"/>
    <n v="0.6730713487100916"/>
    <n v="26"/>
    <n v="0.5978452476347275"/>
    <n v="57"/>
    <n v="0.5960376765853619"/>
    <n v="36"/>
    <n v="0.6101655442049937"/>
    <n v="31"/>
    <s v=""/>
    <n v="56"/>
    <s v=""/>
    <n v="89"/>
    <s v=""/>
    <n v="93"/>
    <s v=""/>
    <n v="1.55"/>
    <n v="54"/>
    <s v=""/>
    <n v="0.9818181818181818"/>
    <n v="105"/>
    <s v=""/>
    <n v="0.875"/>
    <n v="66"/>
    <s v=""/>
    <n v="0.66"/>
    <n v="60"/>
    <n v="348"/>
    <n v="50"/>
    <n v="0"/>
    <n v="0"/>
    <n v="0"/>
    <n v="1306111"/>
    <n v="1872936"/>
    <n v="292850"/>
    <n v="0"/>
    <n v="289"/>
    <n v="1692673"/>
    <n v="599887.0136289811"/>
    <n v="50"/>
    <n v="418"/>
    <n v="84"/>
    <n v="250"/>
    <n v="250"/>
    <n v="0"/>
    <n v="1557962"/>
    <n v="2249676"/>
    <n v="491988"/>
    <n v="0"/>
    <n v="289"/>
    <n v="1692673"/>
    <n v="1007810.182896688"/>
    <n v="120"/>
    <n v="355"/>
    <n v="89"/>
    <n v="0"/>
    <n v="0"/>
    <n v="1361984"/>
    <n v="2079235"/>
    <n v="521273"/>
    <n v="0"/>
    <n v="289"/>
    <n v="1692673"/>
    <n v="1270680.672268908"/>
    <n v="60"/>
    <n v="229"/>
    <n v="93"/>
    <n v="0"/>
    <n v="0"/>
    <n v="1232478"/>
    <n v="544701"/>
    <n v="0"/>
    <n v="0"/>
    <n v="289"/>
    <n v="1692673"/>
    <n v="1327789.915966387"/>
    <n v="55"/>
    <n v="343"/>
    <n v="55"/>
    <m/>
    <n v="0"/>
    <n v="0"/>
    <n v="2008951"/>
    <n v="296010"/>
    <n v="0"/>
    <n v="0"/>
    <n v="289"/>
    <n v="1692673"/>
    <n v="785252.1008403362"/>
    <n v="120"/>
    <n v="394"/>
    <n v="105"/>
    <m/>
    <n v="146"/>
    <n v="0"/>
    <n v="2307658"/>
    <n v="565110"/>
    <n v="0"/>
    <n v="0"/>
    <n v="394"/>
    <n v="1692673"/>
    <n v="1499117.647058824"/>
    <n v="100"/>
    <n v="355"/>
    <n v="100"/>
    <n v="200"/>
    <n v="200"/>
    <n v="0"/>
    <n v="2079235"/>
    <n v="538200"/>
    <n v="1040520"/>
    <n v="0"/>
    <n v="355"/>
    <n v="1692673"/>
    <n v="1427731.092436975"/>
    <n v="51"/>
    <n v="255"/>
    <n v="51"/>
    <n v="0"/>
    <n v="0"/>
    <n v="0"/>
    <n v="1493535"/>
    <n v="274482"/>
    <n v="0"/>
    <n v="0"/>
    <n v="255"/>
    <n v="1493535"/>
    <n v="728142.8571428572"/>
    <n v="40"/>
    <n v="204"/>
    <n v="40"/>
    <n v="0"/>
    <n v="0"/>
    <m/>
    <n v="1097928"/>
    <n v="215280"/>
    <n v="0"/>
    <n v="0"/>
    <n v="204"/>
    <n v="1097928"/>
    <n v="571092.4369747899"/>
    <n v="80"/>
    <n v="164"/>
    <n v="80"/>
    <n v="0"/>
    <n v="0"/>
    <n v="0"/>
    <m/>
    <n v="882648"/>
    <n v="430560"/>
    <n v="0"/>
    <n v="0"/>
    <n v="164"/>
    <n v="882648"/>
    <n v="873277.3109243698"/>
    <n v="60"/>
    <n v="84"/>
    <n v="60"/>
    <n v="0"/>
    <n v="0"/>
    <n v="452088"/>
    <n v="322920"/>
    <n v="0"/>
    <n v="0"/>
    <n v="84"/>
    <n v="452088"/>
    <n v="687705.8823529413"/>
    <n v="60"/>
    <n v="24"/>
    <n v="60"/>
    <n v="0"/>
    <n v="0"/>
    <n v="129168"/>
    <n v="322920"/>
    <n v="0"/>
    <n v="24"/>
    <n v="129168"/>
    <n v="856638.6554621849"/>
    <n v="36"/>
    <n v="0"/>
    <n v="36"/>
    <n v="0"/>
    <m/>
    <n v="0"/>
    <n v="210852"/>
    <n v="0"/>
    <n v="0"/>
    <n v="0"/>
    <n v="513983.193277311"/>
  </r>
  <r>
    <m/>
    <x v="2"/>
    <x v="19"/>
    <x v="53"/>
    <s v="SIMSECBIL"/>
    <x v="529"/>
    <x v="368"/>
    <x v="0"/>
    <x v="4"/>
    <n v="1"/>
    <x v="318"/>
    <n v="322"/>
    <m/>
    <n v="0"/>
    <n v="5868"/>
    <n v="1889496"/>
    <n v="5.2"/>
    <n v="5025.5"/>
    <n v="14277.31092436975"/>
    <n v="10915.96638655462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4"/>
    <n v="0.6658024234086459"/>
    <n v="30"/>
    <n v="0.5907084190020574"/>
    <n v="21"/>
    <n v="0.6018904428184784"/>
    <n v="36"/>
    <n v="0.6057696764762839"/>
    <n v="34"/>
    <s v=""/>
    <n v="59"/>
    <s v=""/>
    <n v="68"/>
    <s v=""/>
    <n v="46"/>
    <s v=""/>
    <n v="0.92"/>
    <n v="106"/>
    <s v=""/>
    <n v="2.12"/>
    <n v="75"/>
    <s v=""/>
    <n v="0.75"/>
    <n v="46"/>
    <s v=""/>
    <n v="0.5111111111111111"/>
    <n v="50"/>
    <n v="501"/>
    <n v="50"/>
    <n v="0"/>
    <n v="0"/>
    <n v="0"/>
    <n v="1211742"/>
    <n v="2696382"/>
    <n v="293400"/>
    <n v="0"/>
    <n v="322"/>
    <n v="1889496"/>
    <n v="599887.0136289811"/>
    <n v="40"/>
    <n v="614"/>
    <n v="88.5"/>
    <n v="250"/>
    <n v="250"/>
    <n v="0"/>
    <n v="1188270"/>
    <n v="3304548"/>
    <n v="519318"/>
    <n v="0"/>
    <n v="322"/>
    <n v="1889496"/>
    <n v="1061800.014123297"/>
    <n v="90"/>
    <n v="551"/>
    <n v="68"/>
    <n v="0"/>
    <n v="0"/>
    <n v="938052"/>
    <n v="3233268"/>
    <n v="399024"/>
    <n v="0"/>
    <n v="322"/>
    <n v="1889496"/>
    <n v="970857.142857143"/>
    <n v="50"/>
    <n v="480"/>
    <n v="46"/>
    <n v="0"/>
    <n v="0"/>
    <n v="2583360"/>
    <n v="269928"/>
    <n v="0"/>
    <n v="0"/>
    <n v="322"/>
    <n v="1889496"/>
    <n v="656756.3025210084"/>
    <n v="50"/>
    <n v="428"/>
    <n v="50"/>
    <m/>
    <n v="0"/>
    <n v="0"/>
    <n v="2511504"/>
    <n v="269100"/>
    <n v="0"/>
    <n v="0"/>
    <n v="322"/>
    <n v="1889496"/>
    <n v="713865.5462184874"/>
    <n v="100"/>
    <n v="397"/>
    <n v="75"/>
    <m/>
    <n v="0"/>
    <n v="0"/>
    <n v="2329596"/>
    <n v="403650"/>
    <n v="0"/>
    <n v="0"/>
    <n v="397"/>
    <n v="1889496"/>
    <n v="1070798.319327731"/>
    <n v="90"/>
    <n v="368"/>
    <n v="90"/>
    <n v="0"/>
    <n v="98"/>
    <n v="0"/>
    <n v="2159424"/>
    <n v="484380"/>
    <n v="0"/>
    <n v="0"/>
    <n v="368"/>
    <n v="1889496"/>
    <n v="1284957.983193277"/>
    <n v="47"/>
    <n v="278"/>
    <n v="47"/>
    <n v="0"/>
    <n v="0"/>
    <n v="0"/>
    <n v="1631304"/>
    <n v="252954"/>
    <n v="0"/>
    <n v="0"/>
    <n v="278"/>
    <n v="1631304"/>
    <n v="671033.6134453783"/>
    <n v="30"/>
    <n v="231"/>
    <n v="30"/>
    <n v="0"/>
    <n v="0"/>
    <m/>
    <n v="1243242"/>
    <n v="161460"/>
    <n v="0"/>
    <n v="0"/>
    <n v="231"/>
    <n v="1243242"/>
    <n v="428319.3277310925"/>
    <n v="100"/>
    <n v="201"/>
    <n v="100"/>
    <n v="0"/>
    <n v="0"/>
    <n v="0"/>
    <m/>
    <n v="1081782"/>
    <n v="538200"/>
    <n v="0"/>
    <n v="0"/>
    <n v="201"/>
    <n v="1081782"/>
    <n v="1091596.638655462"/>
    <n v="60"/>
    <n v="101"/>
    <n v="60"/>
    <n v="0"/>
    <n v="0"/>
    <n v="543582"/>
    <n v="322920"/>
    <n v="0"/>
    <n v="0"/>
    <n v="101"/>
    <n v="543582"/>
    <n v="687705.8823529413"/>
    <n v="60"/>
    <n v="41"/>
    <n v="60"/>
    <n v="0"/>
    <n v="0"/>
    <n v="220662"/>
    <n v="322920"/>
    <n v="0"/>
    <n v="41"/>
    <n v="220662"/>
    <n v="856638.6554621849"/>
    <n v="36"/>
    <n v="0"/>
    <n v="36"/>
    <n v="0"/>
    <m/>
    <n v="0"/>
    <n v="211248"/>
    <n v="0"/>
    <n v="0"/>
    <n v="0"/>
    <n v="513983.193277311"/>
  </r>
  <r>
    <m/>
    <x v="2"/>
    <x v="19"/>
    <x v="53"/>
    <s v="SIMSECVAL"/>
    <x v="530"/>
    <x v="369"/>
    <x v="0"/>
    <x v="3"/>
    <n v="1.3"/>
    <x v="319"/>
    <n v="460"/>
    <m/>
    <n v="0"/>
    <n v="9073"/>
    <n v="4173580"/>
    <n v="6.6"/>
    <n v="7210.499999999999"/>
    <n v="21000"/>
    <n v="19319.32773109244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9"/>
    <n v="0.552145225697384"/>
    <n v="120"/>
    <n v="0.5544890068683072"/>
    <n v="145"/>
    <n v="0.5427680962451893"/>
    <n v="30"/>
    <n v="0.5710960569553082"/>
    <n v="99"/>
    <s v=""/>
    <n v="137"/>
    <s v=""/>
    <n v="155"/>
    <s v=""/>
    <n v="117"/>
    <s v=""/>
    <n v="0.78"/>
    <n v="178"/>
    <s v=""/>
    <n v="1.483333333333333"/>
    <n v="333"/>
    <s v=""/>
    <n v="1.665"/>
    <n v="129"/>
    <s v=""/>
    <n v="0.86"/>
    <n v="150"/>
    <n v="471"/>
    <n v="120"/>
    <n v="0"/>
    <n v="0"/>
    <n v="0"/>
    <n v="4359576.5"/>
    <n v="3217401"/>
    <n v="1088760"/>
    <n v="0"/>
    <n v="460"/>
    <n v="4173580"/>
    <n v="2117647.05882353"/>
    <n v="150"/>
    <n v="404"/>
    <n v="205.5"/>
    <n v="350"/>
    <n v="350"/>
    <n v="0"/>
    <n v="4332357.5"/>
    <n v="2759724"/>
    <n v="1864501.5"/>
    <n v="0"/>
    <n v="460"/>
    <n v="4173580"/>
    <n v="3626470.588235294"/>
    <n v="200"/>
    <n v="411"/>
    <n v="155"/>
    <n v="0"/>
    <n v="0"/>
    <n v="3533492"/>
    <n v="3729003"/>
    <n v="1406315"/>
    <n v="0"/>
    <n v="460"/>
    <n v="4173580"/>
    <n v="3255000"/>
    <n v="150"/>
    <n v="405"/>
    <n v="117"/>
    <n v="450"/>
    <n v="0"/>
    <n v="2766555"/>
    <n v="1061541"/>
    <n v="3073950"/>
    <n v="0"/>
    <n v="460"/>
    <n v="4173580"/>
    <n v="2457000"/>
    <n v="120"/>
    <n v="638"/>
    <n v="156"/>
    <m/>
    <n v="450"/>
    <n v="0"/>
    <n v="5788574"/>
    <n v="1065636"/>
    <n v="0"/>
    <n v="0"/>
    <n v="460"/>
    <n v="4173580"/>
    <n v="3276000"/>
    <n v="200"/>
    <n v="793"/>
    <n v="333"/>
    <m/>
    <n v="452"/>
    <n v="0"/>
    <n v="7194889"/>
    <n v="2274723"/>
    <n v="0"/>
    <n v="0"/>
    <n v="793"/>
    <n v="4173580"/>
    <n v="6993000"/>
    <n v="150"/>
    <n v="589"/>
    <n v="195"/>
    <n v="350"/>
    <n v="350"/>
    <n v="0"/>
    <n v="5343997"/>
    <n v="1332045"/>
    <n v="2311155"/>
    <n v="0"/>
    <n v="589"/>
    <n v="4173580"/>
    <n v="4095000"/>
    <n v="140"/>
    <n v="394"/>
    <n v="182"/>
    <n v="0"/>
    <n v="0"/>
    <n v="0"/>
    <n v="3574762"/>
    <n v="1243242"/>
    <n v="0"/>
    <n v="0"/>
    <n v="394"/>
    <n v="3574762"/>
    <n v="3822000"/>
    <n v="100"/>
    <n v="212"/>
    <n v="130"/>
    <n v="0"/>
    <n v="0"/>
    <m/>
    <n v="1448172"/>
    <n v="888029.9999999999"/>
    <n v="0"/>
    <n v="0"/>
    <n v="212"/>
    <n v="1448172"/>
    <n v="2730000"/>
    <n v="200"/>
    <n v="82"/>
    <n v="82"/>
    <n v="400"/>
    <n v="400"/>
    <n v="400"/>
    <n v="0"/>
    <n v="560141.9999999999"/>
    <n v="560141.9999999999"/>
    <n v="2732400"/>
    <n v="2732400"/>
    <n v="482"/>
    <n v="3292542"/>
    <n v="1584184.87394958"/>
    <n v="150"/>
    <n v="400"/>
    <n v="195"/>
    <n v="0"/>
    <n v="0"/>
    <n v="2732400"/>
    <n v="1332045"/>
    <n v="0"/>
    <n v="0"/>
    <n v="400"/>
    <n v="2732400"/>
    <n v="3955632.352941177"/>
    <n v="150"/>
    <n v="205"/>
    <n v="195"/>
    <n v="0"/>
    <n v="0"/>
    <n v="1400355"/>
    <n v="1332045"/>
    <n v="0"/>
    <n v="205"/>
    <n v="1400355"/>
    <n v="4095000"/>
    <n v="90"/>
    <n v="10"/>
    <n v="117"/>
    <n v="0"/>
    <m/>
    <n v="68309.99999999999"/>
    <n v="1061541"/>
    <n v="0"/>
    <n v="10"/>
    <n v="68309.99999999999"/>
    <n v="2457000"/>
  </r>
  <r>
    <m/>
    <x v="2"/>
    <x v="19"/>
    <x v="53"/>
    <s v="SIMSECVAL"/>
    <x v="531"/>
    <x v="369"/>
    <x v="0"/>
    <x v="3"/>
    <n v="1"/>
    <x v="320"/>
    <n v="543"/>
    <m/>
    <n v="0"/>
    <n v="8954"/>
    <n v="4862022"/>
    <n v="6.6"/>
    <n v="7210.499999999999"/>
    <n v="21000"/>
    <n v="19319.32773109244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5"/>
    <n v="0.5662032598274209"/>
    <n v="60"/>
    <n v="0.5667259741253099"/>
    <n v="108"/>
    <n v="0.5367476154607627"/>
    <n v="13"/>
    <n v="0.5739388082239517"/>
    <n v="31"/>
    <s v=""/>
    <n v="66"/>
    <s v=""/>
    <n v="78"/>
    <s v=""/>
    <n v="57"/>
    <s v=""/>
    <n v="0.57"/>
    <n v="91"/>
    <s v=""/>
    <n v="1.011111111111111"/>
    <n v="151"/>
    <s v=""/>
    <n v="1.118518518518518"/>
    <n v="72"/>
    <s v=""/>
    <n v="0.72"/>
    <n v="100"/>
    <n v="306"/>
    <n v="50"/>
    <n v="0"/>
    <n v="0"/>
    <n v="0"/>
    <n v="2032558"/>
    <n v="2090286"/>
    <n v="447700"/>
    <n v="0"/>
    <n v="543"/>
    <n v="4862022"/>
    <n v="882352.9411764706"/>
    <n v="100"/>
    <n v="266"/>
    <n v="99"/>
    <n v="250"/>
    <n v="250"/>
    <n v="0"/>
    <n v="2095236"/>
    <n v="1817046"/>
    <n v="886446"/>
    <n v="0"/>
    <n v="543"/>
    <n v="4862022"/>
    <n v="1747058.823529412"/>
    <n v="120"/>
    <n v="370"/>
    <n v="78"/>
    <n v="0"/>
    <n v="0"/>
    <n v="1823580"/>
    <n v="3312980"/>
    <n v="698412"/>
    <n v="0"/>
    <n v="543"/>
    <n v="4862022"/>
    <n v="1638000"/>
    <n v="100"/>
    <n v="336"/>
    <n v="57"/>
    <n v="300"/>
    <n v="0"/>
    <n v="2295216"/>
    <n v="510378"/>
    <n v="2049300"/>
    <n v="0"/>
    <n v="543"/>
    <n v="4862022"/>
    <n v="1197000"/>
    <n v="90"/>
    <n v="634"/>
    <n v="90"/>
    <m/>
    <n v="300"/>
    <n v="0"/>
    <n v="5676836"/>
    <n v="614789.9999999999"/>
    <n v="0"/>
    <n v="0"/>
    <n v="543"/>
    <n v="4862022"/>
    <n v="1890000"/>
    <n v="135"/>
    <n v="694"/>
    <n v="151"/>
    <m/>
    <n v="300"/>
    <n v="0"/>
    <n v="6214076"/>
    <n v="1031481"/>
    <n v="0"/>
    <n v="0"/>
    <n v="694"/>
    <n v="4862022"/>
    <n v="3171000"/>
    <n v="100"/>
    <n v="615"/>
    <n v="100"/>
    <n v="250"/>
    <n v="250"/>
    <n v="0"/>
    <n v="5506710"/>
    <n v="683099.9999999999"/>
    <n v="1650825"/>
    <n v="0"/>
    <n v="615"/>
    <n v="4862022"/>
    <n v="2100000"/>
    <n v="81"/>
    <n v="515"/>
    <n v="81"/>
    <n v="0"/>
    <n v="0"/>
    <n v="0"/>
    <n v="4611310"/>
    <n v="553310.9999999999"/>
    <n v="0"/>
    <n v="0"/>
    <n v="515"/>
    <n v="4611310"/>
    <n v="1701000"/>
    <n v="60"/>
    <n v="434"/>
    <n v="60"/>
    <n v="0"/>
    <n v="0"/>
    <m/>
    <n v="2964654"/>
    <n v="409859.9999999999"/>
    <n v="0"/>
    <n v="0"/>
    <n v="434"/>
    <n v="2964654"/>
    <n v="1260000"/>
    <n v="100"/>
    <n v="374"/>
    <n v="100"/>
    <n v="0"/>
    <n v="0"/>
    <n v="0"/>
    <m/>
    <n v="2554794"/>
    <n v="683099.9999999999"/>
    <n v="0"/>
    <n v="0"/>
    <n v="374"/>
    <n v="2554794"/>
    <n v="1931932.773109244"/>
    <n v="60"/>
    <n v="274"/>
    <n v="60"/>
    <n v="0"/>
    <n v="0"/>
    <n v="1871694"/>
    <n v="409859.9999999999"/>
    <n v="0"/>
    <n v="0"/>
    <n v="274"/>
    <n v="1871694"/>
    <n v="1217117.647058824"/>
    <n v="80"/>
    <n v="214"/>
    <n v="80"/>
    <n v="0"/>
    <n v="0"/>
    <n v="1461834"/>
    <n v="546479.9999999999"/>
    <n v="0"/>
    <n v="214"/>
    <n v="1461834"/>
    <n v="1680000"/>
    <n v="36"/>
    <n v="134"/>
    <n v="36"/>
    <n v="0"/>
    <m/>
    <n v="915353.9999999999"/>
    <n v="322344"/>
    <n v="0"/>
    <n v="134"/>
    <n v="915353.9999999999"/>
    <n v="756000"/>
  </r>
  <r>
    <s v="Simplit-Organización"/>
    <x v="2"/>
    <x v="19"/>
    <x v="54"/>
    <s v="SIMBACOIR-40"/>
    <x v="532"/>
    <x v="370"/>
    <x v="0"/>
    <x v="3"/>
    <n v="0.8"/>
    <x v="321"/>
    <n v="80"/>
    <m/>
    <n v="0"/>
    <n v="27280"/>
    <n v="2182400"/>
    <n v="26"/>
    <n v="28405"/>
    <n v="67218.48739495799"/>
    <n v="64697.47899159664"/>
    <s v="Shenzhen"/>
    <s v="30/70"/>
    <n v="45"/>
    <n v="300"/>
    <n v="16"/>
    <n v="0.6428926299846789"/>
    <n v="0"/>
    <s v=""/>
    <n v="4"/>
    <n v="0.6111963760282153"/>
    <n v="24"/>
    <n v="0.6687372264720286"/>
    <n v="16"/>
    <n v="0.6631039147683434"/>
    <n v="24"/>
    <n v="0.6423506408346218"/>
    <n v="21"/>
    <n v="0.646213738082599"/>
    <n v="22"/>
    <n v="0.6402163078240601"/>
    <n v="13"/>
    <n v="0.6257408603174198"/>
    <n v="29"/>
    <n v="0.6008961742256855"/>
    <n v="11"/>
    <n v="0.5453080133560612"/>
    <n v="39"/>
    <n v="0.5759382914209705"/>
    <n v="45"/>
    <s v=""/>
    <n v="60"/>
    <s v=""/>
    <n v="-6"/>
    <s v=""/>
    <n v="16"/>
    <s v=""/>
    <n v="0.64"/>
    <n v="23"/>
    <s v=""/>
    <n v="0.8214285714285714"/>
    <n v="42"/>
    <s v=""/>
    <n v="0.84"/>
    <n v="43"/>
    <s v=""/>
    <n v="0.9555555555555556"/>
    <n v="25"/>
    <n v="93"/>
    <n v="30"/>
    <n v="0"/>
    <n v="0"/>
    <n v="0"/>
    <n v="3109920"/>
    <n v="2502630"/>
    <n v="818400"/>
    <n v="0"/>
    <n v="80"/>
    <n v="2182400"/>
    <n v="1694583.715839277"/>
    <n v="25"/>
    <n v="64"/>
    <n v="90"/>
    <n v="100"/>
    <n v="100"/>
    <n v="0"/>
    <n v="2728000"/>
    <n v="1722240"/>
    <n v="2455200"/>
    <n v="0"/>
    <n v="80"/>
    <n v="2182400"/>
    <n v="5083751.147517832"/>
    <n v="70"/>
    <n v="11"/>
    <n v="-6"/>
    <n v="0"/>
    <n v="0"/>
    <n v="875584"/>
    <n v="300080"/>
    <n v="-163680"/>
    <n v="0"/>
    <n v="80"/>
    <n v="2182400"/>
    <n v="-403310.924369748"/>
    <n v="25"/>
    <n v="107"/>
    <n v="16"/>
    <n v="50"/>
    <n v="0"/>
    <n v="2879370"/>
    <n v="436480"/>
    <n v="1345500"/>
    <n v="0"/>
    <n v="80"/>
    <n v="2182400"/>
    <n v="1075495.798319328"/>
    <n v="28"/>
    <n v="103"/>
    <n v="22.4"/>
    <m/>
    <n v="0"/>
    <n v="0"/>
    <n v="2809840"/>
    <n v="602784"/>
    <n v="0"/>
    <n v="0"/>
    <n v="80"/>
    <n v="2182400"/>
    <n v="1505694.117647059"/>
    <n v="50"/>
    <n v="122"/>
    <n v="42"/>
    <m/>
    <n v="100"/>
    <n v="0"/>
    <n v="3328160"/>
    <n v="1130220"/>
    <n v="0"/>
    <n v="0"/>
    <n v="122"/>
    <n v="2182400"/>
    <n v="2823176.470588236"/>
    <n v="45"/>
    <n v="123"/>
    <n v="36"/>
    <n v="200"/>
    <n v="200"/>
    <n v="0"/>
    <n v="3355440"/>
    <n v="968759.9999999999"/>
    <n v="5202599.999999999"/>
    <n v="0"/>
    <n v="123"/>
    <n v="2182400"/>
    <n v="2419865.546218488"/>
    <n v="70"/>
    <n v="87"/>
    <n v="56"/>
    <n v="0"/>
    <n v="200"/>
    <n v="200"/>
    <n v="2373360"/>
    <n v="1506960"/>
    <n v="0"/>
    <n v="5381999.999999999"/>
    <n v="287"/>
    <n v="7755359.999999999"/>
    <n v="3764235.294117648"/>
    <n v="38"/>
    <n v="231"/>
    <n v="30.4"/>
    <n v="0"/>
    <n v="0"/>
    <m/>
    <n v="6216209.999999999"/>
    <n v="818064"/>
    <n v="0"/>
    <n v="0"/>
    <n v="231"/>
    <n v="6216209.999999999"/>
    <n v="2043442.016806723"/>
    <n v="50"/>
    <n v="200.6"/>
    <n v="40"/>
    <n v="0"/>
    <n v="0"/>
    <n v="0"/>
    <m/>
    <n v="5398145.999999999"/>
    <n v="1076400"/>
    <n v="0"/>
    <n v="0"/>
    <n v="200.6"/>
    <n v="5398145.999999999"/>
    <n v="2587899.159663865"/>
    <n v="45"/>
    <n v="160.6"/>
    <n v="36"/>
    <n v="0"/>
    <n v="0"/>
    <n v="4321745.999999999"/>
    <n v="968759.9999999999"/>
    <n v="0"/>
    <n v="0"/>
    <n v="160.6"/>
    <n v="4321745.999999999"/>
    <n v="2445564.705882353"/>
    <n v="60"/>
    <n v="124.6"/>
    <n v="48"/>
    <n v="0"/>
    <n v="0"/>
    <n v="3352986"/>
    <n v="1291680"/>
    <n v="0"/>
    <n v="124.6"/>
    <n v="3352986"/>
    <n v="3226487.394957984"/>
    <n v="27"/>
    <n v="76.59999999999999"/>
    <n v="21.6"/>
    <n v="0"/>
    <m/>
    <n v="2061306"/>
    <n v="589248"/>
    <n v="0"/>
    <n v="76.59999999999999"/>
    <n v="2061306"/>
    <n v="1451919.327731093"/>
  </r>
  <r>
    <s v="Simplit-Organización"/>
    <x v="2"/>
    <x v="19"/>
    <x v="54"/>
    <s v="SIMBACOUR-30"/>
    <x v="533"/>
    <x v="371"/>
    <x v="0"/>
    <x v="4"/>
    <n v="0.8"/>
    <x v="322"/>
    <n v="302"/>
    <m/>
    <n v="0"/>
    <n v="16414"/>
    <n v="4957028"/>
    <n v="15.2"/>
    <n v="16606"/>
    <n v="42008.40336134454"/>
    <n v="40327.73109243697"/>
    <s v="Shenzhen"/>
    <s v="30/70"/>
    <n v="45"/>
    <n v="300"/>
    <n v="8"/>
    <n v="0.7049229582623647"/>
    <n v="3"/>
    <n v="0.7156791382264277"/>
    <n v="8"/>
    <n v="0.7000040652175148"/>
    <n v="18"/>
    <n v="0.6634869700742426"/>
    <n v="14"/>
    <n v="0.6828737217086656"/>
    <n v="9"/>
    <n v="0.63561149990587"/>
    <n v="29"/>
    <n v="0.6279868830464499"/>
    <n v="58"/>
    <n v="0.5922615554417159"/>
    <n v="71"/>
    <n v="0.5717417907420526"/>
    <n v="78"/>
    <n v="0.546071787340619"/>
    <n v="3"/>
    <n v="0.5834634873086102"/>
    <n v="1"/>
    <n v="0.5115643660915228"/>
    <n v="5"/>
    <s v=""/>
    <n v="5"/>
    <s v=""/>
    <n v="16"/>
    <s v=""/>
    <n v="23"/>
    <s v=""/>
    <n v="0.2875"/>
    <n v="14"/>
    <s v=""/>
    <n v="0.4666666666666667"/>
    <n v="32"/>
    <s v=""/>
    <n v="0.7111111111111111"/>
    <n v="34"/>
    <s v=""/>
    <n v="0.9714285714285714"/>
    <n v="60"/>
    <n v="12"/>
    <n v="12"/>
    <n v="100"/>
    <n v="100"/>
    <n v="0"/>
    <n v="582697"/>
    <n v="188784"/>
    <n v="196968"/>
    <n v="0"/>
    <n v="302"/>
    <n v="4957028"/>
    <n v="423614.1515429702"/>
    <n v="0"/>
    <n v="11"/>
    <n v="7.5"/>
    <n v="200"/>
    <n v="100"/>
    <n v="0"/>
    <n v="763251"/>
    <n v="173052"/>
    <n v="123105"/>
    <n v="0"/>
    <n v="302"/>
    <n v="4957028"/>
    <n v="264758.8447143564"/>
    <n v="30"/>
    <n v="318"/>
    <n v="16"/>
    <n v="0"/>
    <n v="0"/>
    <n v="1017714"/>
    <n v="5219652"/>
    <n v="262624"/>
    <n v="0"/>
    <n v="302"/>
    <n v="4957028"/>
    <n v="672134.4537815127"/>
    <n v="80"/>
    <n v="290"/>
    <n v="23"/>
    <n v="180"/>
    <n v="0"/>
    <n v="4562279.999999999"/>
    <n v="377522"/>
    <n v="2831760"/>
    <n v="0"/>
    <n v="302"/>
    <n v="4957028"/>
    <n v="966193.2773109245"/>
    <n v="30"/>
    <n v="316"/>
    <n v="24"/>
    <m/>
    <n v="0"/>
    <n v="0"/>
    <n v="5186824"/>
    <n v="377567.9999999999"/>
    <n v="0"/>
    <n v="0"/>
    <n v="302"/>
    <n v="4957028"/>
    <n v="1008201.680672269"/>
    <n v="45"/>
    <n v="334"/>
    <n v="32"/>
    <m/>
    <n v="100"/>
    <n v="0"/>
    <n v="5482276"/>
    <n v="503423.9999999999"/>
    <n v="0"/>
    <n v="0"/>
    <n v="334"/>
    <n v="4957028"/>
    <n v="1344268.907563025"/>
    <n v="35"/>
    <n v="336"/>
    <n v="28"/>
    <n v="0"/>
    <n v="0"/>
    <n v="0"/>
    <n v="5515104"/>
    <n v="440495.9999999999"/>
    <n v="0"/>
    <n v="0"/>
    <n v="336"/>
    <n v="4957028"/>
    <n v="1176235.294117647"/>
    <n v="52"/>
    <n v="308"/>
    <n v="41.6"/>
    <n v="0"/>
    <n v="0"/>
    <n v="0"/>
    <n v="5055512"/>
    <n v="654451.2"/>
    <n v="0"/>
    <n v="0"/>
    <n v="308"/>
    <n v="5055512"/>
    <n v="1747549.579831933"/>
    <n v="64"/>
    <n v="266.4"/>
    <n v="51.2"/>
    <n v="0"/>
    <n v="0"/>
    <m/>
    <n v="4191004.799999999"/>
    <n v="805478.3999999999"/>
    <n v="0"/>
    <n v="0"/>
    <n v="266.4"/>
    <n v="4191004.799999999"/>
    <n v="2150830.252100841"/>
    <n v="80"/>
    <n v="215.2"/>
    <n v="64"/>
    <n v="0"/>
    <n v="0"/>
    <n v="0"/>
    <m/>
    <n v="3385526.399999999"/>
    <n v="1006848"/>
    <n v="0"/>
    <n v="0"/>
    <n v="215.2"/>
    <n v="3385526.399999999"/>
    <n v="2580974.789915966"/>
    <n v="40"/>
    <n v="151.2"/>
    <n v="32"/>
    <n v="0"/>
    <n v="0"/>
    <n v="2378678.399999999"/>
    <n v="503423.9999999999"/>
    <n v="0"/>
    <n v="0"/>
    <n v="151.2"/>
    <n v="2378678.399999999"/>
    <n v="1355011.764705882"/>
    <n v="60"/>
    <n v="119.2"/>
    <n v="48"/>
    <n v="0"/>
    <n v="0"/>
    <n v="1875254.4"/>
    <n v="755135.9999999999"/>
    <n v="0"/>
    <n v="119.2"/>
    <n v="1875254.4"/>
    <n v="2016403.361344538"/>
    <n v="24"/>
    <n v="71.19999999999999"/>
    <n v="19.2"/>
    <n v="0"/>
    <m/>
    <n v="1120118.4"/>
    <n v="315148.8"/>
    <n v="0"/>
    <n v="71.19999999999999"/>
    <n v="1120118.4"/>
    <n v="806561.3445378153"/>
  </r>
  <r>
    <s v="Simplit-Organización"/>
    <x v="2"/>
    <x v="19"/>
    <x v="54"/>
    <s v="SIMBACOHA-55"/>
    <x v="534"/>
    <x v="372"/>
    <x v="0"/>
    <x v="3"/>
    <n v="1"/>
    <x v="323"/>
    <n v="158"/>
    <m/>
    <n v="0"/>
    <n v="25511"/>
    <n v="4030738"/>
    <n v="19.9"/>
    <n v="21740.75"/>
    <n v="58815.12605042017"/>
    <n v="50411.76470588236"/>
    <s v="Shenzhen"/>
    <s v="30/70"/>
    <n v="45"/>
    <n v="300"/>
    <n v="29"/>
    <n v="0.668432817309025"/>
    <n v="47"/>
    <n v="0.6568065686555643"/>
    <n v="17"/>
    <n v="0.6572212969181265"/>
    <n v="4"/>
    <n v="0.6657601075134393"/>
    <n v="0"/>
    <n v="0.6657576839537029"/>
    <n v="9"/>
    <n v="0.6398141716826645"/>
    <n v="42"/>
    <n v="0.6612947950032607"/>
    <n v="50"/>
    <n v="0.6463824946530939"/>
    <n v="49"/>
    <n v="0.6422150894624467"/>
    <n v="119"/>
    <n v="0.5695537853333656"/>
    <n v="79"/>
    <n v="0.5657023989822987"/>
    <n v="53"/>
    <n v="0.5602214882974528"/>
    <n v="43"/>
    <s v=""/>
    <n v="7"/>
    <s v=""/>
    <n v="22"/>
    <s v=""/>
    <n v="18"/>
    <s v=""/>
    <n v="0.2571428571428571"/>
    <n v="18"/>
    <s v=""/>
    <n v="0.5142857142857142"/>
    <n v="42"/>
    <s v=""/>
    <n v="1.166666666666667"/>
    <n v="36"/>
    <s v=""/>
    <n v="0.9473684210526315"/>
    <n v="20"/>
    <n v="20"/>
    <n v="20"/>
    <n v="100"/>
    <n v="100"/>
    <n v="0"/>
    <n v="1339327.5"/>
    <n v="411930"/>
    <n v="510220"/>
    <n v="0"/>
    <n v="158"/>
    <n v="4030738"/>
    <n v="988489.5134524398"/>
    <n v="40"/>
    <n v="27"/>
    <n v="10.5"/>
    <n v="100"/>
    <n v="100"/>
    <n v="0"/>
    <n v="1288305.5"/>
    <n v="556105.5"/>
    <n v="267865.5"/>
    <n v="0"/>
    <n v="158"/>
    <n v="4030738"/>
    <n v="518956.9945625309"/>
    <n v="100"/>
    <n v="180"/>
    <n v="22"/>
    <n v="0"/>
    <n v="0"/>
    <n v="1741317.5"/>
    <n v="4591980"/>
    <n v="561242"/>
    <n v="0"/>
    <n v="158"/>
    <n v="4030738"/>
    <n v="1293932.773109244"/>
    <n v="70"/>
    <n v="195"/>
    <n v="18"/>
    <n v="250"/>
    <n v="0"/>
    <n v="4016317.5"/>
    <n v="459198"/>
    <n v="5149125"/>
    <n v="0"/>
    <n v="158"/>
    <n v="4030738"/>
    <n v="1058672.268907563"/>
    <n v="35"/>
    <n v="176"/>
    <n v="35"/>
    <m/>
    <n v="0"/>
    <n v="0"/>
    <n v="4489936"/>
    <n v="720877.5"/>
    <n v="0"/>
    <n v="0"/>
    <n v="158"/>
    <n v="4030738"/>
    <n v="2058529.411764706"/>
    <n v="36"/>
    <n v="200"/>
    <n v="42"/>
    <m/>
    <n v="100"/>
    <n v="0"/>
    <n v="5102200"/>
    <n v="865053"/>
    <n v="0"/>
    <n v="0"/>
    <n v="200"/>
    <n v="4030738"/>
    <n v="2470235.294117647"/>
    <n v="38"/>
    <n v="194"/>
    <n v="38"/>
    <n v="0"/>
    <n v="0"/>
    <n v="0"/>
    <n v="4949134"/>
    <n v="782667"/>
    <n v="0"/>
    <n v="0"/>
    <n v="194"/>
    <n v="4030738"/>
    <n v="2234974.789915966"/>
    <n v="50"/>
    <n v="156"/>
    <n v="50"/>
    <n v="0"/>
    <n v="0"/>
    <n v="0"/>
    <n v="3979716"/>
    <n v="1029825"/>
    <n v="0"/>
    <n v="0"/>
    <n v="156"/>
    <n v="3979716"/>
    <n v="2940756.302521009"/>
    <n v="44"/>
    <n v="106"/>
    <n v="44"/>
    <n v="0"/>
    <n v="150"/>
    <n v="0"/>
    <n v="2183229"/>
    <n v="906246"/>
    <n v="0"/>
    <n v="0"/>
    <n v="106"/>
    <n v="2183229"/>
    <n v="2587865.546218487"/>
    <n v="120"/>
    <n v="212"/>
    <n v="120"/>
    <n v="0"/>
    <n v="0"/>
    <n v="0"/>
    <n v="150"/>
    <n v="4366458"/>
    <n v="2471580"/>
    <n v="0"/>
    <n v="3089475"/>
    <n v="212"/>
    <n v="7455933"/>
    <n v="6049411.764705882"/>
    <n v="80"/>
    <n v="92"/>
    <n v="80"/>
    <n v="0"/>
    <n v="0"/>
    <n v="1894878"/>
    <n v="1647720"/>
    <n v="0"/>
    <n v="0"/>
    <n v="92"/>
    <n v="1894878"/>
    <n v="4234588.235294118"/>
    <n v="80"/>
    <n v="12"/>
    <n v="80"/>
    <n v="0"/>
    <n v="0"/>
    <n v="247158"/>
    <n v="1647720"/>
    <n v="0"/>
    <n v="12"/>
    <n v="247158"/>
    <n v="4705210.084033614"/>
    <n v="48"/>
    <n v="0"/>
    <n v="48"/>
    <n v="0"/>
    <m/>
    <n v="0"/>
    <n v="1224528"/>
    <n v="0"/>
    <n v="0"/>
    <n v="0"/>
    <n v="2823126.050420168"/>
  </r>
  <r>
    <m/>
    <x v="2"/>
    <x v="19"/>
    <x v="54"/>
    <s v="SIMBASLUC-GR"/>
    <x v="535"/>
    <x v="373"/>
    <x v="0"/>
    <x v="2"/>
    <n v="1"/>
    <x v="12"/>
    <n v="0"/>
    <m/>
    <n v="0"/>
    <n v="8904.449999999999"/>
    <n v="0"/>
    <n v="8.9"/>
    <n v="8904.449999999999"/>
    <n v="22448.19327731093"/>
    <n v="19080.96428571429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20"/>
    <n v="0"/>
    <n v="20"/>
    <n v="200"/>
    <n v="200"/>
    <n v="0"/>
    <n v="0"/>
    <n v="184230"/>
    <n v="1780890"/>
    <n v="0"/>
    <n v="0"/>
    <n v="0"/>
    <n v="448963.8655462185"/>
    <n v="40"/>
    <n v="0"/>
    <n v="40"/>
    <n v="0"/>
    <n v="200"/>
    <n v="199"/>
    <n v="0"/>
    <n v="368460"/>
    <n v="0"/>
    <n v="1833088.5"/>
    <n v="200"/>
    <n v="1833088.5"/>
    <n v="897927.7310924371"/>
    <n v="40"/>
    <n v="159"/>
    <n v="40"/>
    <n v="0"/>
    <n v="0"/>
    <m/>
    <n v="1464628.5"/>
    <n v="368460"/>
    <n v="0"/>
    <n v="0"/>
    <n v="159"/>
    <n v="1464628.5"/>
    <n v="897927.7310924371"/>
    <n v="50"/>
    <n v="119"/>
    <n v="50"/>
    <n v="0"/>
    <n v="0"/>
    <n v="0"/>
    <m/>
    <n v="1096168.5"/>
    <n v="460575"/>
    <n v="0"/>
    <n v="0"/>
    <n v="119"/>
    <n v="1096168.5"/>
    <n v="954048.2142857143"/>
    <n v="50"/>
    <n v="69"/>
    <n v="50"/>
    <n v="0"/>
    <n v="0"/>
    <n v="635593.5"/>
    <n v="460575"/>
    <n v="0"/>
    <n v="0"/>
    <n v="69"/>
    <n v="635593.5"/>
    <n v="1001750.625"/>
    <n v="60"/>
    <n v="19"/>
    <n v="60"/>
    <n v="0"/>
    <n v="0"/>
    <n v="175018.5"/>
    <n v="552690"/>
    <n v="0"/>
    <n v="19"/>
    <n v="175018.5"/>
    <n v="1346891.596638656"/>
    <n v="30"/>
    <n v="0"/>
    <n v="30"/>
    <n v="0"/>
    <m/>
    <n v="0"/>
    <n v="267133.4999999999"/>
    <n v="0"/>
    <n v="0"/>
    <n v="0"/>
    <n v="673445.7983193278"/>
  </r>
  <r>
    <m/>
    <x v="2"/>
    <x v="19"/>
    <x v="54"/>
    <s v="SIMBASLIV-BK"/>
    <x v="536"/>
    <x v="374"/>
    <x v="0"/>
    <x v="2"/>
    <n v="1"/>
    <x v="12"/>
    <n v="0"/>
    <m/>
    <n v="0"/>
    <n v="8904.449999999999"/>
    <n v="0"/>
    <n v="8.9"/>
    <n v="8904.449999999999"/>
    <n v="22448.19327731093"/>
    <n v="19080.96428571429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20"/>
    <n v="0"/>
    <n v="20"/>
    <n v="200"/>
    <n v="200"/>
    <n v="0"/>
    <n v="0"/>
    <n v="184230"/>
    <n v="1780890"/>
    <n v="0"/>
    <n v="0"/>
    <n v="0"/>
    <n v="448963.8655462185"/>
    <n v="60"/>
    <n v="0"/>
    <n v="60"/>
    <n v="0"/>
    <n v="200"/>
    <n v="199"/>
    <n v="0"/>
    <n v="552690"/>
    <n v="0"/>
    <n v="1833088.5"/>
    <n v="200"/>
    <n v="1833088.5"/>
    <n v="1346891.596638656"/>
    <n v="60"/>
    <n v="139"/>
    <n v="60"/>
    <n v="0"/>
    <n v="0"/>
    <m/>
    <n v="1280398.5"/>
    <n v="552690"/>
    <n v="0"/>
    <n v="0"/>
    <n v="139"/>
    <n v="1280398.5"/>
    <n v="1346891.596638656"/>
    <n v="100"/>
    <n v="79"/>
    <n v="79"/>
    <n v="200"/>
    <n v="200"/>
    <n v="200"/>
    <n v="0"/>
    <n v="727708.5"/>
    <n v="727708.5"/>
    <n v="1842300"/>
    <n v="1842300"/>
    <n v="279"/>
    <n v="2570008.5"/>
    <n v="1507396.178571429"/>
    <n v="80"/>
    <n v="200"/>
    <n v="80"/>
    <n v="0"/>
    <n v="0"/>
    <n v="1842300"/>
    <n v="736920"/>
    <n v="0"/>
    <n v="0"/>
    <n v="200"/>
    <n v="1842300"/>
    <n v="1602801"/>
    <n v="100"/>
    <n v="120"/>
    <n v="100"/>
    <n v="0"/>
    <n v="0"/>
    <n v="1105380"/>
    <n v="921150"/>
    <n v="0"/>
    <n v="120"/>
    <n v="1105380"/>
    <n v="2244819.327731092"/>
    <n v="48"/>
    <n v="20"/>
    <n v="48"/>
    <n v="0"/>
    <m/>
    <n v="184230"/>
    <n v="427413.6"/>
    <n v="0"/>
    <n v="20"/>
    <n v="184230"/>
    <n v="1077513.277310924"/>
  </r>
  <r>
    <s v="Simplit-Cristalería y Bar"/>
    <x v="2"/>
    <x v="20"/>
    <x v="55"/>
    <n v="66800507665930"/>
    <x v="537"/>
    <x v="375"/>
    <x v="0"/>
    <x v="4"/>
    <n v="1"/>
    <x v="324"/>
    <n v="583"/>
    <m/>
    <n v="0"/>
    <n v="1623"/>
    <n v="946209"/>
    <n v="1.52"/>
    <n v="1660.6"/>
    <n v="3352.941176470588"/>
    <n v="3352.941176470588"/>
    <s v="Shenzhen"/>
    <s v="30/70"/>
    <n v="30"/>
    <n v="100"/>
    <n v="245"/>
    <n v="0.6145086209719723"/>
    <n v="60"/>
    <n v="0.9796462947253946"/>
    <n v="45"/>
    <n v="0.5697129535209057"/>
    <n v="97"/>
    <n v="0.5857158327347692"/>
    <n v="63"/>
    <n v="0.4688375126345649"/>
    <n v="97"/>
    <n v="0.5574793808731391"/>
    <n v="20"/>
    <n v="0.6514404736059748"/>
    <n v="37"/>
    <n v="0.6434407898606691"/>
    <n v="24"/>
    <n v="0.6264982509273809"/>
    <n v="58"/>
    <n v="0.5847999682840255"/>
    <n v="49"/>
    <n v="0.6406024923682222"/>
    <n v="75"/>
    <n v="0.6291769302278013"/>
    <n v="71"/>
    <n v="0.4162378379916194"/>
    <n v="107"/>
    <n v="0.3652110149898186"/>
    <n v="132"/>
    <n v="0.2774520645960343"/>
    <n v="99"/>
    <n v="0.3692910731844107"/>
    <n v="0.99"/>
    <n v="71"/>
    <n v="0.5220652713151772"/>
    <n v="1.014285714285714"/>
    <n v="94"/>
    <n v="0.331959987407524"/>
    <n v="0.9399999999999999"/>
    <n v="14"/>
    <n v="0.3656552377480016"/>
    <n v="0.28"/>
    <n v="240"/>
    <n v="494"/>
    <n v="80"/>
    <n v="450"/>
    <n v="450"/>
    <n v="0"/>
    <n v="604567.5"/>
    <n v="777160.7999999999"/>
    <n v="129840"/>
    <n v="0"/>
    <n v="583"/>
    <n v="946209"/>
    <n v="225407.8101828967"/>
    <n v="80"/>
    <n v="846"/>
    <n v="160.5"/>
    <n v="300"/>
    <n v="0"/>
    <n v="0"/>
    <n v="635404.5"/>
    <n v="1330927.2"/>
    <n v="260491.5"/>
    <n v="0"/>
    <n v="583"/>
    <n v="946209"/>
    <n v="452224.4191794365"/>
    <n v="150"/>
    <n v="726"/>
    <n v="132"/>
    <n v="0"/>
    <n v="0"/>
    <n v="485037"/>
    <n v="1178298"/>
    <n v="214236"/>
    <n v="0"/>
    <n v="583"/>
    <n v="946209"/>
    <n v="442588.2352941177"/>
    <n v="100"/>
    <n v="596"/>
    <n v="99"/>
    <n v="0"/>
    <n v="0"/>
    <n v="937627.1999999998"/>
    <n v="160677"/>
    <n v="0"/>
    <n v="0"/>
    <n v="583"/>
    <n v="946209"/>
    <n v="331941.1764705883"/>
    <n v="70"/>
    <n v="654"/>
    <n v="70"/>
    <m/>
    <n v="0"/>
    <n v="0"/>
    <n v="1061442"/>
    <n v="110124"/>
    <n v="0"/>
    <n v="0"/>
    <n v="583"/>
    <n v="946209"/>
    <n v="234705.8823529412"/>
    <n v="100"/>
    <n v="677"/>
    <n v="94"/>
    <m/>
    <n v="0"/>
    <n v="0"/>
    <n v="1098771"/>
    <n v="147880.8"/>
    <n v="0"/>
    <n v="0"/>
    <n v="677"/>
    <n v="946209"/>
    <n v="315176.4705882353"/>
    <n v="50"/>
    <n v="597"/>
    <n v="50"/>
    <n v="0"/>
    <n v="0"/>
    <n v="0"/>
    <n v="968931"/>
    <n v="78659.99999999999"/>
    <n v="0"/>
    <n v="0"/>
    <n v="597"/>
    <n v="946209"/>
    <n v="167647.0588235294"/>
    <n v="50"/>
    <n v="547"/>
    <n v="50"/>
    <n v="0"/>
    <n v="0"/>
    <n v="0"/>
    <n v="887781"/>
    <n v="78659.99999999999"/>
    <n v="0"/>
    <n v="0"/>
    <n v="547"/>
    <n v="887781"/>
    <n v="167647.0588235294"/>
    <n v="50"/>
    <n v="497"/>
    <n v="50"/>
    <n v="0"/>
    <n v="0"/>
    <m/>
    <n v="781880.3999999999"/>
    <n v="78659.99999999999"/>
    <n v="0"/>
    <n v="0"/>
    <n v="497"/>
    <n v="781880.3999999999"/>
    <n v="167647.0588235294"/>
    <n v="100"/>
    <n v="447"/>
    <n v="100"/>
    <n v="0"/>
    <n v="0"/>
    <n v="0"/>
    <m/>
    <n v="703220.3999999999"/>
    <n v="157320"/>
    <n v="0"/>
    <n v="0"/>
    <n v="447"/>
    <n v="703220.3999999999"/>
    <n v="335294.1176470589"/>
    <n v="50"/>
    <n v="347"/>
    <n v="50"/>
    <n v="0"/>
    <n v="0"/>
    <n v="545900.3999999999"/>
    <n v="78659.99999999999"/>
    <n v="0"/>
    <n v="0"/>
    <n v="347"/>
    <n v="545900.3999999999"/>
    <n v="176029.4117647059"/>
    <n v="100"/>
    <n v="297"/>
    <n v="100"/>
    <n v="0"/>
    <n v="0"/>
    <n v="467240.4"/>
    <n v="157320"/>
    <n v="0"/>
    <n v="297"/>
    <n v="467240.4"/>
    <n v="335294.1176470589"/>
    <n v="30"/>
    <n v="197"/>
    <n v="30"/>
    <n v="0"/>
    <m/>
    <n v="309920.4"/>
    <n v="48690"/>
    <n v="0"/>
    <n v="197"/>
    <n v="309920.4"/>
    <n v="100588.2352941177"/>
  </r>
  <r>
    <s v="Simplit-Cristalería y Bar"/>
    <x v="2"/>
    <x v="20"/>
    <x v="55"/>
    <n v="66800506435054"/>
    <x v="538"/>
    <x v="376"/>
    <x v="0"/>
    <x v="0"/>
    <n v="1.5"/>
    <x v="325"/>
    <n v="128"/>
    <m/>
    <n v="0"/>
    <n v="691"/>
    <n v="88448"/>
    <n v="0.62"/>
    <n v="677.3499999999999"/>
    <n v="3352.941176470588"/>
    <n v="3352.941176470588"/>
    <s v="Shenzhen"/>
    <s v="30/70"/>
    <n v="30"/>
    <n v="100"/>
    <n v="121"/>
    <n v="0.8423075053864471"/>
    <n v="79"/>
    <n v="0.8097072510153841"/>
    <n v="46"/>
    <n v="0.7963842962399186"/>
    <n v="52"/>
    <n v="0.8207571571458694"/>
    <n v="82"/>
    <n v="0.8075257208668827"/>
    <n v="81"/>
    <n v="0.8052279095187637"/>
    <n v="53"/>
    <n v="0.8078733065782117"/>
    <n v="27"/>
    <n v="0.871013403190973"/>
    <n v="40"/>
    <n v="0.8806486555301117"/>
    <n v="69"/>
    <n v="0.829095010951141"/>
    <n v="36"/>
    <n v="0.8632547170046648"/>
    <n v="66"/>
    <n v="0.8511869113417553"/>
    <n v="81"/>
    <n v="0.5135810684944063"/>
    <n v="88"/>
    <n v="0.5085254148815315"/>
    <n v="108"/>
    <n v="0.5250057259667562"/>
    <n v="92"/>
    <n v="0.5167711608289981"/>
    <n v="1.533333333333333"/>
    <n v="65"/>
    <n v="0.8020093279626881"/>
    <n v="0.8125"/>
    <n v="88"/>
    <n v="0.4794448873408919"/>
    <n v="1.035294117647059"/>
    <n v="20"/>
    <n v="0.5452083944397209"/>
    <n v="0.2941176470588235"/>
    <n v="130"/>
    <n v="496"/>
    <n v="120"/>
    <n v="0"/>
    <n v="0"/>
    <n v="0"/>
    <n v="248760"/>
    <n v="318283.2"/>
    <n v="82920"/>
    <n v="0"/>
    <n v="128"/>
    <n v="88448"/>
    <n v="338111.7152743451"/>
    <n v="100"/>
    <n v="389"/>
    <n v="132"/>
    <n v="200"/>
    <n v="0"/>
    <n v="0"/>
    <n v="229412"/>
    <n v="249621.3"/>
    <n v="91212"/>
    <n v="0"/>
    <n v="128"/>
    <n v="88448"/>
    <n v="371922.8868017796"/>
    <n v="50"/>
    <n v="304"/>
    <n v="108"/>
    <n v="0"/>
    <n v="0"/>
    <n v="215204"/>
    <n v="210064"/>
    <n v="74628"/>
    <n v="0"/>
    <n v="128"/>
    <n v="88448"/>
    <n v="362117.6470588236"/>
    <n v="60"/>
    <n v="218"/>
    <n v="92"/>
    <n v="0"/>
    <n v="0"/>
    <n v="139890.6"/>
    <n v="63572"/>
    <n v="0"/>
    <n v="0"/>
    <n v="128"/>
    <n v="88448"/>
    <n v="308470.5882352941"/>
    <n v="80"/>
    <n v="193"/>
    <n v="120"/>
    <m/>
    <n v="0"/>
    <n v="0"/>
    <n v="133363"/>
    <n v="77003.99999999999"/>
    <n v="0"/>
    <n v="0"/>
    <n v="128"/>
    <n v="88448"/>
    <n v="402352.9411764706"/>
    <n v="85"/>
    <n v="216"/>
    <n v="88"/>
    <m/>
    <n v="200"/>
    <n v="0"/>
    <n v="149256"/>
    <n v="56469.59999999999"/>
    <n v="0"/>
    <n v="0"/>
    <n v="216"/>
    <n v="88448"/>
    <n v="295058.8235294117"/>
    <n v="68"/>
    <n v="148"/>
    <n v="102"/>
    <n v="0"/>
    <n v="0"/>
    <n v="0"/>
    <n v="102268"/>
    <n v="65453.39999999999"/>
    <n v="0"/>
    <n v="0"/>
    <n v="148"/>
    <n v="88448"/>
    <n v="342000"/>
    <n v="91"/>
    <n v="46"/>
    <n v="136.5"/>
    <n v="0"/>
    <n v="0"/>
    <n v="0"/>
    <n v="31786"/>
    <n v="87592.04999999999"/>
    <n v="0"/>
    <n v="0"/>
    <n v="46"/>
    <n v="31786"/>
    <n v="457676.4705882353"/>
    <n v="56"/>
    <n v="0"/>
    <n v="84"/>
    <n v="0"/>
    <n v="0"/>
    <m/>
    <n v="0"/>
    <n v="53902.8"/>
    <n v="0"/>
    <n v="0"/>
    <n v="0"/>
    <n v="0"/>
    <n v="281647.0588235294"/>
    <n v="70"/>
    <n v="0"/>
    <n v="0"/>
    <n v="350"/>
    <n v="350"/>
    <n v="350"/>
    <n v="0"/>
    <n v="0"/>
    <n v="0"/>
    <n v="224595"/>
    <n v="224595"/>
    <n v="350"/>
    <n v="224595"/>
    <n v="0"/>
    <n v="60"/>
    <n v="350"/>
    <n v="90"/>
    <n v="0"/>
    <n v="0"/>
    <n v="224595"/>
    <n v="57752.99999999999"/>
    <n v="0"/>
    <n v="0"/>
    <n v="350"/>
    <n v="224595"/>
    <n v="316852.9411764706"/>
    <n v="85"/>
    <n v="260"/>
    <n v="127.5"/>
    <n v="0"/>
    <n v="0"/>
    <n v="166842"/>
    <n v="81816.74999999999"/>
    <n v="0"/>
    <n v="260"/>
    <n v="166842"/>
    <n v="427500"/>
    <n v="36"/>
    <n v="132.5"/>
    <n v="54"/>
    <n v="0"/>
    <m/>
    <n v="85025.24999999999"/>
    <n v="37314"/>
    <n v="0"/>
    <n v="132.5"/>
    <n v="85025.24999999999"/>
    <n v="181058.8235294118"/>
  </r>
  <r>
    <s v="Simplit-Cristalería y Bar"/>
    <x v="2"/>
    <x v="20"/>
    <x v="55"/>
    <n v="66800509015029"/>
    <x v="539"/>
    <x v="377"/>
    <x v="0"/>
    <x v="0"/>
    <n v="1"/>
    <x v="326"/>
    <n v="259"/>
    <m/>
    <n v="0"/>
    <n v="1538"/>
    <n v="398342"/>
    <n v="1.42"/>
    <n v="1551.35"/>
    <n v="3352.941176470588"/>
    <n v="3352.941176470588"/>
    <s v="Shenzhen"/>
    <s v="30/70"/>
    <n v="30"/>
    <n v="100"/>
    <n v="190"/>
    <n v="0.5987344462727426"/>
    <n v="89"/>
    <n v="0.72030722530293"/>
    <n v="107"/>
    <n v="0.5526804662765038"/>
    <n v="92"/>
    <n v="0.5972165059951885"/>
    <n v="70"/>
    <n v="0.5587243984530001"/>
    <n v="112"/>
    <n v="0.5971303225955275"/>
    <n v="43"/>
    <n v="0.6475062873283131"/>
    <n v="28"/>
    <n v="0.5762678410347876"/>
    <n v="3"/>
    <n v="0.796094927433461"/>
    <n v="70"/>
    <n v="0.5859586907633512"/>
    <n v="47"/>
    <n v="0.7496710304212463"/>
    <n v="68"/>
    <n v="0.6927030217852317"/>
    <n v="79"/>
    <n v="0.5607513769798955"/>
    <n v="84"/>
    <n v="0.49978277650938"/>
    <n v="118"/>
    <n v="0.5044883941365168"/>
    <n v="125"/>
    <n v="0.4469021650856491"/>
    <n v="1.041666666666667"/>
    <n v="88"/>
    <n v="0.547542866215072"/>
    <n v="1.257142857142857"/>
    <n v="109"/>
    <n v="0.3687118726746041"/>
    <n v="0.9083333333333333"/>
    <n v="32"/>
    <n v="0.4851903197412376"/>
    <n v="0.4324324324324325"/>
    <n v="200"/>
    <n v="474"/>
    <n v="80"/>
    <n v="300"/>
    <n v="300"/>
    <n v="0"/>
    <n v="498312"/>
    <n v="696637.7999999999"/>
    <n v="123040"/>
    <n v="0"/>
    <n v="259"/>
    <n v="398342"/>
    <n v="225407.8101828967"/>
    <n v="100"/>
    <n v="661"/>
    <n v="126"/>
    <n v="200"/>
    <n v="0"/>
    <n v="0"/>
    <n v="567522"/>
    <n v="971471.6999999998"/>
    <n v="193788"/>
    <n v="0"/>
    <n v="259"/>
    <n v="398342"/>
    <n v="355017.3010380623"/>
    <n v="110"/>
    <n v="583"/>
    <n v="118"/>
    <n v="0"/>
    <n v="0"/>
    <n v="476613"/>
    <n v="896654"/>
    <n v="181484"/>
    <n v="0"/>
    <n v="259"/>
    <n v="398342"/>
    <n v="395647.0588235294"/>
    <n v="120"/>
    <n v="440"/>
    <n v="125"/>
    <n v="0"/>
    <n v="0"/>
    <n v="646667.9999999999"/>
    <n v="192250"/>
    <n v="0"/>
    <n v="0"/>
    <n v="259"/>
    <n v="398342"/>
    <n v="419117.6470588236"/>
    <n v="70"/>
    <n v="347"/>
    <n v="70"/>
    <m/>
    <n v="0"/>
    <n v="0"/>
    <n v="533686"/>
    <n v="102879"/>
    <n v="0"/>
    <n v="0"/>
    <n v="259"/>
    <n v="398342"/>
    <n v="234705.8823529412"/>
    <n v="120"/>
    <n v="368"/>
    <n v="109"/>
    <m/>
    <n v="200"/>
    <n v="0"/>
    <n v="565984"/>
    <n v="160197.3"/>
    <n v="0"/>
    <n v="0"/>
    <n v="368"/>
    <n v="398342"/>
    <n v="365470.5882352941"/>
    <n v="74"/>
    <n v="291"/>
    <n v="74"/>
    <n v="0"/>
    <n v="0"/>
    <n v="0"/>
    <n v="447558"/>
    <n v="108757.8"/>
    <n v="0"/>
    <n v="0"/>
    <n v="291"/>
    <n v="398342"/>
    <n v="248117.6470588235"/>
    <n v="60"/>
    <n v="217"/>
    <n v="60"/>
    <n v="0"/>
    <n v="0"/>
    <n v="0"/>
    <n v="333746"/>
    <n v="88181.99999999999"/>
    <n v="0"/>
    <n v="0"/>
    <n v="217"/>
    <n v="333746"/>
    <n v="201176.4705882353"/>
    <n v="57"/>
    <n v="157"/>
    <n v="57"/>
    <n v="0"/>
    <n v="0"/>
    <m/>
    <n v="230742.9"/>
    <n v="83772.89999999999"/>
    <n v="0"/>
    <n v="0"/>
    <n v="157"/>
    <n v="230742.9"/>
    <n v="191117.6470588235"/>
    <n v="50"/>
    <n v="100"/>
    <n v="50"/>
    <n v="0"/>
    <n v="0"/>
    <n v="0"/>
    <m/>
    <n v="146970"/>
    <n v="73484.99999999999"/>
    <n v="0"/>
    <n v="0"/>
    <n v="100"/>
    <n v="146970"/>
    <n v="167647.0588235294"/>
    <n v="50"/>
    <n v="50"/>
    <n v="50"/>
    <n v="0"/>
    <n v="0"/>
    <n v="73484.99999999999"/>
    <n v="73484.99999999999"/>
    <n v="0"/>
    <n v="0"/>
    <n v="50"/>
    <n v="73484.99999999999"/>
    <n v="176029.4117647059"/>
    <n v="80"/>
    <n v="0"/>
    <n v="80"/>
    <n v="0"/>
    <n v="0"/>
    <n v="0"/>
    <n v="117576"/>
    <n v="0"/>
    <n v="0"/>
    <n v="0"/>
    <n v="268235.294117647"/>
    <n v="30"/>
    <n v="0"/>
    <n v="30"/>
    <n v="0"/>
    <m/>
    <n v="0"/>
    <n v="46140"/>
    <n v="0"/>
    <n v="0"/>
    <n v="0"/>
    <n v="100588.2352941177"/>
  </r>
  <r>
    <s v="Simplit-Cristalería y Bar"/>
    <x v="2"/>
    <x v="20"/>
    <x v="55"/>
    <n v="66800510263382"/>
    <x v="540"/>
    <x v="378"/>
    <x v="0"/>
    <x v="4"/>
    <n v="1.1"/>
    <x v="327"/>
    <n v="1798"/>
    <m/>
    <n v="0"/>
    <n v="1312"/>
    <n v="2358976"/>
    <n v="1.12"/>
    <n v="1223.6"/>
    <n v="3352.941176470588"/>
    <n v="3352.941176470588"/>
    <s v="Shenzhen"/>
    <s v="30/70"/>
    <n v="30"/>
    <n v="300"/>
    <n v="418"/>
    <n v="0.6597387527261004"/>
    <n v="351"/>
    <n v="0.7903031088525543"/>
    <n v="258"/>
    <n v="0.6819281099087612"/>
    <n v="174"/>
    <n v="0.6597937985712682"/>
    <n v="120"/>
    <n v="0.6349680133473323"/>
    <n v="68"/>
    <n v="0.6306698685569219"/>
    <n v="13"/>
    <n v="0.6339146952167156"/>
    <n v="41"/>
    <n v="0.7004899806160091"/>
    <n v="12"/>
    <n v="0.8147015943650199"/>
    <n v="51"/>
    <n v="0.6981525381443195"/>
    <n v="36"/>
    <n v="0.8219206410291069"/>
    <n v="53"/>
    <n v="0.7591903036941292"/>
    <n v="137"/>
    <n v="0.6111225928843971"/>
    <n v="79"/>
    <n v="0.5658574891060657"/>
    <n v="194"/>
    <n v="0.4571174606503137"/>
    <n v="121"/>
    <n v="0.5777647053236271"/>
    <n v="1.21"/>
    <n v="96"/>
    <n v="0.6097881533937466"/>
    <n v="0.96"/>
    <n v="143"/>
    <n v="0.5440497717388266"/>
    <n v="0.9533333333333334"/>
    <n v="11"/>
    <n v="0.5531107742523486"/>
    <n v="0.130952380952381"/>
    <n v="400"/>
    <n v="1480"/>
    <n v="150"/>
    <n v="550"/>
    <n v="550"/>
    <n v="0"/>
    <n v="606800"/>
    <n v="1715616"/>
    <n v="196800"/>
    <n v="0"/>
    <n v="1798"/>
    <n v="2358976"/>
    <n v="422639.6440929314"/>
    <n v="351"/>
    <n v="1873"/>
    <n v="118.5"/>
    <n v="650"/>
    <n v="0"/>
    <n v="0"/>
    <n v="568752"/>
    <n v="2171181.6"/>
    <n v="155472"/>
    <n v="0"/>
    <n v="1798"/>
    <n v="2358976"/>
    <n v="333885.3188334157"/>
    <n v="250"/>
    <n v="1799"/>
    <n v="194"/>
    <n v="0"/>
    <n v="0"/>
    <n v="540792"/>
    <n v="2360288"/>
    <n v="254528"/>
    <n v="0"/>
    <n v="1798"/>
    <n v="2358976"/>
    <n v="650470.5882352941"/>
    <n v="100"/>
    <n v="1568"/>
    <n v="121"/>
    <n v="0"/>
    <n v="0"/>
    <n v="1817625.6"/>
    <n v="158752"/>
    <n v="0"/>
    <n v="0"/>
    <n v="1798"/>
    <n v="2358976"/>
    <n v="405705.8823529412"/>
    <n v="100"/>
    <n v="1894"/>
    <n v="110"/>
    <m/>
    <n v="0"/>
    <n v="0"/>
    <n v="2484928"/>
    <n v="127512"/>
    <n v="0"/>
    <n v="0"/>
    <n v="1798"/>
    <n v="2358976"/>
    <n v="368823.5294117648"/>
    <n v="150"/>
    <n v="1941"/>
    <n v="143"/>
    <m/>
    <n v="0"/>
    <n v="0"/>
    <n v="2546592"/>
    <n v="165765.6"/>
    <n v="0"/>
    <n v="0"/>
    <n v="1941"/>
    <n v="2358976"/>
    <n v="479470.5882352941"/>
    <n v="84"/>
    <n v="1809"/>
    <n v="92.40000000000001"/>
    <n v="0"/>
    <n v="0"/>
    <n v="0"/>
    <n v="2373408"/>
    <n v="107110.08"/>
    <n v="0"/>
    <n v="0"/>
    <n v="1809"/>
    <n v="2358976"/>
    <n v="309811.7647058823"/>
    <n v="80"/>
    <n v="1716.6"/>
    <n v="88"/>
    <n v="0"/>
    <n v="0"/>
    <n v="0"/>
    <n v="2252179.2"/>
    <n v="102009.6"/>
    <n v="0"/>
    <n v="0"/>
    <n v="1716.6"/>
    <n v="2252179.2"/>
    <n v="295058.8235294117"/>
    <n v="68"/>
    <n v="1628.6"/>
    <n v="74.80000000000001"/>
    <n v="0"/>
    <n v="0"/>
    <m/>
    <n v="1887873.12"/>
    <n v="86708.16000000002"/>
    <n v="0"/>
    <n v="0"/>
    <n v="1628.6"/>
    <n v="1887873.12"/>
    <n v="250800"/>
    <n v="80"/>
    <n v="1553.8"/>
    <n v="88"/>
    <n v="0"/>
    <n v="0"/>
    <n v="0"/>
    <m/>
    <n v="1801164.96"/>
    <n v="102009.6"/>
    <n v="0"/>
    <n v="0"/>
    <n v="1553.8"/>
    <n v="1801164.96"/>
    <n v="295058.8235294117"/>
    <n v="60"/>
    <n v="1465.8"/>
    <n v="66"/>
    <n v="0"/>
    <n v="0"/>
    <n v="1699155.36"/>
    <n v="76507.2"/>
    <n v="0"/>
    <n v="0"/>
    <n v="1465.8"/>
    <n v="1699155.36"/>
    <n v="232358.8235294118"/>
    <n v="100"/>
    <n v="1399.8"/>
    <n v="110"/>
    <n v="0"/>
    <n v="0"/>
    <n v="1622648.16"/>
    <n v="127512"/>
    <n v="0"/>
    <n v="1399.8"/>
    <n v="1622648.16"/>
    <n v="368823.5294117648"/>
    <n v="36"/>
    <n v="1289.8"/>
    <n v="39.6"/>
    <n v="0"/>
    <m/>
    <n v="1495136.16"/>
    <n v="51955.2"/>
    <n v="0"/>
    <n v="1289.8"/>
    <n v="1495136.16"/>
    <n v="132776.4705882353"/>
  </r>
  <r>
    <s v="Simplit-Cristalería y Bar"/>
    <x v="2"/>
    <x v="20"/>
    <x v="56"/>
    <n v="67933856404072"/>
    <x v="541"/>
    <x v="379"/>
    <x v="0"/>
    <x v="3"/>
    <n v="1"/>
    <x v="328"/>
    <n v="47"/>
    <m/>
    <n v="0"/>
    <n v="2380.332487833367"/>
    <n v="111875.6269281682"/>
    <n v="3.15"/>
    <n v="3441.375"/>
    <n v="8394.957983193277"/>
    <n v="7554.621848739496"/>
    <s v="Shenzhen"/>
    <s v="30/70"/>
    <n v="30"/>
    <n v="100"/>
    <n v="66"/>
    <n v="0.6935855382927451"/>
    <n v="68"/>
    <n v="0.6805483819399006"/>
    <n v="50"/>
    <n v="0.7234328687259161"/>
    <n v="75"/>
    <n v="0.7251198551733686"/>
    <n v="8"/>
    <n v="0.761643868993836"/>
    <n v="113"/>
    <n v="0.7447661371601441"/>
    <n v="76"/>
    <n v="0.7676404039295913"/>
    <n v="68"/>
    <n v="0.7828739877449803"/>
    <n v="55"/>
    <n v="0.7728928402068238"/>
    <n v="89"/>
    <n v="0.730495121979388"/>
    <n v="96"/>
    <n v="0.7158384910072085"/>
    <n v="107"/>
    <n v="0.7518880353585837"/>
    <n v="95"/>
    <n v="0.6546359870744061"/>
    <n v="111"/>
    <n v="0.6046690510400868"/>
    <n v="137"/>
    <n v="0.582225033251819"/>
    <n v="104"/>
    <n v="0.6172962441126152"/>
    <n v="1.04"/>
    <n v="112"/>
    <n v="0.7196098479048265"/>
    <n v="0.896"/>
    <n v="155"/>
    <n v="0.597095253362303"/>
    <n v="0.6888888888888889"/>
    <n v="0"/>
    <n v="0.6259837818993246"/>
    <n v="0"/>
    <n v="80"/>
    <n v="227"/>
    <n v="120"/>
    <n v="200"/>
    <n v="200"/>
    <n v="0"/>
    <n v="1008070.808597431"/>
    <n v="740076.7499999999"/>
    <n v="285639.898540004"/>
    <n v="0"/>
    <n v="47"/>
    <n v="111875.6269281682"/>
    <n v="846550.3848598263"/>
    <n v="100"/>
    <n v="328"/>
    <n v="166.5"/>
    <n v="200"/>
    <n v="100"/>
    <n v="0"/>
    <n v="969985.4887920971"/>
    <n v="1069362"/>
    <n v="396325.3592242556"/>
    <n v="0"/>
    <n v="47"/>
    <n v="111875.6269281682"/>
    <n v="1174588.658993009"/>
    <n v="120"/>
    <n v="205"/>
    <n v="137"/>
    <n v="0"/>
    <n v="0"/>
    <n v="981191.3795678413"/>
    <n v="487968.1600058402"/>
    <n v="326105.5508331713"/>
    <n v="0"/>
    <n v="47"/>
    <n v="111875.6269281682"/>
    <n v="1150109.243697479"/>
    <n v="100"/>
    <n v="279"/>
    <n v="104"/>
    <n v="0"/>
    <n v="0"/>
    <n v="909609.7499999999"/>
    <n v="247554.5787346702"/>
    <n v="0"/>
    <n v="0"/>
    <n v="47"/>
    <n v="111875.6269281682"/>
    <n v="873075.6302521008"/>
    <n v="125"/>
    <n v="159"/>
    <n v="125"/>
    <m/>
    <n v="0"/>
    <n v="0"/>
    <n v="378472.8655655053"/>
    <n v="407531.2499999999"/>
    <n v="0"/>
    <n v="0"/>
    <n v="47"/>
    <n v="111875.6269281682"/>
    <n v="1049369.74789916"/>
    <n v="225"/>
    <n v="202"/>
    <n v="155"/>
    <m/>
    <n v="0"/>
    <n v="0"/>
    <n v="480827.1625423401"/>
    <n v="505338.7499999999"/>
    <n v="0"/>
    <n v="0"/>
    <n v="202"/>
    <n v="111875.6269281682"/>
    <n v="1301218.487394958"/>
    <n v="113"/>
    <n v="47"/>
    <n v="113"/>
    <n v="200"/>
    <n v="200"/>
    <n v="0"/>
    <n v="111875.6269281682"/>
    <n v="368408.2499999999"/>
    <n v="630315"/>
    <n v="0"/>
    <n v="47"/>
    <n v="111875.6269281682"/>
    <n v="948630.2521008403"/>
    <n v="88"/>
    <n v="0"/>
    <n v="88"/>
    <n v="150"/>
    <n v="150"/>
    <n v="0"/>
    <n v="0"/>
    <n v="286901.9999999999"/>
    <n v="489037.4999999999"/>
    <n v="0"/>
    <n v="150"/>
    <n v="0"/>
    <n v="738756.3025210084"/>
    <n v="81"/>
    <n v="0"/>
    <n v="81"/>
    <n v="300"/>
    <n v="300"/>
    <n v="300"/>
    <n v="0"/>
    <n v="264080.2499999999"/>
    <n v="978074.9999999999"/>
    <n v="978074.9999999999"/>
    <n v="300"/>
    <n v="978074.9999999999"/>
    <n v="679991.5966386554"/>
    <n v="120"/>
    <n v="219"/>
    <n v="120"/>
    <n v="0"/>
    <n v="0"/>
    <n v="0"/>
    <m/>
    <n v="713994.7499999999"/>
    <n v="391229.9999999999"/>
    <n v="0"/>
    <n v="0"/>
    <n v="219"/>
    <n v="713994.7499999999"/>
    <n v="906554.6218487396"/>
    <n v="80"/>
    <n v="99"/>
    <n v="80"/>
    <n v="0"/>
    <n v="0"/>
    <n v="322764.7499999999"/>
    <n v="260820"/>
    <n v="0"/>
    <n v="0"/>
    <n v="99"/>
    <n v="322764.7499999999"/>
    <n v="634588.2352941177"/>
    <n v="120"/>
    <n v="19"/>
    <n v="120"/>
    <n v="0"/>
    <n v="0"/>
    <n v="61944.74999999999"/>
    <n v="391229.9999999999"/>
    <n v="0"/>
    <n v="19"/>
    <n v="61944.74999999999"/>
    <n v="1007394.957983193"/>
    <n v="48"/>
    <n v="0"/>
    <n v="48"/>
    <n v="0"/>
    <m/>
    <n v="0"/>
    <n v="114255.9594160016"/>
    <n v="0"/>
    <n v="0"/>
    <n v="0"/>
    <n v="402957.9831932773"/>
  </r>
  <r>
    <s v="Simplit-Cristalería y Bar"/>
    <x v="2"/>
    <x v="20"/>
    <x v="56"/>
    <n v="67933857637909"/>
    <x v="542"/>
    <x v="380"/>
    <x v="0"/>
    <x v="3"/>
    <n v="1"/>
    <x v="329"/>
    <n v="8"/>
    <m/>
    <n v="0"/>
    <n v="3131.240390927825"/>
    <n v="25049.9231274226"/>
    <n v="3.7"/>
    <n v="4042.25"/>
    <n v="12596.63865546219"/>
    <n v="11756.3025210084"/>
    <s v="Shenzhen"/>
    <s v="30/70"/>
    <n v="30"/>
    <n v="100"/>
    <n v="121"/>
    <n v="0.7793434168149909"/>
    <n v="90"/>
    <n v="0.764986830380483"/>
    <n v="94"/>
    <n v="0.7566434689957331"/>
    <n v="147"/>
    <n v="0.7676841423564666"/>
    <n v="71"/>
    <n v="0.7781812337034345"/>
    <n v="232"/>
    <n v="0.7522022497180886"/>
    <n v="61"/>
    <n v="0.7803560512996714"/>
    <n v="19"/>
    <n v="0.806787292992451"/>
    <n v="101"/>
    <n v="0.7878532280341114"/>
    <n v="196"/>
    <n v="0.7251442463926845"/>
    <n v="177"/>
    <n v="0.8065035031662777"/>
    <n v="209"/>
    <n v="0.768945063920348"/>
    <n v="217"/>
    <n v="0.6405523554765733"/>
    <n v="175"/>
    <n v="0.6094102403980097"/>
    <n v="156"/>
    <n v="0.5839481770620188"/>
    <n v="119"/>
    <n v="0.5560975514118327"/>
    <n v="0.7933333333333333"/>
    <n v="171"/>
    <n v="0.7344983284649763"/>
    <n v="1.315384615384615"/>
    <n v="264"/>
    <n v="0.6253152170988834"/>
    <n v="1.147826086956522"/>
    <n v="0"/>
    <n v="0.6298304552829552"/>
    <n v="0"/>
    <n v="120"/>
    <n v="411"/>
    <n v="250"/>
    <n v="200"/>
    <n v="200"/>
    <n v="0"/>
    <n v="2093234.201335251"/>
    <n v="1573924.5"/>
    <n v="782810.0977319563"/>
    <n v="0"/>
    <n v="8"/>
    <n v="25049.9231274226"/>
    <n v="2646352.658710544"/>
    <n v="180"/>
    <n v="345"/>
    <n v="262.5"/>
    <n v="350"/>
    <n v="100"/>
    <n v="0"/>
    <n v="1683041.710123706"/>
    <n v="1321177.5"/>
    <n v="821950.602618554"/>
    <n v="0"/>
    <n v="8"/>
    <n v="25049.9231274226"/>
    <n v="2778670.291646071"/>
    <n v="183"/>
    <n v="102"/>
    <n v="156"/>
    <n v="0"/>
    <n v="0"/>
    <n v="1358926.107505152"/>
    <n v="319386.5198746382"/>
    <n v="488473.5009847407"/>
    <n v="0"/>
    <n v="8"/>
    <n v="25049.9231274226"/>
    <n v="1965075.630252101"/>
    <n v="150"/>
    <n v="301"/>
    <n v="119"/>
    <n v="0"/>
    <n v="0"/>
    <n v="1152679.5"/>
    <n v="372617.6065204112"/>
    <n v="0"/>
    <n v="0"/>
    <n v="8"/>
    <n v="25049.9231274226"/>
    <n v="1499000"/>
    <n v="130"/>
    <n v="179"/>
    <n v="130"/>
    <m/>
    <n v="0"/>
    <n v="0"/>
    <n v="560492.0299760806"/>
    <n v="497834.9999999999"/>
    <n v="0"/>
    <n v="0"/>
    <n v="8"/>
    <n v="25049.9231274226"/>
    <n v="1637563.025210084"/>
    <n v="230"/>
    <n v="272"/>
    <n v="264"/>
    <m/>
    <n v="0"/>
    <n v="0"/>
    <n v="851697.3863323684"/>
    <n v="1010988"/>
    <n v="0"/>
    <n v="0"/>
    <n v="272"/>
    <n v="25049.9231274226"/>
    <n v="3325512.605042017"/>
    <n v="120"/>
    <n v="8"/>
    <n v="120"/>
    <n v="300"/>
    <n v="300"/>
    <n v="0"/>
    <n v="25049.9231274226"/>
    <n v="459539.9999999999"/>
    <n v="1110555"/>
    <n v="0"/>
    <n v="8"/>
    <n v="25049.9231274226"/>
    <n v="1511596.638655462"/>
    <n v="81"/>
    <n v="0"/>
    <n v="81"/>
    <n v="200"/>
    <n v="200"/>
    <n v="0"/>
    <n v="0"/>
    <n v="310189.4999999999"/>
    <n v="765899.9999999999"/>
    <n v="0"/>
    <n v="200"/>
    <n v="0"/>
    <n v="1020327.731092437"/>
    <n v="100"/>
    <n v="0"/>
    <n v="100"/>
    <n v="300"/>
    <n v="300"/>
    <n v="300"/>
    <n v="0"/>
    <n v="382949.9999999999"/>
    <n v="1148850"/>
    <n v="1148850"/>
    <n v="300"/>
    <n v="1148850"/>
    <n v="1259663.865546219"/>
    <n v="200"/>
    <n v="200"/>
    <n v="200"/>
    <n v="0"/>
    <n v="0"/>
    <n v="0"/>
    <m/>
    <n v="765899.9999999999"/>
    <n v="765899.9999999999"/>
    <n v="0"/>
    <n v="0"/>
    <n v="200"/>
    <n v="765899.9999999999"/>
    <n v="2351260.504201681"/>
    <n v="150"/>
    <n v="0"/>
    <n v="150"/>
    <n v="300"/>
    <n v="300"/>
    <n v="0"/>
    <n v="574424.9999999999"/>
    <n v="1148850"/>
    <n v="1148850"/>
    <n v="300"/>
    <n v="1148850"/>
    <n v="1851617.647058824"/>
    <n v="180"/>
    <n v="150"/>
    <n v="180"/>
    <n v="0"/>
    <n v="0"/>
    <n v="574424.9999999999"/>
    <n v="689309.9999999999"/>
    <n v="0"/>
    <n v="150"/>
    <n v="574424.9999999999"/>
    <n v="2267394.957983193"/>
    <n v="90"/>
    <n v="0"/>
    <n v="90"/>
    <n v="0"/>
    <m/>
    <n v="0"/>
    <n v="281811.6351835043"/>
    <n v="0"/>
    <n v="0"/>
    <n v="0"/>
    <n v="1133697.478991597"/>
  </r>
  <r>
    <s v="Simplit-Cristalería y Bar"/>
    <x v="2"/>
    <x v="20"/>
    <x v="56"/>
    <n v="67933859111971"/>
    <x v="543"/>
    <x v="381"/>
    <x v="0"/>
    <x v="0"/>
    <n v="1"/>
    <x v="330"/>
    <n v="95"/>
    <m/>
    <n v="0"/>
    <n v="3727.158749999999"/>
    <n v="354080.0812499999"/>
    <n v="3.6"/>
    <n v="3932.999999999999"/>
    <n v="9235.294117647059"/>
    <n v="8394.957983193277"/>
    <s v="Shenzhen"/>
    <s v="30/70"/>
    <n v="30"/>
    <n v="100"/>
    <n v="170"/>
    <n v="0.5581573037966696"/>
    <n v="44"/>
    <n v="0.5336598338093717"/>
    <n v="75"/>
    <n v="0.5052057203914999"/>
    <n v="43"/>
    <n v="0.5513279194957795"/>
    <n v="36"/>
    <n v="0.5669298099105354"/>
    <n v="103"/>
    <n v="0.5326810105352402"/>
    <n v="48"/>
    <n v="0.5853942024137192"/>
    <n v="30"/>
    <n v="0.5935495336691935"/>
    <n v="32"/>
    <n v="0.6173512421042692"/>
    <n v="68"/>
    <n v="0.5657319064702894"/>
    <n v="46"/>
    <n v="0.592952329467211"/>
    <n v="58"/>
    <n v="0.6203504755956716"/>
    <n v="43"/>
    <n v="0.4051871443305256"/>
    <n v="28"/>
    <n v="0.4321172696879506"/>
    <n v="53"/>
    <n v="0.4494746676781861"/>
    <n v="56"/>
    <n v="0.4413651770686844"/>
    <n v="1.12"/>
    <n v="68"/>
    <n v="0.6005864222464732"/>
    <n v="1.7"/>
    <n v="38"/>
    <n v="0.4314017650586924"/>
    <n v="0.4086021505376344"/>
    <n v="4"/>
    <n v="0.4752845310622529"/>
    <n v="0.08888888888888889"/>
    <n v="100"/>
    <n v="148"/>
    <n v="30"/>
    <n v="200"/>
    <n v="200"/>
    <n v="0"/>
    <n v="465894.8437499999"/>
    <n v="551447.9999999999"/>
    <n v="111814.7625"/>
    <n v="0"/>
    <n v="95"/>
    <n v="354080.0812499999"/>
    <n v="232822.5407810183"/>
    <n v="60"/>
    <n v="319"/>
    <n v="42"/>
    <n v="100"/>
    <n v="100"/>
    <n v="0"/>
    <n v="562800.9712499999"/>
    <n v="1188594"/>
    <n v="156540.6675"/>
    <n v="0"/>
    <n v="95"/>
    <n v="354080.0812499999"/>
    <n v="325951.5570934257"/>
    <n v="80"/>
    <n v="288"/>
    <n v="53"/>
    <n v="0"/>
    <n v="0"/>
    <n v="555300.3037499998"/>
    <n v="1073421.72"/>
    <n v="197539.4137499999"/>
    <n v="0"/>
    <n v="95"/>
    <n v="354080.0812499999"/>
    <n v="489470.5882352942"/>
    <n v="50"/>
    <n v="338"/>
    <n v="56"/>
    <n v="0"/>
    <n v="0"/>
    <n v="1259388"/>
    <n v="208720.89"/>
    <n v="0"/>
    <n v="0"/>
    <n v="95"/>
    <n v="354080.0812499999"/>
    <n v="517176.4705882353"/>
    <n v="40"/>
    <n v="163"/>
    <n v="40"/>
    <m/>
    <n v="0"/>
    <n v="0"/>
    <n v="607526.8762499999"/>
    <n v="149040"/>
    <n v="0"/>
    <n v="0"/>
    <n v="95"/>
    <n v="354080.0812499999"/>
    <n v="369411.7647058824"/>
    <n v="93"/>
    <n v="133"/>
    <n v="38"/>
    <m/>
    <n v="0"/>
    <n v="0"/>
    <n v="495712.1137499999"/>
    <n v="141588"/>
    <n v="0"/>
    <n v="0"/>
    <n v="133"/>
    <n v="354080.0812499999"/>
    <n v="350941.1764705883"/>
    <n v="45"/>
    <n v="99"/>
    <n v="45"/>
    <n v="0"/>
    <n v="0"/>
    <n v="0"/>
    <n v="368988.7162499999"/>
    <n v="167670"/>
    <n v="0"/>
    <n v="0"/>
    <n v="99"/>
    <n v="354080.0812499999"/>
    <n v="415588.2352941177"/>
    <n v="30"/>
    <n v="54"/>
    <n v="30"/>
    <n v="0"/>
    <n v="0"/>
    <n v="0"/>
    <n v="201266.5725"/>
    <n v="111780"/>
    <n v="0"/>
    <n v="0"/>
    <n v="54"/>
    <n v="201266.5725"/>
    <n v="277058.8235294118"/>
    <n v="40"/>
    <n v="24"/>
    <n v="40"/>
    <n v="100"/>
    <n v="100"/>
    <n v="0"/>
    <n v="89423.99999999997"/>
    <n v="149040"/>
    <n v="372599.9999999999"/>
    <n v="0"/>
    <n v="24"/>
    <n v="89423.99999999997"/>
    <n v="369411.7647058824"/>
    <n v="70"/>
    <n v="0"/>
    <n v="0"/>
    <n v="0"/>
    <n v="0"/>
    <n v="0"/>
    <n v="100"/>
    <n v="0"/>
    <n v="0"/>
    <n v="0"/>
    <n v="372599.9999999999"/>
    <n v="0"/>
    <n v="372599.9999999999"/>
    <n v="0"/>
    <n v="40"/>
    <n v="0"/>
    <n v="40"/>
    <n v="150"/>
    <n v="150"/>
    <n v="0"/>
    <n v="149040"/>
    <n v="558899.9999999999"/>
    <n v="558899.9999999999"/>
    <n v="150"/>
    <n v="558899.9999999999"/>
    <n v="352588.2352941177"/>
    <n v="50"/>
    <n v="110"/>
    <n v="50"/>
    <n v="0"/>
    <n v="0"/>
    <n v="409859.9999999999"/>
    <n v="186299.9999999999"/>
    <n v="0"/>
    <n v="110"/>
    <n v="409859.9999999999"/>
    <n v="461764.705882353"/>
    <n v="24"/>
    <n v="60"/>
    <n v="24"/>
    <n v="0"/>
    <m/>
    <n v="223559.9999999999"/>
    <n v="89451.80999999998"/>
    <n v="0"/>
    <n v="60"/>
    <n v="223559.9999999999"/>
    <n v="221647.0588235294"/>
  </r>
  <r>
    <s v="Simplit-Cristalería y Bar"/>
    <x v="2"/>
    <x v="20"/>
    <x v="56"/>
    <n v="67933863068841"/>
    <x v="544"/>
    <x v="382"/>
    <x v="0"/>
    <x v="4"/>
    <n v="1"/>
    <x v="331"/>
    <n v="113"/>
    <m/>
    <n v="0"/>
    <n v="4301.922807017544"/>
    <n v="486117.2771929825"/>
    <n v="3.95"/>
    <n v="4315.375"/>
    <n v="9235.294117647059"/>
    <n v="8394.957983193277"/>
    <s v="Shenzhen"/>
    <s v="30/70"/>
    <n v="30"/>
    <n v="100"/>
    <n v="97"/>
    <n v="0.4856001070502316"/>
    <n v="40"/>
    <n v="0.4748868520959663"/>
    <n v="58"/>
    <n v="0.4757688063771248"/>
    <n v="33"/>
    <n v="0.5167893367044799"/>
    <n v="29"/>
    <n v="0.5781143697534645"/>
    <n v="74"/>
    <n v="0.5212394663270368"/>
    <n v="39"/>
    <n v="0.5246671625849938"/>
    <n v="18"/>
    <n v="0.5555941305560296"/>
    <n v="30"/>
    <n v="0.5533248390285046"/>
    <n v="63"/>
    <n v="0.5021993783965355"/>
    <n v="49"/>
    <n v="0.5037626449879065"/>
    <n v="69"/>
    <n v="0.5044413213793713"/>
    <n v="37"/>
    <n v="0.3870451541726238"/>
    <n v="32"/>
    <n v="0.3823765783006849"/>
    <n v="29"/>
    <n v="0.3937264314959573"/>
    <n v="57"/>
    <n v="0.466104668399774"/>
    <n v="0.95"/>
    <n v="24"/>
    <n v="0.5043249207284111"/>
    <n v="0.6"/>
    <n v="34"/>
    <n v="0.4113579432909008"/>
    <n v="0.425"/>
    <n v="0"/>
    <n v="0.4257439277988653"/>
    <n v="0"/>
    <n v="65"/>
    <n v="77"/>
    <n v="20"/>
    <n v="120"/>
    <n v="120"/>
    <n v="0"/>
    <n v="417286.5122807018"/>
    <n v="314795.2499999999"/>
    <n v="86038.45614035089"/>
    <n v="0"/>
    <n v="113"/>
    <n v="486117.2771929825"/>
    <n v="155215.0271873455"/>
    <n v="40"/>
    <n v="159"/>
    <n v="48"/>
    <n v="0"/>
    <n v="0"/>
    <n v="0"/>
    <n v="576457.6561403509"/>
    <n v="650031.7499999999"/>
    <n v="206492.2947368421"/>
    <n v="0"/>
    <n v="113"/>
    <n v="486117.2771929825"/>
    <n v="372516.0652496293"/>
    <n v="60"/>
    <n v="128"/>
    <n v="29"/>
    <n v="0"/>
    <n v="0"/>
    <n v="533495.3614035088"/>
    <n v="550646.1192982456"/>
    <n v="124755.7614035088"/>
    <n v="0"/>
    <n v="113"/>
    <n v="486117.2771929825"/>
    <n v="267823.5294117647"/>
    <n v="60"/>
    <n v="250"/>
    <n v="57"/>
    <n v="150"/>
    <n v="0"/>
    <n v="1022062.5"/>
    <n v="245209.6"/>
    <n v="613237.4999999999"/>
    <n v="0"/>
    <n v="113"/>
    <n v="486117.2771929825"/>
    <n v="526411.7647058824"/>
    <n v="40"/>
    <n v="137"/>
    <n v="40"/>
    <m/>
    <n v="0"/>
    <n v="0"/>
    <n v="589363.4245614036"/>
    <n v="163530"/>
    <n v="0"/>
    <n v="0"/>
    <n v="113"/>
    <n v="486117.2771929825"/>
    <n v="369411.7647058824"/>
    <n v="80"/>
    <n v="147"/>
    <n v="34"/>
    <m/>
    <n v="0"/>
    <n v="0"/>
    <n v="632382.652631579"/>
    <n v="139000.5"/>
    <n v="0"/>
    <n v="0"/>
    <n v="147"/>
    <n v="486117.2771929825"/>
    <n v="314000"/>
    <n v="40"/>
    <n v="113"/>
    <n v="40"/>
    <n v="0"/>
    <n v="0"/>
    <n v="0"/>
    <n v="486117.2771929825"/>
    <n v="163530"/>
    <n v="0"/>
    <n v="0"/>
    <n v="113"/>
    <n v="486117.2771929825"/>
    <n v="369411.7647058824"/>
    <n v="34"/>
    <n v="73"/>
    <n v="34"/>
    <n v="0"/>
    <n v="0"/>
    <n v="0"/>
    <n v="314040.3649122807"/>
    <n v="139000.5"/>
    <n v="0"/>
    <n v="0"/>
    <n v="73"/>
    <n v="314040.3649122807"/>
    <n v="314000"/>
    <n v="30"/>
    <n v="39"/>
    <n v="30"/>
    <n v="200"/>
    <n v="200"/>
    <n v="200"/>
    <n v="159441.75"/>
    <n v="122647.5"/>
    <n v="817649.9999999999"/>
    <n v="817649.9999999999"/>
    <n v="239"/>
    <n v="977091.7499999999"/>
    <n v="277058.8235294118"/>
    <n v="65"/>
    <n v="209"/>
    <n v="65"/>
    <n v="0"/>
    <n v="0"/>
    <n v="0"/>
    <m/>
    <n v="854444.2499999999"/>
    <n v="265736.2499999999"/>
    <n v="0"/>
    <n v="0"/>
    <n v="209"/>
    <n v="854444.2499999999"/>
    <n v="545672.2689075629"/>
    <n v="40"/>
    <n v="144"/>
    <n v="40"/>
    <n v="0"/>
    <n v="0"/>
    <n v="588707.9999999999"/>
    <n v="163530"/>
    <n v="0"/>
    <n v="0"/>
    <n v="144"/>
    <n v="588707.9999999999"/>
    <n v="352588.2352941177"/>
    <n v="65"/>
    <n v="104"/>
    <n v="65"/>
    <n v="0"/>
    <n v="0"/>
    <n v="425177.9999999999"/>
    <n v="265736.2499999999"/>
    <n v="0"/>
    <n v="104"/>
    <n v="425177.9999999999"/>
    <n v="600294.1176470589"/>
    <n v="24"/>
    <n v="39"/>
    <n v="24"/>
    <n v="0"/>
    <m/>
    <n v="159441.75"/>
    <n v="103246.1473684211"/>
    <n v="0"/>
    <n v="39"/>
    <n v="159441.75"/>
    <n v="221647.0588235294"/>
  </r>
  <r>
    <s v="Simplit-Cristalería y Bar"/>
    <x v="2"/>
    <x v="20"/>
    <x v="56"/>
    <n v="1650298908518"/>
    <x v="545"/>
    <x v="383"/>
    <x v="0"/>
    <x v="0"/>
    <n v="0.6"/>
    <x v="332"/>
    <n v="580"/>
    <m/>
    <n v="0"/>
    <n v="5055.02368669854"/>
    <n v="2931913.738285153"/>
    <n v="5.25"/>
    <n v="5735.625"/>
    <n v="10915.96638655462"/>
    <n v="8394.957983193277"/>
    <s v="Shenzhen"/>
    <s v="30/70"/>
    <n v="30"/>
    <n v="200"/>
    <n v="272"/>
    <n v="0.4498511568319223"/>
    <n v="183"/>
    <n v="0.539458838486397"/>
    <n v="138"/>
    <n v="0.6448345845411324"/>
    <n v="175"/>
    <n v="0.5560393918558993"/>
    <n v="129"/>
    <n v="0.4612251822369056"/>
    <n v="445"/>
    <n v="0.497543353577906"/>
    <n v="347"/>
    <n v="0.500690854816825"/>
    <n v="381"/>
    <n v="0.4146388924315448"/>
    <n v="325"/>
    <n v="0.5571287716338836"/>
    <n v="208"/>
    <n v="0.4566180894212515"/>
    <n v="91"/>
    <n v="0.5226793066253846"/>
    <n v="74"/>
    <n v="0.5410600370504972"/>
    <n v="23"/>
    <n v="0.4473533688178423"/>
    <n v="94"/>
    <n v="0.4152187392908638"/>
    <n v="136"/>
    <n v="0.3948899797648963"/>
    <n v="39"/>
    <n v="0.3861577610309193"/>
    <n v="0.2166666666666667"/>
    <n v="120"/>
    <n v="0.5279464049494271"/>
    <n v="0.9230769230769231"/>
    <n v="113"/>
    <n v="0.5499064421845254"/>
    <n v="0.2511111111111111"/>
    <n v="0"/>
    <n v="0.4585645506193419"/>
    <n v="0"/>
    <n v="250"/>
    <n v="46"/>
    <n v="50"/>
    <n v="300"/>
    <n v="300"/>
    <n v="0"/>
    <n v="1652992.745550422"/>
    <n v="249952.5"/>
    <n v="252751.184334927"/>
    <n v="0"/>
    <n v="580"/>
    <n v="2931913.738285153"/>
    <n v="458654.0498552363"/>
    <n v="180"/>
    <n v="316"/>
    <n v="141"/>
    <n v="500"/>
    <n v="400"/>
    <n v="0"/>
    <n v="1597387.484996738"/>
    <n v="1717065"/>
    <n v="712758.3398244941"/>
    <n v="0"/>
    <n v="580"/>
    <n v="2931913.738285153"/>
    <n v="1293404.420591766"/>
    <n v="150"/>
    <n v="286"/>
    <n v="136"/>
    <n v="0"/>
    <n v="0"/>
    <n v="1308461.645172244"/>
    <n v="1445736.774395782"/>
    <n v="687483.2213910014"/>
    <n v="0"/>
    <n v="580"/>
    <n v="2931913.738285153"/>
    <n v="1484571.428571429"/>
    <n v="180"/>
    <n v="590"/>
    <n v="39"/>
    <n v="0"/>
    <n v="0"/>
    <n v="3205912.5"/>
    <n v="197145.923781243"/>
    <n v="0"/>
    <n v="0"/>
    <n v="580"/>
    <n v="2931913.738285153"/>
    <n v="425722.6890756303"/>
    <n v="130"/>
    <n v="700"/>
    <n v="78"/>
    <m/>
    <n v="0"/>
    <n v="0"/>
    <n v="3538516.580688978"/>
    <n v="423832.5"/>
    <n v="0"/>
    <n v="0"/>
    <n v="580"/>
    <n v="2931913.738285153"/>
    <n v="851445.3781512605"/>
    <n v="450"/>
    <n v="693"/>
    <n v="113"/>
    <m/>
    <n v="0"/>
    <n v="0"/>
    <n v="3503131.414882088"/>
    <n v="614013.75"/>
    <n v="0"/>
    <n v="0"/>
    <n v="693"/>
    <n v="2931913.738285153"/>
    <n v="1233504.201680672"/>
    <n v="300"/>
    <n v="580"/>
    <n v="180"/>
    <n v="350"/>
    <n v="350"/>
    <n v="0"/>
    <n v="2931913.738285153"/>
    <n v="978075"/>
    <n v="1838418.75"/>
    <n v="0"/>
    <n v="580"/>
    <n v="2931913.738285153"/>
    <n v="1964873.949579832"/>
    <n v="250"/>
    <n v="400"/>
    <n v="150"/>
    <n v="600"/>
    <n v="600"/>
    <n v="0"/>
    <n v="2022009.474679416"/>
    <n v="815062.5"/>
    <n v="3260250"/>
    <n v="0"/>
    <n v="1000"/>
    <n v="2022009.474679416"/>
    <n v="1637394.957983193"/>
    <n v="350"/>
    <n v="250"/>
    <n v="210"/>
    <n v="0"/>
    <n v="0"/>
    <n v="600"/>
    <n v="1358437.5"/>
    <n v="1141087.5"/>
    <n v="0"/>
    <n v="3260250"/>
    <n v="850"/>
    <n v="4618687.5"/>
    <n v="2292352.941176471"/>
    <n v="350"/>
    <n v="640"/>
    <n v="210"/>
    <n v="0"/>
    <n v="0"/>
    <n v="0"/>
    <m/>
    <n v="3477600"/>
    <n v="1141087.5"/>
    <n v="0"/>
    <n v="0"/>
    <n v="640"/>
    <n v="3477600"/>
    <n v="1762941.176470588"/>
    <n v="150"/>
    <n v="430"/>
    <n v="90"/>
    <n v="0"/>
    <n v="0"/>
    <n v="2336512.5"/>
    <n v="489037.5"/>
    <n v="0"/>
    <n v="0"/>
    <n v="430"/>
    <n v="2336512.5"/>
    <n v="793323.5294117647"/>
    <n v="250"/>
    <n v="340"/>
    <n v="150"/>
    <n v="0"/>
    <n v="0"/>
    <n v="1847475"/>
    <n v="815062.5"/>
    <n v="0"/>
    <n v="340"/>
    <n v="1847475"/>
    <n v="1637394.957983193"/>
    <n v="90"/>
    <n v="190"/>
    <n v="54"/>
    <n v="0"/>
    <m/>
    <n v="1032412.5"/>
    <n v="272971.2790817211"/>
    <n v="0"/>
    <n v="190"/>
    <n v="1032412.5"/>
    <n v="589462.1848739496"/>
  </r>
  <r>
    <s v="Simplit-Cristalería y Bar"/>
    <x v="2"/>
    <x v="20"/>
    <x v="56"/>
    <n v="1654207372101"/>
    <x v="546"/>
    <x v="384"/>
    <x v="0"/>
    <x v="0"/>
    <n v="1"/>
    <x v="333"/>
    <n v="11"/>
    <m/>
    <n v="0"/>
    <n v="2648"/>
    <n v="29128"/>
    <n v="1.4"/>
    <n v="1529.5"/>
    <n v="5873.949579831933"/>
    <n v="5453.781512605042"/>
    <s v="Shenzhen"/>
    <s v="30/70"/>
    <n v="30"/>
    <n v="50"/>
    <n v="54"/>
    <n v="0.771960683081811"/>
    <n v="21"/>
    <n v="0.824662629015279"/>
    <n v="60"/>
    <n v="0.7255204695582772"/>
    <n v="87"/>
    <n v="0.6939803094782208"/>
    <n v="83"/>
    <n v="0.6922260621339573"/>
    <n v="128"/>
    <n v="0.6933616032055934"/>
    <n v="146"/>
    <n v="0.7401522128310716"/>
    <n v="48"/>
    <n v="0.7484424004095415"/>
    <n v="36"/>
    <n v="0.754654280155254"/>
    <n v="99"/>
    <n v="0.7123668037709971"/>
    <n v="54"/>
    <n v="0.7647066165105912"/>
    <n v="48"/>
    <n v="0.6414829811320177"/>
    <n v="76"/>
    <n v="0.5789559159078098"/>
    <n v="63"/>
    <n v="0.4155774097721546"/>
    <n v="122"/>
    <n v="0.4812216949763722"/>
    <n v="69"/>
    <n v="0.4563749304617185"/>
    <n v="0.7666666666666667"/>
    <n v="43"/>
    <n v="0.5255138920262028"/>
    <n v="0.4777777777777778"/>
    <n v="39"/>
    <s v=""/>
    <n v="0.3"/>
    <n v="26"/>
    <n v="0.4919052984660271"/>
    <n v="0.1733333333333333"/>
    <n v="60"/>
    <n v="277"/>
    <n v="90"/>
    <n v="200"/>
    <n v="200"/>
    <n v="0"/>
    <n v="811612"/>
    <n v="401373"/>
    <n v="238320"/>
    <n v="0"/>
    <n v="11"/>
    <n v="29128"/>
    <n v="444248.2875503143"/>
    <n v="70"/>
    <n v="474"/>
    <n v="94.5"/>
    <n v="0"/>
    <n v="0"/>
    <n v="0"/>
    <n v="756004"/>
    <n v="686826"/>
    <n v="250236"/>
    <n v="0"/>
    <n v="11"/>
    <n v="29128"/>
    <n v="466460.70192783"/>
    <n v="100"/>
    <n v="464"/>
    <n v="122"/>
    <n v="0"/>
    <n v="0"/>
    <n v="636178"/>
    <n v="1228672"/>
    <n v="323056"/>
    <n v="0"/>
    <n v="11"/>
    <n v="29128"/>
    <n v="716621.8487394959"/>
    <n v="90"/>
    <n v="109"/>
    <n v="69"/>
    <n v="100"/>
    <n v="0"/>
    <n v="157941"/>
    <n v="182712"/>
    <n v="144900"/>
    <n v="0"/>
    <n v="11"/>
    <n v="29128"/>
    <n v="405302.5210084034"/>
    <n v="90"/>
    <n v="54"/>
    <n v="90"/>
    <m/>
    <n v="0"/>
    <n v="0"/>
    <n v="142992"/>
    <n v="130410"/>
    <n v="0"/>
    <n v="0"/>
    <n v="11"/>
    <n v="29128"/>
    <n v="528655.462184874"/>
    <n v="130"/>
    <n v="50"/>
    <n v="39"/>
    <m/>
    <n v="0"/>
    <n v="0"/>
    <n v="132400"/>
    <n v="56511"/>
    <n v="0"/>
    <n v="0"/>
    <n v="50"/>
    <n v="29128"/>
    <n v="229084.0336134454"/>
    <n v="150"/>
    <n v="37"/>
    <n v="150"/>
    <n v="200"/>
    <n v="200"/>
    <n v="0"/>
    <n v="97976"/>
    <n v="217350"/>
    <n v="280139.9999999999"/>
    <n v="0"/>
    <n v="37"/>
    <n v="29128"/>
    <n v="881092.4369747899"/>
    <n v="48"/>
    <n v="0"/>
    <n v="48"/>
    <n v="0"/>
    <n v="0"/>
    <n v="0"/>
    <n v="0"/>
    <n v="69552"/>
    <n v="0"/>
    <n v="0"/>
    <n v="0"/>
    <n v="0"/>
    <n v="281949.5798319328"/>
    <n v="40"/>
    <n v="0"/>
    <n v="40"/>
    <n v="0"/>
    <n v="0"/>
    <m/>
    <n v="0"/>
    <n v="57960"/>
    <n v="0"/>
    <n v="0"/>
    <n v="0"/>
    <n v="0"/>
    <n v="234957.9831932773"/>
    <n v="100"/>
    <n v="0"/>
    <n v="0"/>
    <n v="0"/>
    <n v="0"/>
    <n v="0"/>
    <m/>
    <n v="0"/>
    <n v="0"/>
    <n v="0"/>
    <n v="0"/>
    <n v="0"/>
    <n v="0"/>
    <n v="0"/>
    <n v="60"/>
    <n v="0"/>
    <n v="60"/>
    <n v="0"/>
    <n v="0"/>
    <n v="0"/>
    <n v="86940"/>
    <n v="0"/>
    <n v="0"/>
    <n v="0"/>
    <n v="0"/>
    <n v="343588.2352941177"/>
    <n v="0"/>
    <n v="0"/>
    <n v="0"/>
    <n v="0"/>
    <n v="0"/>
    <n v="0"/>
    <n v="0"/>
    <n v="0"/>
    <n v="0"/>
    <n v="0"/>
    <n v="0"/>
    <n v="36"/>
    <n v="0"/>
    <n v="36"/>
    <n v="0"/>
    <m/>
    <n v="0"/>
    <n v="95328"/>
    <n v="0"/>
    <n v="0"/>
    <n v="0"/>
    <n v="211462.1848739496"/>
  </r>
  <r>
    <m/>
    <x v="2"/>
    <x v="20"/>
    <x v="56"/>
    <s v="SMVABOR4"/>
    <x v="547"/>
    <x v="385"/>
    <x v="0"/>
    <x v="0"/>
    <n v="1"/>
    <x v="334"/>
    <n v="475"/>
    <m/>
    <m/>
    <m/>
    <n v="0"/>
    <n v="2.2"/>
    <m/>
    <n v="0"/>
    <n v="0"/>
    <s v="Shenzhen"/>
    <m/>
    <n v="30"/>
    <n v="5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40"/>
    <n v="309"/>
    <n v="0"/>
    <m/>
    <n v="0"/>
    <m/>
    <m/>
    <m/>
    <m/>
    <n v="475"/>
    <n v="0"/>
    <n v="0"/>
    <n v="40"/>
    <n v="475"/>
    <n v="40"/>
    <m/>
    <m/>
    <n v="0"/>
    <n v="0"/>
    <n v="91080"/>
    <n v="0"/>
    <m/>
    <n v="475"/>
    <n v="0"/>
    <n v="0"/>
    <n v="40"/>
    <n v="475"/>
    <n v="0"/>
    <m/>
    <m/>
    <n v="0"/>
    <n v="0"/>
    <n v="0"/>
    <m/>
    <n v="0"/>
    <n v="475"/>
    <n v="0"/>
    <n v="0"/>
    <n v="40"/>
    <n v="475"/>
    <n v="40"/>
    <n v="0"/>
    <n v="0"/>
    <n v="0"/>
    <n v="0"/>
    <n v="91080"/>
    <n v="0"/>
    <n v="0"/>
    <n v="475"/>
    <n v="0"/>
    <m/>
    <n v="40"/>
    <n v="435"/>
    <n v="40"/>
    <m/>
    <m/>
    <n v="0"/>
    <n v="0"/>
    <n v="91080"/>
    <m/>
    <n v="0"/>
    <m/>
    <n v="0"/>
    <m/>
    <n v="40"/>
    <n v="395"/>
    <n v="40"/>
    <n v="100"/>
    <n v="100"/>
    <n v="0"/>
    <m/>
    <n v="91080"/>
    <n v="227700"/>
    <n v="0"/>
    <n v="395"/>
    <m/>
    <m/>
    <n v="40"/>
    <n v="455"/>
    <n v="40"/>
    <n v="0"/>
    <n v="0"/>
    <n v="0"/>
    <n v="100"/>
    <n v="1036035"/>
    <n v="91080"/>
    <n v="0"/>
    <n v="227700"/>
    <n v="455"/>
    <n v="1263735"/>
    <n v="0"/>
    <n v="40"/>
    <n v="415"/>
    <n v="40"/>
    <n v="0"/>
    <n v="0"/>
    <n v="944955"/>
    <n v="91080"/>
    <n v="0"/>
    <n v="0"/>
    <n v="415"/>
    <n v="944955"/>
    <n v="0"/>
    <n v="40"/>
    <m/>
    <n v="40"/>
    <n v="0"/>
    <n v="0"/>
    <n v="0"/>
    <n v="91080"/>
    <n v="0"/>
    <n v="0"/>
    <n v="0"/>
    <n v="0"/>
    <n v="24"/>
    <m/>
    <n v="24"/>
    <n v="0"/>
    <m/>
    <n v="0"/>
    <n v="0"/>
    <n v="0"/>
    <n v="0"/>
    <n v="0"/>
    <n v="0"/>
  </r>
  <r>
    <s v="Simplit-Cristalería y Bar"/>
    <x v="2"/>
    <x v="20"/>
    <x v="56"/>
    <n v="1654207352499"/>
    <x v="548"/>
    <x v="386"/>
    <x v="0"/>
    <x v="0"/>
    <n v="1"/>
    <x v="335"/>
    <n v="308"/>
    <m/>
    <n v="0"/>
    <n v="3550"/>
    <n v="1093400"/>
    <n v="2.9"/>
    <n v="3168.25"/>
    <n v="6714.285714285715"/>
    <n v="5873.949579831933"/>
    <s v="Shenzhen"/>
    <s v="30/70"/>
    <n v="30"/>
    <n v="100"/>
    <n v="3"/>
    <s v=""/>
    <n v="2"/>
    <s v=""/>
    <n v="43"/>
    <n v="0.5346795125701904"/>
    <n v="8"/>
    <n v="0.6526554570555523"/>
    <n v="14"/>
    <n v="0.5553594408417653"/>
    <n v="22"/>
    <n v="0.6123810571302872"/>
    <n v="15"/>
    <n v="0.6536752051230739"/>
    <n v="18"/>
    <n v="0.4876471604085458"/>
    <n v="10"/>
    <n v="0.5506781970990038"/>
    <n v="20"/>
    <n v="0.5603072226181702"/>
    <n v="19"/>
    <n v="0.6079611226795328"/>
    <n v="40"/>
    <n v="0.4829471103438191"/>
    <n v="24"/>
    <n v="0.2234963562829986"/>
    <n v="9"/>
    <n v="0.3953643348788693"/>
    <n v="18"/>
    <n v="0.4158185668322788"/>
    <n v="23"/>
    <n v="0.2446808510638298"/>
    <n v="0.92"/>
    <n v="11"/>
    <n v="0.449781387214408"/>
    <n v="0.7333333333333333"/>
    <n v="20"/>
    <n v="0.496465645670699"/>
    <n v="0.8"/>
    <n v="8"/>
    <n v="0.405984623145454"/>
    <n v="0.4"/>
    <n v="30"/>
    <n v="427"/>
    <n v="30"/>
    <n v="0"/>
    <n v="0"/>
    <n v="0"/>
    <n v="218325"/>
    <n v="1281640.5"/>
    <n v="106500"/>
    <n v="0"/>
    <n v="308"/>
    <n v="1093400"/>
    <n v="169267.7070828332"/>
    <n v="30"/>
    <n v="400"/>
    <n v="13.5"/>
    <n v="0"/>
    <n v="0"/>
    <n v="0"/>
    <n v="193475"/>
    <n v="1200600"/>
    <n v="47925"/>
    <n v="0"/>
    <n v="308"/>
    <n v="1093400"/>
    <n v="76170.46818727492"/>
    <n v="40"/>
    <n v="397"/>
    <n v="18"/>
    <n v="0"/>
    <n v="0"/>
    <n v="190572.5"/>
    <n v="1409350"/>
    <n v="63900"/>
    <n v="0"/>
    <n v="308"/>
    <n v="1093400"/>
    <n v="120857.1428571429"/>
    <n v="25"/>
    <n v="372"/>
    <n v="23"/>
    <n v="0"/>
    <n v="0"/>
    <n v="1116558"/>
    <n v="81650"/>
    <n v="0"/>
    <n v="0"/>
    <n v="308"/>
    <n v="1093400"/>
    <n v="154428.5714285714"/>
    <n v="15"/>
    <n v="319"/>
    <n v="15"/>
    <m/>
    <n v="0"/>
    <n v="0"/>
    <n v="1132450"/>
    <n v="45022.49999999999"/>
    <n v="0"/>
    <n v="0"/>
    <n v="308"/>
    <n v="1093400"/>
    <n v="100714.2857142857"/>
    <n v="25"/>
    <n v="328"/>
    <n v="20"/>
    <m/>
    <n v="0"/>
    <n v="0"/>
    <n v="1164400"/>
    <n v="60029.99999999999"/>
    <n v="0"/>
    <n v="0"/>
    <n v="328"/>
    <n v="1093400"/>
    <n v="134285.7142857143"/>
    <n v="20"/>
    <n v="316"/>
    <n v="20"/>
    <n v="0"/>
    <n v="0"/>
    <n v="0"/>
    <n v="1121800"/>
    <n v="60029.99999999999"/>
    <n v="0"/>
    <n v="0"/>
    <n v="316"/>
    <n v="1093400"/>
    <n v="134285.7142857143"/>
    <n v="20"/>
    <n v="296"/>
    <n v="20"/>
    <n v="0"/>
    <n v="0"/>
    <n v="0"/>
    <n v="1050800"/>
    <n v="60029.99999999999"/>
    <n v="0"/>
    <n v="0"/>
    <n v="296"/>
    <n v="1050800"/>
    <n v="134285.7142857143"/>
    <n v="20"/>
    <n v="276"/>
    <n v="20"/>
    <n v="0"/>
    <n v="0"/>
    <m/>
    <n v="828413.9999999999"/>
    <n v="60029.99999999999"/>
    <n v="0"/>
    <n v="0"/>
    <n v="276"/>
    <n v="828413.9999999999"/>
    <n v="134285.7142857143"/>
    <n v="35"/>
    <n v="256"/>
    <n v="35"/>
    <n v="0"/>
    <n v="0"/>
    <n v="0"/>
    <m/>
    <n v="768383.9999999999"/>
    <n v="105052.5"/>
    <n v="0"/>
    <n v="0"/>
    <n v="256"/>
    <n v="768383.9999999999"/>
    <n v="205588.2352941177"/>
    <n v="35"/>
    <n v="221"/>
    <n v="35"/>
    <n v="0"/>
    <n v="0"/>
    <n v="663331.4999999999"/>
    <n v="105052.5"/>
    <n v="0"/>
    <n v="0"/>
    <n v="221"/>
    <n v="663331.4999999999"/>
    <n v="215867.6470588236"/>
    <n v="40"/>
    <n v="186"/>
    <n v="40"/>
    <n v="0"/>
    <n v="0"/>
    <n v="558278.9999999999"/>
    <n v="120060"/>
    <n v="0"/>
    <n v="186"/>
    <n v="558278.9999999999"/>
    <n v="268571.4285714286"/>
    <n v="21"/>
    <n v="146"/>
    <n v="21"/>
    <n v="0"/>
    <m/>
    <n v="438218.9999999999"/>
    <n v="74550"/>
    <n v="0"/>
    <n v="146"/>
    <n v="438218.9999999999"/>
    <n v="141000"/>
  </r>
  <r>
    <n v="3"/>
    <x v="2"/>
    <x v="20"/>
    <x v="56"/>
    <n v="1660857914743"/>
    <x v="549"/>
    <x v="387"/>
    <x v="0"/>
    <x v="0"/>
    <n v="1.1"/>
    <x v="336"/>
    <n v="3"/>
    <m/>
    <n v="0"/>
    <n v="1457.622140505409"/>
    <n v="4372.866421516227"/>
    <n v="1"/>
    <n v="1092.5"/>
    <n v="5873.949579831933"/>
    <n v="5453.781512605042"/>
    <s v="Shenzhen"/>
    <s v="30/70"/>
    <n v="30"/>
    <n v="100"/>
    <n v="7"/>
    <n v="0.5152426540982399"/>
    <n v="0"/>
    <s v=""/>
    <n v="43"/>
    <n v="0.7752002401380794"/>
    <n v="106"/>
    <n v="0.7553642732498462"/>
    <n v="40"/>
    <n v="0.7956486945902285"/>
    <n v="97"/>
    <n v="0.8225629562362473"/>
    <n v="53"/>
    <n v="0.7984354805795524"/>
    <n v="52"/>
    <n v="0.8068663613035116"/>
    <n v="77"/>
    <n v="0.7387919749139953"/>
    <n v="152"/>
    <n v="0.7702433619955162"/>
    <n v="46"/>
    <n v="0.4407769516363011"/>
    <n v="30"/>
    <n v="0.7373883599960742"/>
    <n v="13"/>
    <n v="0.7422033161386767"/>
    <n v="154"/>
    <n v="0.7559267354208001"/>
    <n v="104"/>
    <n v="0.6990889569149608"/>
    <n v="164"/>
    <n v="0.7519438029753857"/>
    <n v="1.171428571428571"/>
    <n v="40"/>
    <n v="0.7518912732474964"/>
    <n v="0.4444444444444444"/>
    <n v="4"/>
    <s v=""/>
    <n v="0.02666666666666667"/>
    <n v="103"/>
    <n v="0.735082005429367"/>
    <n v="0.8583333333333333"/>
    <n v="60"/>
    <n v="13"/>
    <n v="40"/>
    <n v="200"/>
    <n v="200"/>
    <n v="0"/>
    <n v="546608.3026895284"/>
    <n v="13455"/>
    <n v="58304.88562021637"/>
    <n v="0"/>
    <n v="3"/>
    <n v="4372.866421516227"/>
    <n v="197443.6833556952"/>
    <n v="50"/>
    <n v="182"/>
    <n v="231"/>
    <n v="150"/>
    <n v="100"/>
    <n v="0"/>
    <n v="727353.4481121992"/>
    <n v="188370"/>
    <n v="336710.7144567495"/>
    <n v="0"/>
    <n v="3"/>
    <n v="4372.866421516227"/>
    <n v="1140237.27137914"/>
    <n v="80"/>
    <n v="107"/>
    <n v="104"/>
    <n v="0"/>
    <n v="0"/>
    <n v="493107.7336554496"/>
    <n v="155965.5690340788"/>
    <n v="151592.7026125625"/>
    <n v="0"/>
    <n v="3"/>
    <n v="4372.866421516227"/>
    <n v="610890.7563025211"/>
    <n v="140"/>
    <n v="224"/>
    <n v="164"/>
    <n v="150"/>
    <n v="0"/>
    <n v="231840"/>
    <n v="239050.0310428871"/>
    <n v="155250"/>
    <n v="0"/>
    <n v="3"/>
    <n v="4372.866421516227"/>
    <n v="963327.7310924371"/>
    <n v="90"/>
    <n v="43"/>
    <n v="99.00000000000001"/>
    <m/>
    <n v="0"/>
    <n v="0"/>
    <n v="62677.75204173259"/>
    <n v="102465"/>
    <n v="0"/>
    <n v="0"/>
    <n v="3"/>
    <n v="4372.866421516227"/>
    <n v="581521.0084033614"/>
    <n v="150"/>
    <n v="7"/>
    <n v="4"/>
    <m/>
    <n v="0"/>
    <n v="0"/>
    <n v="10203.35498353786"/>
    <n v="4140"/>
    <n v="0"/>
    <n v="0"/>
    <n v="7"/>
    <n v="4372.866421516227"/>
    <n v="23495.79831932773"/>
    <n v="120"/>
    <n v="106"/>
    <n v="132"/>
    <n v="100"/>
    <n v="100"/>
    <n v="0"/>
    <n v="154507.9468935734"/>
    <n v="136620"/>
    <n v="100050"/>
    <n v="0"/>
    <n v="106"/>
    <n v="4372.866421516227"/>
    <n v="775361.3445378152"/>
    <n v="65"/>
    <n v="0"/>
    <n v="71.5"/>
    <n v="300"/>
    <n v="300"/>
    <n v="0"/>
    <n v="0"/>
    <n v="74002.5"/>
    <n v="310500"/>
    <n v="0"/>
    <n v="300"/>
    <n v="0"/>
    <n v="419987.3949579832"/>
    <n v="80"/>
    <n v="0"/>
    <n v="88"/>
    <n v="0"/>
    <n v="0"/>
    <n v="300"/>
    <n v="0"/>
    <n v="91080"/>
    <n v="0"/>
    <n v="310500"/>
    <n v="300"/>
    <n v="310500"/>
    <n v="516907.5630252101"/>
    <n v="140"/>
    <n v="212"/>
    <n v="154"/>
    <n v="300"/>
    <n v="300"/>
    <n v="300"/>
    <n v="0"/>
    <n v="219420"/>
    <n v="159390"/>
    <n v="310500"/>
    <n v="310500"/>
    <n v="512"/>
    <n v="529920"/>
    <n v="839882.3529411764"/>
    <n v="100"/>
    <n v="358"/>
    <n v="110"/>
    <n v="0"/>
    <n v="0"/>
    <n v="370530"/>
    <n v="113850"/>
    <n v="0"/>
    <n v="0"/>
    <n v="358"/>
    <n v="370530"/>
    <n v="629911.7647058824"/>
    <n v="150"/>
    <n v="248"/>
    <n v="165"/>
    <n v="0"/>
    <n v="0"/>
    <n v="256680"/>
    <n v="170775"/>
    <n v="0"/>
    <n v="248"/>
    <n v="256680"/>
    <n v="969201.680672269"/>
    <n v="60"/>
    <n v="83"/>
    <n v="66"/>
    <n v="0"/>
    <m/>
    <n v="85905"/>
    <n v="96203.061273357"/>
    <n v="0"/>
    <n v="83"/>
    <n v="85905"/>
    <n v="387680.6722689076"/>
  </r>
  <r>
    <s v="Simplit-Cristalería y Bar"/>
    <x v="2"/>
    <x v="20"/>
    <x v="56"/>
    <n v="67933854599885"/>
    <x v="550"/>
    <x v="388"/>
    <x v="0"/>
    <x v="1"/>
    <n v="1.2"/>
    <x v="337"/>
    <n v="117"/>
    <m/>
    <n v="0"/>
    <n v="6108"/>
    <n v="714636"/>
    <n v="5.3"/>
    <n v="5790.25"/>
    <n v="10915.96638655462"/>
    <n v="8394.957983193277"/>
    <s v="Shenzhen"/>
    <s v="30/70"/>
    <n v="30"/>
    <n v="100"/>
    <n v="0"/>
    <n v="0.5086925458442486"/>
    <n v="0"/>
    <s v=""/>
    <n v="2"/>
    <s v=""/>
    <n v="4"/>
    <n v="0.4406600671595854"/>
    <n v="3"/>
    <n v="0.5733849932292524"/>
    <n v="43"/>
    <n v="0.6163605296881673"/>
    <n v="12"/>
    <n v="0.5545532689481525"/>
    <n v="16"/>
    <s v=""/>
    <n v="11"/>
    <n v="0.402620572343406"/>
    <n v="32"/>
    <n v="0.389503644320072"/>
    <n v="45"/>
    <n v="0.4584108939538183"/>
    <n v="111"/>
    <n v="0.5225557349155796"/>
    <n v="40"/>
    <n v="0.6703286335607024"/>
    <n v="25"/>
    <n v="0.4208889508090328"/>
    <n v="24"/>
    <n v="0.347348737304575"/>
    <n v="29"/>
    <n v="0.4019416501583996"/>
    <n v="1.16"/>
    <n v="38"/>
    <n v="0.3734002976995019"/>
    <n v="0.95"/>
    <n v="79"/>
    <n v="0.3110911809773478"/>
    <n v="1.58"/>
    <n v="28"/>
    <n v="0.4180406363422128"/>
    <n v="0.8"/>
    <n v="50"/>
    <n v="397"/>
    <n v="40"/>
    <n v="0"/>
    <n v="0"/>
    <n v="0"/>
    <n v="619962"/>
    <n v="2177743.5"/>
    <n v="244320"/>
    <n v="0"/>
    <n v="117"/>
    <n v="714636"/>
    <n v="366923.239884189"/>
    <n v="50"/>
    <n v="365"/>
    <n v="37.5"/>
    <n v="0"/>
    <n v="0"/>
    <n v="0"/>
    <n v="552774"/>
    <n v="2002207.5"/>
    <n v="229050"/>
    <n v="0"/>
    <n v="117"/>
    <n v="714636"/>
    <n v="343990.5373914272"/>
    <n v="50"/>
    <n v="362"/>
    <n v="24"/>
    <n v="0"/>
    <n v="0"/>
    <n v="587028"/>
    <n v="2211096"/>
    <n v="146592"/>
    <n v="0"/>
    <n v="117"/>
    <n v="714636"/>
    <n v="261983.1932773109"/>
    <n v="25"/>
    <n v="316"/>
    <n v="29"/>
    <n v="0"/>
    <n v="0"/>
    <n v="1733418"/>
    <n v="177132"/>
    <n v="0"/>
    <n v="0"/>
    <n v="117"/>
    <n v="714636"/>
    <n v="316563.025210084"/>
    <n v="40"/>
    <n v="155"/>
    <n v="48"/>
    <m/>
    <n v="0"/>
    <n v="0"/>
    <n v="946740"/>
    <n v="263304"/>
    <n v="0"/>
    <n v="0"/>
    <n v="117"/>
    <n v="714636"/>
    <n v="523966.3865546219"/>
    <n v="50"/>
    <n v="196"/>
    <n v="79"/>
    <m/>
    <n v="0"/>
    <n v="0"/>
    <n v="1197168"/>
    <n v="433354.5"/>
    <n v="0"/>
    <n v="0"/>
    <n v="196"/>
    <n v="714636"/>
    <n v="862361.3445378152"/>
    <n v="35"/>
    <n v="145"/>
    <n v="42"/>
    <n v="0"/>
    <n v="0"/>
    <n v="0"/>
    <n v="885660"/>
    <n v="230391"/>
    <n v="0"/>
    <n v="0"/>
    <n v="145"/>
    <n v="714636"/>
    <n v="458470.5882352942"/>
    <n v="30"/>
    <n v="103"/>
    <n v="36"/>
    <n v="0"/>
    <n v="0"/>
    <n v="0"/>
    <n v="629124"/>
    <n v="197478"/>
    <n v="0"/>
    <n v="0"/>
    <n v="103"/>
    <n v="629124"/>
    <n v="392974.7899159664"/>
    <n v="30"/>
    <n v="67"/>
    <n v="36"/>
    <n v="0"/>
    <n v="0"/>
    <m/>
    <n v="367528.5"/>
    <n v="197478"/>
    <n v="0"/>
    <n v="0"/>
    <n v="67"/>
    <n v="367528.5"/>
    <n v="392974.7899159664"/>
    <n v="55"/>
    <n v="31"/>
    <n v="31"/>
    <n v="0"/>
    <n v="0"/>
    <n v="0"/>
    <m/>
    <n v="170050.5"/>
    <n v="170050.5"/>
    <n v="0"/>
    <n v="0"/>
    <n v="31"/>
    <n v="170050.5"/>
    <n v="260243.6974789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Cristalería y Bar"/>
    <x v="2"/>
    <x v="20"/>
    <x v="56"/>
    <n v="67933860407346"/>
    <x v="551"/>
    <x v="389"/>
    <x v="0"/>
    <x v="0"/>
    <n v="0.9"/>
    <x v="338"/>
    <n v="327"/>
    <m/>
    <n v="0"/>
    <n v="3070.461391304348"/>
    <n v="1004040.874956522"/>
    <n v="2.4"/>
    <n v="2622"/>
    <n v="6714.285714285715"/>
    <n v="5873.949579831933"/>
    <s v="Shenzhen"/>
    <s v="30/70"/>
    <n v="30"/>
    <n v="100"/>
    <n v="37"/>
    <n v="0.6663326734829171"/>
    <n v="91"/>
    <n v="0.6541357472899636"/>
    <n v="47"/>
    <n v="0.6457581244869376"/>
    <n v="23"/>
    <n v="0.5656451796899848"/>
    <n v="11"/>
    <n v="0.5345724722311955"/>
    <n v="49"/>
    <n v="0.530058824257419"/>
    <n v="42"/>
    <n v="0.5643151916332269"/>
    <n v="39"/>
    <n v="0.5357572974953521"/>
    <n v="51"/>
    <n v="0.5417565351530244"/>
    <n v="27"/>
    <n v="0.554252837869887"/>
    <n v="13"/>
    <n v="0.6254390382762548"/>
    <n v="10"/>
    <n v="0.6071644082176458"/>
    <n v="26"/>
    <n v="0.5881842664901671"/>
    <n v="16"/>
    <n v="0.5794735117960472"/>
    <n v="34"/>
    <n v="0.5958954435612227"/>
    <n v="25"/>
    <n v="0.6106564987039337"/>
    <n v="0.625"/>
    <n v="22"/>
    <n v="0.550154903409218"/>
    <n v="0.88"/>
    <n v="34"/>
    <n v="0.5559492743008208"/>
    <n v="0.6181818181818182"/>
    <n v="3"/>
    <n v="0.5813411265675583"/>
    <n v="0.06666666666666667"/>
    <n v="50"/>
    <n v="241"/>
    <n v="20"/>
    <n v="150"/>
    <n v="150"/>
    <n v="0"/>
    <n v="239495.9885217392"/>
    <n v="598644"/>
    <n v="61409.22782608696"/>
    <n v="0"/>
    <n v="327"/>
    <n v="1004040.874956522"/>
    <n v="112845.1380552221"/>
    <n v="40"/>
    <n v="366"/>
    <n v="24"/>
    <n v="100"/>
    <n v="100"/>
    <n v="0"/>
    <n v="254848.2954782609"/>
    <n v="909144"/>
    <n v="73691.07339130435"/>
    <n v="0"/>
    <n v="327"/>
    <n v="1004040.874956522"/>
    <n v="135414.1656662665"/>
    <n v="50"/>
    <n v="456"/>
    <n v="34"/>
    <n v="0"/>
    <n v="0"/>
    <n v="237047.2220869565"/>
    <n v="1400130.394434783"/>
    <n v="104395.6873043478"/>
    <n v="0"/>
    <n v="327"/>
    <n v="1004040.874956522"/>
    <n v="228285.7142857143"/>
    <n v="40"/>
    <n v="420"/>
    <n v="25"/>
    <n v="0"/>
    <n v="0"/>
    <n v="1043280"/>
    <n v="76761.53478260871"/>
    <n v="0"/>
    <n v="0"/>
    <n v="327"/>
    <n v="1004040.874956522"/>
    <n v="167857.1428571429"/>
    <n v="25"/>
    <n v="349"/>
    <n v="22.5"/>
    <m/>
    <n v="0"/>
    <n v="0"/>
    <n v="1071591.025565217"/>
    <n v="55890"/>
    <n v="0"/>
    <n v="0"/>
    <n v="327"/>
    <n v="1004040.874956522"/>
    <n v="151071.4285714286"/>
    <n v="55"/>
    <n v="361"/>
    <n v="34"/>
    <m/>
    <n v="0"/>
    <n v="0"/>
    <n v="1108436.56226087"/>
    <n v="84456"/>
    <n v="0"/>
    <n v="0"/>
    <n v="361"/>
    <n v="1004040.874956522"/>
    <n v="228285.7142857143"/>
    <n v="45"/>
    <n v="330"/>
    <n v="40.5"/>
    <n v="0"/>
    <n v="0"/>
    <n v="0"/>
    <n v="1013252.259130435"/>
    <n v="100602"/>
    <n v="0"/>
    <n v="0"/>
    <n v="330"/>
    <n v="1004040.874956522"/>
    <n v="271928.5714285714"/>
    <n v="39"/>
    <n v="289.5"/>
    <n v="35.1"/>
    <n v="0"/>
    <n v="0"/>
    <n v="0"/>
    <n v="888898.5727826088"/>
    <n v="87188.40000000001"/>
    <n v="0"/>
    <n v="0"/>
    <n v="289.5"/>
    <n v="888898.5727826088"/>
    <n v="235671.4285714286"/>
    <n v="50"/>
    <n v="254.4"/>
    <n v="45"/>
    <n v="0"/>
    <n v="0"/>
    <m/>
    <n v="631929.6"/>
    <n v="111780"/>
    <n v="0"/>
    <n v="0"/>
    <n v="254.4"/>
    <n v="631929.6"/>
    <n v="302142.8571428572"/>
    <n v="45"/>
    <n v="209.4"/>
    <n v="40.5"/>
    <n v="0"/>
    <n v="0"/>
    <n v="0"/>
    <m/>
    <n v="520149.6"/>
    <n v="100602"/>
    <n v="0"/>
    <n v="0"/>
    <n v="209.4"/>
    <n v="520149.6"/>
    <n v="237894.9579831933"/>
    <n v="40"/>
    <n v="168.9"/>
    <n v="36"/>
    <n v="0"/>
    <n v="0"/>
    <n v="419547.6"/>
    <n v="89424"/>
    <n v="0"/>
    <n v="0"/>
    <n v="168.9"/>
    <n v="419547.6"/>
    <n v="222035.2941176471"/>
    <n v="45"/>
    <n v="132.9"/>
    <n v="40.5"/>
    <n v="0"/>
    <n v="0"/>
    <n v="330123.6"/>
    <n v="100602"/>
    <n v="0"/>
    <n v="132.9"/>
    <n v="330123.6"/>
    <n v="271928.5714285714"/>
    <n v="24"/>
    <n v="92.40000000000001"/>
    <n v="21.6"/>
    <n v="0"/>
    <m/>
    <n v="229521.6"/>
    <n v="66321.96605217393"/>
    <n v="0"/>
    <n v="92.40000000000001"/>
    <n v="229521.6"/>
    <n v="145028.5714285714"/>
  </r>
  <r>
    <s v="Simplit-Cristalería y Bar"/>
    <x v="2"/>
    <x v="20"/>
    <x v="56"/>
    <n v="67933861722733"/>
    <x v="552"/>
    <x v="390"/>
    <x v="0"/>
    <x v="6"/>
    <n v="0.7"/>
    <x v="12"/>
    <n v="120"/>
    <m/>
    <n v="0"/>
    <n v="3567"/>
    <n v="428040"/>
    <n v="2.7"/>
    <n v="2949.75"/>
    <n v="6714.285714285715"/>
    <n v="5873.949579831933"/>
    <s v="Shenzhen"/>
    <s v="30/70"/>
    <n v="30"/>
    <n v="100"/>
    <n v="15"/>
    <n v="0.6460698501062609"/>
    <n v="16"/>
    <n v="0.5791545354118079"/>
    <n v="84"/>
    <n v="0.6122854334332329"/>
    <n v="14"/>
    <n v="0.4460959944207603"/>
    <n v="42"/>
    <n v="0.5034374338237519"/>
    <n v="29"/>
    <n v="0.5503796610747262"/>
    <n v="9"/>
    <n v="0.5757138445845991"/>
    <n v="10"/>
    <n v="0.590611445198836"/>
    <n v="24"/>
    <n v="0.5416217781375759"/>
    <n v="43"/>
    <n v="0.5104948245672424"/>
    <n v="23"/>
    <n v="0.5208674436569639"/>
    <n v="36"/>
    <n v="0.4294115440229683"/>
    <n v="14"/>
    <n v="0.5305340004235984"/>
    <n v="12"/>
    <n v="0.459579747194358"/>
    <n v="14"/>
    <n v="0.3842715875600083"/>
    <n v="11"/>
    <n v="0.4134013058308446"/>
    <n v="0.44"/>
    <n v="7"/>
    <n v="0.3238905830412817"/>
    <n v="0.175"/>
    <n v="13"/>
    <n v="0.3761458283528568"/>
    <n v="0.4333333333333333"/>
    <n v="0"/>
    <n v="0.4304107713332792"/>
    <n v="0"/>
    <n v="20"/>
    <n v="199"/>
    <n v="20"/>
    <n v="0"/>
    <n v="0"/>
    <n v="0"/>
    <n v="185484"/>
    <n v="556105.5"/>
    <n v="71340"/>
    <n v="0"/>
    <n v="120"/>
    <n v="428040"/>
    <n v="112845.1380552221"/>
    <n v="20"/>
    <n v="189"/>
    <n v="18"/>
    <n v="0"/>
    <n v="0"/>
    <n v="0"/>
    <n v="153381"/>
    <n v="528160.5"/>
    <n v="64206"/>
    <n v="0"/>
    <n v="120"/>
    <n v="428040"/>
    <n v="101560.6242496999"/>
    <n v="40"/>
    <n v="177"/>
    <n v="14"/>
    <n v="0"/>
    <n v="0"/>
    <n v="167421"/>
    <n v="631359"/>
    <n v="49938"/>
    <n v="0"/>
    <n v="120"/>
    <n v="428040"/>
    <n v="94000"/>
    <n v="25"/>
    <n v="163"/>
    <n v="11"/>
    <n v="0"/>
    <n v="0"/>
    <n v="455503.5"/>
    <n v="39237"/>
    <n v="0"/>
    <n v="0"/>
    <n v="120"/>
    <n v="428040"/>
    <n v="73857.14285714286"/>
    <n v="40"/>
    <n v="127"/>
    <n v="28"/>
    <m/>
    <n v="0"/>
    <n v="0"/>
    <n v="453009"/>
    <n v="78246"/>
    <n v="0"/>
    <n v="0"/>
    <n v="120"/>
    <n v="428040"/>
    <n v="188000"/>
    <n v="30"/>
    <n v="133"/>
    <n v="13"/>
    <m/>
    <n v="0"/>
    <n v="0"/>
    <n v="474411"/>
    <n v="36328.5"/>
    <n v="0"/>
    <n v="0"/>
    <n v="133"/>
    <n v="428040"/>
    <n v="87285.71428571429"/>
    <n v="20"/>
    <n v="120"/>
    <n v="14"/>
    <n v="0"/>
    <n v="0"/>
    <n v="0"/>
    <n v="428040"/>
    <n v="39123"/>
    <n v="0"/>
    <n v="0"/>
    <n v="120"/>
    <n v="428040"/>
    <n v="94000"/>
    <n v="24"/>
    <n v="106"/>
    <n v="16.8"/>
    <n v="0"/>
    <n v="0"/>
    <n v="0"/>
    <n v="378102"/>
    <n v="46947.59999999999"/>
    <n v="0"/>
    <n v="0"/>
    <n v="106"/>
    <n v="378102"/>
    <n v="112800"/>
    <n v="24"/>
    <n v="89.2"/>
    <n v="16.8"/>
    <n v="0"/>
    <n v="0"/>
    <m/>
    <n v="249269.4"/>
    <n v="46947.59999999999"/>
    <n v="0"/>
    <n v="0"/>
    <n v="89.2"/>
    <n v="249269.4"/>
    <n v="112800"/>
    <n v="45"/>
    <n v="72.40000000000001"/>
    <n v="31.5"/>
    <n v="0"/>
    <n v="0"/>
    <n v="0"/>
    <m/>
    <n v="202321.8"/>
    <n v="88026.74999999999"/>
    <n v="0"/>
    <n v="0"/>
    <n v="72.40000000000001"/>
    <n v="202321.8"/>
    <n v="185029.4117647059"/>
    <n v="30"/>
    <n v="40.90000000000001"/>
    <n v="21"/>
    <n v="0"/>
    <n v="0"/>
    <n v="114295.05"/>
    <n v="58684.5"/>
    <n v="0"/>
    <n v="0"/>
    <n v="40.90000000000001"/>
    <n v="114295.05"/>
    <n v="129520.5882352941"/>
    <n v="40"/>
    <n v="19.90000000000001"/>
    <n v="28"/>
    <n v="0"/>
    <n v="0"/>
    <n v="55610.55000000002"/>
    <n v="78246"/>
    <n v="0"/>
    <n v="19.90000000000001"/>
    <n v="55610.55000000002"/>
    <n v="188000"/>
    <n v="18"/>
    <n v="0"/>
    <n v="12.6"/>
    <n v="0"/>
    <m/>
    <n v="0"/>
    <n v="44944.2"/>
    <n v="0"/>
    <n v="0"/>
    <n v="0"/>
    <n v="84600"/>
  </r>
  <r>
    <m/>
    <x v="2"/>
    <x v="20"/>
    <x v="56"/>
    <s v="SIMCOPESPMON"/>
    <x v="553"/>
    <x v="391"/>
    <x v="0"/>
    <x v="4"/>
    <n v="1"/>
    <x v="339"/>
    <n v="292"/>
    <m/>
    <n v="0"/>
    <n v="6366"/>
    <n v="1858872"/>
    <n v="5.66"/>
    <n v="6183.549999999999"/>
    <n v="15117.64705882353"/>
    <n v="10915.96638655462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2"/>
    <n v="0.5221863964378934"/>
    <n v="37"/>
    <n v="0.5819291529402825"/>
    <n v="25"/>
    <s v=""/>
    <n v="33"/>
    <s v=""/>
    <n v="42"/>
    <s v=""/>
    <n v="36"/>
    <s v=""/>
    <n v="0.72"/>
    <n v="38"/>
    <s v=""/>
    <n v="1.266666666666667"/>
    <n v="44"/>
    <s v=""/>
    <n v="0.8"/>
    <n v="20"/>
    <s v=""/>
    <n v="0.4"/>
    <n v="40"/>
    <n v="242"/>
    <n v="30"/>
    <n v="300"/>
    <n v="200"/>
    <n v="0"/>
    <n v="773469"/>
    <n v="1417660.2"/>
    <n v="190980"/>
    <n v="0"/>
    <n v="292"/>
    <n v="1858872"/>
    <n v="381117.1527434504"/>
    <n v="30"/>
    <n v="522"/>
    <n v="49.5"/>
    <n v="0"/>
    <n v="0"/>
    <n v="0"/>
    <n v="811665"/>
    <n v="3057928.2"/>
    <n v="315117"/>
    <n v="0"/>
    <n v="292"/>
    <n v="1858872"/>
    <n v="628843.3020266931"/>
    <n v="50"/>
    <n v="459"/>
    <n v="42"/>
    <n v="0"/>
    <n v="0"/>
    <n v="672291"/>
    <n v="2921994"/>
    <n v="267372"/>
    <n v="0"/>
    <n v="292"/>
    <n v="1858872"/>
    <n v="634941.1764705882"/>
    <n v="50"/>
    <n v="446"/>
    <n v="36"/>
    <n v="0"/>
    <n v="0"/>
    <n v="2612712.6"/>
    <n v="229176"/>
    <n v="0"/>
    <n v="0"/>
    <n v="292"/>
    <n v="1858872"/>
    <n v="544235.2941176471"/>
    <n v="30"/>
    <n v="330"/>
    <n v="30"/>
    <m/>
    <n v="0"/>
    <n v="0"/>
    <n v="2100780"/>
    <n v="175743"/>
    <n v="0"/>
    <n v="0"/>
    <n v="292"/>
    <n v="1858872"/>
    <n v="453529.4117647059"/>
    <n v="55"/>
    <n v="336"/>
    <n v="44"/>
    <m/>
    <n v="0"/>
    <n v="0"/>
    <n v="2138976"/>
    <n v="257756.4"/>
    <n v="0"/>
    <n v="0"/>
    <n v="336"/>
    <n v="1858872"/>
    <n v="665176.4705882353"/>
    <n v="50"/>
    <n v="312"/>
    <n v="50"/>
    <n v="0"/>
    <n v="0"/>
    <n v="0"/>
    <n v="1986192"/>
    <n v="292905"/>
    <n v="0"/>
    <n v="0"/>
    <n v="312"/>
    <n v="1858872"/>
    <n v="755882.3529411765"/>
    <n v="39"/>
    <n v="262"/>
    <n v="39"/>
    <n v="0"/>
    <n v="0"/>
    <n v="0"/>
    <n v="1667892"/>
    <n v="228465.9"/>
    <n v="0"/>
    <n v="0"/>
    <n v="262"/>
    <n v="1667892"/>
    <n v="589588.2352941177"/>
    <n v="41"/>
    <n v="223"/>
    <n v="41"/>
    <n v="0"/>
    <n v="0"/>
    <m/>
    <n v="1306356.3"/>
    <n v="240182.1"/>
    <n v="0"/>
    <n v="0"/>
    <n v="223"/>
    <n v="1306356.3"/>
    <n v="619823.5294117647"/>
    <n v="60"/>
    <n v="182"/>
    <n v="60"/>
    <n v="0"/>
    <n v="0"/>
    <n v="0"/>
    <m/>
    <n v="1066174.2"/>
    <n v="351485.9999999999"/>
    <n v="0"/>
    <n v="0"/>
    <n v="182"/>
    <n v="1066174.2"/>
    <n v="654957.9831932774"/>
    <n v="40"/>
    <n v="122"/>
    <n v="40"/>
    <n v="0"/>
    <n v="0"/>
    <n v="714688.2"/>
    <n v="234324"/>
    <n v="0"/>
    <n v="0"/>
    <n v="122"/>
    <n v="714688.2"/>
    <n v="458470.5882352942"/>
    <n v="100"/>
    <n v="82"/>
    <n v="100"/>
    <n v="0"/>
    <n v="0"/>
    <n v="480364.2"/>
    <n v="585810"/>
    <n v="0"/>
    <n v="82"/>
    <n v="480364.2"/>
    <n v="1511764.705882353"/>
    <n v="24"/>
    <n v="0"/>
    <n v="24"/>
    <n v="0"/>
    <m/>
    <n v="0"/>
    <n v="152784"/>
    <n v="0"/>
    <n v="0"/>
    <n v="0"/>
    <n v="362823.5294117647"/>
  </r>
  <r>
    <m/>
    <x v="2"/>
    <x v="20"/>
    <x v="56"/>
    <s v="SIMCOPVINPIAM"/>
    <x v="554"/>
    <x v="392"/>
    <x v="0"/>
    <x v="4"/>
    <n v="1.2"/>
    <x v="340"/>
    <n v="89"/>
    <m/>
    <n v="0"/>
    <n v="7187"/>
    <n v="639643"/>
    <n v="6.28"/>
    <n v="6860.9"/>
    <n v="16798.31932773109"/>
    <n v="15117.64705882353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5845465165606135"/>
    <n v="52"/>
    <n v="0.6093081088731104"/>
    <n v="35"/>
    <s v=""/>
    <n v="33"/>
    <s v=""/>
    <n v="53"/>
    <s v=""/>
    <n v="57"/>
    <s v=""/>
    <n v="0.95"/>
    <n v="59"/>
    <s v=""/>
    <n v="1.84375"/>
    <n v="99"/>
    <s v=""/>
    <n v="1.706896551724138"/>
    <n v="64"/>
    <s v=""/>
    <n v="1.230769230769231"/>
    <n v="50"/>
    <n v="219"/>
    <n v="20"/>
    <n v="300"/>
    <n v="200"/>
    <n v="0"/>
    <n v="880407.5"/>
    <n v="1423456.2"/>
    <n v="143740"/>
    <n v="0"/>
    <n v="89"/>
    <n v="639643"/>
    <n v="282324.6945837159"/>
    <n v="40"/>
    <n v="473"/>
    <n v="49.5"/>
    <n v="0"/>
    <n v="0"/>
    <n v="0"/>
    <n v="1146326.5"/>
    <n v="3074405.399999999"/>
    <n v="355756.5"/>
    <n v="0"/>
    <n v="89"/>
    <n v="639643"/>
    <n v="698753.6190946967"/>
    <n v="60"/>
    <n v="414"/>
    <n v="53"/>
    <n v="0"/>
    <n v="0"/>
    <n v="1040162.32"/>
    <n v="2975418"/>
    <n v="380911"/>
    <n v="0"/>
    <n v="89"/>
    <n v="639643"/>
    <n v="890310.924369748"/>
    <n v="60"/>
    <n v="388"/>
    <n v="57"/>
    <n v="0"/>
    <n v="0"/>
    <n v="2521922.4"/>
    <n v="409659"/>
    <n v="0"/>
    <n v="0"/>
    <n v="89"/>
    <n v="639643"/>
    <n v="957504.2016806724"/>
    <n v="32"/>
    <n v="148"/>
    <n v="38.4"/>
    <m/>
    <n v="0"/>
    <n v="0"/>
    <n v="1063676"/>
    <n v="249592.3199999999"/>
    <n v="0"/>
    <n v="0"/>
    <n v="89"/>
    <n v="639643"/>
    <n v="645055.462184874"/>
    <n v="58"/>
    <n v="188"/>
    <n v="99"/>
    <m/>
    <n v="0"/>
    <n v="0"/>
    <n v="1351156"/>
    <n v="643480.2"/>
    <n v="0"/>
    <n v="0"/>
    <n v="188"/>
    <n v="639643"/>
    <n v="1663033.613445378"/>
    <n v="52"/>
    <n v="153"/>
    <n v="62.4"/>
    <n v="0"/>
    <n v="0"/>
    <n v="0"/>
    <n v="1099611"/>
    <n v="405587.52"/>
    <n v="0"/>
    <n v="0"/>
    <n v="153"/>
    <n v="639643"/>
    <n v="1048215.12605042"/>
    <n v="41"/>
    <n v="90.59999999999999"/>
    <n v="49.2"/>
    <n v="0"/>
    <n v="0"/>
    <n v="0"/>
    <n v="651142.2"/>
    <n v="319790.1599999999"/>
    <n v="0"/>
    <n v="0"/>
    <n v="90.59999999999999"/>
    <n v="651142.2"/>
    <n v="826477.3109243697"/>
    <n v="44"/>
    <n v="41.4"/>
    <n v="52.8"/>
    <n v="0"/>
    <n v="0"/>
    <m/>
    <n v="269091.72"/>
    <n v="343189.4399999999"/>
    <n v="0"/>
    <n v="0"/>
    <n v="41.4"/>
    <n v="269091.72"/>
    <n v="886951.2605042016"/>
    <n v="60"/>
    <n v="0"/>
    <n v="0"/>
    <n v="300"/>
    <n v="300"/>
    <n v="300"/>
    <n v="0"/>
    <n v="0"/>
    <n v="0"/>
    <n v="1949940"/>
    <n v="1949940"/>
    <n v="300"/>
    <n v="1949940"/>
    <n v="0"/>
    <n v="50"/>
    <n v="300"/>
    <n v="60"/>
    <n v="0"/>
    <n v="0"/>
    <n v="1949940"/>
    <n v="389987.9999999999"/>
    <n v="0"/>
    <n v="0"/>
    <n v="300"/>
    <n v="1949940"/>
    <n v="952411.7647058824"/>
    <n v="80"/>
    <n v="240"/>
    <n v="96"/>
    <n v="0"/>
    <n v="0"/>
    <n v="1559952"/>
    <n v="623980.7999999999"/>
    <n v="0"/>
    <n v="240"/>
    <n v="1559952"/>
    <n v="1612638.655462185"/>
    <n v="30"/>
    <n v="144"/>
    <n v="36"/>
    <n v="0"/>
    <m/>
    <n v="935971.2"/>
    <n v="258732"/>
    <n v="0"/>
    <n v="144"/>
    <n v="935971.2"/>
    <n v="604739.4957983193"/>
  </r>
  <r>
    <m/>
    <x v="2"/>
    <x v="20"/>
    <x v="56"/>
    <s v="SIMCOPVINALSA"/>
    <x v="555"/>
    <x v="393"/>
    <x v="0"/>
    <x v="0"/>
    <n v="0.8"/>
    <x v="341"/>
    <n v="470"/>
    <m/>
    <n v="0"/>
    <n v="6983"/>
    <n v="3282010"/>
    <n v="6.12"/>
    <n v="6686.099999999999"/>
    <n v="16798.31932773109"/>
    <n v="10915.96638655462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238807471746202"/>
    <n v="23"/>
    <n v="0.5915237911547353"/>
    <n v="10"/>
    <s v=""/>
    <n v="10"/>
    <s v=""/>
    <n v="7"/>
    <s v=""/>
    <n v="15"/>
    <s v=""/>
    <n v="0.375"/>
    <n v="14"/>
    <s v=""/>
    <n v="0.5600000000000001"/>
    <n v="31"/>
    <s v=""/>
    <n v="1.55"/>
    <n v="13"/>
    <s v=""/>
    <n v="0.52"/>
    <n v="30"/>
    <n v="269"/>
    <n v="10"/>
    <n v="300"/>
    <n v="200"/>
    <n v="0"/>
    <n v="223456"/>
    <n v="1703899.8"/>
    <n v="69830"/>
    <n v="0"/>
    <n v="470"/>
    <n v="3282010"/>
    <n v="141162.3472918579"/>
    <n v="30"/>
    <n v="565"/>
    <n v="15"/>
    <n v="0"/>
    <n v="0"/>
    <n v="0"/>
    <n v="258371"/>
    <n v="3578823"/>
    <n v="104745"/>
    <n v="0"/>
    <n v="470"/>
    <n v="3282010"/>
    <n v="211743.5209377869"/>
    <n v="40"/>
    <n v="552"/>
    <n v="7"/>
    <n v="0"/>
    <n v="0"/>
    <n v="280310"/>
    <n v="3854616"/>
    <n v="48881"/>
    <n v="0"/>
    <n v="470"/>
    <n v="3282010"/>
    <n v="117588.2352941177"/>
    <n v="40"/>
    <n v="546"/>
    <n v="15"/>
    <n v="0"/>
    <n v="0"/>
    <n v="3458473.2"/>
    <n v="104745"/>
    <n v="0"/>
    <n v="0"/>
    <n v="470"/>
    <n v="3282010"/>
    <n v="251974.7899159664"/>
    <n v="25"/>
    <n v="484"/>
    <n v="20"/>
    <m/>
    <n v="0"/>
    <n v="0"/>
    <n v="3379772"/>
    <n v="126684"/>
    <n v="0"/>
    <n v="0"/>
    <n v="470"/>
    <n v="3282010"/>
    <n v="335966.3865546219"/>
    <n v="20"/>
    <n v="501"/>
    <n v="31"/>
    <m/>
    <n v="0"/>
    <n v="0"/>
    <n v="3498483"/>
    <n v="196360.2"/>
    <n v="0"/>
    <n v="0"/>
    <n v="501"/>
    <n v="3282010"/>
    <n v="520747.8991596639"/>
    <n v="25"/>
    <n v="483"/>
    <n v="20"/>
    <n v="0"/>
    <n v="0"/>
    <n v="0"/>
    <n v="3372789"/>
    <n v="126684"/>
    <n v="0"/>
    <n v="0"/>
    <n v="483"/>
    <n v="3282010"/>
    <n v="335966.3865546219"/>
    <n v="20"/>
    <n v="463"/>
    <n v="16"/>
    <n v="0"/>
    <n v="0"/>
    <n v="0"/>
    <n v="3233129"/>
    <n v="101347.2"/>
    <n v="0"/>
    <n v="0"/>
    <n v="463"/>
    <n v="3233129"/>
    <n v="268773.1092436975"/>
    <n v="15"/>
    <n v="447"/>
    <n v="12"/>
    <n v="0"/>
    <n v="0"/>
    <m/>
    <n v="2831387.4"/>
    <n v="76010.39999999999"/>
    <n v="0"/>
    <n v="0"/>
    <n v="447"/>
    <n v="2831387.4"/>
    <n v="201579.8319327731"/>
    <n v="30"/>
    <n v="435"/>
    <n v="24"/>
    <n v="0"/>
    <n v="0"/>
    <n v="0"/>
    <m/>
    <n v="2755377"/>
    <n v="152020.8"/>
    <n v="0"/>
    <n v="0"/>
    <n v="435"/>
    <n v="2755377"/>
    <n v="261983.1932773109"/>
    <n v="30"/>
    <n v="411"/>
    <n v="24"/>
    <n v="0"/>
    <n v="0"/>
    <n v="2603356.2"/>
    <n v="152020.8"/>
    <n v="0"/>
    <n v="0"/>
    <n v="411"/>
    <n v="2603356.2"/>
    <n v="275082.3529411765"/>
    <n v="30"/>
    <n v="387"/>
    <n v="24"/>
    <n v="0"/>
    <n v="0"/>
    <n v="2451335.4"/>
    <n v="152020.8"/>
    <n v="0"/>
    <n v="387"/>
    <n v="2451335.4"/>
    <n v="403159.6638655462"/>
    <n v="18"/>
    <n v="363"/>
    <n v="14.4"/>
    <n v="0"/>
    <m/>
    <n v="2299314.6"/>
    <n v="100555.2"/>
    <n v="0"/>
    <n v="363"/>
    <n v="2299314.6"/>
    <n v="241895.7983193277"/>
  </r>
  <r>
    <m/>
    <x v="2"/>
    <x v="20"/>
    <x v="56"/>
    <s v="SIMCOPGINLDN"/>
    <x v="556"/>
    <x v="394"/>
    <x v="0"/>
    <x v="4"/>
    <n v="1"/>
    <x v="342"/>
    <n v="293"/>
    <m/>
    <n v="0"/>
    <n v="7818"/>
    <n v="2290674"/>
    <n v="6.45"/>
    <n v="7046.624999999999"/>
    <n v="19319.32773109244"/>
    <n v="18478.99159663866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2"/>
    <n v="0.6026597772224811"/>
    <n v="55"/>
    <n v="0.5987009560793666"/>
    <n v="51"/>
    <s v=""/>
    <n v="38"/>
    <s v=""/>
    <n v="49"/>
    <s v=""/>
    <n v="47"/>
    <s v=""/>
    <n v="0.8545454545454545"/>
    <n v="22"/>
    <s v=""/>
    <n v="0.5945945945945946"/>
    <n v="8"/>
    <s v=""/>
    <n v="0.1194029850746269"/>
    <n v="12"/>
    <s v=""/>
    <n v="0.2"/>
    <n v="30"/>
    <n v="228"/>
    <n v="30"/>
    <n v="0"/>
    <n v="0"/>
    <n v="0"/>
    <n v="1063248"/>
    <n v="1522071"/>
    <n v="234540"/>
    <n v="0"/>
    <n v="293"/>
    <n v="2290674"/>
    <n v="487041.875573759"/>
    <n v="25"/>
    <n v="175"/>
    <n v="57"/>
    <n v="0"/>
    <n v="0"/>
    <n v="0"/>
    <n v="1196154"/>
    <n v="1168256.25"/>
    <n v="445626"/>
    <n v="0"/>
    <n v="293"/>
    <n v="2290674"/>
    <n v="925379.5635901421"/>
    <n v="52.5"/>
    <n v="124"/>
    <n v="49"/>
    <n v="0"/>
    <n v="0"/>
    <n v="997530.75"/>
    <n v="969432"/>
    <n v="383082"/>
    <n v="0"/>
    <n v="293"/>
    <n v="2290674"/>
    <n v="946647.0588235295"/>
    <n v="55"/>
    <n v="85"/>
    <n v="47"/>
    <n v="0"/>
    <n v="0"/>
    <n v="567438.7499999999"/>
    <n v="367446"/>
    <n v="0"/>
    <n v="0"/>
    <n v="293"/>
    <n v="2290674"/>
    <n v="908008.4033613446"/>
    <n v="37"/>
    <n v="315"/>
    <n v="37"/>
    <m/>
    <n v="0"/>
    <n v="0"/>
    <n v="2462670"/>
    <n v="247002.75"/>
    <n v="0"/>
    <n v="0"/>
    <n v="293"/>
    <n v="2290674"/>
    <n v="714815.1260504202"/>
    <n v="67"/>
    <n v="301"/>
    <n v="8"/>
    <m/>
    <n v="0"/>
    <n v="0"/>
    <n v="2353218"/>
    <n v="53405.99999999999"/>
    <n v="0"/>
    <n v="0"/>
    <n v="301"/>
    <n v="2290674"/>
    <n v="154554.6218487395"/>
    <n v="60"/>
    <n v="305"/>
    <n v="60"/>
    <n v="300"/>
    <n v="300"/>
    <n v="0"/>
    <n v="2384490"/>
    <n v="400544.9999999999"/>
    <n v="1935967.5"/>
    <n v="0"/>
    <n v="305"/>
    <n v="2290674"/>
    <n v="1159159.663865546"/>
    <n v="47"/>
    <n v="245"/>
    <n v="47"/>
    <n v="0"/>
    <n v="0"/>
    <n v="0"/>
    <n v="1915410"/>
    <n v="313760.2499999999"/>
    <n v="0"/>
    <n v="0"/>
    <n v="245"/>
    <n v="1915410"/>
    <n v="908008.4033613446"/>
    <n v="50"/>
    <n v="198"/>
    <n v="50"/>
    <n v="0"/>
    <n v="0"/>
    <m/>
    <n v="1321798.5"/>
    <n v="333787.4999999999"/>
    <n v="0"/>
    <n v="0"/>
    <n v="198"/>
    <n v="1321798.5"/>
    <n v="965966.386554622"/>
    <n v="60"/>
    <n v="148"/>
    <n v="60"/>
    <n v="0"/>
    <n v="0"/>
    <n v="0"/>
    <m/>
    <n v="988010.9999999999"/>
    <n v="400544.9999999999"/>
    <n v="0"/>
    <n v="0"/>
    <n v="148"/>
    <n v="988010.9999999999"/>
    <n v="1108739.49579832"/>
    <n v="50"/>
    <n v="88"/>
    <n v="50"/>
    <n v="0"/>
    <n v="0"/>
    <n v="587465.9999999999"/>
    <n v="333787.4999999999"/>
    <n v="0"/>
    <n v="0"/>
    <n v="88"/>
    <n v="587465.9999999999"/>
    <n v="970147.0588235296"/>
    <n v="80"/>
    <n v="38"/>
    <n v="80"/>
    <n v="0"/>
    <n v="0"/>
    <n v="253678.5"/>
    <n v="534059.9999999999"/>
    <n v="0"/>
    <n v="38"/>
    <n v="253678.5"/>
    <n v="1545546.218487395"/>
    <n v="30"/>
    <n v="0"/>
    <n v="30"/>
    <n v="0"/>
    <m/>
    <n v="0"/>
    <n v="234540"/>
    <n v="0"/>
    <n v="0"/>
    <n v="0"/>
    <n v="579579.8319327731"/>
  </r>
  <r>
    <m/>
    <x v="2"/>
    <x v="20"/>
    <x v="56"/>
    <s v="SIMVASLARGINE"/>
    <x v="557"/>
    <x v="395"/>
    <x v="0"/>
    <x v="3"/>
    <n v="1"/>
    <x v="343"/>
    <n v="287"/>
    <m/>
    <n v="0"/>
    <n v="3648"/>
    <n v="1046976"/>
    <n v="3.19"/>
    <n v="3485.075"/>
    <n v="10915.96638655462"/>
    <n v="10075.63025210084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8"/>
    <n v="0.6608068081298487"/>
    <n v="42"/>
    <n v="0.6395239870902162"/>
    <n v="93"/>
    <s v=""/>
    <n v="89"/>
    <s v=""/>
    <n v="116"/>
    <s v=""/>
    <n v="106"/>
    <s v=""/>
    <n v="1.06"/>
    <n v="73"/>
    <s v=""/>
    <n v="0.9125"/>
    <n v="9"/>
    <s v=""/>
    <n v="0.06"/>
    <n v="33"/>
    <s v=""/>
    <n v="0.4714285714285714"/>
    <n v="50"/>
    <n v="215"/>
    <n v="120"/>
    <n v="300"/>
    <n v="200"/>
    <n v="0"/>
    <n v="1347936"/>
    <n v="709854.7499999999"/>
    <n v="437760"/>
    <n v="0"/>
    <n v="287"/>
    <n v="1046976"/>
    <n v="1100769.719652567"/>
    <n v="90"/>
    <n v="410"/>
    <n v="133.5"/>
    <n v="0"/>
    <n v="0"/>
    <n v="0"/>
    <n v="1296864"/>
    <n v="1353676.5"/>
    <n v="487008"/>
    <n v="0"/>
    <n v="287"/>
    <n v="1046976"/>
    <n v="1224606.313113481"/>
    <n v="120"/>
    <n v="246"/>
    <n v="116"/>
    <n v="0"/>
    <n v="0"/>
    <n v="1073988"/>
    <n v="897408"/>
    <n v="423168"/>
    <n v="0"/>
    <n v="287"/>
    <n v="1046976"/>
    <n v="1266252.100840336"/>
    <n v="100"/>
    <n v="198"/>
    <n v="106"/>
    <n v="0"/>
    <n v="0"/>
    <n v="653726.7"/>
    <n v="386688"/>
    <n v="0"/>
    <n v="0"/>
    <n v="287"/>
    <n v="1046976"/>
    <n v="1157092.43697479"/>
    <n v="80"/>
    <n v="360"/>
    <n v="80"/>
    <m/>
    <n v="0"/>
    <n v="0"/>
    <n v="1313280"/>
    <n v="264132"/>
    <n v="0"/>
    <n v="0"/>
    <n v="287"/>
    <n v="1046976"/>
    <n v="873277.3109243698"/>
    <n v="150"/>
    <n v="296"/>
    <n v="9"/>
    <m/>
    <n v="0"/>
    <n v="0"/>
    <n v="1079808"/>
    <n v="29714.85"/>
    <n v="0"/>
    <n v="0"/>
    <n v="296"/>
    <n v="1046976"/>
    <n v="98243.6974789916"/>
    <n v="70"/>
    <n v="320"/>
    <n v="70"/>
    <n v="300"/>
    <n v="300"/>
    <n v="0"/>
    <n v="1167360"/>
    <n v="231115.5"/>
    <n v="957478.4999999998"/>
    <n v="0"/>
    <n v="320"/>
    <n v="1046976"/>
    <n v="764117.6470588236"/>
    <n v="60"/>
    <n v="250"/>
    <n v="60"/>
    <n v="0"/>
    <n v="0"/>
    <n v="0"/>
    <n v="912000"/>
    <n v="198099"/>
    <n v="0"/>
    <n v="0"/>
    <n v="250"/>
    <n v="912000"/>
    <n v="654957.9831932774"/>
    <n v="80"/>
    <n v="190"/>
    <n v="80"/>
    <n v="300"/>
    <n v="300"/>
    <n v="0"/>
    <n v="627313.4999999999"/>
    <n v="264132"/>
    <n v="990494.9999999999"/>
    <n v="0"/>
    <n v="190"/>
    <n v="627313.4999999999"/>
    <n v="873277.3109243698"/>
    <n v="120"/>
    <n v="410"/>
    <n v="120"/>
    <n v="0"/>
    <n v="0"/>
    <n v="0"/>
    <n v="300"/>
    <n v="1353676.5"/>
    <n v="396197.9999999999"/>
    <n v="0"/>
    <n v="990494.9999999999"/>
    <n v="410"/>
    <n v="2344171.5"/>
    <n v="1209075.630252101"/>
    <n v="80"/>
    <n v="290"/>
    <n v="80"/>
    <n v="0"/>
    <n v="0"/>
    <n v="957478.4999999999"/>
    <n v="264132"/>
    <n v="0"/>
    <n v="0"/>
    <n v="290"/>
    <n v="957478.4999999999"/>
    <n v="846352.9411764706"/>
    <n v="150"/>
    <n v="210"/>
    <n v="150"/>
    <n v="0"/>
    <n v="0"/>
    <n v="693346.4999999999"/>
    <n v="495247.4999999999"/>
    <n v="0"/>
    <n v="210"/>
    <n v="693346.4999999999"/>
    <n v="1637394.957983193"/>
    <n v="48"/>
    <n v="60"/>
    <n v="48"/>
    <n v="0"/>
    <m/>
    <n v="198099"/>
    <n v="175104"/>
    <n v="0"/>
    <n v="60"/>
    <n v="198099"/>
    <n v="523966.3865546219"/>
  </r>
  <r>
    <m/>
    <x v="2"/>
    <x v="20"/>
    <x v="56"/>
    <s v="SIMVASCORGINE"/>
    <x v="558"/>
    <x v="396"/>
    <x v="0"/>
    <x v="4"/>
    <n v="1"/>
    <x v="344"/>
    <n v="256"/>
    <m/>
    <n v="0"/>
    <n v="3142"/>
    <n v="804352"/>
    <n v="2.46"/>
    <n v="2687.55"/>
    <n v="8394.957983193277"/>
    <n v="7134.45378151260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5"/>
    <n v="0.6352271605750568"/>
    <n v="18"/>
    <n v="0.5942969350294545"/>
    <n v="25"/>
    <s v=""/>
    <n v="22"/>
    <s v=""/>
    <n v="74"/>
    <s v=""/>
    <n v="47"/>
    <s v=""/>
    <n v="0.7833333333333333"/>
    <n v="45"/>
    <s v=""/>
    <n v="1.125"/>
    <n v="54"/>
    <s v=""/>
    <n v="0.72"/>
    <n v="35"/>
    <s v=""/>
    <n v="0.7777777777777778"/>
    <n v="50"/>
    <n v="273"/>
    <n v="35"/>
    <n v="300"/>
    <n v="200"/>
    <n v="0"/>
    <n v="446164"/>
    <n v="695085.2999999999"/>
    <n v="109970"/>
    <n v="0"/>
    <n v="256"/>
    <n v="804352"/>
    <n v="246910.5289174494"/>
    <n v="40"/>
    <n v="552"/>
    <n v="33"/>
    <n v="0"/>
    <n v="0"/>
    <n v="0"/>
    <n v="483868"/>
    <n v="1405447.2"/>
    <n v="103686"/>
    <n v="0"/>
    <n v="256"/>
    <n v="804352"/>
    <n v="232801.3558364522"/>
    <n v="60"/>
    <n v="498"/>
    <n v="74"/>
    <n v="0"/>
    <n v="0"/>
    <n v="482026"/>
    <n v="1564716"/>
    <n v="232508"/>
    <n v="0"/>
    <n v="256"/>
    <n v="804352"/>
    <n v="621226.8907563025"/>
    <n v="60"/>
    <n v="448"/>
    <n v="47"/>
    <n v="0"/>
    <n v="0"/>
    <n v="1140652.8"/>
    <n v="147674"/>
    <n v="0"/>
    <n v="0"/>
    <n v="256"/>
    <n v="804352"/>
    <n v="394563.025210084"/>
    <n v="40"/>
    <n v="301"/>
    <n v="40"/>
    <m/>
    <n v="0"/>
    <n v="0"/>
    <n v="945742"/>
    <n v="101844"/>
    <n v="0"/>
    <n v="0"/>
    <n v="256"/>
    <n v="804352"/>
    <n v="335798.3193277311"/>
    <n v="75"/>
    <n v="310"/>
    <n v="54"/>
    <m/>
    <n v="0"/>
    <n v="0"/>
    <n v="974020"/>
    <n v="137489.4"/>
    <n v="0"/>
    <n v="0"/>
    <n v="310"/>
    <n v="804352"/>
    <n v="453327.7310924369"/>
    <n v="45"/>
    <n v="291"/>
    <n v="45"/>
    <n v="0"/>
    <n v="0"/>
    <n v="0"/>
    <n v="914322"/>
    <n v="114574.5"/>
    <n v="0"/>
    <n v="0"/>
    <n v="291"/>
    <n v="804352"/>
    <n v="377773.1092436975"/>
    <n v="40"/>
    <n v="246"/>
    <n v="40"/>
    <n v="0"/>
    <n v="0"/>
    <n v="0"/>
    <n v="772932"/>
    <n v="101844"/>
    <n v="0"/>
    <n v="0"/>
    <n v="246"/>
    <n v="772932"/>
    <n v="335798.3193277311"/>
    <n v="45"/>
    <n v="206"/>
    <n v="45"/>
    <n v="0"/>
    <n v="0"/>
    <m/>
    <n v="524496.6"/>
    <n v="114574.5"/>
    <n v="0"/>
    <n v="0"/>
    <n v="206"/>
    <n v="524496.6"/>
    <n v="377773.1092436975"/>
    <n v="100"/>
    <n v="161"/>
    <n v="100"/>
    <n v="0"/>
    <n v="0"/>
    <n v="0"/>
    <m/>
    <n v="409922.1"/>
    <n v="254610"/>
    <n v="0"/>
    <n v="0"/>
    <n v="161"/>
    <n v="409922.1"/>
    <n v="713445.3781512605"/>
    <n v="60"/>
    <n v="61"/>
    <n v="60"/>
    <n v="300"/>
    <n v="300"/>
    <n v="155312.1"/>
    <n v="152766"/>
    <n v="763830"/>
    <n v="763830"/>
    <n v="361"/>
    <n v="919142.1"/>
    <n v="449470.5882352941"/>
    <n v="130"/>
    <n v="301"/>
    <n v="130"/>
    <n v="0"/>
    <n v="0"/>
    <n v="766376.1"/>
    <n v="330993"/>
    <n v="0"/>
    <n v="301"/>
    <n v="766376.1"/>
    <n v="1091344.537815126"/>
    <n v="36"/>
    <n v="171"/>
    <n v="36"/>
    <n v="0"/>
    <m/>
    <n v="435383.1"/>
    <n v="113112"/>
    <n v="0"/>
    <n v="171"/>
    <n v="435383.1"/>
    <n v="302218.487394958"/>
  </r>
  <r>
    <s v="Simplit-Cristalería y Bar"/>
    <x v="2"/>
    <x v="20"/>
    <x v="57"/>
    <s v="SIMDESSOM"/>
    <x v="559"/>
    <x v="397"/>
    <x v="0"/>
    <x v="1"/>
    <n v="0.7"/>
    <x v="345"/>
    <n v="49"/>
    <m/>
    <n v="0"/>
    <n v="2274"/>
    <n v="111426"/>
    <n v="2.32"/>
    <n v="2534.6"/>
    <n v="8394.957983193277"/>
    <n v="8394.957983193277"/>
    <s v="Shenzhen"/>
    <s v="30/70"/>
    <n v="30"/>
    <n v="200"/>
    <n v="5"/>
    <n v="0.6754357391475668"/>
    <n v="8"/>
    <n v="0.668329212694875"/>
    <n v="6"/>
    <n v="0.7283143529229155"/>
    <n v="11"/>
    <n v="0.7018659030489929"/>
    <n v="13"/>
    <n v="0.6623725430353409"/>
    <n v="33"/>
    <n v="0.6585272663183217"/>
    <n v="18"/>
    <n v="0.6560909696725915"/>
    <n v="22"/>
    <n v="0.6851654638816809"/>
    <n v="12"/>
    <n v="0.6901670339654901"/>
    <n v="25"/>
    <n v="0.6633307069088924"/>
    <n v="25"/>
    <n v="0.7285857948774314"/>
    <n v="13"/>
    <n v="0.7515610093569096"/>
    <n v="5"/>
    <s v=""/>
    <n v="13"/>
    <s v=""/>
    <n v="15"/>
    <s v=""/>
    <n v="9"/>
    <s v=""/>
    <n v="0.6"/>
    <n v="20"/>
    <s v=""/>
    <n v="1.666666666666667"/>
    <n v="14"/>
    <s v=""/>
    <n v="0.4666666666666667"/>
    <n v="11"/>
    <s v=""/>
    <n v="0.6875"/>
    <n v="15"/>
    <n v="6"/>
    <n v="15"/>
    <n v="50"/>
    <n v="50"/>
    <n v="0"/>
    <n v="112563"/>
    <n v="14407.2"/>
    <n v="34110"/>
    <n v="0"/>
    <n v="49"/>
    <n v="111426"/>
    <n v="105818.7981074783"/>
    <n v="15"/>
    <n v="46"/>
    <n v="19.5"/>
    <n v="0"/>
    <n v="0"/>
    <n v="0"/>
    <n v="98919"/>
    <n v="110455.2"/>
    <n v="44343"/>
    <n v="0"/>
    <n v="49"/>
    <n v="111426"/>
    <n v="137564.4375397218"/>
    <n v="15"/>
    <n v="31"/>
    <n v="15"/>
    <n v="0"/>
    <n v="0"/>
    <n v="74746.07999999999"/>
    <n v="70494"/>
    <n v="34110"/>
    <n v="0"/>
    <n v="49"/>
    <n v="111426"/>
    <n v="125924.3697478992"/>
    <n v="15"/>
    <n v="118"/>
    <n v="9"/>
    <n v="100"/>
    <n v="0"/>
    <n v="283341.6"/>
    <n v="20466"/>
    <n v="240120"/>
    <n v="0"/>
    <n v="49"/>
    <n v="111426"/>
    <n v="75554.62184873949"/>
    <n v="12"/>
    <n v="69"/>
    <n v="8.399999999999999"/>
    <m/>
    <n v="0"/>
    <n v="0"/>
    <n v="156906"/>
    <n v="20170.07999999999"/>
    <n v="0"/>
    <n v="0"/>
    <n v="49"/>
    <n v="111426"/>
    <n v="70517.64705882351"/>
    <n v="30"/>
    <n v="63"/>
    <n v="14"/>
    <m/>
    <n v="0"/>
    <n v="0"/>
    <n v="143262"/>
    <n v="33616.8"/>
    <n v="0"/>
    <n v="0"/>
    <n v="63"/>
    <n v="111426"/>
    <n v="117529.4117647059"/>
    <n v="16"/>
    <n v="60"/>
    <n v="11.2"/>
    <n v="0"/>
    <n v="0"/>
    <n v="0"/>
    <n v="136440"/>
    <n v="26893.44"/>
    <n v="0"/>
    <n v="0"/>
    <n v="60"/>
    <n v="111426"/>
    <n v="94023.5294117647"/>
    <n v="22"/>
    <n v="48.8"/>
    <n v="15.4"/>
    <n v="0"/>
    <n v="0"/>
    <n v="0"/>
    <n v="110971.2"/>
    <n v="36978.48"/>
    <n v="0"/>
    <n v="0"/>
    <n v="48.8"/>
    <n v="110971.2"/>
    <n v="129282.3529411764"/>
    <n v="20"/>
    <n v="33.4"/>
    <n v="14"/>
    <n v="100"/>
    <n v="100"/>
    <n v="0"/>
    <n v="80200.07999999999"/>
    <n v="33616.8"/>
    <n v="240120"/>
    <n v="0"/>
    <n v="33.4"/>
    <n v="80200.07999999999"/>
    <n v="117529.4117647059"/>
    <n v="25"/>
    <n v="119.4"/>
    <n v="17.5"/>
    <n v="0"/>
    <n v="0"/>
    <n v="0"/>
    <n v="100"/>
    <n v="286703.28"/>
    <n v="42021"/>
    <n v="0"/>
    <n v="240120"/>
    <n v="119.4"/>
    <n v="526823.2799999999"/>
    <n v="146911.7647058823"/>
    <n v="25"/>
    <n v="101.9"/>
    <n v="17.5"/>
    <n v="0"/>
    <n v="0"/>
    <n v="244682.28"/>
    <n v="42021"/>
    <n v="0"/>
    <n v="0"/>
    <n v="101.9"/>
    <n v="244682.28"/>
    <n v="154257.3529411765"/>
    <n v="30"/>
    <n v="84.40000000000001"/>
    <n v="21"/>
    <n v="0"/>
    <n v="0"/>
    <n v="202661.28"/>
    <n v="50425.2"/>
    <n v="0"/>
    <n v="84.40000000000001"/>
    <n v="202661.28"/>
    <n v="176294.1176470588"/>
    <n v="15"/>
    <n v="63.40000000000001"/>
    <n v="10.5"/>
    <n v="0"/>
    <m/>
    <n v="152236.08"/>
    <n v="23877"/>
    <n v="0"/>
    <n v="63.40000000000001"/>
    <n v="152236.08"/>
    <n v="88147.05882352941"/>
  </r>
  <r>
    <s v="Simplit-Cristalería y Bar"/>
    <x v="2"/>
    <x v="20"/>
    <x v="57"/>
    <s v="SIMDECCHA"/>
    <x v="560"/>
    <x v="398"/>
    <x v="0"/>
    <x v="1"/>
    <n v="1.2"/>
    <x v="346"/>
    <n v="96"/>
    <m/>
    <n v="0"/>
    <n v="6175"/>
    <n v="592800"/>
    <n v="6"/>
    <n v="6554.999999999999"/>
    <n v="14277.31092436975"/>
    <n v="10915.96638655462"/>
    <s v="Shenzhen"/>
    <s v="30/70"/>
    <n v="30"/>
    <n v="100"/>
    <n v="2"/>
    <n v="0.6195680952380953"/>
    <n v="0"/>
    <s v=""/>
    <n v="2"/>
    <n v="0.5471305481548665"/>
    <n v="14"/>
    <n v="0.4376742220189198"/>
    <n v="0"/>
    <s v=""/>
    <n v="6"/>
    <n v="0.4662420233708957"/>
    <n v="1"/>
    <n v="1"/>
    <n v="7"/>
    <n v="0.6281838782976157"/>
    <n v="4"/>
    <n v="0.5990932437557965"/>
    <n v="7"/>
    <n v="0.5029803285366597"/>
    <n v="6"/>
    <n v="0.5586272318380364"/>
    <n v="19"/>
    <n v="0.5526772658288145"/>
    <n v="1"/>
    <s v=""/>
    <n v="7"/>
    <s v=""/>
    <n v="8"/>
    <s v=""/>
    <n v="4"/>
    <s v=""/>
    <n v="0.2"/>
    <n v="5"/>
    <s v=""/>
    <n v="1.666666666666667"/>
    <n v="9"/>
    <s v=""/>
    <n v="1.8"/>
    <n v="5"/>
    <s v=""/>
    <n v="1.25"/>
    <n v="12"/>
    <n v="81"/>
    <n v="6"/>
    <n v="50"/>
    <n v="50"/>
    <n v="0"/>
    <n v="151287.5"/>
    <n v="503009.9999999999"/>
    <n v="37050"/>
    <n v="0"/>
    <n v="96"/>
    <n v="592800"/>
    <n v="71986.44163547773"/>
    <n v="5"/>
    <n v="135"/>
    <n v="10.5"/>
    <n v="0"/>
    <n v="0"/>
    <n v="0"/>
    <n v="138937.5"/>
    <n v="838349.9999999999"/>
    <n v="64837.5"/>
    <n v="0"/>
    <n v="96"/>
    <n v="592800"/>
    <n v="125976.272862086"/>
    <n v="15"/>
    <n v="127"/>
    <n v="8"/>
    <n v="0"/>
    <n v="0"/>
    <n v="96456"/>
    <n v="784225"/>
    <n v="49400"/>
    <n v="0"/>
    <n v="96"/>
    <n v="592800"/>
    <n v="114218.487394958"/>
    <n v="20"/>
    <n v="119"/>
    <n v="4"/>
    <n v="0"/>
    <n v="0"/>
    <n v="738989.9999999999"/>
    <n v="24700"/>
    <n v="0"/>
    <n v="0"/>
    <n v="96"/>
    <n v="592800"/>
    <n v="57109.243697479"/>
    <n v="3"/>
    <n v="101"/>
    <n v="3.6"/>
    <m/>
    <n v="0"/>
    <n v="0"/>
    <n v="623675"/>
    <n v="22355.99999999999"/>
    <n v="0"/>
    <n v="0"/>
    <n v="96"/>
    <n v="592800"/>
    <n v="51398.31932773109"/>
    <n v="5"/>
    <n v="105"/>
    <n v="9"/>
    <m/>
    <n v="0"/>
    <n v="0"/>
    <n v="648375"/>
    <n v="55889.99999999999"/>
    <n v="0"/>
    <n v="0"/>
    <n v="105"/>
    <n v="592800"/>
    <n v="128495.7983193277"/>
    <n v="4"/>
    <n v="101"/>
    <n v="4.8"/>
    <n v="0"/>
    <n v="0"/>
    <n v="0"/>
    <n v="623675"/>
    <n v="29807.99999999999"/>
    <n v="0"/>
    <n v="0"/>
    <n v="101"/>
    <n v="592800"/>
    <n v="68531.0924369748"/>
    <n v="7"/>
    <n v="96.2"/>
    <n v="8.4"/>
    <n v="0"/>
    <n v="0"/>
    <n v="0"/>
    <n v="594035"/>
    <n v="52163.99999999999"/>
    <n v="0"/>
    <n v="0"/>
    <n v="96.2"/>
    <n v="594035"/>
    <n v="119929.4117647059"/>
    <n v="4"/>
    <n v="87.8"/>
    <n v="4.8"/>
    <n v="0"/>
    <n v="0"/>
    <m/>
    <n v="545237.9999999999"/>
    <n v="29807.99999999999"/>
    <n v="0"/>
    <n v="0"/>
    <n v="87.8"/>
    <n v="545237.9999999999"/>
    <n v="68531.0924369748"/>
    <n v="10"/>
    <n v="83"/>
    <n v="12"/>
    <n v="0"/>
    <n v="0"/>
    <n v="0"/>
    <m/>
    <n v="515429.9999999999"/>
    <n v="74519.99999999999"/>
    <n v="0"/>
    <n v="0"/>
    <n v="83"/>
    <n v="515429.9999999999"/>
    <n v="130991.5966386555"/>
    <n v="15"/>
    <n v="71"/>
    <n v="18"/>
    <n v="0"/>
    <n v="0"/>
    <n v="440909.9999999999"/>
    <n v="111780"/>
    <n v="0"/>
    <n v="0"/>
    <n v="71"/>
    <n v="440909.9999999999"/>
    <n v="206311.7647058824"/>
    <n v="20"/>
    <n v="53"/>
    <n v="24"/>
    <n v="0"/>
    <n v="0"/>
    <n v="329129.9999999999"/>
    <n v="149040"/>
    <n v="0"/>
    <n v="53"/>
    <n v="329129.9999999999"/>
    <n v="342655.462184874"/>
    <n v="9"/>
    <n v="29"/>
    <n v="10.8"/>
    <n v="0"/>
    <m/>
    <n v="180090"/>
    <n v="66690"/>
    <n v="0"/>
    <n v="29"/>
    <n v="180090"/>
    <n v="154194.9579831933"/>
  </r>
  <r>
    <s v="Simplit-Cristalería y Bar"/>
    <x v="2"/>
    <x v="20"/>
    <x v="57"/>
    <s v="SIMDECROU"/>
    <x v="561"/>
    <x v="399"/>
    <x v="0"/>
    <x v="1"/>
    <n v="1"/>
    <x v="347"/>
    <n v="7"/>
    <m/>
    <n v="0"/>
    <n v="5603"/>
    <n v="39221"/>
    <n v="3.86"/>
    <n v="4217.049999999999"/>
    <n v="16798.31932773109"/>
    <n v="16798.31932773109"/>
    <s v="Shenzhen"/>
    <s v="30/70"/>
    <n v="30"/>
    <n v="100"/>
    <n v="4"/>
    <n v="0.6664460054768424"/>
    <n v="9"/>
    <n v="0.5867789909230213"/>
    <n v="9"/>
    <n v="0.631790760333837"/>
    <n v="24"/>
    <n v="0.5595445216887054"/>
    <n v="13"/>
    <n v="0.629377503295896"/>
    <n v="27"/>
    <n v="0.5259509145812876"/>
    <n v="4"/>
    <n v="0.5685011317140412"/>
    <n v="3"/>
    <n v="0.4867130817149139"/>
    <n v="1"/>
    <n v="0.7331895238095237"/>
    <n v="0"/>
    <s v=""/>
    <n v="0"/>
    <s v=""/>
    <n v="0"/>
    <s v=""/>
    <n v="6"/>
    <s v=""/>
    <n v="8"/>
    <s v=""/>
    <n v="10"/>
    <s v=""/>
    <n v="3"/>
    <s v=""/>
    <n v="0.12"/>
    <n v="4"/>
    <s v=""/>
    <n v="0.3333333333333333"/>
    <n v="4"/>
    <s v=""/>
    <n v="0.2666666666666667"/>
    <n v="2"/>
    <s v=""/>
    <n v="0.2857142857142857"/>
    <n v="15"/>
    <n v="47"/>
    <n v="6"/>
    <n v="50"/>
    <n v="50"/>
    <n v="0"/>
    <n v="156884"/>
    <n v="187769.7"/>
    <n v="33618"/>
    <n v="0"/>
    <n v="7"/>
    <n v="39221"/>
    <n v="84697.40837511476"/>
    <n v="5"/>
    <n v="41"/>
    <n v="12"/>
    <n v="0"/>
    <n v="0"/>
    <n v="0"/>
    <n v="140075"/>
    <n v="163799.1"/>
    <n v="67236"/>
    <n v="0"/>
    <n v="7"/>
    <n v="39221"/>
    <n v="169394.8167502295"/>
    <n v="20"/>
    <n v="33"/>
    <n v="10"/>
    <n v="0"/>
    <n v="0"/>
    <n v="120780.2"/>
    <n v="184899"/>
    <n v="56030"/>
    <n v="0"/>
    <n v="7"/>
    <n v="39221"/>
    <n v="167983.1932773109"/>
    <n v="25"/>
    <n v="22"/>
    <n v="3"/>
    <n v="100"/>
    <n v="0"/>
    <n v="87892.2"/>
    <n v="16809"/>
    <n v="399510"/>
    <n v="0"/>
    <n v="7"/>
    <n v="39221"/>
    <n v="50394.95798319328"/>
    <n v="12"/>
    <n v="11"/>
    <n v="12"/>
    <m/>
    <n v="0"/>
    <n v="0"/>
    <n v="61633"/>
    <n v="47941.2"/>
    <n v="0"/>
    <n v="0"/>
    <n v="7"/>
    <n v="39221"/>
    <n v="201579.8319327731"/>
    <n v="15"/>
    <n v="11"/>
    <n v="4"/>
    <m/>
    <n v="0"/>
    <n v="0"/>
    <n v="61633"/>
    <n v="15980.4"/>
    <n v="0"/>
    <n v="0"/>
    <n v="11"/>
    <n v="39221"/>
    <n v="67193.27731092437"/>
    <n v="7"/>
    <n v="9"/>
    <n v="7"/>
    <n v="0"/>
    <n v="0"/>
    <n v="0"/>
    <n v="50427"/>
    <n v="27965.7"/>
    <n v="0"/>
    <n v="0"/>
    <n v="9"/>
    <n v="39221"/>
    <n v="117588.2352941177"/>
    <n v="8"/>
    <n v="2"/>
    <n v="8"/>
    <n v="0"/>
    <n v="0"/>
    <n v="0"/>
    <n v="11206"/>
    <n v="31960.8"/>
    <n v="0"/>
    <n v="0"/>
    <n v="2"/>
    <n v="11206"/>
    <n v="134386.5546218487"/>
    <n v="6"/>
    <n v="0"/>
    <n v="6"/>
    <n v="100"/>
    <n v="100"/>
    <n v="0"/>
    <n v="0"/>
    <n v="23970.6"/>
    <n v="399510"/>
    <n v="0"/>
    <n v="0"/>
    <n v="0"/>
    <n v="100789.9159663866"/>
    <n v="20"/>
    <n v="100"/>
    <n v="20"/>
    <n v="0"/>
    <n v="0"/>
    <n v="0"/>
    <n v="100"/>
    <n v="399510"/>
    <n v="79902"/>
    <n v="0"/>
    <n v="399510"/>
    <n v="100"/>
    <n v="799020"/>
    <n v="335966.3865546219"/>
    <n v="20"/>
    <n v="80"/>
    <n v="20"/>
    <n v="0"/>
    <n v="0"/>
    <n v="319608"/>
    <n v="79902"/>
    <n v="0"/>
    <n v="0"/>
    <n v="80"/>
    <n v="319608"/>
    <n v="352764.705882353"/>
    <n v="100"/>
    <n v="60"/>
    <n v="100"/>
    <n v="0"/>
    <n v="0"/>
    <n v="239706"/>
    <n v="399510"/>
    <n v="0"/>
    <n v="60"/>
    <n v="239706"/>
    <n v="1679831.932773109"/>
    <n v="12"/>
    <n v="0"/>
    <n v="12"/>
    <n v="0"/>
    <m/>
    <n v="0"/>
    <n v="67236"/>
    <n v="0"/>
    <n v="0"/>
    <n v="0"/>
    <n v="201579.8319327731"/>
  </r>
  <r>
    <s v="Simplit-Cristalería y Bar"/>
    <x v="2"/>
    <x v="20"/>
    <x v="57"/>
    <s v="SIMHIECHAR"/>
    <x v="562"/>
    <x v="400"/>
    <x v="0"/>
    <x v="4"/>
    <n v="1"/>
    <x v="348"/>
    <n v="0"/>
    <m/>
    <n v="0"/>
    <n v="7340"/>
    <n v="0"/>
    <n v="7.09"/>
    <n v="7745.825"/>
    <n v="14277.31092436975"/>
    <n v="22680.67226890757"/>
    <s v="Shenzhen"/>
    <s v="30/70"/>
    <n v="30"/>
    <n v="300"/>
    <n v="8"/>
    <n v="0.5282515948874476"/>
    <n v="12"/>
    <n v="0.5475667772507854"/>
    <n v="33"/>
    <n v="0.5106851412029698"/>
    <n v="59"/>
    <n v="0.5143167773161778"/>
    <n v="43"/>
    <n v="0.5410224423841913"/>
    <n v="63"/>
    <n v="0.4949347646706038"/>
    <n v="31"/>
    <n v="0.5319757289432525"/>
    <n v="44"/>
    <n v="0.5268768217064689"/>
    <n v="17"/>
    <n v="0.5729683782387787"/>
    <n v="75"/>
    <n v="0.4785079322589943"/>
    <n v="97"/>
    <n v="0.5344549134779236"/>
    <n v="93"/>
    <n v="0.4973614654012233"/>
    <n v="62"/>
    <s v=""/>
    <n v="59"/>
    <s v=""/>
    <n v="186"/>
    <s v=""/>
    <n v="94"/>
    <s v=""/>
    <n v="0.9399999999999999"/>
    <n v="24"/>
    <s v=""/>
    <n v="0.4"/>
    <n v="-1"/>
    <s v=""/>
    <n v="-0.0125"/>
    <n v="4"/>
    <s v=""/>
    <n v="0.08888888888888889"/>
    <n v="70"/>
    <n v="428"/>
    <n v="70"/>
    <n v="0"/>
    <n v="0"/>
    <n v="0"/>
    <n v="2528630"/>
    <n v="3140728.2"/>
    <n v="513800"/>
    <n v="0"/>
    <n v="0"/>
    <n v="0"/>
    <n v="839841.8190805735"/>
    <n v="50"/>
    <n v="366"/>
    <n v="88.5"/>
    <n v="0"/>
    <n v="0"/>
    <n v="0"/>
    <n v="2704790"/>
    <n v="2685762.9"/>
    <n v="649590"/>
    <n v="0"/>
    <n v="0"/>
    <n v="0"/>
    <n v="1061800.014123297"/>
    <n v="60"/>
    <n v="299"/>
    <n v="186"/>
    <n v="0"/>
    <n v="0"/>
    <n v="2495489"/>
    <n v="2194660"/>
    <n v="1365240"/>
    <n v="0"/>
    <n v="0"/>
    <n v="0"/>
    <n v="2655579.831932773"/>
    <n v="100"/>
    <n v="106"/>
    <n v="94"/>
    <n v="0"/>
    <n v="0"/>
    <n v="777843.8999999999"/>
    <n v="689960"/>
    <n v="0"/>
    <n v="0"/>
    <n v="0"/>
    <n v="0"/>
    <n v="1342067.226890757"/>
    <n v="60"/>
    <n v="24"/>
    <n v="60"/>
    <m/>
    <n v="0"/>
    <n v="0"/>
    <n v="176160"/>
    <n v="440289"/>
    <n v="0"/>
    <n v="0"/>
    <n v="0"/>
    <n v="0"/>
    <n v="856638.6554621849"/>
    <n v="80"/>
    <n v="-1"/>
    <n v="-1"/>
    <m/>
    <n v="0"/>
    <n v="0"/>
    <n v="-7340"/>
    <n v="-7338.15"/>
    <n v="0"/>
    <n v="0"/>
    <n v="-1"/>
    <n v="0"/>
    <n v="-14277.31092436975"/>
    <n v="45"/>
    <n v="4"/>
    <n v="45"/>
    <n v="0"/>
    <n v="0"/>
    <n v="0"/>
    <n v="29360"/>
    <n v="330216.75"/>
    <n v="0"/>
    <n v="0"/>
    <n v="4"/>
    <n v="0"/>
    <n v="642478.9915966387"/>
    <n v="44"/>
    <n v="0"/>
    <n v="44"/>
    <n v="0"/>
    <n v="0"/>
    <n v="0"/>
    <n v="0"/>
    <n v="322878.6"/>
    <n v="0"/>
    <n v="0"/>
    <n v="0"/>
    <n v="0"/>
    <n v="628201.680672269"/>
    <n v="40"/>
    <n v="0"/>
    <n v="40"/>
    <n v="504"/>
    <n v="504"/>
    <m/>
    <n v="0"/>
    <n v="293526"/>
    <n v="3698427.6"/>
    <n v="0"/>
    <n v="0"/>
    <n v="0"/>
    <n v="571092.4369747899"/>
    <n v="60"/>
    <n v="504"/>
    <n v="60"/>
    <n v="0"/>
    <n v="0"/>
    <n v="0"/>
    <n v="504"/>
    <n v="3698427.6"/>
    <n v="440289"/>
    <n v="0"/>
    <n v="3698427.6"/>
    <n v="504"/>
    <n v="7396855.199999999"/>
    <n v="1360840.336134454"/>
    <n v="50"/>
    <n v="444"/>
    <n v="50"/>
    <n v="0"/>
    <n v="0"/>
    <n v="3258138.6"/>
    <n v="366907.5"/>
    <n v="0"/>
    <n v="0"/>
    <n v="444"/>
    <n v="3258138.6"/>
    <n v="1190735.294117647"/>
    <n v="100"/>
    <n v="394"/>
    <n v="100"/>
    <n v="0"/>
    <n v="0"/>
    <n v="2891231.1"/>
    <n v="733815"/>
    <n v="0"/>
    <n v="394"/>
    <n v="2891231.1"/>
    <n v="1427731.092436975"/>
    <n v="30"/>
    <n v="294"/>
    <n v="30"/>
    <n v="0"/>
    <m/>
    <n v="2157416.1"/>
    <n v="220200"/>
    <n v="0"/>
    <n v="294"/>
    <n v="2157416.1"/>
    <n v="428319.3277310925"/>
  </r>
  <r>
    <s v="Simplit-Electrodomésticos"/>
    <x v="2"/>
    <x v="21"/>
    <x v="58"/>
    <n v="1660859171584"/>
    <x v="563"/>
    <x v="401"/>
    <x v="0"/>
    <x v="3"/>
    <n v="1"/>
    <x v="349"/>
    <n v="8"/>
    <m/>
    <n v="0"/>
    <n v="13822"/>
    <n v="110576"/>
    <n v="14.35"/>
    <n v="15677.375"/>
    <n v="27722.68907563025"/>
    <n v="29403.36134453782"/>
    <s v="Shenzhen"/>
    <s v="20/80 Credit"/>
    <n v="30"/>
    <n v="200"/>
    <n v="234"/>
    <n v="0.477327845736466"/>
    <n v="179"/>
    <n v="0.499135577255696"/>
    <n v="258"/>
    <n v="0.481931110924215"/>
    <n v="118"/>
    <n v="0.5259204996304373"/>
    <n v="15"/>
    <n v="0.5083452257782557"/>
    <n v="157"/>
    <n v="0.4716674957761429"/>
    <n v="366"/>
    <n v="0.4823869424046419"/>
    <n v="201"/>
    <n v="0.5171709493681382"/>
    <n v="133"/>
    <n v="0.5403921630961404"/>
    <n v="282"/>
    <n v="0.4238109525337688"/>
    <n v="115"/>
    <n v="0.4334144351644337"/>
    <n v="207"/>
    <n v="0.4542372873051678"/>
    <n v="103"/>
    <n v="0.3023103198367176"/>
    <n v="109"/>
    <n v="0.3091133963494128"/>
    <n v="342"/>
    <n v="0.3224363620070211"/>
    <n v="313"/>
    <n v="0.3757725447833463"/>
    <n v="1.252"/>
    <n v="321"/>
    <n v="0.5454477455064275"/>
    <n v="1.07"/>
    <n v="344"/>
    <n v="0.3268804933322402"/>
    <n v="1.146666666666667"/>
    <n v="0"/>
    <n v="0.3816241010593115"/>
    <n v="0"/>
    <n v="250"/>
    <n v="779"/>
    <n v="90"/>
    <n v="0"/>
    <n v="0"/>
    <n v="0"/>
    <n v="8231001"/>
    <n v="11569902.75"/>
    <n v="1243980"/>
    <n v="0"/>
    <n v="8"/>
    <n v="110576"/>
    <n v="2096673.963703129"/>
    <n v="150"/>
    <n v="684"/>
    <n v="163.5"/>
    <n v="500"/>
    <n v="150"/>
    <n v="0"/>
    <n v="11313307"/>
    <n v="10158939"/>
    <n v="2259897"/>
    <n v="0"/>
    <n v="8"/>
    <n v="110576"/>
    <n v="3808957.70072735"/>
    <n v="220"/>
    <n v="558"/>
    <n v="342"/>
    <n v="0"/>
    <n v="0"/>
    <n v="13509085"/>
    <n v="7712676"/>
    <n v="4727124"/>
    <n v="0"/>
    <n v="8"/>
    <n v="110576"/>
    <n v="9481159.663865546"/>
    <n v="250"/>
    <n v="1076"/>
    <n v="313"/>
    <n v="400"/>
    <n v="0"/>
    <n v="15981021"/>
    <n v="4326286"/>
    <n v="5940900.000000001"/>
    <n v="0"/>
    <n v="8"/>
    <n v="110576"/>
    <n v="8677201.680672269"/>
    <n v="300"/>
    <n v="329"/>
    <n v="300"/>
    <m/>
    <n v="408"/>
    <n v="0"/>
    <n v="4547438"/>
    <n v="4455675.000000001"/>
    <n v="0"/>
    <n v="0"/>
    <n v="8"/>
    <n v="110576"/>
    <n v="8316806.722689075"/>
    <n v="300"/>
    <n v="352"/>
    <n v="344"/>
    <m/>
    <n v="0"/>
    <n v="0"/>
    <n v="4865344"/>
    <n v="5109174.000000001"/>
    <n v="0"/>
    <n v="0"/>
    <n v="352"/>
    <n v="110576"/>
    <n v="9536605.042016806"/>
    <n v="115"/>
    <n v="8"/>
    <n v="115"/>
    <n v="0"/>
    <n v="0"/>
    <n v="0"/>
    <n v="110576"/>
    <n v="1708008.75"/>
    <n v="0"/>
    <n v="0"/>
    <n v="8"/>
    <n v="110576"/>
    <n v="3188109.243697479"/>
    <n v="200"/>
    <n v="0"/>
    <n v="200"/>
    <n v="200"/>
    <n v="200"/>
    <n v="0"/>
    <n v="0"/>
    <n v="2970450"/>
    <n v="2970450"/>
    <n v="0"/>
    <n v="200"/>
    <n v="0"/>
    <n v="5544537.81512605"/>
    <n v="200"/>
    <n v="0"/>
    <n v="200"/>
    <n v="400"/>
    <n v="400"/>
    <n v="400"/>
    <n v="0"/>
    <n v="2970450"/>
    <n v="5940900.000000001"/>
    <n v="5940900.000000001"/>
    <n v="400"/>
    <n v="5940900.000000001"/>
    <n v="5544537.81512605"/>
    <n v="280"/>
    <n v="200"/>
    <n v="200"/>
    <n v="400"/>
    <n v="400"/>
    <n v="400"/>
    <m/>
    <n v="2970450"/>
    <n v="2970450"/>
    <n v="5940900.000000001"/>
    <n v="5940900.000000001"/>
    <n v="600"/>
    <n v="8911350.000000002"/>
    <n v="5880672.268907564"/>
    <n v="200"/>
    <n v="400"/>
    <n v="200"/>
    <n v="200"/>
    <n v="200"/>
    <n v="5940900.000000001"/>
    <n v="2970450"/>
    <n v="2970450"/>
    <n v="2970450"/>
    <n v="600"/>
    <n v="8911350.000000002"/>
    <n v="6174705.882352943"/>
    <n v="205"/>
    <n v="400"/>
    <n v="205"/>
    <n v="200"/>
    <n v="200"/>
    <n v="5940900.000000001"/>
    <n v="3044711.25"/>
    <n v="2970450"/>
    <n v="600"/>
    <n v="8911350.000000002"/>
    <n v="5683151.260504202"/>
    <n v="120"/>
    <n v="395"/>
    <n v="120"/>
    <n v="0"/>
    <m/>
    <n v="5866638.750000001"/>
    <n v="1658640"/>
    <n v="0"/>
    <n v="395"/>
    <n v="5866638.750000001"/>
    <n v="3326722.68907563"/>
  </r>
  <r>
    <s v="Simplit-Electrodomésticos"/>
    <x v="2"/>
    <x v="21"/>
    <x v="58"/>
    <n v="68432930518995"/>
    <x v="564"/>
    <x v="402"/>
    <x v="0"/>
    <x v="3"/>
    <n v="1"/>
    <x v="350"/>
    <n v="336"/>
    <m/>
    <n v="0"/>
    <n v="14797"/>
    <n v="4971792"/>
    <n v="14.35"/>
    <n v="15677.375"/>
    <n v="27722.68907563025"/>
    <n v="25201.68067226891"/>
    <s v="Shenzhen"/>
    <s v="20/80 Credit"/>
    <n v="30"/>
    <n v="200"/>
    <n v="54"/>
    <n v="0.4595461407252416"/>
    <n v="62"/>
    <n v="0.4594146280861039"/>
    <n v="121"/>
    <n v="0.4372606507323566"/>
    <n v="124"/>
    <n v="0.4696017656783642"/>
    <n v="187"/>
    <n v="0.5024589251008843"/>
    <n v="169"/>
    <n v="0.4165737017573793"/>
    <n v="73"/>
    <n v="0.4881287355523753"/>
    <n v="103"/>
    <n v="0.5184234998508076"/>
    <n v="54"/>
    <n v="0.5191444654265686"/>
    <n v="110"/>
    <n v="0.4354537014059752"/>
    <n v="50"/>
    <n v="0.3810161175931036"/>
    <n v="96"/>
    <n v="0.4248087681341492"/>
    <n v="54"/>
    <n v="0.2865569238195347"/>
    <n v="34"/>
    <n v="0.2594692471788336"/>
    <n v="110"/>
    <n v="0.2422472477257142"/>
    <n v="85"/>
    <n v="0.3338048817832758"/>
    <n v="0.85"/>
    <n v="87"/>
    <n v="0.5069632702960704"/>
    <n v="0.725"/>
    <n v="347"/>
    <n v="0.2862560150069345"/>
    <n v="0.9914285714285714"/>
    <n v="0"/>
    <n v="0.3117900691671762"/>
    <n v="0"/>
    <n v="80"/>
    <n v="408"/>
    <n v="40"/>
    <n v="0"/>
    <n v="0"/>
    <n v="0"/>
    <n v="2974197"/>
    <n v="6059718.000000001"/>
    <n v="591880"/>
    <n v="0"/>
    <n v="336"/>
    <n v="4971792"/>
    <n v="931855.0949791681"/>
    <n v="60"/>
    <n v="368"/>
    <n v="51"/>
    <n v="100"/>
    <n v="100"/>
    <n v="0"/>
    <n v="3640062"/>
    <n v="5465628.000000001"/>
    <n v="754647"/>
    <n v="0"/>
    <n v="336"/>
    <n v="4971792"/>
    <n v="1188115.246098439"/>
    <n v="130"/>
    <n v="320"/>
    <n v="110"/>
    <n v="0"/>
    <n v="0"/>
    <n v="4667685"/>
    <n v="4735040"/>
    <n v="1627670"/>
    <n v="0"/>
    <n v="336"/>
    <n v="4971792"/>
    <n v="3049495.798319328"/>
    <n v="100"/>
    <n v="982"/>
    <n v="85"/>
    <n v="650"/>
    <n v="0"/>
    <n v="14584909.5"/>
    <n v="1257745"/>
    <n v="9653962.500000002"/>
    <n v="0"/>
    <n v="336"/>
    <n v="4971792"/>
    <n v="2356428.571428571"/>
    <n v="120"/>
    <n v="423"/>
    <n v="120"/>
    <m/>
    <n v="648"/>
    <n v="0"/>
    <n v="6259131"/>
    <n v="1782270"/>
    <n v="0"/>
    <n v="0"/>
    <n v="336"/>
    <n v="4971792"/>
    <n v="3326722.68907563"/>
    <n v="350"/>
    <n v="683"/>
    <n v="347"/>
    <m/>
    <n v="0"/>
    <n v="0"/>
    <n v="10106351"/>
    <n v="5153730.750000001"/>
    <n v="0"/>
    <n v="0"/>
    <n v="683"/>
    <n v="4971792"/>
    <n v="9619773.109243698"/>
    <n v="250"/>
    <n v="336"/>
    <n v="250"/>
    <n v="0"/>
    <n v="0"/>
    <n v="0"/>
    <n v="4971792"/>
    <n v="3713062.5"/>
    <n v="0"/>
    <n v="0"/>
    <n v="336"/>
    <n v="4971792"/>
    <n v="6930672.268907563"/>
    <n v="100"/>
    <n v="86"/>
    <n v="100"/>
    <n v="0"/>
    <n v="0"/>
    <n v="0"/>
    <n v="1272542"/>
    <n v="1485225"/>
    <n v="0"/>
    <n v="0"/>
    <n v="86"/>
    <n v="1272542"/>
    <n v="2772268.907563025"/>
    <n v="100"/>
    <n v="0"/>
    <n v="100"/>
    <n v="200"/>
    <n v="200"/>
    <n v="200"/>
    <n v="0"/>
    <n v="1485225"/>
    <n v="2970450"/>
    <n v="2970450"/>
    <n v="200"/>
    <n v="2970450"/>
    <n v="2772268.907563025"/>
    <n v="150"/>
    <n v="100"/>
    <n v="100"/>
    <n v="150"/>
    <n v="150"/>
    <n v="150"/>
    <m/>
    <n v="1485225"/>
    <n v="1485225"/>
    <n v="2227837.5"/>
    <n v="2227837.5"/>
    <n v="250"/>
    <n v="3713062.500000001"/>
    <n v="2520168.06722689"/>
    <n v="150"/>
    <n v="150"/>
    <n v="150"/>
    <n v="200"/>
    <n v="200"/>
    <n v="2227837.5"/>
    <n v="2227837.5"/>
    <n v="2970450"/>
    <n v="2970450"/>
    <n v="350"/>
    <n v="5198287.500000001"/>
    <n v="3969264.705882353"/>
    <n v="150"/>
    <n v="200"/>
    <n v="150"/>
    <n v="300"/>
    <n v="300"/>
    <n v="2970450"/>
    <n v="2227837.5"/>
    <n v="4455675.000000001"/>
    <n v="500"/>
    <n v="7426125.000000002"/>
    <n v="4158403.361344538"/>
    <n v="90"/>
    <n v="350"/>
    <n v="90"/>
    <n v="0"/>
    <m/>
    <n v="5198287.500000001"/>
    <n v="1331730"/>
    <n v="0"/>
    <n v="350"/>
    <n v="5198287.500000001"/>
    <n v="2495042.016806723"/>
  </r>
  <r>
    <s v="Simplit-Juegos de Mesa"/>
    <x v="2"/>
    <x v="22"/>
    <x v="59"/>
    <n v="1628018206370"/>
    <x v="565"/>
    <x v="403"/>
    <x v="0"/>
    <x v="0"/>
    <n v="0.8"/>
    <x v="351"/>
    <n v="4"/>
    <m/>
    <n v="0"/>
    <n v="4487"/>
    <n v="17948"/>
    <n v="3.6"/>
    <n v="3933"/>
    <n v="12596.63865546219"/>
    <n v="12596.63865546219"/>
    <s v="Shenzhen"/>
    <s v="30/70"/>
    <n v="30"/>
    <n v="300"/>
    <n v="6"/>
    <n v="0.722608826146119"/>
    <n v="5"/>
    <n v="0.6993150407147798"/>
    <n v="17"/>
    <n v="0.7332694173334642"/>
    <n v="17"/>
    <n v="0.6689765591225738"/>
    <n v="13"/>
    <n v="0.6438217661072861"/>
    <n v="81"/>
    <n v="0.5949036175980105"/>
    <n v="15"/>
    <n v="0.7044441067159067"/>
    <n v="32"/>
    <n v="0.6712040055329125"/>
    <n v="32"/>
    <n v="0.6613425607718589"/>
    <n v="47"/>
    <n v="0.6275187132617963"/>
    <n v="36"/>
    <n v="0.6368519931400659"/>
    <n v="21"/>
    <n v="0.6897026102938921"/>
    <n v="11"/>
    <n v="0.5822166426194265"/>
    <n v="87"/>
    <n v="0.5934981416220289"/>
    <n v="36"/>
    <n v="0.5459767807433697"/>
    <n v="12"/>
    <n v="0.5602259394132251"/>
    <n v="0.6"/>
    <n v="178"/>
    <n v="0.3948389191997921"/>
    <n v="8.9"/>
    <n v="-1"/>
    <n v="0.8652131425053862"/>
    <n v="-0.0125"/>
    <n v="0"/>
    <n v="0.5003178340112084"/>
    <n v="0"/>
    <n v="35"/>
    <n v="238"/>
    <n v="35"/>
    <n v="100"/>
    <n v="100"/>
    <n v="0"/>
    <n v="904130.5"/>
    <n v="886787.9999999999"/>
    <n v="157045"/>
    <n v="0"/>
    <n v="4"/>
    <n v="17948"/>
    <n v="370489.3722194761"/>
    <n v="25"/>
    <n v="326"/>
    <n v="130.5"/>
    <n v="0"/>
    <n v="0"/>
    <n v="0"/>
    <n v="800929.5"/>
    <n v="1214676"/>
    <n v="585553.5"/>
    <n v="0"/>
    <n v="4"/>
    <n v="17948"/>
    <n v="1381396.087846904"/>
    <n v="60"/>
    <n v="234"/>
    <n v="36"/>
    <n v="0"/>
    <n v="0"/>
    <n v="274992"/>
    <n v="1049958"/>
    <n v="161532"/>
    <n v="0"/>
    <n v="4"/>
    <n v="17948"/>
    <n v="453478.9915966387"/>
    <n v="20"/>
    <n v="202"/>
    <n v="12"/>
    <n v="0"/>
    <n v="0"/>
    <n v="752651.9999999999"/>
    <n v="53844"/>
    <n v="0"/>
    <n v="0"/>
    <n v="4"/>
    <n v="17948"/>
    <n v="151159.6638655462"/>
    <n v="20"/>
    <n v="182"/>
    <n v="16"/>
    <m/>
    <n v="0"/>
    <n v="0"/>
    <n v="816634"/>
    <n v="59615.99999999999"/>
    <n v="0"/>
    <n v="0"/>
    <n v="4"/>
    <n v="17948"/>
    <n v="201546.218487395"/>
    <n v="80"/>
    <n v="3"/>
    <n v="-1"/>
    <m/>
    <n v="0"/>
    <n v="0"/>
    <n v="13461"/>
    <n v="-3726"/>
    <n v="0"/>
    <n v="0"/>
    <n v="3"/>
    <n v="17948"/>
    <n v="-12596.63865546219"/>
    <n v="80"/>
    <n v="4"/>
    <n v="64"/>
    <n v="0"/>
    <n v="0"/>
    <n v="0"/>
    <n v="17948"/>
    <n v="238464"/>
    <n v="0"/>
    <n v="0"/>
    <n v="4"/>
    <n v="17948"/>
    <n v="806184.8739495799"/>
    <n v="41"/>
    <n v="0"/>
    <n v="32.8"/>
    <n v="150"/>
    <n v="150"/>
    <n v="150"/>
    <n v="0"/>
    <n v="122212.8"/>
    <n v="558899.9999999999"/>
    <n v="558899.9999999999"/>
    <n v="150"/>
    <n v="558899.9999999999"/>
    <n v="413169.7478991597"/>
    <n v="35"/>
    <n v="117.2"/>
    <n v="28"/>
    <n v="100"/>
    <n v="100"/>
    <n v="0"/>
    <n v="436687.1999999999"/>
    <n v="104328"/>
    <n v="372599.9999999999"/>
    <n v="0"/>
    <n v="117.2"/>
    <n v="436687.1999999999"/>
    <n v="352705.8823529412"/>
    <n v="60"/>
    <n v="189.2"/>
    <n v="48"/>
    <n v="0"/>
    <n v="0"/>
    <n v="0"/>
    <n v="100"/>
    <n v="704959.1999999998"/>
    <n v="178848"/>
    <n v="0"/>
    <n v="372599.9999999999"/>
    <n v="189.2"/>
    <n v="1077559.2"/>
    <n v="604638.6554621849"/>
    <n v="60"/>
    <n v="141.2"/>
    <n v="48"/>
    <n v="0"/>
    <n v="0"/>
    <n v="526111.1999999998"/>
    <n v="178848"/>
    <n v="0"/>
    <n v="0"/>
    <n v="141.2"/>
    <n v="526111.1999999998"/>
    <n v="634870.5882352942"/>
    <n v="60"/>
    <n v="93.19999999999999"/>
    <n v="48"/>
    <n v="0"/>
    <n v="0"/>
    <n v="347263.1999999999"/>
    <n v="178848"/>
    <n v="0"/>
    <n v="93.19999999999999"/>
    <n v="347263.1999999999"/>
    <n v="604638.6554621849"/>
    <n v="36"/>
    <n v="45.19999999999999"/>
    <n v="28.8"/>
    <n v="0"/>
    <m/>
    <n v="168415.1999999999"/>
    <n v="129225.6"/>
    <n v="0"/>
    <n v="45.19999999999999"/>
    <n v="168415.1999999999"/>
    <n v="362783.193277311"/>
  </r>
  <r>
    <s v="Simplit-Vajilla"/>
    <x v="2"/>
    <x v="23"/>
    <x v="60"/>
    <n v="1659989549286"/>
    <x v="566"/>
    <x v="404"/>
    <x v="0"/>
    <x v="4"/>
    <n v="1"/>
    <x v="352"/>
    <n v="145"/>
    <m/>
    <n v="0"/>
    <n v="3611.314417140778"/>
    <n v="523640.5904854128"/>
    <n v="3.75"/>
    <n v="4096.875"/>
    <n v="10915.96638655462"/>
    <n v="8394.957983193277"/>
    <s v="Shenzhen"/>
    <s v="30/70"/>
    <n v="30"/>
    <n v="100"/>
    <n v="77"/>
    <n v="0.5910583225200537"/>
    <n v="43"/>
    <n v="0.6201548144234412"/>
    <n v="77"/>
    <n v="0.596814001220764"/>
    <n v="55"/>
    <n v="0.6002055972773339"/>
    <n v="94"/>
    <n v="0.6102723234238097"/>
    <n v="102"/>
    <n v="0.5592615722781328"/>
    <n v="44"/>
    <n v="0.5766117486112425"/>
    <n v="18"/>
    <n v="0.6612920244361561"/>
    <n v="97"/>
    <n v="0.648286523908199"/>
    <n v="136"/>
    <n v="0.5861004063159626"/>
    <n v="28"/>
    <n v="0.673717200027518"/>
    <n v="3"/>
    <n v="0.6341150604617076"/>
    <n v="43"/>
    <n v="0.5116444770945154"/>
    <n v="45"/>
    <n v="0.5326993793869003"/>
    <n v="71"/>
    <n v="0.5160246914026215"/>
    <n v="68"/>
    <n v="0.4869250637336535"/>
    <n v="1.046153846153846"/>
    <n v="74"/>
    <n v="0.5250297724865688"/>
    <n v="0.8222222222222222"/>
    <n v="120"/>
    <n v="0.495747289794789"/>
    <n v="1.2"/>
    <n v="0"/>
    <n v="0.5093464131401091"/>
    <n v="0"/>
    <n v="90"/>
    <n v="80"/>
    <n v="90"/>
    <n v="250"/>
    <n v="250"/>
    <n v="0"/>
    <n v="825185.3443166678"/>
    <n v="310499.9999999999"/>
    <n v="325018.29754267"/>
    <n v="0"/>
    <n v="145"/>
    <n v="523640.5904854128"/>
    <n v="825577.2897394253"/>
    <n v="65"/>
    <n v="303"/>
    <n v="67.5"/>
    <n v="100"/>
    <n v="0"/>
    <n v="0"/>
    <n v="745736.4271395706"/>
    <n v="1176018.75"/>
    <n v="243763.7231570025"/>
    <n v="0"/>
    <n v="145"/>
    <n v="523640.5904854128"/>
    <n v="619182.967304569"/>
    <n v="90"/>
    <n v="210"/>
    <n v="71"/>
    <n v="0"/>
    <n v="0"/>
    <n v="851285.2039825681"/>
    <n v="758376.0275995634"/>
    <n v="256403.3236169952"/>
    <n v="0"/>
    <n v="145"/>
    <n v="523640.5904854128"/>
    <n v="775033.6134453783"/>
    <n v="65"/>
    <n v="305"/>
    <n v="68"/>
    <n v="150"/>
    <n v="0"/>
    <n v="1183781.25"/>
    <n v="245569.3803655729"/>
    <n v="582187.4999999999"/>
    <n v="0"/>
    <n v="145"/>
    <n v="523640.5904854128"/>
    <n v="742285.7142857143"/>
    <n v="90"/>
    <n v="219"/>
    <n v="90"/>
    <m/>
    <n v="0"/>
    <n v="0"/>
    <n v="790877.8573538304"/>
    <n v="349312.4999999999"/>
    <n v="0"/>
    <n v="0"/>
    <n v="145"/>
    <n v="523640.5904854128"/>
    <n v="982436.9747899161"/>
    <n v="100"/>
    <n v="265"/>
    <n v="120"/>
    <m/>
    <n v="0"/>
    <n v="0"/>
    <n v="956998.3205423062"/>
    <n v="465749.9999999999"/>
    <n v="0"/>
    <n v="0"/>
    <n v="265"/>
    <n v="523640.5904854128"/>
    <n v="1309915.966386555"/>
    <n v="80"/>
    <n v="145"/>
    <n v="80"/>
    <n v="250"/>
    <n v="250"/>
    <n v="0"/>
    <n v="523640.5904854128"/>
    <n v="310499.9999999999"/>
    <n v="937968.7499999999"/>
    <n v="0"/>
    <n v="145"/>
    <n v="523640.5904854128"/>
    <n v="873277.3109243698"/>
    <n v="100"/>
    <n v="65"/>
    <n v="100"/>
    <n v="150"/>
    <n v="150"/>
    <n v="0"/>
    <n v="234735.4371141506"/>
    <n v="388124.9999999999"/>
    <n v="582187.4999999999"/>
    <n v="0"/>
    <n v="215"/>
    <n v="234735.4371141506"/>
    <n v="1091596.638655462"/>
    <n v="100"/>
    <n v="0"/>
    <n v="100"/>
    <n v="0"/>
    <n v="0"/>
    <n v="150"/>
    <n v="0"/>
    <n v="388124.9999999999"/>
    <n v="0"/>
    <n v="582187.4999999999"/>
    <n v="150"/>
    <n v="582187.4999999999"/>
    <n v="1091596.638655462"/>
    <n v="150"/>
    <n v="50"/>
    <n v="50"/>
    <n v="0"/>
    <n v="0"/>
    <n v="0"/>
    <m/>
    <n v="194062.5"/>
    <n v="194062.5"/>
    <n v="0"/>
    <n v="0"/>
    <n v="50"/>
    <n v="194062.5"/>
    <n v="419747.8991596638"/>
    <n v="120"/>
    <n v="0"/>
    <n v="120"/>
    <n v="300"/>
    <n v="300"/>
    <n v="0"/>
    <n v="465749.9999999999"/>
    <n v="1164375"/>
    <n v="1164375"/>
    <n v="300"/>
    <n v="1164375"/>
    <n v="1057764.705882353"/>
    <n v="180"/>
    <n v="180"/>
    <n v="180"/>
    <n v="0"/>
    <n v="0"/>
    <n v="698624.9999999999"/>
    <n v="698624.9999999999"/>
    <n v="0"/>
    <n v="180"/>
    <n v="698624.9999999999"/>
    <n v="1964873.949579832"/>
    <n v="72"/>
    <n v="0"/>
    <n v="72"/>
    <n v="0"/>
    <m/>
    <n v="0"/>
    <n v="260014.638034136"/>
    <n v="0"/>
    <n v="0"/>
    <n v="0"/>
    <n v="785949.5798319328"/>
  </r>
  <r>
    <s v="Simplit-Vajilla"/>
    <x v="2"/>
    <x v="23"/>
    <x v="61"/>
    <s v="SIMJULZSIE-30"/>
    <x v="567"/>
    <x v="405"/>
    <x v="0"/>
    <x v="3"/>
    <n v="1"/>
    <x v="353"/>
    <n v="458"/>
    <n v="300"/>
    <n v="4246500"/>
    <n v="18311"/>
    <n v="8386438"/>
    <n v="14.9"/>
    <n v="16278.25"/>
    <n v="44529.41176470588"/>
    <n v="39487.3949579832"/>
    <s v="Shenzhen"/>
    <s v="30/70"/>
    <n v="60"/>
    <n v="500"/>
    <n v="15"/>
    <n v="0.7304498998230337"/>
    <n v="0"/>
    <s v=""/>
    <n v="124"/>
    <n v="0.5899141845106242"/>
    <n v="287"/>
    <n v="0.5821522247545584"/>
    <n v="194"/>
    <n v="0.5857411171425136"/>
    <n v="587"/>
    <n v="0.5409923865201275"/>
    <n v="43"/>
    <n v="0.6598645504396842"/>
    <n v="4"/>
    <n v="-0.06500368574009213"/>
    <n v="68"/>
    <n v="0.6335628627915589"/>
    <n v="519"/>
    <n v="0.557234842364603"/>
    <n v="284"/>
    <n v="0.6229241280038411"/>
    <n v="104"/>
    <n v="0.5851488178775485"/>
    <n v="172"/>
    <s v=""/>
    <n v="273"/>
    <s v=""/>
    <n v="589"/>
    <s v=""/>
    <n v="414"/>
    <s v=""/>
    <n v="1.035"/>
    <n v="313"/>
    <s v=""/>
    <n v="1.043333333333333"/>
    <n v="666"/>
    <s v=""/>
    <n v="1.48"/>
    <n v="194"/>
    <s v=""/>
    <n v="0.5542857142857143"/>
    <n v="300"/>
    <n v="1180"/>
    <n v="150"/>
    <n v="600"/>
    <n v="1500"/>
    <n v="0"/>
    <n v="21030183.5"/>
    <n v="18197370"/>
    <n v="2746650"/>
    <n v="0"/>
    <n v="458"/>
    <n v="8386438"/>
    <n v="5612951.062778053"/>
    <n v="250"/>
    <n v="1302"/>
    <n v="409.5"/>
    <n v="0"/>
    <n v="0"/>
    <n v="0"/>
    <n v="25864287.5"/>
    <n v="20078793"/>
    <n v="7498354.5"/>
    <n v="0"/>
    <n v="458"/>
    <n v="8386438"/>
    <n v="15323356.40138408"/>
    <n v="500"/>
    <n v="1009"/>
    <n v="589"/>
    <n v="0"/>
    <n v="0"/>
    <n v="22992383"/>
    <n v="18475799"/>
    <n v="10785179"/>
    <n v="0"/>
    <n v="458"/>
    <n v="8386438"/>
    <n v="26227823.52941176"/>
    <n v="400"/>
    <n v="965"/>
    <n v="414"/>
    <n v="500"/>
    <n v="0"/>
    <n v="14881747.5"/>
    <n v="7580754"/>
    <n v="7710749.999999999"/>
    <n v="0"/>
    <n v="458"/>
    <n v="8386438"/>
    <n v="18435176.47058823"/>
    <n v="300"/>
    <n v="771"/>
    <n v="300"/>
    <m/>
    <n v="0"/>
    <n v="0"/>
    <n v="14117781"/>
    <n v="4626449.999999999"/>
    <n v="0"/>
    <n v="0"/>
    <n v="458"/>
    <n v="8386438"/>
    <n v="13358823.52941176"/>
    <n v="450"/>
    <n v="1124"/>
    <n v="666"/>
    <m/>
    <n v="400"/>
    <n v="0"/>
    <n v="20581564"/>
    <n v="10270719"/>
    <n v="0"/>
    <n v="0"/>
    <n v="1124"/>
    <n v="8386438"/>
    <n v="29656588.23529412"/>
    <n v="350"/>
    <n v="652"/>
    <n v="350"/>
    <n v="0"/>
    <n v="600"/>
    <n v="0"/>
    <n v="11938772"/>
    <n v="5397524.999999999"/>
    <n v="0"/>
    <n v="0"/>
    <n v="652"/>
    <n v="8386438"/>
    <n v="15585294.11764706"/>
    <n v="350"/>
    <n v="302"/>
    <n v="350"/>
    <n v="600"/>
    <n v="500"/>
    <n v="500"/>
    <n v="5529922"/>
    <n v="5397524.999999999"/>
    <n v="9252899.999999998"/>
    <n v="7710749.999999999"/>
    <n v="802"/>
    <n v="13240672"/>
    <n v="15585294.11764706"/>
    <n v="300"/>
    <n v="452"/>
    <n v="300"/>
    <n v="1500"/>
    <n v="1200"/>
    <n v="300"/>
    <n v="6970517.999999999"/>
    <n v="4626449.999999999"/>
    <n v="23132250"/>
    <n v="4626449.999999999"/>
    <n v="752"/>
    <n v="11596968"/>
    <n v="13358823.52941176"/>
    <n v="600"/>
    <n v="1352"/>
    <n v="600"/>
    <n v="0"/>
    <n v="0"/>
    <n v="0"/>
    <n v="900"/>
    <n v="20849868"/>
    <n v="9252899.999999998"/>
    <n v="0"/>
    <n v="13879350"/>
    <n v="1352"/>
    <n v="34729217.99999999"/>
    <n v="23692436.97478992"/>
    <n v="350"/>
    <n v="752"/>
    <n v="350"/>
    <n v="0"/>
    <n v="600"/>
    <n v="11596968"/>
    <n v="5397524.999999999"/>
    <n v="0"/>
    <n v="6477029.999999998"/>
    <n v="1352"/>
    <n v="18073998"/>
    <n v="14511617.64705883"/>
    <n v="500"/>
    <n v="1002"/>
    <n v="500"/>
    <n v="1000"/>
    <n v="300"/>
    <n v="15452343"/>
    <n v="7710749.999999999"/>
    <n v="4626449.999999999"/>
    <n v="1302"/>
    <n v="20078793"/>
    <n v="22264705.88235294"/>
    <n v="350"/>
    <n v="802"/>
    <n v="350"/>
    <n v="600"/>
    <n v="1000"/>
    <n v="12368043"/>
    <n v="6408850"/>
    <n v="15421500"/>
    <n v="1802"/>
    <n v="27789543"/>
    <n v="15585294.11764706"/>
  </r>
  <r>
    <s v="Simplit-Vajilla"/>
    <x v="2"/>
    <x v="23"/>
    <x v="61"/>
    <s v="SIMJULZAMA-16"/>
    <x v="568"/>
    <x v="406"/>
    <x v="0"/>
    <x v="6"/>
    <n v="1"/>
    <x v="12"/>
    <n v="0"/>
    <m/>
    <n v="0"/>
    <n v="13680"/>
    <n v="0"/>
    <n v="12.4"/>
    <n v="13547"/>
    <n v="33605.04201680672"/>
    <n v="33605.04201680672"/>
    <s v="Shenzhen"/>
    <s v="30/70"/>
    <n v="60"/>
    <n v="500"/>
    <n v="136"/>
    <n v="0.5779612536713732"/>
    <n v="45"/>
    <n v="0.6370719534951778"/>
    <n v="52"/>
    <n v="0.6239627392998967"/>
    <n v="104"/>
    <n v="0.5901523263093773"/>
    <n v="73"/>
    <n v="0.6071629012015104"/>
    <n v="179"/>
    <n v="0.5095377203121579"/>
    <n v="105"/>
    <n v="0.5645153249385556"/>
    <n v="51"/>
    <n v="0.6462935653680966"/>
    <n v="24"/>
    <n v="0.6061020780582232"/>
    <n v="76"/>
    <n v="0.5025075215428549"/>
    <n v="62"/>
    <n v="0.5170017610423406"/>
    <n v="158"/>
    <n v="0.510832168466666"/>
    <n v="16"/>
    <s v=""/>
    <n v="3"/>
    <s v=""/>
    <n v="6"/>
    <s v=""/>
    <n v="2"/>
    <s v=""/>
    <n v="0"/>
    <n v="0"/>
    <s v=""/>
    <n v="0"/>
    <n v="0"/>
    <s v=""/>
    <n v="0"/>
    <n v="12"/>
    <s v=""/>
    <n v="0"/>
    <n v="0"/>
    <n v="35"/>
    <n v="16"/>
    <n v="0"/>
    <n v="0"/>
    <n v="0"/>
    <n v="362520"/>
    <n v="449189.9999999999"/>
    <n v="218880"/>
    <n v="0"/>
    <n v="0"/>
    <n v="0"/>
    <n v="451832.4977049644"/>
    <n v="19"/>
    <n v="21"/>
    <n v="4.5"/>
    <n v="0"/>
    <n v="0"/>
    <n v="0"/>
    <n v="171000"/>
    <n v="269513.9999999999"/>
    <n v="61560"/>
    <n v="0"/>
    <n v="0"/>
    <n v="0"/>
    <n v="127077.8899795212"/>
    <n v="0"/>
    <n v="18"/>
    <n v="6"/>
    <n v="0"/>
    <n v="0"/>
    <n v="122274"/>
    <n v="246240"/>
    <n v="82080"/>
    <n v="0"/>
    <n v="0"/>
    <n v="0"/>
    <n v="201630.2521008403"/>
    <n v="0"/>
    <n v="16"/>
    <n v="2"/>
    <n v="0"/>
    <n v="0"/>
    <n v="205344"/>
    <n v="27360"/>
    <n v="0"/>
    <n v="0"/>
    <n v="0"/>
    <n v="0"/>
    <n v="67210.08403361344"/>
    <n v="1"/>
    <n v="0"/>
    <n v="1"/>
    <m/>
    <n v="0"/>
    <n v="0"/>
    <n v="0"/>
    <n v="12834"/>
    <n v="0"/>
    <n v="0"/>
    <n v="0"/>
    <n v="0"/>
    <n v="33605.04201680672"/>
    <n v="11"/>
    <n v="0"/>
    <n v="0"/>
    <m/>
    <n v="0"/>
    <n v="0"/>
    <n v="0"/>
    <n v="0"/>
    <n v="0"/>
    <n v="0"/>
    <n v="0"/>
    <n v="0"/>
    <n v="0"/>
    <n v="0"/>
    <n v="12"/>
    <n v="0"/>
    <n v="0"/>
    <n v="0"/>
    <n v="0"/>
    <n v="164160"/>
    <n v="0"/>
    <n v="0"/>
    <n v="0"/>
    <n v="12"/>
    <n v="0"/>
    <n v="0"/>
    <n v="0"/>
    <n v="12"/>
    <n v="0"/>
    <n v="0"/>
    <n v="0"/>
    <n v="0"/>
    <n v="164160"/>
    <n v="0"/>
    <n v="0"/>
    <n v="0"/>
    <n v="12"/>
    <n v="164160"/>
    <n v="0"/>
    <n v="0"/>
    <n v="12"/>
    <n v="0"/>
    <n v="0"/>
    <n v="0"/>
    <m/>
    <n v="154008"/>
    <n v="0"/>
    <n v="0"/>
    <n v="0"/>
    <n v="12"/>
    <n v="154008"/>
    <n v="0"/>
    <n v="0"/>
    <n v="12"/>
    <n v="0"/>
    <n v="0"/>
    <n v="0"/>
    <n v="0"/>
    <m/>
    <n v="154008"/>
    <n v="0"/>
    <n v="0"/>
    <n v="0"/>
    <n v="12"/>
    <n v="154008"/>
    <n v="0"/>
    <n v="0"/>
    <n v="12"/>
    <n v="0"/>
    <n v="0"/>
    <n v="0"/>
    <n v="154008"/>
    <n v="0"/>
    <n v="0"/>
    <n v="0"/>
    <n v="12"/>
    <n v="154008"/>
    <n v="0"/>
    <n v="0"/>
    <n v="12"/>
    <n v="0"/>
    <n v="0"/>
    <n v="0"/>
    <n v="154008"/>
    <n v="0"/>
    <n v="0"/>
    <n v="12"/>
    <n v="154008"/>
    <n v="0"/>
    <n v="0"/>
    <n v="12"/>
    <n v="0"/>
    <n v="0"/>
    <n v="0"/>
    <n v="154008"/>
    <n v="0"/>
    <n v="0"/>
    <n v="12"/>
    <n v="154008"/>
    <n v="0"/>
  </r>
  <r>
    <m/>
    <x v="2"/>
    <x v="23"/>
    <x v="61"/>
    <s v="SIMJULZAMA-24"/>
    <x v="569"/>
    <x v="407"/>
    <x v="0"/>
    <x v="2"/>
    <n v="1"/>
    <x v="354"/>
    <n v="316"/>
    <n v="250"/>
    <n v="3016250"/>
    <n v="13749.01278822999"/>
    <n v="4344688.041080677"/>
    <n v="12.7"/>
    <n v="13874.75"/>
    <n v="33605.04201680672"/>
    <n v="29403.36134453782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1"/>
    <s v=""/>
    <n v="52"/>
    <s v=""/>
    <n v="70"/>
    <s v=""/>
    <n v="0.875"/>
    <n v="128"/>
    <s v=""/>
    <n v="1.969230769230769"/>
    <n v="133"/>
    <s v=""/>
    <n v="1.108333333333333"/>
    <n v="49"/>
    <s v=""/>
    <n v="0.49"/>
    <n v="0"/>
    <n v="0"/>
    <n v="0"/>
    <n v="500"/>
    <n v="0"/>
    <n v="0"/>
    <n v="735572.1841703044"/>
    <n v="0"/>
    <n v="0"/>
    <n v="0"/>
    <n v="316"/>
    <n v="4344688.041080677"/>
    <n v="0"/>
    <n v="10"/>
    <n v="0"/>
    <n v="1.5"/>
    <n v="0"/>
    <n v="200"/>
    <n v="0"/>
    <n v="1698003.079346404"/>
    <n v="0"/>
    <n v="20623.51918234499"/>
    <n v="0"/>
    <n v="316"/>
    <n v="4344688.041080677"/>
    <n v="42359.29665984041"/>
    <n v="150"/>
    <n v="0"/>
    <n v="52"/>
    <n v="0"/>
    <n v="0"/>
    <n v="2531772.060164059"/>
    <n v="0"/>
    <n v="714948.6649879594"/>
    <n v="0"/>
    <n v="316"/>
    <n v="4344688.041080677"/>
    <n v="1747462.18487395"/>
    <n v="80"/>
    <n v="446"/>
    <n v="70"/>
    <n v="0"/>
    <n v="0"/>
    <n v="5862446.999999999"/>
    <n v="962430.8951760993"/>
    <n v="0"/>
    <n v="0"/>
    <n v="316"/>
    <n v="4344688.041080677"/>
    <n v="2352352.94117647"/>
    <n v="65"/>
    <n v="444"/>
    <n v="65"/>
    <m/>
    <n v="0"/>
    <n v="0"/>
    <n v="6104561.677974115"/>
    <n v="854392.4999999999"/>
    <n v="0"/>
    <n v="0"/>
    <n v="316"/>
    <n v="4344688.041080677"/>
    <n v="2184327.731092437"/>
    <n v="120"/>
    <n v="449"/>
    <n v="133"/>
    <m/>
    <n v="0"/>
    <n v="0"/>
    <n v="6173306.741915265"/>
    <n v="1748218.5"/>
    <n v="0"/>
    <n v="0"/>
    <n v="449"/>
    <n v="4344688.041080677"/>
    <n v="4469470.588235294"/>
    <n v="100"/>
    <n v="365"/>
    <n v="100"/>
    <n v="0"/>
    <n v="250"/>
    <n v="0"/>
    <n v="5018389.667703946"/>
    <n v="1314450"/>
    <n v="0"/>
    <n v="0"/>
    <n v="365"/>
    <n v="4344688.041080677"/>
    <n v="3360504.201680672"/>
    <n v="90"/>
    <n v="265"/>
    <n v="90"/>
    <n v="0"/>
    <n v="0"/>
    <n v="0"/>
    <n v="3643488.388880947"/>
    <n v="1183005"/>
    <n v="0"/>
    <n v="0"/>
    <n v="265"/>
    <n v="3643488.388880947"/>
    <n v="3024453.781512605"/>
    <n v="80"/>
    <n v="175"/>
    <n v="80"/>
    <n v="0"/>
    <n v="250"/>
    <n v="250"/>
    <n v="2300287.5"/>
    <n v="1051560"/>
    <n v="0"/>
    <n v="3286125"/>
    <n v="425"/>
    <n v="5586412.499999999"/>
    <n v="2688403.361344538"/>
    <n v="150"/>
    <n v="345"/>
    <n v="150"/>
    <n v="0"/>
    <n v="0"/>
    <n v="0"/>
    <m/>
    <n v="4534852.499999999"/>
    <n v="1971675"/>
    <n v="0"/>
    <n v="0"/>
    <n v="345"/>
    <n v="4534852.499999999"/>
    <n v="4410504.201680672"/>
    <n v="120"/>
    <n v="195"/>
    <n v="120"/>
    <n v="500"/>
    <n v="500"/>
    <n v="2563177.5"/>
    <n v="1577340"/>
    <n v="6572249.999999999"/>
    <n v="6572249.999999999"/>
    <n v="695"/>
    <n v="9135427.499999998"/>
    <n v="3704823.529411765"/>
    <n v="125"/>
    <n v="575"/>
    <n v="125"/>
    <n v="0"/>
    <n v="0"/>
    <n v="7558087.499999999"/>
    <n v="1643062.5"/>
    <n v="0"/>
    <n v="575"/>
    <n v="7558087.499999999"/>
    <n v="4200630.25210084"/>
    <n v="100"/>
    <n v="450"/>
    <n v="100"/>
    <n v="0"/>
    <n v="0"/>
    <n v="5915024.999999999"/>
    <n v="1374901.278822999"/>
    <n v="0"/>
    <n v="450"/>
    <n v="5915024.999999999"/>
    <n v="3360504.201680672"/>
  </r>
  <r>
    <s v="Simplit-Vajilla"/>
    <x v="2"/>
    <x v="23"/>
    <x v="61"/>
    <s v="SIMJULZTOS-12"/>
    <x v="570"/>
    <x v="408"/>
    <x v="0"/>
    <x v="6"/>
    <n v="1"/>
    <x v="12"/>
    <n v="2"/>
    <m/>
    <n v="0"/>
    <n v="11026"/>
    <n v="22052"/>
    <n v="9.800000000000001"/>
    <n v="10706.5"/>
    <n v="29403.36134453782"/>
    <n v="29403.36134453782"/>
    <s v="Shenzhen"/>
    <s v="30/70"/>
    <n v="60"/>
    <n v="500"/>
    <n v="107"/>
    <n v="0.5733121640507809"/>
    <n v="53"/>
    <n v="0.6344073227219271"/>
    <n v="49"/>
    <n v="0.5913921904224078"/>
    <n v="49"/>
    <n v="0.5598669959497088"/>
    <n v="48"/>
    <n v="0.5640611062912055"/>
    <n v="86"/>
    <n v="0.4863161401262704"/>
    <n v="16"/>
    <n v="0.5930388503599276"/>
    <n v="17"/>
    <n v="0.5982315112540192"/>
    <n v="6"/>
    <s v=""/>
    <n v="5"/>
    <n v="0.4292958764680296"/>
    <n v="2"/>
    <s v=""/>
    <n v="0"/>
    <s v=""/>
    <n v="0"/>
    <s v=""/>
    <n v="6"/>
    <s v=""/>
    <n v="0"/>
    <s v=""/>
    <n v="0"/>
    <s v=""/>
    <n v="0"/>
    <n v="0"/>
    <s v=""/>
    <n v="0"/>
    <n v="0"/>
    <s v=""/>
    <n v="0"/>
    <n v="0"/>
    <s v=""/>
    <n v="0"/>
    <n v="0"/>
    <n v="2"/>
    <n v="0"/>
    <n v="0"/>
    <n v="0"/>
    <n v="0"/>
    <n v="99234"/>
    <n v="20286"/>
    <n v="0"/>
    <n v="0"/>
    <n v="2"/>
    <n v="22052"/>
    <n v="0"/>
    <n v="0"/>
    <n v="7"/>
    <n v="9"/>
    <n v="0"/>
    <n v="0"/>
    <n v="0"/>
    <n v="99234"/>
    <n v="71001"/>
    <n v="99234"/>
    <n v="0"/>
    <n v="2"/>
    <n v="22052"/>
    <n v="222378.3631099499"/>
    <n v="0"/>
    <n v="7"/>
    <n v="0"/>
    <n v="0"/>
    <n v="0"/>
    <n v="0"/>
    <n v="77182"/>
    <n v="0"/>
    <n v="0"/>
    <n v="2"/>
    <n v="22052"/>
    <n v="0"/>
    <n v="0"/>
    <n v="2"/>
    <n v="0"/>
    <n v="0"/>
    <n v="0"/>
    <n v="20286"/>
    <n v="0"/>
    <n v="0"/>
    <n v="0"/>
    <n v="2"/>
    <n v="22052"/>
    <n v="0"/>
    <n v="0"/>
    <n v="2"/>
    <n v="0"/>
    <m/>
    <n v="0"/>
    <n v="0"/>
    <n v="22052"/>
    <n v="0"/>
    <n v="0"/>
    <n v="0"/>
    <n v="2"/>
    <n v="22052"/>
    <n v="0"/>
    <n v="0"/>
    <n v="2"/>
    <n v="0"/>
    <m/>
    <n v="0"/>
    <n v="0"/>
    <n v="22052"/>
    <n v="0"/>
    <n v="0"/>
    <n v="0"/>
    <n v="2"/>
    <n v="22052"/>
    <n v="0"/>
    <n v="0"/>
    <n v="2"/>
    <n v="0"/>
    <n v="0"/>
    <n v="0"/>
    <n v="0"/>
    <n v="22052"/>
    <n v="0"/>
    <n v="0"/>
    <n v="0"/>
    <n v="2"/>
    <n v="22052"/>
    <n v="0"/>
    <n v="0"/>
    <n v="2"/>
    <n v="0"/>
    <n v="0"/>
    <n v="0"/>
    <n v="0"/>
    <n v="22052"/>
    <n v="0"/>
    <n v="0"/>
    <n v="0"/>
    <n v="2"/>
    <n v="22052"/>
    <n v="0"/>
    <n v="0"/>
    <n v="2"/>
    <n v="0"/>
    <n v="0"/>
    <n v="0"/>
    <m/>
    <n v="20286"/>
    <n v="0"/>
    <n v="0"/>
    <n v="0"/>
    <n v="2"/>
    <n v="20286"/>
    <n v="0"/>
    <n v="0"/>
    <n v="2"/>
    <n v="0"/>
    <n v="0"/>
    <n v="0"/>
    <n v="0"/>
    <m/>
    <n v="20286"/>
    <n v="0"/>
    <n v="0"/>
    <n v="0"/>
    <n v="2"/>
    <n v="20286"/>
    <n v="0"/>
    <n v="0"/>
    <n v="2"/>
    <n v="0"/>
    <n v="0"/>
    <n v="0"/>
    <n v="20286"/>
    <n v="0"/>
    <n v="0"/>
    <n v="0"/>
    <n v="2"/>
    <n v="20286"/>
    <n v="0"/>
    <n v="0"/>
    <n v="2"/>
    <n v="0"/>
    <n v="0"/>
    <n v="0"/>
    <n v="20286"/>
    <n v="0"/>
    <n v="0"/>
    <n v="2"/>
    <n v="20286"/>
    <n v="0"/>
    <n v="0"/>
    <n v="2"/>
    <n v="0"/>
    <n v="0"/>
    <n v="0"/>
    <n v="20286"/>
    <n v="0"/>
    <n v="0"/>
    <n v="2"/>
    <n v="20286"/>
    <n v="0"/>
  </r>
  <r>
    <m/>
    <x v="2"/>
    <x v="23"/>
    <x v="61"/>
    <s v="SIMJULZBRU-30"/>
    <x v="571"/>
    <x v="409"/>
    <x v="0"/>
    <x v="3"/>
    <n v="1"/>
    <x v="355"/>
    <n v="101"/>
    <m/>
    <n v="0"/>
    <n v="20415"/>
    <n v="2061915"/>
    <n v="18.95"/>
    <n v="20702.875"/>
    <n v="52932.7731092437"/>
    <n v="46210.08403361345"/>
    <s v="Shenzhen"/>
    <s v="30/70"/>
    <n v="6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90"/>
    <n v="0.5732986125260063"/>
    <n v="144"/>
    <n v="0.5701395705101168"/>
    <n v="222"/>
    <n v="0.5766964845493994"/>
    <n v="26"/>
    <s v=""/>
    <n v="8"/>
    <s v=""/>
    <n v="152"/>
    <s v=""/>
    <n v="252"/>
    <s v=""/>
    <n v="1.008"/>
    <n v="187"/>
    <s v=""/>
    <n v="0.9350000000000001"/>
    <n v="442"/>
    <s v=""/>
    <n v="1.473333333333333"/>
    <n v="270"/>
    <s v=""/>
    <n v="1.08"/>
    <n v="18"/>
    <n v="39"/>
    <n v="39"/>
    <n v="600"/>
    <n v="500"/>
    <n v="0"/>
    <n v="4144245"/>
    <n v="764916.75"/>
    <n v="796185"/>
    <n v="0"/>
    <n v="101"/>
    <n v="2061915"/>
    <n v="1734771.555681096"/>
    <n v="10"/>
    <n v="19"/>
    <n v="12"/>
    <n v="600"/>
    <n v="500"/>
    <n v="0"/>
    <n v="8492640"/>
    <n v="372651.75"/>
    <n v="244980"/>
    <n v="0"/>
    <n v="101"/>
    <n v="2061915"/>
    <n v="533775.8632864911"/>
    <n v="250"/>
    <n v="499"/>
    <n v="152"/>
    <n v="0"/>
    <n v="0"/>
    <n v="12170310"/>
    <n v="10187085"/>
    <n v="3103080"/>
    <n v="0"/>
    <n v="101"/>
    <n v="2061915"/>
    <n v="8045781.512605043"/>
    <n v="250"/>
    <n v="910"/>
    <n v="252"/>
    <n v="600"/>
    <n v="0"/>
    <n v="17848057.5"/>
    <n v="5144580"/>
    <n v="11767950"/>
    <n v="0"/>
    <n v="101"/>
    <n v="2061915"/>
    <n v="13339058.82352941"/>
    <n v="200"/>
    <n v="288"/>
    <n v="200"/>
    <m/>
    <n v="0"/>
    <n v="0"/>
    <n v="5879520"/>
    <n v="3922650"/>
    <n v="0"/>
    <n v="0"/>
    <n v="101"/>
    <n v="2061915"/>
    <n v="10586554.62184874"/>
    <n v="300"/>
    <n v="543"/>
    <n v="442"/>
    <m/>
    <n v="300"/>
    <n v="0"/>
    <n v="11085345"/>
    <n v="8669056.5"/>
    <n v="0"/>
    <n v="0"/>
    <n v="543"/>
    <n v="2061915"/>
    <n v="23396285.71428572"/>
    <n v="250"/>
    <n v="371"/>
    <n v="250"/>
    <n v="0"/>
    <n v="0"/>
    <n v="0"/>
    <n v="7573965"/>
    <n v="4903312.5"/>
    <n v="0"/>
    <n v="0"/>
    <n v="371"/>
    <n v="2061915"/>
    <n v="13233193.27731093"/>
    <n v="200"/>
    <n v="121"/>
    <n v="200"/>
    <n v="0"/>
    <n v="300"/>
    <n v="300"/>
    <n v="2470215"/>
    <n v="3922650"/>
    <n v="0"/>
    <n v="5883975"/>
    <n v="421"/>
    <n v="8354190"/>
    <n v="10586554.62184874"/>
    <n v="150"/>
    <n v="221"/>
    <n v="150"/>
    <n v="600"/>
    <n v="300"/>
    <n v="0"/>
    <n v="4334528.25"/>
    <n v="2941987.5"/>
    <n v="11767950"/>
    <n v="0"/>
    <n v="221"/>
    <n v="4334528.25"/>
    <n v="7939915.966386556"/>
    <n v="350"/>
    <n v="371"/>
    <n v="350"/>
    <n v="600"/>
    <n v="300"/>
    <n v="300"/>
    <n v="300"/>
    <n v="7276515.75"/>
    <n v="6864637.5"/>
    <n v="11767950"/>
    <n v="11767950"/>
    <n v="671"/>
    <n v="19044465.75"/>
    <n v="16173529.41176471"/>
    <n v="200"/>
    <n v="321"/>
    <n v="200"/>
    <n v="0"/>
    <n v="300"/>
    <n v="6295853.25"/>
    <n v="3922650"/>
    <n v="0"/>
    <n v="4118782.5"/>
    <n v="621"/>
    <n v="10414635.75"/>
    <n v="9704117.647058824"/>
    <n v="250"/>
    <n v="421"/>
    <n v="250"/>
    <n v="1000"/>
    <n v="300"/>
    <n v="8257178.25"/>
    <n v="4903312.5"/>
    <n v="5883975"/>
    <n v="721"/>
    <n v="14141153.25"/>
    <n v="13233193.27731093"/>
    <n v="250"/>
    <n v="471"/>
    <n v="250"/>
    <n v="0"/>
    <n v="1000"/>
    <n v="9237840.75"/>
    <n v="5103750"/>
    <n v="19613250"/>
    <n v="1471"/>
    <n v="28851090.75"/>
    <n v="13233193.27731093"/>
  </r>
  <r>
    <m/>
    <x v="2"/>
    <x v="23"/>
    <x v="61"/>
    <s v="SIMJULZOPO-30"/>
    <x v="572"/>
    <x v="410"/>
    <x v="0"/>
    <x v="2"/>
    <n v="1"/>
    <x v="12"/>
    <n v="273"/>
    <m/>
    <n v="0"/>
    <n v="18709.35"/>
    <n v="5107652.55"/>
    <n v="18.7"/>
    <n v="20429.75"/>
    <n v="50411.76470588236"/>
    <n v="46210.08403361345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4"/>
    <s v=""/>
    <n v="1.2"/>
    <n v="126"/>
    <s v=""/>
    <n v="0.84"/>
    <n v="74"/>
    <s v=""/>
    <n v="0.6166666666666667"/>
    <n v="0"/>
    <n v="0"/>
    <n v="0"/>
    <n v="0"/>
    <n v="0"/>
    <n v="0"/>
    <n v="0"/>
    <n v="0"/>
    <n v="0"/>
    <n v="0"/>
    <n v="273"/>
    <n v="5107652.55"/>
    <n v="0"/>
    <n v="0"/>
    <n v="0"/>
    <n v="0"/>
    <n v="0"/>
    <n v="0"/>
    <n v="0"/>
    <n v="0"/>
    <n v="0"/>
    <n v="0"/>
    <n v="0"/>
    <n v="273"/>
    <n v="5107652.55"/>
    <n v="0"/>
    <n v="0"/>
    <n v="0"/>
    <n v="0"/>
    <n v="0"/>
    <n v="0"/>
    <n v="387090"/>
    <n v="0"/>
    <n v="0"/>
    <n v="0"/>
    <n v="273"/>
    <n v="5107652.55"/>
    <n v="0"/>
    <n v="0"/>
    <n v="0"/>
    <n v="0"/>
    <n v="0"/>
    <n v="0"/>
    <n v="0"/>
    <n v="0"/>
    <n v="0"/>
    <n v="0"/>
    <n v="273"/>
    <n v="5107652.55"/>
    <n v="0"/>
    <n v="20"/>
    <n v="297"/>
    <n v="20"/>
    <m/>
    <n v="0"/>
    <n v="0"/>
    <n v="5556676.949999999"/>
    <n v="387090"/>
    <n v="0"/>
    <n v="0"/>
    <n v="273"/>
    <n v="5107652.55"/>
    <n v="1008235.294117647"/>
    <n v="150"/>
    <n v="399"/>
    <n v="126"/>
    <m/>
    <n v="500"/>
    <n v="0"/>
    <n v="7465030.649999999"/>
    <n v="2438667"/>
    <n v="0"/>
    <n v="0"/>
    <n v="399"/>
    <n v="5107652.55"/>
    <n v="6351882.352941177"/>
    <n v="120"/>
    <n v="347"/>
    <n v="120"/>
    <n v="0"/>
    <n v="0"/>
    <n v="0"/>
    <n v="6492144.449999999"/>
    <n v="2322540"/>
    <n v="0"/>
    <n v="0"/>
    <n v="347"/>
    <n v="5107652.55"/>
    <n v="6049411.764705882"/>
    <n v="150"/>
    <n v="227"/>
    <n v="150"/>
    <n v="600"/>
    <n v="300"/>
    <n v="0"/>
    <n v="4247022.449999999"/>
    <n v="2903175"/>
    <n v="11612700"/>
    <n v="0"/>
    <n v="527"/>
    <n v="4247022.449999999"/>
    <n v="7561764.705882354"/>
    <n v="150"/>
    <n v="77"/>
    <n v="150"/>
    <n v="700"/>
    <n v="700"/>
    <n v="300"/>
    <n v="1490296.5"/>
    <n v="2903175"/>
    <n v="13548150"/>
    <n v="5806350"/>
    <n v="377"/>
    <n v="7296646.5"/>
    <n v="7561764.705882354"/>
    <n v="300"/>
    <n v="627"/>
    <n v="300"/>
    <n v="0"/>
    <m/>
    <m/>
    <n v="400"/>
    <n v="12135271.5"/>
    <n v="5806350"/>
    <n v="0"/>
    <n v="7741800"/>
    <n v="627"/>
    <n v="19877071.5"/>
    <n v="13863025.21008403"/>
    <n v="200"/>
    <n v="327"/>
    <n v="200"/>
    <n v="0"/>
    <n v="300"/>
    <n v="6328921.5"/>
    <n v="3870900"/>
    <n v="0"/>
    <n v="5806350"/>
    <n v="627"/>
    <n v="12135271.5"/>
    <n v="9704117.647058824"/>
    <n v="250"/>
    <n v="427"/>
    <n v="250"/>
    <n v="600"/>
    <n v="200"/>
    <n v="8264371.5"/>
    <n v="4838625"/>
    <n v="3870900"/>
    <n v="627"/>
    <n v="12135271.5"/>
    <n v="12602941.17647059"/>
    <n v="200"/>
    <n v="377"/>
    <n v="200"/>
    <n v="0"/>
    <n v="600"/>
    <n v="7296646.5"/>
    <n v="3741870"/>
    <n v="11612700"/>
    <n v="977"/>
    <n v="18909346.5"/>
    <n v="10082352.94117647"/>
  </r>
  <r>
    <s v="Simplit-Vajilla"/>
    <x v="2"/>
    <x v="23"/>
    <x v="62"/>
    <s v="SIMPLSIE-4"/>
    <x v="573"/>
    <x v="411"/>
    <x v="0"/>
    <x v="4"/>
    <n v="1"/>
    <x v="356"/>
    <n v="12"/>
    <m/>
    <n v="0"/>
    <n v="3539"/>
    <n v="42468"/>
    <n v="3.45"/>
    <n v="3769.125"/>
    <n v="7554.621848739496"/>
    <n v="7134.453781512605"/>
    <s v="Shenzhen"/>
    <s v="30/70"/>
    <n v="60"/>
    <n v="100"/>
    <n v="7"/>
    <n v="0.6900715182085115"/>
    <n v="13"/>
    <n v="0.7430286239008331"/>
    <n v="15"/>
    <n v="0.6907734462097206"/>
    <n v="14"/>
    <n v="0.6688282517155032"/>
    <n v="8"/>
    <n v="0.7108078303699985"/>
    <n v="48"/>
    <n v="0.6464019835623636"/>
    <n v="15"/>
    <n v="0.6728789446065698"/>
    <n v="28"/>
    <n v="0.6877689981002784"/>
    <n v="15"/>
    <n v="0.7116284555140296"/>
    <n v="38"/>
    <n v="0.6584102236122436"/>
    <n v="27"/>
    <n v="0.6403113638643343"/>
    <n v="86"/>
    <n v="0.6139961166127977"/>
    <n v="17"/>
    <s v=""/>
    <n v="43"/>
    <s v=""/>
    <n v="87"/>
    <s v=""/>
    <n v="61"/>
    <s v=""/>
    <n v="1.525"/>
    <n v="45"/>
    <s v=""/>
    <n v="1.5"/>
    <n v="48"/>
    <s v=""/>
    <n v="0.96"/>
    <n v="40"/>
    <s v=""/>
    <n v="1.142857142857143"/>
    <n v="35"/>
    <n v="376"/>
    <n v="35"/>
    <n v="0"/>
    <n v="0"/>
    <n v="0"/>
    <n v="660023.5"/>
    <n v="1342602"/>
    <n v="123865"/>
    <n v="0"/>
    <n v="12"/>
    <n v="42468"/>
    <n v="222194.760257044"/>
    <n v="30"/>
    <n v="352"/>
    <n v="64.5"/>
    <n v="0"/>
    <n v="0"/>
    <n v="0"/>
    <n v="752037.5"/>
    <n v="1256904"/>
    <n v="228265.5"/>
    <n v="0"/>
    <n v="12"/>
    <n v="42468"/>
    <n v="409473.201045124"/>
    <n v="35"/>
    <n v="290"/>
    <n v="87"/>
    <n v="0"/>
    <n v="0"/>
    <n v="630894.5"/>
    <n v="1026310"/>
    <n v="307893"/>
    <n v="0"/>
    <n v="12"/>
    <n v="42468"/>
    <n v="657252.1008403362"/>
    <n v="40"/>
    <n v="198"/>
    <n v="61"/>
    <n v="0"/>
    <n v="0"/>
    <n v="707008.4999999999"/>
    <n v="215879"/>
    <n v="0"/>
    <n v="0"/>
    <n v="12"/>
    <n v="42468"/>
    <n v="460831.9327731093"/>
    <n v="30"/>
    <n v="57"/>
    <n v="30"/>
    <m/>
    <n v="0"/>
    <n v="0"/>
    <n v="201723"/>
    <n v="107122.5"/>
    <n v="0"/>
    <n v="0"/>
    <n v="12"/>
    <n v="42468"/>
    <n v="226638.6554621849"/>
    <n v="50"/>
    <n v="60"/>
    <n v="48"/>
    <m/>
    <n v="0"/>
    <n v="0"/>
    <n v="212340"/>
    <n v="171396"/>
    <n v="0"/>
    <n v="0"/>
    <n v="60"/>
    <n v="42468"/>
    <n v="362621.8487394959"/>
    <n v="35"/>
    <n v="52"/>
    <n v="35"/>
    <n v="0"/>
    <n v="0"/>
    <n v="0"/>
    <n v="184028"/>
    <n v="124976.25"/>
    <n v="0"/>
    <n v="0"/>
    <n v="52"/>
    <n v="42468"/>
    <n v="264411.7647058823"/>
    <n v="35"/>
    <n v="17"/>
    <n v="35"/>
    <n v="0"/>
    <n v="0"/>
    <n v="0"/>
    <n v="60163"/>
    <n v="124976.25"/>
    <n v="0"/>
    <n v="0"/>
    <n v="17"/>
    <n v="60163"/>
    <n v="264411.7647058823"/>
    <n v="30"/>
    <n v="0"/>
    <n v="30"/>
    <n v="200"/>
    <n v="200"/>
    <n v="0"/>
    <n v="0"/>
    <n v="107122.5"/>
    <n v="714149.9999999999"/>
    <n v="0"/>
    <n v="0"/>
    <n v="0"/>
    <n v="226638.6554621849"/>
    <n v="50"/>
    <n v="204"/>
    <n v="50"/>
    <n v="0"/>
    <n v="0"/>
    <n v="0"/>
    <n v="204"/>
    <n v="728432.9999999999"/>
    <n v="178537.5"/>
    <n v="0"/>
    <n v="728432.9999999999"/>
    <n v="204"/>
    <n v="1456866"/>
    <n v="356722.6890756303"/>
    <n v="40"/>
    <n v="154"/>
    <n v="40"/>
    <n v="0"/>
    <n v="0"/>
    <n v="549895.4999999999"/>
    <n v="142830"/>
    <n v="0"/>
    <n v="0"/>
    <n v="154"/>
    <n v="549895.4999999999"/>
    <n v="299647.0588235295"/>
    <n v="80"/>
    <n v="114"/>
    <n v="80"/>
    <n v="0"/>
    <n v="0"/>
    <n v="407065.4999999999"/>
    <n v="285659.9999999999"/>
    <n v="0"/>
    <n v="114"/>
    <n v="407065.4999999999"/>
    <n v="604369.7478991597"/>
    <n v="24"/>
    <n v="34"/>
    <n v="24"/>
    <n v="0"/>
    <m/>
    <n v="121405.5"/>
    <n v="84936"/>
    <n v="0"/>
    <n v="34"/>
    <n v="121405.5"/>
    <n v="181310.9243697479"/>
  </r>
  <r>
    <s v="Simplit-Vajilla"/>
    <x v="2"/>
    <x v="23"/>
    <x v="62"/>
    <s v="SIMBOWSIE-4"/>
    <x v="574"/>
    <x v="412"/>
    <x v="0"/>
    <x v="0"/>
    <n v="0.7"/>
    <x v="357"/>
    <n v="72"/>
    <n v="202"/>
    <n v="368448"/>
    <n v="2213"/>
    <n v="159336"/>
    <n v="1.92"/>
    <n v="2097.6"/>
    <n v="6714.285714285715"/>
    <n v="6294.117647058823"/>
    <s v="Shenzhen"/>
    <s v="30/70"/>
    <n v="60"/>
    <n v="100"/>
    <n v="25"/>
    <n v="0.7477520316278906"/>
    <n v="22"/>
    <n v="0.7441493632361871"/>
    <n v="24"/>
    <n v="0.6999611754258345"/>
    <n v="40"/>
    <n v="0.6942568865366827"/>
    <n v="32"/>
    <n v="0.7029794654406355"/>
    <n v="87"/>
    <n v="0.6405704770122534"/>
    <n v="31"/>
    <n v="0.6699697308793889"/>
    <n v="18"/>
    <n v="0.6627799969054698"/>
    <n v="0"/>
    <s v=""/>
    <n v="28"/>
    <n v="0.7166386779442158"/>
    <n v="35"/>
    <n v="0.7062285151325445"/>
    <n v="40"/>
    <n v="0.720595277833041"/>
    <n v="15"/>
    <s v=""/>
    <n v="51"/>
    <s v=""/>
    <n v="84"/>
    <s v=""/>
    <n v="33"/>
    <s v=""/>
    <n v="0.825"/>
    <n v="2"/>
    <s v=""/>
    <n v="0.05714285714285714"/>
    <n v="1"/>
    <s v=""/>
    <n v="0.01111111111111111"/>
    <n v="20"/>
    <s v=""/>
    <n v="0.5714285714285714"/>
    <n v="30"/>
    <n v="41"/>
    <n v="20"/>
    <n v="100"/>
    <n v="100"/>
    <n v="0"/>
    <n v="399446.5"/>
    <n v="81475.2"/>
    <n v="44260"/>
    <n v="0"/>
    <n v="72"/>
    <n v="159336"/>
    <n v="112845.1380552221"/>
    <n v="30"/>
    <n v="129"/>
    <n v="76.5"/>
    <n v="100"/>
    <n v="100"/>
    <n v="0"/>
    <n v="428215.5"/>
    <n v="256348.8"/>
    <n v="169294.5"/>
    <n v="0"/>
    <n v="72"/>
    <n v="159336"/>
    <n v="431632.6530612246"/>
    <n v="35"/>
    <n v="116"/>
    <n v="84"/>
    <n v="0"/>
    <n v="0"/>
    <n v="307607.4"/>
    <n v="256708"/>
    <n v="185892"/>
    <n v="0"/>
    <n v="72"/>
    <n v="159336"/>
    <n v="564000"/>
    <n v="40"/>
    <n v="10"/>
    <n v="33"/>
    <n v="0"/>
    <n v="0"/>
    <n v="19872"/>
    <n v="73029"/>
    <n v="0"/>
    <n v="0"/>
    <n v="72"/>
    <n v="159336"/>
    <n v="221571.4285714286"/>
    <n v="35"/>
    <n v="74"/>
    <n v="24.5"/>
    <m/>
    <n v="0"/>
    <n v="0"/>
    <n v="163762"/>
    <n v="48686.39999999999"/>
    <n v="0"/>
    <n v="0"/>
    <n v="72"/>
    <n v="159336"/>
    <n v="164500"/>
    <n v="90"/>
    <n v="73"/>
    <n v="1"/>
    <m/>
    <n v="0"/>
    <n v="0"/>
    <n v="161549"/>
    <n v="1987.2"/>
    <n v="0"/>
    <n v="0"/>
    <n v="73"/>
    <n v="159336"/>
    <n v="6714.285714285715"/>
    <n v="35"/>
    <n v="92"/>
    <n v="24.5"/>
    <n v="100"/>
    <n v="100"/>
    <n v="0"/>
    <n v="203596"/>
    <n v="48686.39999999999"/>
    <n v="192096"/>
    <n v="0"/>
    <n v="92"/>
    <n v="159336"/>
    <n v="164500"/>
    <n v="35"/>
    <n v="67.5"/>
    <n v="24.5"/>
    <n v="0"/>
    <n v="0"/>
    <n v="0"/>
    <n v="149377.5"/>
    <n v="48686.39999999999"/>
    <n v="0"/>
    <n v="0"/>
    <n v="67.5"/>
    <n v="149377.5"/>
    <n v="164500"/>
    <n v="30"/>
    <n v="43"/>
    <n v="21"/>
    <n v="0"/>
    <n v="100"/>
    <n v="102"/>
    <n v="85449.59999999999"/>
    <n v="41731.2"/>
    <n v="0"/>
    <n v="202694.4"/>
    <n v="145"/>
    <n v="288144"/>
    <n v="141000"/>
    <n v="35"/>
    <n v="124"/>
    <n v="24.5"/>
    <n v="0"/>
    <n v="0"/>
    <n v="0"/>
    <m/>
    <n v="246412.8"/>
    <n v="48686.39999999999"/>
    <n v="0"/>
    <n v="0"/>
    <n v="124"/>
    <n v="246412.8"/>
    <n v="154205.8823529412"/>
    <n v="35"/>
    <n v="99.5"/>
    <n v="24.5"/>
    <n v="0"/>
    <n v="0"/>
    <n v="197726.4"/>
    <n v="48686.39999999999"/>
    <n v="0"/>
    <n v="0"/>
    <n v="99.5"/>
    <n v="197726.4"/>
    <n v="161916.1764705883"/>
    <n v="40"/>
    <n v="75"/>
    <n v="28"/>
    <n v="0"/>
    <n v="0"/>
    <n v="149040"/>
    <n v="55641.59999999999"/>
    <n v="0"/>
    <n v="75"/>
    <n v="149040"/>
    <n v="188000"/>
    <n v="21"/>
    <n v="47"/>
    <n v="14.7"/>
    <n v="0"/>
    <m/>
    <n v="93398.39999999999"/>
    <n v="32531.1"/>
    <n v="0"/>
    <n v="47"/>
    <n v="93398.39999999999"/>
    <n v="98700"/>
  </r>
  <r>
    <s v="Simplit-Vajilla"/>
    <x v="2"/>
    <x v="23"/>
    <x v="62"/>
    <s v="SIMTAZSIE-4"/>
    <x v="575"/>
    <x v="413"/>
    <x v="0"/>
    <x v="1"/>
    <n v="0.9"/>
    <x v="358"/>
    <n v="7"/>
    <n v="192"/>
    <n v="182400"/>
    <n v="1442"/>
    <n v="10094"/>
    <n v="1"/>
    <n v="1092.5"/>
    <n v="8394.957983193277"/>
    <n v="7974.789915966387"/>
    <s v="Shenzhen"/>
    <s v="30/70"/>
    <n v="60"/>
    <n v="100"/>
    <n v="44"/>
    <n v="0.7996455085556221"/>
    <n v="25"/>
    <n v="0.7666021406990658"/>
    <n v="68"/>
    <n v="0.7010109250986871"/>
    <n v="72"/>
    <n v="0.7382749007496345"/>
    <n v="62"/>
    <n v="0.748583295775832"/>
    <n v="26"/>
    <n v="0.6143995855738413"/>
    <n v="1"/>
    <n v="0.8073915315315314"/>
    <n v="0"/>
    <s v=""/>
    <n v="1"/>
    <n v="0.724913235794488"/>
    <n v="87"/>
    <n v="0.6485152378812425"/>
    <n v="111"/>
    <n v="0.761997755331089"/>
    <n v="98"/>
    <n v="0.6470512834228458"/>
    <n v="2"/>
    <s v=""/>
    <n v="25"/>
    <s v=""/>
    <n v="62"/>
    <s v=""/>
    <n v="41"/>
    <s v=""/>
    <n v="1.171428571428571"/>
    <n v="46"/>
    <s v=""/>
    <n v="1.022222222222222"/>
    <n v="25"/>
    <s v=""/>
    <n v="0.3846153846153846"/>
    <n v="9"/>
    <s v=""/>
    <n v="1.285714285714286"/>
    <n v="60"/>
    <n v="5"/>
    <n v="15"/>
    <n v="100"/>
    <n v="100"/>
    <n v="0"/>
    <n v="165109"/>
    <n v="5175"/>
    <n v="21630"/>
    <n v="0"/>
    <n v="7"/>
    <n v="10094"/>
    <n v="105818.7981074783"/>
    <n v="50"/>
    <n v="100"/>
    <n v="37.5"/>
    <n v="0"/>
    <n v="0"/>
    <n v="0"/>
    <n v="202601"/>
    <n v="103500"/>
    <n v="54075"/>
    <n v="0"/>
    <n v="7"/>
    <n v="10094"/>
    <n v="264546.9952686957"/>
    <n v="70"/>
    <n v="171"/>
    <n v="62"/>
    <n v="0"/>
    <n v="0"/>
    <n v="190443.5"/>
    <n v="246582"/>
    <n v="89404"/>
    <n v="0"/>
    <n v="7"/>
    <n v="10094"/>
    <n v="520487.3949579832"/>
    <n v="35"/>
    <n v="101"/>
    <n v="41"/>
    <n v="200"/>
    <n v="0"/>
    <n v="104535"/>
    <n v="59122"/>
    <n v="207000"/>
    <n v="0"/>
    <n v="7"/>
    <n v="10094"/>
    <n v="344193.2773109244"/>
    <n v="45"/>
    <n v="53"/>
    <n v="40.5"/>
    <m/>
    <n v="0"/>
    <n v="0"/>
    <n v="76426"/>
    <n v="41917.5"/>
    <n v="0"/>
    <n v="0"/>
    <n v="7"/>
    <n v="10094"/>
    <n v="339995.7983193277"/>
    <n v="65"/>
    <n v="32"/>
    <n v="25"/>
    <m/>
    <n v="0"/>
    <n v="0"/>
    <n v="46144"/>
    <n v="25875"/>
    <n v="0"/>
    <n v="0"/>
    <n v="32"/>
    <n v="10094"/>
    <n v="209873.9495798319"/>
    <n v="7"/>
    <n v="16"/>
    <n v="6.3"/>
    <n v="0"/>
    <n v="0"/>
    <n v="0"/>
    <n v="23072"/>
    <n v="6520.5"/>
    <n v="0"/>
    <n v="0"/>
    <n v="16"/>
    <n v="10094"/>
    <n v="52888.23529411764"/>
    <n v="40"/>
    <n v="9.699999999999999"/>
    <n v="36"/>
    <n v="0"/>
    <n v="0"/>
    <n v="102"/>
    <n v="13987.4"/>
    <n v="37260"/>
    <n v="0"/>
    <n v="105570"/>
    <n v="9.699999999999999"/>
    <n v="119557.4"/>
    <n v="302218.487394958"/>
    <n v="35"/>
    <n v="75.7"/>
    <n v="31.5"/>
    <n v="0"/>
    <n v="192"/>
    <n v="192"/>
    <n v="78349.5"/>
    <n v="32602.5"/>
    <n v="0"/>
    <n v="198720"/>
    <n v="267.7"/>
    <n v="277069.5"/>
    <n v="264441.1764705883"/>
    <n v="120"/>
    <n v="236.2"/>
    <n v="108"/>
    <n v="0"/>
    <n v="0"/>
    <n v="0"/>
    <m/>
    <n v="244467"/>
    <n v="111780"/>
    <n v="0"/>
    <n v="0"/>
    <n v="236.2"/>
    <n v="244467"/>
    <n v="861277.3109243697"/>
    <n v="115"/>
    <n v="128.2"/>
    <n v="103.5"/>
    <n v="0"/>
    <n v="0"/>
    <n v="132687"/>
    <n v="107122.5"/>
    <n v="0"/>
    <n v="0"/>
    <n v="128.2"/>
    <n v="132687"/>
    <n v="866660.2941176471"/>
    <n v="150"/>
    <n v="24.69999999999999"/>
    <n v="135"/>
    <n v="0"/>
    <n v="0"/>
    <n v="25564.49999999999"/>
    <n v="139725"/>
    <n v="0"/>
    <n v="24.69999999999999"/>
    <n v="25564.49999999999"/>
    <n v="1133319.327731092"/>
    <n v="69"/>
    <n v="0"/>
    <n v="62.1"/>
    <n v="0"/>
    <m/>
    <n v="0"/>
    <n v="89548.2"/>
    <n v="0"/>
    <n v="0"/>
    <n v="0"/>
    <n v="521326.8907563025"/>
  </r>
  <r>
    <s v="Simplit-Vajilla"/>
    <x v="2"/>
    <x v="23"/>
    <x v="62"/>
    <s v="SIMPLAMA-4"/>
    <x v="576"/>
    <x v="414"/>
    <x v="0"/>
    <x v="4"/>
    <n v="1.15"/>
    <x v="359"/>
    <n v="55"/>
    <m/>
    <n v="0"/>
    <n v="3799"/>
    <n v="208945"/>
    <n v="3.45"/>
    <n v="3769.125"/>
    <n v="7554.621848739496"/>
    <n v="7134.453781512605"/>
    <s v="Shenzhen"/>
    <s v="30/70"/>
    <n v="60"/>
    <n v="100"/>
    <n v="7"/>
    <n v="0.7452587393489276"/>
    <n v="14"/>
    <n v="0.7338526988208726"/>
    <n v="14"/>
    <n v="0.6923323205309811"/>
    <n v="15"/>
    <n v="0.7141699886565992"/>
    <n v="5"/>
    <n v="0.7317125897217169"/>
    <n v="34"/>
    <n v="0.6434761493519233"/>
    <n v="16"/>
    <n v="0.6899364030550991"/>
    <n v="13"/>
    <n v="0.687538485299364"/>
    <n v="15"/>
    <n v="0.6592963115428577"/>
    <n v="7"/>
    <n v="0.6366764809527974"/>
    <n v="46"/>
    <n v="0.6311388995605163"/>
    <n v="34"/>
    <n v="0.6527685233445758"/>
    <n v="24"/>
    <s v=""/>
    <n v="18"/>
    <s v=""/>
    <n v="43"/>
    <s v=""/>
    <n v="41"/>
    <s v=""/>
    <n v="1.025"/>
    <n v="33"/>
    <s v=""/>
    <n v="1.1"/>
    <n v="63"/>
    <s v=""/>
    <n v="1.26"/>
    <n v="22"/>
    <s v=""/>
    <n v="0.7333333333333333"/>
    <n v="20"/>
    <n v="341"/>
    <n v="15"/>
    <n v="0"/>
    <n v="0"/>
    <n v="0"/>
    <n v="322915"/>
    <n v="1217625.75"/>
    <n v="56985"/>
    <n v="0"/>
    <n v="55"/>
    <n v="208945"/>
    <n v="95226.32582444744"/>
    <n v="20"/>
    <n v="313"/>
    <n v="27"/>
    <n v="0"/>
    <n v="0"/>
    <n v="0"/>
    <n v="421689"/>
    <n v="1117644.75"/>
    <n v="102573"/>
    <n v="0"/>
    <n v="55"/>
    <n v="208945"/>
    <n v="171407.3864840054"/>
    <n v="25"/>
    <n v="256"/>
    <n v="43"/>
    <n v="0"/>
    <n v="0"/>
    <n v="442306.875"/>
    <n v="972544"/>
    <n v="163357"/>
    <n v="0"/>
    <n v="55"/>
    <n v="208945"/>
    <n v="324848.7394957984"/>
    <n v="40"/>
    <n v="212"/>
    <n v="41"/>
    <n v="0"/>
    <n v="0"/>
    <n v="756998.9999999999"/>
    <n v="155759"/>
    <n v="0"/>
    <n v="0"/>
    <n v="55"/>
    <n v="208945"/>
    <n v="309739.4957983193"/>
    <n v="30"/>
    <n v="88"/>
    <n v="34.5"/>
    <m/>
    <n v="0"/>
    <n v="0"/>
    <n v="334312"/>
    <n v="123190.875"/>
    <n v="0"/>
    <n v="0"/>
    <n v="55"/>
    <n v="208945"/>
    <n v="260634.4537815126"/>
    <n v="50"/>
    <n v="118"/>
    <n v="63"/>
    <m/>
    <n v="0"/>
    <n v="0"/>
    <n v="448282"/>
    <n v="224957.25"/>
    <n v="0"/>
    <n v="0"/>
    <n v="118"/>
    <n v="208945"/>
    <n v="475941.1764705883"/>
    <n v="30"/>
    <n v="77"/>
    <n v="34.5"/>
    <n v="0"/>
    <n v="0"/>
    <n v="0"/>
    <n v="292523"/>
    <n v="123190.875"/>
    <n v="0"/>
    <n v="0"/>
    <n v="77"/>
    <n v="208945"/>
    <n v="260634.4537815126"/>
    <n v="30"/>
    <n v="42.5"/>
    <n v="34.5"/>
    <n v="0"/>
    <n v="0"/>
    <n v="0"/>
    <n v="161457.5"/>
    <n v="123190.875"/>
    <n v="0"/>
    <n v="0"/>
    <n v="42.5"/>
    <n v="161457.5"/>
    <n v="260634.4537815126"/>
    <n v="30"/>
    <n v="8"/>
    <n v="34.5"/>
    <n v="0"/>
    <n v="0"/>
    <m/>
    <n v="28566"/>
    <n v="123190.875"/>
    <n v="0"/>
    <n v="0"/>
    <n v="8"/>
    <n v="28566"/>
    <n v="260634.4537815126"/>
    <n v="50"/>
    <n v="0"/>
    <n v="0"/>
    <n v="0"/>
    <n v="0"/>
    <n v="0"/>
    <m/>
    <n v="0"/>
    <n v="0"/>
    <n v="0"/>
    <n v="0"/>
    <n v="0"/>
    <n v="0"/>
    <n v="0"/>
    <n v="50"/>
    <n v="0"/>
    <n v="57.49999999999999"/>
    <n v="0"/>
    <n v="0"/>
    <n v="0"/>
    <n v="205318.1249999999"/>
    <n v="0"/>
    <n v="0"/>
    <n v="0"/>
    <n v="0"/>
    <n v="430742.6470588235"/>
    <n v="50"/>
    <n v="0"/>
    <n v="57.49999999999999"/>
    <n v="0"/>
    <n v="0"/>
    <n v="0"/>
    <n v="205318.1249999999"/>
    <n v="0"/>
    <n v="0"/>
    <n v="0"/>
    <n v="434390.756302521"/>
    <n v="30"/>
    <n v="0"/>
    <n v="34.5"/>
    <n v="0"/>
    <m/>
    <n v="0"/>
    <n v="131065.5"/>
    <n v="0"/>
    <n v="0"/>
    <n v="0"/>
    <n v="260634.4537815126"/>
  </r>
  <r>
    <s v="Simplit-Vajilla"/>
    <x v="2"/>
    <x v="23"/>
    <x v="62"/>
    <s v="SIMBOWAMA-4"/>
    <x v="577"/>
    <x v="415"/>
    <x v="0"/>
    <x v="0"/>
    <n v="1"/>
    <x v="360"/>
    <n v="160"/>
    <n v="100"/>
    <n v="245100"/>
    <n v="2418"/>
    <n v="386880"/>
    <n v="2.58"/>
    <n v="2818.65"/>
    <n v="8394.957983193277"/>
    <n v="7974.789915966387"/>
    <s v="Shenzhen"/>
    <s v="30/70"/>
    <n v="60"/>
    <n v="100"/>
    <n v="9"/>
    <n v="0.7516949244148967"/>
    <n v="15"/>
    <n v="0.7183171153333375"/>
    <n v="13"/>
    <n v="0.698142307722486"/>
    <n v="10"/>
    <n v="0.6761940089159396"/>
    <n v="11"/>
    <n v="0.6928748391683983"/>
    <n v="60"/>
    <n v="0.6549850828161131"/>
    <n v="14"/>
    <n v="0.6434742092334583"/>
    <n v="22"/>
    <n v="0.647936593208032"/>
    <n v="20"/>
    <n v="0.6662228862158014"/>
    <n v="35"/>
    <n v="0.6042687878754851"/>
    <n v="26"/>
    <n v="0.6332348113395835"/>
    <n v="26"/>
    <n v="0.6284360878592672"/>
    <n v="14"/>
    <s v=""/>
    <n v="17"/>
    <s v=""/>
    <n v="15"/>
    <s v=""/>
    <n v="14"/>
    <s v=""/>
    <n v="0.9333333333333333"/>
    <n v="14"/>
    <s v=""/>
    <n v="0.9333333333333333"/>
    <n v="37"/>
    <s v=""/>
    <n v="0.6166666666666667"/>
    <n v="19"/>
    <s v=""/>
    <n v="0.95"/>
    <n v="20"/>
    <n v="42"/>
    <n v="15"/>
    <n v="100"/>
    <n v="100"/>
    <n v="0"/>
    <n v="134199"/>
    <n v="112152.6"/>
    <n v="36270"/>
    <n v="0"/>
    <n v="160"/>
    <n v="386880"/>
    <n v="105818.7981074783"/>
    <n v="20"/>
    <n v="79"/>
    <n v="25.5"/>
    <n v="0"/>
    <n v="0"/>
    <n v="0"/>
    <n v="131781"/>
    <n v="210953.7"/>
    <n v="61659"/>
    <n v="0"/>
    <n v="160"/>
    <n v="386880"/>
    <n v="179891.9567827131"/>
    <n v="25"/>
    <n v="150"/>
    <n v="15"/>
    <n v="0"/>
    <n v="0"/>
    <n v="110176.5"/>
    <n v="362700"/>
    <n v="36270"/>
    <n v="0"/>
    <n v="160"/>
    <n v="386880"/>
    <n v="125924.3697478992"/>
    <n v="15"/>
    <n v="138"/>
    <n v="14"/>
    <n v="0"/>
    <n v="0"/>
    <n v="368501.4"/>
    <n v="33852"/>
    <n v="0"/>
    <n v="0"/>
    <n v="160"/>
    <n v="386880"/>
    <n v="117529.4117647059"/>
    <n v="15"/>
    <n v="174"/>
    <n v="15"/>
    <m/>
    <n v="0"/>
    <n v="0"/>
    <n v="420732"/>
    <n v="40054.49999999999"/>
    <n v="0"/>
    <n v="0"/>
    <n v="160"/>
    <n v="386880"/>
    <n v="125924.3697478992"/>
    <n v="60"/>
    <n v="197"/>
    <n v="37"/>
    <m/>
    <n v="0"/>
    <n v="0"/>
    <n v="476346"/>
    <n v="98801.09999999999"/>
    <n v="0"/>
    <n v="0"/>
    <n v="197"/>
    <n v="386880"/>
    <n v="310613.4453781513"/>
    <n v="20"/>
    <n v="179"/>
    <n v="20"/>
    <n v="100"/>
    <n v="100"/>
    <n v="0"/>
    <n v="432822"/>
    <n v="53405.99999999999"/>
    <n v="258128.9999999999"/>
    <n v="0"/>
    <n v="179"/>
    <n v="386880"/>
    <n v="167899.1596638655"/>
    <n v="20"/>
    <n v="159"/>
    <n v="20"/>
    <n v="0"/>
    <n v="0"/>
    <n v="0"/>
    <n v="384462"/>
    <n v="53405.99999999999"/>
    <n v="0"/>
    <n v="0"/>
    <n v="159"/>
    <n v="384462"/>
    <n v="167899.1596638655"/>
    <n v="20"/>
    <n v="139"/>
    <n v="20"/>
    <n v="0"/>
    <n v="0"/>
    <m/>
    <n v="371171.7"/>
    <n v="53405.99999999999"/>
    <n v="0"/>
    <n v="0"/>
    <n v="139"/>
    <n v="371171.7"/>
    <n v="167899.1596638655"/>
    <n v="35"/>
    <n v="119"/>
    <n v="35"/>
    <n v="0"/>
    <n v="0"/>
    <n v="0"/>
    <m/>
    <n v="317765.7"/>
    <n v="93460.49999999999"/>
    <n v="0"/>
    <n v="0"/>
    <n v="119"/>
    <n v="317765.7"/>
    <n v="279117.6470588236"/>
    <n v="30"/>
    <n v="84"/>
    <n v="30"/>
    <n v="0"/>
    <n v="0"/>
    <n v="224305.2"/>
    <n v="80108.99999999999"/>
    <n v="0"/>
    <n v="0"/>
    <n v="84"/>
    <n v="224305.2"/>
    <n v="251205.8823529412"/>
    <n v="35"/>
    <n v="54"/>
    <n v="35"/>
    <n v="0"/>
    <n v="0"/>
    <n v="144196.2"/>
    <n v="93460.49999999999"/>
    <n v="0"/>
    <n v="54"/>
    <n v="144196.2"/>
    <n v="293823.5294117647"/>
    <n v="18"/>
    <n v="19"/>
    <n v="18"/>
    <n v="0"/>
    <m/>
    <n v="50735.7"/>
    <n v="43524"/>
    <n v="0"/>
    <n v="19"/>
    <n v="50735.7"/>
    <n v="151109.243697479"/>
  </r>
  <r>
    <s v="Simplit-Vajilla"/>
    <x v="2"/>
    <x v="23"/>
    <x v="62"/>
    <s v="SIMBOWTAZ-4"/>
    <x v="578"/>
    <x v="416"/>
    <x v="0"/>
    <x v="1"/>
    <n v="0.8"/>
    <x v="361"/>
    <n v="188"/>
    <n v="148"/>
    <n v="201058"/>
    <n v="1437"/>
    <n v="270156"/>
    <n v="1.43"/>
    <n v="1562.275"/>
    <n v="8394.957983193277"/>
    <n v="7974.789915966387"/>
    <s v="Shenzhen"/>
    <s v="30/70"/>
    <n v="60"/>
    <n v="100"/>
    <n v="12"/>
    <n v="0.797765609974637"/>
    <n v="17"/>
    <n v="0.8000038835967958"/>
    <n v="37"/>
    <n v="0.7344210360412774"/>
    <n v="2"/>
    <n v="0.7472141372141372"/>
    <n v="17"/>
    <n v="0.7394198969702753"/>
    <n v="99"/>
    <n v="0.7071851699531327"/>
    <n v="32"/>
    <n v="0.7288902344798502"/>
    <n v="12"/>
    <n v="0.7309026362566661"/>
    <n v="7"/>
    <n v="0.7225726621735468"/>
    <n v="0"/>
    <s v=""/>
    <n v="0"/>
    <s v=""/>
    <n v="0"/>
    <s v=""/>
    <n v="0"/>
    <s v=""/>
    <n v="9"/>
    <s v=""/>
    <n v="30"/>
    <s v=""/>
    <n v="13"/>
    <s v=""/>
    <n v="0.4333333333333333"/>
    <n v="18"/>
    <s v=""/>
    <n v="0.6"/>
    <n v="42"/>
    <s v=""/>
    <n v="0.7"/>
    <n v="8"/>
    <s v=""/>
    <n v="0.2285714285714286"/>
    <n v="35"/>
    <n v="3"/>
    <n v="10"/>
    <n v="150"/>
    <n v="150"/>
    <n v="0"/>
    <n v="76879.5"/>
    <n v="4440.15"/>
    <n v="14370"/>
    <n v="0"/>
    <n v="188"/>
    <n v="270156"/>
    <n v="70545.86540498552"/>
    <n v="30"/>
    <n v="153"/>
    <n v="13.5"/>
    <n v="0"/>
    <n v="0"/>
    <n v="0"/>
    <n v="81190.5"/>
    <n v="226447.65"/>
    <n v="19399.5"/>
    <n v="0"/>
    <n v="188"/>
    <n v="270156"/>
    <n v="95236.91829673047"/>
    <n v="50"/>
    <n v="192"/>
    <n v="30"/>
    <n v="0"/>
    <n v="0"/>
    <n v="97312.2"/>
    <n v="275904"/>
    <n v="43110"/>
    <n v="0"/>
    <n v="188"/>
    <n v="270156"/>
    <n v="251848.7394957983"/>
    <n v="30"/>
    <n v="161"/>
    <n v="13"/>
    <n v="0"/>
    <n v="0"/>
    <n v="238288.05"/>
    <n v="18681"/>
    <n v="0"/>
    <n v="0"/>
    <n v="188"/>
    <n v="270156"/>
    <n v="109134.4537815126"/>
    <n v="30"/>
    <n v="206"/>
    <n v="24"/>
    <m/>
    <n v="0"/>
    <n v="0"/>
    <n v="296022"/>
    <n v="35521.2"/>
    <n v="0"/>
    <n v="0"/>
    <n v="188"/>
    <n v="270156"/>
    <n v="201478.9915966386"/>
    <n v="60"/>
    <n v="230"/>
    <n v="42"/>
    <m/>
    <n v="0"/>
    <n v="0"/>
    <n v="330510"/>
    <n v="62162.1"/>
    <n v="0"/>
    <n v="0"/>
    <n v="230"/>
    <n v="270156"/>
    <n v="352588.2352941177"/>
    <n v="35"/>
    <n v="196"/>
    <n v="28"/>
    <n v="100"/>
    <n v="100"/>
    <n v="0"/>
    <n v="281652"/>
    <n v="41441.4"/>
    <n v="143071.5"/>
    <n v="0"/>
    <n v="196"/>
    <n v="270156"/>
    <n v="235058.8235294117"/>
    <n v="40"/>
    <n v="168"/>
    <n v="32"/>
    <n v="0"/>
    <n v="0"/>
    <n v="0"/>
    <n v="241416"/>
    <n v="47361.6"/>
    <n v="0"/>
    <n v="0"/>
    <n v="168"/>
    <n v="241416"/>
    <n v="268638.6554621849"/>
    <n v="40"/>
    <n v="136"/>
    <n v="32"/>
    <n v="0"/>
    <n v="0"/>
    <m/>
    <n v="201286.8"/>
    <n v="47361.6"/>
    <n v="0"/>
    <n v="0"/>
    <n v="136"/>
    <n v="201286.8"/>
    <n v="268638.6554621849"/>
    <n v="100"/>
    <n v="104"/>
    <n v="80"/>
    <n v="0"/>
    <n v="0"/>
    <n v="0"/>
    <m/>
    <n v="153925.2"/>
    <n v="118404"/>
    <n v="0"/>
    <n v="0"/>
    <n v="104"/>
    <n v="153925.2"/>
    <n v="637983.1932773109"/>
    <n v="80"/>
    <n v="24"/>
    <n v="64"/>
    <n v="0"/>
    <n v="0"/>
    <n v="35521.2"/>
    <n v="94723.2"/>
    <n v="0"/>
    <n v="0"/>
    <n v="24"/>
    <n v="35521.2"/>
    <n v="535905.8823529412"/>
    <n v="100"/>
    <n v="0"/>
    <n v="80"/>
    <n v="0"/>
    <n v="0"/>
    <n v="0"/>
    <n v="118404"/>
    <n v="0"/>
    <n v="0"/>
    <n v="0"/>
    <n v="671596.6386554622"/>
    <n v="48"/>
    <n v="0"/>
    <n v="38.40000000000001"/>
    <n v="0"/>
    <m/>
    <n v="0"/>
    <n v="55180.80000000001"/>
    <n v="0"/>
    <n v="0"/>
    <n v="0"/>
    <n v="322366.3865546219"/>
  </r>
  <r>
    <s v="Simplit-Vajilla"/>
    <x v="2"/>
    <x v="23"/>
    <x v="62"/>
    <s v="SIMTAZPAL-2"/>
    <x v="579"/>
    <x v="417"/>
    <x v="0"/>
    <x v="6"/>
    <n v="1.5"/>
    <x v="12"/>
    <n v="4"/>
    <m/>
    <n v="0"/>
    <n v="1430"/>
    <n v="5720"/>
    <n v="0.86"/>
    <n v="939.55"/>
    <n v="4193.27731092437"/>
    <n v="3773.109243697479"/>
    <s v="Shenzhen"/>
    <s v="30/70"/>
    <n v="60"/>
    <n v="100"/>
    <n v="0"/>
    <s v=""/>
    <n v="5"/>
    <n v="0.7664276472591078"/>
    <n v="15"/>
    <n v="0.7569283335373802"/>
    <n v="7"/>
    <n v="0.7256805479452055"/>
    <n v="3"/>
    <n v="0.7443010368251699"/>
    <n v="66"/>
    <n v="0.731800225631571"/>
    <n v="31"/>
    <n v="0.6554160706184821"/>
    <n v="72"/>
    <n v="0.6284688200266807"/>
    <n v="50"/>
    <n v="0.6431586827042223"/>
    <n v="54"/>
    <n v="0.5451891891891891"/>
    <n v="28"/>
    <n v="0.6421097604576332"/>
    <n v="46"/>
    <n v="0.6313047148342275"/>
    <n v="16"/>
    <s v=""/>
    <n v="12"/>
    <s v=""/>
    <n v="32"/>
    <s v=""/>
    <n v="27"/>
    <s v=""/>
    <n v="1.35"/>
    <n v="3"/>
    <s v=""/>
    <n v="0.2"/>
    <n v="0"/>
    <s v=""/>
    <n v="0"/>
    <n v="0"/>
    <s v=""/>
    <n v="0"/>
    <n v="15"/>
    <n v="106"/>
    <n v="15"/>
    <n v="0"/>
    <n v="0"/>
    <n v="0"/>
    <n v="92950"/>
    <n v="94350.59999999999"/>
    <n v="21450"/>
    <n v="0"/>
    <n v="4"/>
    <n v="5720"/>
    <n v="52856.43669232399"/>
    <n v="15"/>
    <n v="94"/>
    <n v="18"/>
    <n v="0"/>
    <n v="0"/>
    <n v="0"/>
    <n v="110110"/>
    <n v="83669.39999999999"/>
    <n v="25740"/>
    <n v="0"/>
    <n v="4"/>
    <n v="5720"/>
    <n v="63427.7240307888"/>
    <n v="20"/>
    <n v="79"/>
    <n v="32"/>
    <n v="0"/>
    <n v="0"/>
    <n v="104397.25"/>
    <n v="112970"/>
    <n v="45760"/>
    <n v="0"/>
    <n v="4"/>
    <n v="5720"/>
    <n v="134184.8739495798"/>
    <n v="20"/>
    <n v="39"/>
    <n v="27"/>
    <n v="0"/>
    <n v="0"/>
    <n v="34713.89999999999"/>
    <n v="38610"/>
    <n v="0"/>
    <n v="0"/>
    <n v="4"/>
    <n v="5720"/>
    <n v="113218.487394958"/>
    <n v="15"/>
    <n v="7"/>
    <n v="22.5"/>
    <m/>
    <n v="0"/>
    <n v="0"/>
    <n v="10010"/>
    <n v="20027.25"/>
    <n v="0"/>
    <n v="0"/>
    <n v="4"/>
    <n v="5720"/>
    <n v="94348.73949579832"/>
    <n v="59"/>
    <n v="4"/>
    <n v="0"/>
    <m/>
    <n v="0"/>
    <n v="0"/>
    <n v="5720"/>
    <n v="0"/>
    <n v="0"/>
    <n v="0"/>
    <n v="4"/>
    <n v="5720"/>
    <n v="0"/>
    <n v="28"/>
    <n v="4"/>
    <n v="42"/>
    <n v="0"/>
    <n v="0"/>
    <n v="0"/>
    <n v="5720"/>
    <n v="37384.2"/>
    <n v="0"/>
    <n v="0"/>
    <n v="4"/>
    <n v="5720"/>
    <n v="176117.6470588235"/>
    <n v="72"/>
    <n v="0"/>
    <n v="108"/>
    <n v="0"/>
    <n v="0"/>
    <n v="0"/>
    <n v="0"/>
    <n v="96130.79999999999"/>
    <n v="0"/>
    <n v="0"/>
    <n v="0"/>
    <n v="0"/>
    <n v="452873.949579832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Simplit-Vajilla"/>
    <x v="2"/>
    <x v="23"/>
    <x v="63"/>
    <n v="1661872956577"/>
    <x v="580"/>
    <x v="418"/>
    <x v="0"/>
    <x v="4"/>
    <n v="1"/>
    <x v="362"/>
    <n v="12"/>
    <m/>
    <n v="0"/>
    <n v="10633.36146043788"/>
    <n v="127600.3375252546"/>
    <n v="11.55"/>
    <n v="12618.375"/>
    <n v="25201.68067226891"/>
    <n v="22680.67226890757"/>
    <s v="Shenzhen"/>
    <s v="30/70"/>
    <n v="45"/>
    <n v="200"/>
    <n v="54"/>
    <n v="0.5632319985266164"/>
    <n v="41"/>
    <n v="0.5587234081723131"/>
    <n v="77"/>
    <n v="0.5360158490678774"/>
    <n v="56"/>
    <n v="0.5604263287562089"/>
    <n v="77"/>
    <n v="0.5938335089189756"/>
    <n v="170"/>
    <n v="0.5064102321734407"/>
    <n v="115"/>
    <n v="0.5168825909289445"/>
    <n v="63"/>
    <n v="0.5429281315689714"/>
    <n v="12"/>
    <n v="0.5638266457394081"/>
    <n v="56"/>
    <n v="0.5026095065407551"/>
    <n v="66"/>
    <n v="0.48737868715545"/>
    <n v="82"/>
    <n v="0.4953694984422087"/>
    <n v="18"/>
    <n v="0.4337899418874224"/>
    <n v="50"/>
    <n v="0.4618245619199805"/>
    <n v="76"/>
    <n v="0.4131772362305154"/>
    <n v="67"/>
    <n v="0.4410923334289577"/>
    <n v="1.116666666666667"/>
    <n v="77"/>
    <n v="0.5276765674600913"/>
    <n v="0.9625"/>
    <n v="73"/>
    <n v="0.4422950285586316"/>
    <n v="0.4294117647058823"/>
    <n v="0"/>
    <n v="0.4566429784949821"/>
    <n v="0"/>
    <n v="50"/>
    <n v="14"/>
    <n v="25"/>
    <n v="200"/>
    <n v="200"/>
    <n v="0"/>
    <n v="1871471.617037067"/>
    <n v="167359.5"/>
    <n v="265834.036510947"/>
    <n v="0"/>
    <n v="12"/>
    <n v="127600.3375252546"/>
    <n v="529447.0729468259"/>
    <n v="50"/>
    <n v="193"/>
    <n v="75"/>
    <n v="0"/>
    <n v="0"/>
    <n v="0"/>
    <n v="2318072.798375458"/>
    <n v="2307170.25"/>
    <n v="797502.109532841"/>
    <n v="0"/>
    <n v="12"/>
    <n v="127600.3375252546"/>
    <n v="1588341.218840478"/>
    <n v="70"/>
    <n v="109"/>
    <n v="76"/>
    <n v="0"/>
    <n v="0"/>
    <n v="2476910.688842617"/>
    <n v="1159036.399187729"/>
    <n v="808135.4709932789"/>
    <n v="0"/>
    <n v="12"/>
    <n v="127600.3375252546"/>
    <n v="1915327.731092437"/>
    <n v="60"/>
    <n v="250"/>
    <n v="67"/>
    <n v="0"/>
    <n v="0"/>
    <n v="2988562.5"/>
    <n v="712435.217849338"/>
    <n v="0"/>
    <n v="0"/>
    <n v="12"/>
    <n v="127600.3375252546"/>
    <n v="1688512.605042017"/>
    <n v="80"/>
    <n v="89"/>
    <n v="80"/>
    <m/>
    <n v="0"/>
    <n v="0"/>
    <n v="946369.1699789714"/>
    <n v="956339.9999999999"/>
    <n v="0"/>
    <n v="0"/>
    <n v="12"/>
    <n v="127600.3375252546"/>
    <n v="2016134.453781513"/>
    <n v="170"/>
    <n v="85"/>
    <n v="73"/>
    <m/>
    <n v="0"/>
    <n v="0"/>
    <n v="903835.7241372198"/>
    <n v="872660.2499999999"/>
    <n v="0"/>
    <n v="0"/>
    <n v="85"/>
    <n v="127600.3375252546"/>
    <n v="1839722.68907563"/>
    <n v="100"/>
    <n v="12"/>
    <n v="100"/>
    <n v="200"/>
    <n v="200"/>
    <n v="0"/>
    <n v="127600.3375252546"/>
    <n v="1195425"/>
    <n v="2311155"/>
    <n v="0"/>
    <n v="12"/>
    <n v="127600.3375252546"/>
    <n v="2520168.06722689"/>
    <n v="84"/>
    <n v="0"/>
    <n v="84"/>
    <n v="200"/>
    <n v="200"/>
    <n v="0"/>
    <n v="0"/>
    <n v="1004157"/>
    <n v="2390850"/>
    <n v="0"/>
    <n v="200"/>
    <n v="0"/>
    <n v="2116941.176470588"/>
    <n v="70"/>
    <n v="0"/>
    <n v="70"/>
    <n v="0"/>
    <n v="0"/>
    <n v="400"/>
    <n v="0"/>
    <n v="836797.4999999999"/>
    <n v="0"/>
    <n v="4781699.999999999"/>
    <n v="400"/>
    <n v="4781699.999999999"/>
    <n v="1764117.647058824"/>
    <n v="120"/>
    <n v="330"/>
    <n v="120"/>
    <n v="0"/>
    <n v="0"/>
    <n v="0"/>
    <m/>
    <n v="3944902.5"/>
    <n v="1434510"/>
    <n v="0"/>
    <n v="0"/>
    <n v="330"/>
    <n v="3944902.5"/>
    <n v="2721680.672268908"/>
    <n v="100"/>
    <n v="210"/>
    <n v="100"/>
    <n v="200"/>
    <n v="200"/>
    <n v="2510392.5"/>
    <n v="1195425"/>
    <n v="2390850"/>
    <n v="2390850"/>
    <n v="410"/>
    <n v="4901242.499999999"/>
    <n v="2381470.588235294"/>
    <n v="140"/>
    <n v="310"/>
    <n v="140"/>
    <n v="0"/>
    <n v="0"/>
    <n v="3705817.5"/>
    <n v="1673595"/>
    <n v="0"/>
    <n v="310"/>
    <n v="3705817.5"/>
    <n v="3528235.294117647"/>
    <n v="60"/>
    <n v="170"/>
    <n v="60"/>
    <n v="0"/>
    <m/>
    <n v="2032222.5"/>
    <n v="638001.6876262728"/>
    <n v="0"/>
    <n v="170"/>
    <n v="2032222.5"/>
    <n v="1512100.840336134"/>
  </r>
  <r>
    <s v="Simplit-Vajilla"/>
    <x v="2"/>
    <x v="23"/>
    <x v="63"/>
    <n v="1659991481176"/>
    <x v="581"/>
    <x v="419"/>
    <x v="0"/>
    <x v="6"/>
    <n v="1"/>
    <x v="12"/>
    <n v="5"/>
    <m/>
    <n v="0"/>
    <n v="4000"/>
    <n v="20000"/>
    <n v="3.2"/>
    <n v="3496"/>
    <n v="8394.957983193277"/>
    <n v="8394.957983193277"/>
    <s v="Shenzhen"/>
    <s v="30/70"/>
    <n v="30"/>
    <n v="100"/>
    <n v="72"/>
    <n v="0.5168578163772598"/>
    <n v="12"/>
    <n v="0.5602038348212323"/>
    <n v="18"/>
    <n v="0.56134552040719"/>
    <n v="39"/>
    <n v="0.5501283121106206"/>
    <n v="28"/>
    <n v="0.5202313408837256"/>
    <n v="48"/>
    <n v="0.4749220266269235"/>
    <n v="32"/>
    <n v="0.469769318557366"/>
    <n v="57"/>
    <n v="0.3885706595780029"/>
    <n v="31"/>
    <n v="0.3791130335071303"/>
    <n v="78"/>
    <n v="0.425919640785739"/>
    <n v="53"/>
    <n v="0.4511761926689131"/>
    <n v="60"/>
    <n v="0.5194495678432343"/>
    <n v="23"/>
    <n v="0.3399357718827477"/>
    <n v="13"/>
    <n v="0.3683257750863352"/>
    <n v="1"/>
    <n v="0.3868792122855103"/>
    <n v="1"/>
    <n v="0.3868572900566718"/>
    <n v="0"/>
    <n v="4"/>
    <n v="0.5235285285285286"/>
    <n v="0"/>
    <n v="4"/>
    <n v="0.9999966666666665"/>
    <n v="0"/>
    <n v="0"/>
    <n v="0.3819855933449876"/>
    <n v="0"/>
    <n v="0"/>
    <n v="42"/>
    <n v="25"/>
    <n v="0"/>
    <n v="0"/>
    <n v="0"/>
    <n v="182000"/>
    <n v="139104"/>
    <n v="100000"/>
    <n v="0"/>
    <n v="5"/>
    <n v="20000"/>
    <n v="176364.6635124638"/>
    <n v="17"/>
    <n v="20"/>
    <n v="19.5"/>
    <n v="0"/>
    <n v="0"/>
    <n v="0"/>
    <n v="86000"/>
    <n v="66239.99999999999"/>
    <n v="78000"/>
    <n v="0"/>
    <n v="5"/>
    <n v="20000"/>
    <n v="137564.4375397218"/>
    <n v="0"/>
    <n v="6"/>
    <n v="1"/>
    <n v="0"/>
    <n v="0"/>
    <n v="8000"/>
    <n v="24000"/>
    <n v="4000"/>
    <n v="0"/>
    <n v="5"/>
    <n v="20000"/>
    <n v="8394.957983193277"/>
    <n v="0"/>
    <n v="6"/>
    <n v="1"/>
    <n v="0"/>
    <n v="0"/>
    <n v="19872"/>
    <n v="4000"/>
    <n v="0"/>
    <n v="0"/>
    <n v="5"/>
    <n v="20000"/>
    <n v="8394.957983193277"/>
    <n v="0"/>
    <n v="9"/>
    <n v="0"/>
    <m/>
    <n v="0"/>
    <n v="0"/>
    <n v="36000"/>
    <n v="0"/>
    <n v="0"/>
    <n v="0"/>
    <n v="5"/>
    <n v="20000"/>
    <n v="0"/>
    <n v="0"/>
    <n v="9"/>
    <n v="4"/>
    <m/>
    <n v="0"/>
    <n v="0"/>
    <n v="36000"/>
    <n v="13248"/>
    <n v="0"/>
    <n v="0"/>
    <n v="9"/>
    <n v="20000"/>
    <n v="33579.83193277311"/>
    <n v="0"/>
    <n v="5"/>
    <n v="0"/>
    <n v="0"/>
    <n v="0"/>
    <n v="0"/>
    <n v="20000"/>
    <n v="0"/>
    <n v="0"/>
    <n v="0"/>
    <n v="5"/>
    <n v="20000"/>
    <n v="0"/>
    <n v="0"/>
    <n v="5"/>
    <n v="0"/>
    <n v="0"/>
    <n v="0"/>
    <n v="0"/>
    <n v="20000"/>
    <n v="0"/>
    <n v="0"/>
    <n v="0"/>
    <n v="5"/>
    <n v="20000"/>
    <n v="0"/>
    <n v="0"/>
    <n v="5"/>
    <n v="0"/>
    <n v="0"/>
    <n v="0"/>
    <m/>
    <n v="16560"/>
    <n v="0"/>
    <n v="0"/>
    <n v="0"/>
    <n v="5"/>
    <n v="16560"/>
    <n v="0"/>
    <n v="0"/>
    <n v="5"/>
    <n v="0"/>
    <n v="0"/>
    <n v="0"/>
    <n v="0"/>
    <m/>
    <n v="16560"/>
    <n v="0"/>
    <n v="0"/>
    <n v="0"/>
    <n v="5"/>
    <n v="16560"/>
    <n v="0"/>
    <n v="0"/>
    <n v="5"/>
    <n v="0"/>
    <n v="0"/>
    <n v="0"/>
    <n v="16560"/>
    <n v="0"/>
    <n v="0"/>
    <n v="0"/>
    <n v="5"/>
    <n v="16560"/>
    <n v="0"/>
    <n v="0"/>
    <n v="5"/>
    <n v="0"/>
    <n v="0"/>
    <n v="0"/>
    <n v="16560"/>
    <n v="0"/>
    <n v="0"/>
    <n v="5"/>
    <n v="16560"/>
    <n v="0"/>
    <n v="0"/>
    <n v="5"/>
    <n v="0"/>
    <n v="0"/>
    <m/>
    <n v="16560"/>
    <n v="0"/>
    <n v="0"/>
    <n v="5"/>
    <n v="16560"/>
    <n v="0"/>
  </r>
  <r>
    <s v="Xroad-Accesorios de Instalacion"/>
    <x v="3"/>
    <x v="24"/>
    <x v="64"/>
    <n v="1650302269777"/>
    <x v="582"/>
    <x v="420"/>
    <x v="0"/>
    <x v="3"/>
    <n v="1"/>
    <x v="363"/>
    <n v="21"/>
    <m/>
    <n v="0"/>
    <n v="64491.43124999999"/>
    <n v="1354320.05625"/>
    <n v="65"/>
    <n v="71012.5"/>
    <n v="151252.1008403361"/>
    <n v="142848.7394957983"/>
    <s v="Ningbo"/>
    <s v="30/70"/>
    <n v="30"/>
    <n v="30"/>
    <n v="35"/>
    <n v="0.3575820836909914"/>
    <n v="6"/>
    <n v="0.4944474205440408"/>
    <n v="12"/>
    <n v="0.4400036301458442"/>
    <n v="6"/>
    <n v="0.498588479875184"/>
    <n v="2"/>
    <n v="0.4435125973642084"/>
    <n v="11"/>
    <n v="0.4110692010514124"/>
    <n v="11"/>
    <n v="0.416873022262537"/>
    <n v="25"/>
    <n v="0.4033291433599396"/>
    <n v="31"/>
    <n v="0.4030835696761289"/>
    <n v="49"/>
    <n v="0.3920126437098757"/>
    <n v="25"/>
    <n v="0.4673179290269078"/>
    <n v="49"/>
    <n v="0.4846145303276726"/>
    <n v="60"/>
    <n v="0.4460172675453156"/>
    <n v="24"/>
    <n v="0.4385889946039188"/>
    <n v="11"/>
    <n v="0.4500000255496771"/>
    <n v="7"/>
    <n v="0.5121308031803288"/>
    <n v="0.7"/>
    <n v="9"/>
    <n v="0.5752944201849792"/>
    <n v="0.9"/>
    <n v="7"/>
    <n v="0.4563608447555738"/>
    <n v="0.35"/>
    <n v="0"/>
    <n v="0.4602809580995805"/>
    <n v="0"/>
    <n v="40"/>
    <n v="76"/>
    <n v="40"/>
    <n v="50"/>
    <n v="50"/>
    <n v="0"/>
    <n v="5610754.518749999"/>
    <n v="5112900"/>
    <n v="2579657.25"/>
    <n v="0"/>
    <n v="21"/>
    <n v="1354320.05625"/>
    <n v="5084104.229927266"/>
    <n v="20"/>
    <n v="23"/>
    <n v="36"/>
    <n v="25"/>
    <n v="25"/>
    <n v="0"/>
    <n v="3482537.287499999"/>
    <n v="1547325"/>
    <n v="2321691.524999999"/>
    <n v="0"/>
    <n v="21"/>
    <n v="1354320.05625"/>
    <n v="4575693.806934539"/>
    <n v="15"/>
    <n v="23"/>
    <n v="11"/>
    <n v="0"/>
    <n v="0"/>
    <n v="1833595.7625"/>
    <n v="1483302.91875"/>
    <n v="709405.7437499999"/>
    <n v="0"/>
    <n v="21"/>
    <n v="1354320.05625"/>
    <n v="1663773.109243698"/>
    <n v="10"/>
    <n v="20"/>
    <n v="7"/>
    <n v="10"/>
    <n v="0"/>
    <n v="1345500"/>
    <n v="451440.0187499999"/>
    <n v="672750"/>
    <n v="0"/>
    <n v="21"/>
    <n v="1354320.05625"/>
    <n v="1058764.705882353"/>
    <n v="10"/>
    <n v="30"/>
    <n v="10"/>
    <m/>
    <n v="0"/>
    <n v="0"/>
    <n v="1934742.9375"/>
    <n v="672750"/>
    <n v="0"/>
    <n v="0"/>
    <n v="21"/>
    <n v="1354320.05625"/>
    <n v="1512521.008403362"/>
    <n v="20"/>
    <n v="28"/>
    <n v="7"/>
    <m/>
    <n v="0"/>
    <n v="0"/>
    <n v="1805760.075"/>
    <n v="470925"/>
    <n v="0"/>
    <n v="0"/>
    <n v="28"/>
    <n v="1354320.05625"/>
    <n v="1058764.705882353"/>
    <n v="10"/>
    <n v="21"/>
    <n v="10"/>
    <n v="30"/>
    <n v="30"/>
    <n v="0"/>
    <n v="1354320.05625"/>
    <n v="672750"/>
    <n v="1950975"/>
    <n v="0"/>
    <n v="21"/>
    <n v="1354320.05625"/>
    <n v="1512521.008403362"/>
    <n v="15"/>
    <n v="11"/>
    <n v="15"/>
    <n v="20"/>
    <n v="20"/>
    <n v="20"/>
    <n v="709405.7437499999"/>
    <n v="1009125"/>
    <n v="1345500"/>
    <n v="1345500"/>
    <n v="31"/>
    <n v="2054905.74375"/>
    <n v="2268781.512605042"/>
    <n v="30"/>
    <n v="16"/>
    <n v="30"/>
    <n v="30"/>
    <n v="30"/>
    <n v="50"/>
    <n v="1076400"/>
    <n v="2018250"/>
    <n v="2018250"/>
    <n v="3363750"/>
    <n v="66"/>
    <n v="4440150"/>
    <n v="4537563.025210084"/>
    <n v="40"/>
    <n v="36"/>
    <n v="36"/>
    <n v="50"/>
    <n v="50"/>
    <n v="50"/>
    <n v="0"/>
    <n v="2421900"/>
    <n v="2421900"/>
    <n v="3363750"/>
    <n v="3363750"/>
    <n v="86"/>
    <n v="5785650"/>
    <n v="5142554.62184874"/>
    <n v="30"/>
    <n v="50"/>
    <n v="30"/>
    <m/>
    <n v="0"/>
    <n v="3363750"/>
    <n v="2018250"/>
    <n v="0"/>
    <n v="0"/>
    <n v="50"/>
    <n v="3363750"/>
    <n v="4499735.294117647"/>
    <n v="50"/>
    <n v="20"/>
    <n v="50"/>
    <n v="0"/>
    <n v="0"/>
    <n v="1345500"/>
    <n v="3363750"/>
    <n v="0"/>
    <n v="20"/>
    <n v="1345500"/>
    <n v="7562605.042016807"/>
    <n v="18"/>
    <n v="0"/>
    <n v="18"/>
    <n v="0"/>
    <m/>
    <n v="0"/>
    <n v="1160845.7625"/>
    <n v="0"/>
    <n v="0"/>
    <n v="0"/>
    <n v="2722537.815126051"/>
  </r>
  <r>
    <m/>
    <x v="3"/>
    <x v="24"/>
    <x v="64"/>
    <s v="XRTOLLAT270-CL"/>
    <x v="583"/>
    <x v="421"/>
    <x v="0"/>
    <x v="2"/>
    <n v="1"/>
    <x v="12"/>
    <n v="0"/>
    <m/>
    <n v="0"/>
    <n v="188100"/>
    <n v="0"/>
    <n v="165"/>
    <n v="188100"/>
    <n v="474201.6806722689"/>
    <n v="403071.4285714286"/>
    <s v="Shenzhen"/>
    <s v="30/7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0"/>
    <n v="10"/>
    <n v="0"/>
    <n v="0"/>
    <n v="341550"/>
    <n v="1707750"/>
    <n v="0"/>
    <n v="0"/>
    <n v="0"/>
    <n v="948403.3613445378"/>
    <n v="5"/>
    <n v="10"/>
    <n v="5"/>
    <n v="0"/>
    <n v="0"/>
    <n v="0"/>
    <n v="10"/>
    <n v="1707750"/>
    <n v="853875"/>
    <n v="0"/>
    <n v="1707750"/>
    <n v="10"/>
    <n v="3415500"/>
    <n v="2015357.142857143"/>
    <n v="8"/>
    <n v="5"/>
    <n v="8"/>
    <m/>
    <n v="0"/>
    <n v="853875"/>
    <n v="1366200"/>
    <n v="0"/>
    <n v="0"/>
    <n v="5"/>
    <n v="853875"/>
    <n v="3385800"/>
    <n v="10"/>
    <n v="0"/>
    <n v="10"/>
    <n v="0"/>
    <n v="0"/>
    <n v="0"/>
    <n v="1707750"/>
    <n v="0"/>
    <n v="0"/>
    <n v="0"/>
    <n v="4742016.806722689"/>
    <n v="4.8"/>
    <n v="0"/>
    <n v="4.8"/>
    <n v="0"/>
    <m/>
    <n v="0"/>
    <n v="902880"/>
    <n v="0"/>
    <n v="0"/>
    <n v="0"/>
    <n v="2276168.06722689"/>
  </r>
  <r>
    <s v="Xroad-Accesorios de Instalacion"/>
    <x v="3"/>
    <x v="24"/>
    <x v="65"/>
    <n v="1650301031879"/>
    <x v="584"/>
    <x v="422"/>
    <x v="0"/>
    <x v="3"/>
    <n v="1"/>
    <x v="364"/>
    <n v="54"/>
    <m/>
    <n v="0"/>
    <n v="20112.05060572882"/>
    <n v="1086050.732709356"/>
    <n v="20.7"/>
    <n v="22614.75"/>
    <n v="50411.76470588236"/>
    <n v="42008.40336134454"/>
    <s v="Shenzhen"/>
    <s v="30/70"/>
    <n v="30"/>
    <n v="50"/>
    <n v="144"/>
    <n v="0.6339830818051353"/>
    <n v="35"/>
    <n v="0.6408014365584193"/>
    <n v="30"/>
    <n v="0.6422292627397198"/>
    <n v="23"/>
    <n v="0.6330330866763336"/>
    <n v="20"/>
    <n v="0.5985315245047542"/>
    <n v="89"/>
    <n v="0.5444348762068717"/>
    <n v="74"/>
    <n v="0.5775629207935132"/>
    <n v="59"/>
    <n v="0.5740015813307741"/>
    <n v="37"/>
    <n v="0.6436125089000008"/>
    <n v="124"/>
    <n v="0.4992182194206518"/>
    <n v="84"/>
    <n v="0.5281594043559832"/>
    <n v="88"/>
    <n v="0.5874985101312075"/>
    <n v="190"/>
    <n v="0.4947672927725921"/>
    <n v="74"/>
    <n v="0.4741857262576297"/>
    <n v="70"/>
    <n v="0.4320063059245902"/>
    <n v="39"/>
    <n v="0.4886727096619335"/>
    <n v="0.8666666666666667"/>
    <n v="34"/>
    <n v="0.645443821537024"/>
    <n v="0.7555555555555555"/>
    <n v="86"/>
    <n v="0.3998917813932772"/>
    <n v="1.228571428571429"/>
    <n v="0"/>
    <n v="0.4797139979477599"/>
    <n v="0"/>
    <n v="120"/>
    <n v="189"/>
    <n v="120"/>
    <n v="100"/>
    <n v="100"/>
    <n v="0"/>
    <n v="6053727.232324375"/>
    <n v="4049230.5"/>
    <n v="2413446.072687458"/>
    <n v="0"/>
    <n v="54"/>
    <n v="1086050.732709356"/>
    <n v="5083539.29807217"/>
    <n v="75"/>
    <n v="98"/>
    <n v="111"/>
    <n v="143"/>
    <n v="143"/>
    <n v="0"/>
    <n v="4424651.13326034"/>
    <n v="2099601"/>
    <n v="2232437.617235899"/>
    <n v="0"/>
    <n v="54"/>
    <n v="1086050.732709356"/>
    <n v="4702273.850716759"/>
    <n v="60"/>
    <n v="185"/>
    <n v="70"/>
    <n v="0"/>
    <n v="0"/>
    <n v="3156316.016024441"/>
    <n v="3720729.362059832"/>
    <n v="1407843.542401017"/>
    <n v="0"/>
    <n v="54"/>
    <n v="1086050.732709356"/>
    <n v="3528823.529411765"/>
    <n v="45"/>
    <n v="141"/>
    <n v="39"/>
    <n v="15"/>
    <n v="0"/>
    <n v="3020854.5"/>
    <n v="784369.973623424"/>
    <n v="321367.5"/>
    <n v="0"/>
    <n v="54"/>
    <n v="1086050.732709356"/>
    <n v="1966058.823529412"/>
    <n v="45"/>
    <n v="88"/>
    <n v="45"/>
    <m/>
    <n v="0"/>
    <n v="0"/>
    <n v="1769860.453304136"/>
    <n v="964102.5"/>
    <n v="0"/>
    <n v="0"/>
    <n v="54"/>
    <n v="1086050.732709356"/>
    <n v="2268529.411764706"/>
    <n v="70"/>
    <n v="140"/>
    <n v="86"/>
    <m/>
    <n v="0"/>
    <n v="0"/>
    <n v="2815687.084802035"/>
    <n v="1842507"/>
    <n v="0"/>
    <n v="0"/>
    <n v="140"/>
    <n v="1086050.732709356"/>
    <n v="4335411.764705882"/>
    <n v="65"/>
    <n v="54"/>
    <n v="65"/>
    <n v="100"/>
    <n v="100"/>
    <n v="0"/>
    <n v="1086050.732709356"/>
    <n v="1392592.5"/>
    <n v="2071035"/>
    <n v="0"/>
    <n v="54"/>
    <n v="1086050.732709356"/>
    <n v="3276764.705882353"/>
    <n v="75"/>
    <n v="0"/>
    <n v="75"/>
    <n v="150"/>
    <n v="150"/>
    <n v="0"/>
    <n v="0"/>
    <n v="1606837.5"/>
    <n v="3213675"/>
    <n v="0"/>
    <n v="150"/>
    <n v="0"/>
    <n v="3780882.352941177"/>
    <n v="70"/>
    <n v="0"/>
    <n v="70"/>
    <n v="0"/>
    <n v="0"/>
    <n v="150"/>
    <n v="0"/>
    <n v="1499715"/>
    <n v="0"/>
    <n v="3213675"/>
    <n v="150"/>
    <n v="3213675"/>
    <n v="3528823.529411765"/>
    <n v="90"/>
    <n v="80"/>
    <n v="80"/>
    <n v="100"/>
    <n v="100"/>
    <n v="100"/>
    <n v="0"/>
    <n v="1713960"/>
    <n v="1713960"/>
    <n v="2142450"/>
    <n v="2142450"/>
    <n v="180"/>
    <n v="3856410"/>
    <n v="3360672.268907563"/>
    <n v="80"/>
    <n v="100"/>
    <n v="80"/>
    <m/>
    <n v="0"/>
    <n v="2142450"/>
    <n v="1713960"/>
    <n v="0"/>
    <n v="0"/>
    <n v="100"/>
    <n v="2142450"/>
    <n v="3528705.882352942"/>
    <n v="100"/>
    <n v="20"/>
    <n v="100"/>
    <n v="0"/>
    <n v="0"/>
    <n v="428490"/>
    <n v="2142450"/>
    <n v="0"/>
    <n v="20"/>
    <n v="428490"/>
    <n v="5041176.470588236"/>
    <n v="48"/>
    <n v="0"/>
    <n v="48"/>
    <n v="0"/>
    <m/>
    <n v="0"/>
    <n v="965378.4290749833"/>
    <n v="0"/>
    <n v="0"/>
    <n v="0"/>
    <n v="2419764.705882353"/>
  </r>
  <r>
    <m/>
    <x v="3"/>
    <x v="24"/>
    <x v="65"/>
    <s v="XRBARRUN"/>
    <x v="585"/>
    <x v="423"/>
    <x v="0"/>
    <x v="2"/>
    <n v="1"/>
    <x v="12"/>
    <n v="0"/>
    <m/>
    <n v="0"/>
    <n v="18709.35"/>
    <n v="0"/>
    <n v="18.7"/>
    <n v="18709.35"/>
    <n v="47166.42857142857"/>
    <n v="40091.46428571428"/>
    <s v="Shenzhen"/>
    <s v="30/71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1870935"/>
    <n v="0"/>
    <n v="0"/>
    <n v="0"/>
    <n v="0"/>
    <n v="10"/>
    <n v="0"/>
    <n v="10"/>
    <n v="0"/>
    <n v="100"/>
    <n v="100"/>
    <n v="0"/>
    <n v="193545"/>
    <n v="0"/>
    <n v="1935450"/>
    <n v="100"/>
    <n v="1935450"/>
    <n v="471664.2857142857"/>
    <n v="20"/>
    <n v="90"/>
    <n v="20"/>
    <n v="0"/>
    <n v="0"/>
    <n v="100"/>
    <n v="1741905"/>
    <n v="387090"/>
    <n v="0"/>
    <n v="1935450"/>
    <n v="190"/>
    <n v="3677355"/>
    <n v="943328.5714285715"/>
    <n v="35"/>
    <n v="170"/>
    <n v="35"/>
    <n v="0"/>
    <n v="0"/>
    <n v="0"/>
    <m/>
    <n v="3290265"/>
    <n v="677407.5"/>
    <n v="0"/>
    <n v="0"/>
    <n v="170"/>
    <n v="3290265"/>
    <n v="1403201.25"/>
    <n v="30"/>
    <n v="135"/>
    <n v="30"/>
    <m/>
    <n v="0"/>
    <n v="2612857.5"/>
    <n v="580635"/>
    <n v="0"/>
    <n v="0"/>
    <n v="135"/>
    <n v="2612857.5"/>
    <n v="1262881.125"/>
    <n v="45"/>
    <n v="105"/>
    <n v="45"/>
    <n v="0"/>
    <n v="0"/>
    <n v="2032222.5"/>
    <n v="870952.5"/>
    <n v="0"/>
    <n v="105"/>
    <n v="2032222.5"/>
    <n v="2122489.285714286"/>
    <n v="18"/>
    <n v="60"/>
    <n v="18"/>
    <n v="0"/>
    <m/>
    <n v="1161270"/>
    <n v="336768.3"/>
    <n v="0"/>
    <n v="60"/>
    <n v="1161270"/>
    <n v="848995.7142857143"/>
  </r>
  <r>
    <m/>
    <x v="3"/>
    <x v="24"/>
    <x v="65"/>
    <s v="XRBARRUN"/>
    <x v="586"/>
    <x v="424"/>
    <x v="0"/>
    <x v="2"/>
    <n v="1"/>
    <x v="12"/>
    <n v="0"/>
    <m/>
    <n v="0"/>
    <n v="19459.725"/>
    <n v="0"/>
    <n v="19.45"/>
    <n v="19459.725"/>
    <n v="49058.13025210084"/>
    <n v="41699.41071428571"/>
    <s v="Shenzhen"/>
    <s v="30/72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1945972.5"/>
    <n v="0"/>
    <n v="0"/>
    <n v="0"/>
    <n v="0"/>
    <n v="10"/>
    <n v="0"/>
    <n v="10"/>
    <n v="0"/>
    <n v="100"/>
    <n v="100"/>
    <n v="0"/>
    <n v="201307.5"/>
    <n v="0"/>
    <n v="2013075"/>
    <n v="100"/>
    <n v="2013075"/>
    <n v="490581.3025210084"/>
    <n v="20"/>
    <n v="90"/>
    <n v="20"/>
    <n v="0"/>
    <n v="0"/>
    <n v="100"/>
    <n v="1811767.5"/>
    <n v="402615"/>
    <n v="0"/>
    <n v="2013075"/>
    <n v="190"/>
    <n v="3824842.5"/>
    <n v="981162.6050420168"/>
    <n v="35"/>
    <n v="170"/>
    <n v="35"/>
    <n v="0"/>
    <n v="0"/>
    <n v="0"/>
    <m/>
    <n v="3422227.5"/>
    <n v="704576.25"/>
    <n v="0"/>
    <n v="0"/>
    <n v="170"/>
    <n v="3422227.5"/>
    <n v="1459479.375"/>
    <n v="30"/>
    <n v="135"/>
    <n v="30"/>
    <m/>
    <n v="0"/>
    <n v="2717651.25"/>
    <n v="603922.5"/>
    <n v="0"/>
    <n v="0"/>
    <n v="135"/>
    <n v="2717651.25"/>
    <n v="1313531.4375"/>
    <n v="45"/>
    <n v="105"/>
    <n v="45"/>
    <n v="0"/>
    <n v="0"/>
    <n v="2113728.75"/>
    <n v="905883.75"/>
    <n v="0"/>
    <n v="105"/>
    <n v="2113728.75"/>
    <n v="2207615.861344538"/>
    <n v="18"/>
    <n v="60"/>
    <n v="18"/>
    <n v="0"/>
    <m/>
    <n v="1207845"/>
    <n v="350275.05"/>
    <n v="0"/>
    <n v="60"/>
    <n v="1207845"/>
    <n v="883046.3445378151"/>
  </r>
  <r>
    <m/>
    <x v="3"/>
    <x v="24"/>
    <x v="65"/>
    <s v="XRBARRUN"/>
    <x v="587"/>
    <x v="425"/>
    <x v="0"/>
    <x v="2"/>
    <n v="1"/>
    <x v="12"/>
    <n v="0"/>
    <m/>
    <n v="0"/>
    <n v="20110.05"/>
    <n v="0"/>
    <n v="20.1"/>
    <n v="20110.05"/>
    <n v="50697.6050420168"/>
    <n v="43092.96428571428"/>
    <s v="Shenzhen"/>
    <s v="30/73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2011005"/>
    <n v="0"/>
    <n v="0"/>
    <n v="0"/>
    <n v="0"/>
    <n v="10"/>
    <n v="0"/>
    <n v="10"/>
    <n v="0"/>
    <n v="100"/>
    <n v="100"/>
    <n v="0"/>
    <n v="208035"/>
    <n v="0"/>
    <n v="2080350"/>
    <n v="100"/>
    <n v="2080350"/>
    <n v="506976.050420168"/>
    <n v="20"/>
    <n v="90"/>
    <n v="20"/>
    <n v="0"/>
    <n v="0"/>
    <n v="100"/>
    <n v="1872315"/>
    <n v="416070"/>
    <n v="0"/>
    <n v="2080350"/>
    <n v="190"/>
    <n v="3952665"/>
    <n v="1013952.100840336"/>
    <n v="35"/>
    <n v="170"/>
    <n v="35"/>
    <n v="0"/>
    <n v="0"/>
    <n v="0"/>
    <m/>
    <n v="3536595"/>
    <n v="728122.5"/>
    <n v="0"/>
    <n v="0"/>
    <n v="170"/>
    <n v="3536595"/>
    <n v="1508253.75"/>
    <n v="30"/>
    <n v="135"/>
    <n v="30"/>
    <m/>
    <n v="0"/>
    <n v="2808472.5"/>
    <n v="624105"/>
    <n v="0"/>
    <n v="0"/>
    <n v="135"/>
    <n v="2808472.5"/>
    <n v="1357428.375"/>
    <n v="45"/>
    <n v="105"/>
    <n v="45"/>
    <n v="0"/>
    <n v="0"/>
    <n v="2184367.5"/>
    <n v="936157.5"/>
    <n v="0"/>
    <n v="105"/>
    <n v="2184367.5"/>
    <n v="2281392.226890756"/>
    <n v="18"/>
    <n v="60"/>
    <n v="18"/>
    <n v="0"/>
    <m/>
    <n v="1248210"/>
    <n v="361980.9"/>
    <n v="0"/>
    <n v="60"/>
    <n v="1248210"/>
    <n v="912556.8907563025"/>
  </r>
  <r>
    <s v="Xroad-Accesorios de Instalacion"/>
    <x v="3"/>
    <x v="24"/>
    <x v="65"/>
    <n v="1650302273911"/>
    <x v="588"/>
    <x v="426"/>
    <x v="0"/>
    <x v="4"/>
    <n v="0.75"/>
    <x v="365"/>
    <n v="59"/>
    <m/>
    <n v="0"/>
    <n v="39532.10308184927"/>
    <n v="2332394.081829107"/>
    <n v="36.5"/>
    <n v="39876.25"/>
    <n v="75621.84873949581"/>
    <n v="71420.1680672269"/>
    <s v="Shenzhen"/>
    <s v="30/70"/>
    <n v="30"/>
    <n v="20"/>
    <n v="67"/>
    <n v="0.4703708414033077"/>
    <n v="29"/>
    <n v="0.4835990928374311"/>
    <n v="2"/>
    <n v="0.4433990498224863"/>
    <n v="4"/>
    <n v="0.5293592249331894"/>
    <n v="0"/>
    <n v="0.5352422493305564"/>
    <n v="5"/>
    <n v="0.468841183036534"/>
    <n v="2"/>
    <n v="0.5192132867132867"/>
    <n v="4"/>
    <n v="0.5380416094800254"/>
    <n v="8"/>
    <n v="0.5449031004283483"/>
    <n v="11"/>
    <n v="0.4636773335311862"/>
    <n v="11"/>
    <n v="0.4924432511437863"/>
    <n v="28"/>
    <n v="0.4765712427860154"/>
    <n v="67"/>
    <n v="0.3675324528599697"/>
    <n v="23"/>
    <n v="0.3460229249968597"/>
    <n v="3"/>
    <n v="0.3154628760894732"/>
    <n v="0"/>
    <s v=""/>
    <n v="0"/>
    <n v="1"/>
    <n v="0.2849792531120332"/>
    <n v="0.1"/>
    <n v="5"/>
    <n v="0.253304363626127"/>
    <n v="0.3333333333333333"/>
    <n v="0"/>
    <n v="0.3528707936993664"/>
    <n v="0"/>
    <n v="50"/>
    <n v="166"/>
    <n v="50"/>
    <n v="50"/>
    <n v="50"/>
    <n v="0"/>
    <n v="3459059.019661812"/>
    <n v="6271065"/>
    <n v="1976605.154092464"/>
    <n v="0"/>
    <n v="59"/>
    <n v="2332394.081829107"/>
    <n v="3177388.602499824"/>
    <n v="10"/>
    <n v="81"/>
    <n v="34.5"/>
    <n v="0"/>
    <n v="0"/>
    <n v="0"/>
    <n v="1482453.865569348"/>
    <n v="3059977.5"/>
    <n v="1363857.5563238"/>
    <n v="0"/>
    <n v="59"/>
    <n v="2332394.081829107"/>
    <n v="2192398.135724878"/>
    <n v="20"/>
    <n v="71"/>
    <n v="3"/>
    <n v="0"/>
    <n v="0"/>
    <n v="401927.5592455478"/>
    <n v="2806779.318811298"/>
    <n v="118596.3092455478"/>
    <n v="0"/>
    <n v="59"/>
    <n v="2332394.081829107"/>
    <n v="226865.5462184874"/>
    <n v="4"/>
    <n v="71"/>
    <n v="0"/>
    <n v="0"/>
    <n v="0"/>
    <n v="2682202.5"/>
    <n v="0"/>
    <n v="0"/>
    <n v="0"/>
    <n v="59"/>
    <n v="2332394.081829107"/>
    <n v="0"/>
    <n v="10"/>
    <n v="60"/>
    <n v="7.5"/>
    <m/>
    <n v="0"/>
    <n v="0"/>
    <n v="2371926.184910956"/>
    <n v="283331.25"/>
    <n v="0"/>
    <n v="0"/>
    <n v="59"/>
    <n v="2332394.081829107"/>
    <n v="567163.8655462186"/>
    <n v="15"/>
    <n v="64"/>
    <n v="5"/>
    <m/>
    <n v="0"/>
    <n v="0"/>
    <n v="2530054.597238353"/>
    <n v="188887.5"/>
    <n v="0"/>
    <n v="0"/>
    <n v="64"/>
    <n v="2332394.081829107"/>
    <n v="378109.243697479"/>
    <n v="10"/>
    <n v="59"/>
    <n v="7.5"/>
    <n v="100"/>
    <n v="100"/>
    <n v="0"/>
    <n v="2332394.081829107"/>
    <n v="283331.25"/>
    <n v="3651825"/>
    <n v="0"/>
    <n v="59"/>
    <n v="2332394.081829107"/>
    <n v="567163.8655462186"/>
    <n v="10"/>
    <n v="51.5"/>
    <n v="7.5"/>
    <n v="0"/>
    <n v="0"/>
    <n v="0"/>
    <n v="2035903.308715238"/>
    <n v="283331.25"/>
    <n v="0"/>
    <n v="0"/>
    <n v="51.5"/>
    <n v="2035903.308715238"/>
    <n v="567163.8655462186"/>
    <n v="15"/>
    <n v="44"/>
    <n v="11.25"/>
    <n v="0"/>
    <n v="0"/>
    <m/>
    <n v="1662210"/>
    <n v="424996.875"/>
    <n v="0"/>
    <n v="0"/>
    <n v="44"/>
    <n v="1662210"/>
    <n v="850745.7983193279"/>
    <n v="30"/>
    <n v="32.75"/>
    <n v="22.5"/>
    <n v="0"/>
    <n v="0"/>
    <n v="0"/>
    <m/>
    <n v="1237213.125"/>
    <n v="849993.75"/>
    <n v="0"/>
    <n v="0"/>
    <n v="32.75"/>
    <n v="1237213.125"/>
    <n v="1606953.781512605"/>
    <n v="25"/>
    <n v="10.25"/>
    <n v="18.75"/>
    <m/>
    <n v="0"/>
    <n v="387219.375"/>
    <n v="708328.125"/>
    <n v="0"/>
    <n v="0"/>
    <n v="10.25"/>
    <n v="387219.375"/>
    <n v="1406084.55882353"/>
    <n v="40"/>
    <n v="0"/>
    <n v="30"/>
    <n v="0"/>
    <n v="0"/>
    <n v="0"/>
    <n v="1133325"/>
    <n v="0"/>
    <n v="0"/>
    <n v="0"/>
    <n v="2268655.462184874"/>
    <n v="15"/>
    <n v="0"/>
    <n v="11.25"/>
    <n v="0"/>
    <m/>
    <n v="0"/>
    <n v="444736.1596708043"/>
    <n v="0"/>
    <n v="0"/>
    <n v="0"/>
    <n v="850745.7983193279"/>
  </r>
  <r>
    <m/>
    <x v="3"/>
    <x v="24"/>
    <x v="65"/>
    <s v="XRPARREQ-BK"/>
    <x v="589"/>
    <x v="427"/>
    <x v="0"/>
    <x v="4"/>
    <n v="0.75"/>
    <x v="366"/>
    <n v="138"/>
    <m/>
    <n v="0"/>
    <n v="38774"/>
    <n v="5350812"/>
    <n v="36.5"/>
    <n v="39876.25"/>
    <n v="73385.70378151261"/>
    <n v="67218.48739495799"/>
    <s v="Shenzhen"/>
    <s v="30/70"/>
    <n v="30"/>
    <n v="20"/>
    <m/>
    <m/>
    <m/>
    <m/>
    <m/>
    <m/>
    <m/>
    <m/>
    <m/>
    <m/>
    <m/>
    <m/>
    <m/>
    <m/>
    <m/>
    <m/>
    <m/>
    <m/>
    <n v="0"/>
    <n v="0"/>
    <n v="0"/>
    <n v="0"/>
    <n v="0"/>
    <n v="0"/>
    <n v="0"/>
    <s v=""/>
    <n v="3"/>
    <s v=""/>
    <n v="5"/>
    <s v=""/>
    <n v="4"/>
    <s v=""/>
    <n v="0.6666666666666666"/>
    <n v="2"/>
    <s v=""/>
    <n v="0.1333333333333333"/>
    <n v="5"/>
    <s v=""/>
    <n v="0.3333333333333333"/>
    <n v="9"/>
    <s v=""/>
    <n v="1.125"/>
    <m/>
    <m/>
    <m/>
    <m/>
    <m/>
    <m/>
    <m/>
    <m/>
    <m/>
    <m/>
    <m/>
    <m/>
    <m/>
    <n v="10"/>
    <n v="141"/>
    <n v="4.5"/>
    <n v="0"/>
    <n v="0"/>
    <n v="0"/>
    <n v="523449"/>
    <n v="5326627.5"/>
    <n v="174483"/>
    <n v="0"/>
    <n v="138"/>
    <n v="5350812"/>
    <n v="277508.9638796696"/>
    <n v="10"/>
    <n v="63"/>
    <n v="5"/>
    <n v="0"/>
    <n v="0"/>
    <n v="773962.875"/>
    <n v="2442762"/>
    <n v="193870"/>
    <n v="0"/>
    <n v="138"/>
    <n v="5350812"/>
    <n v="366928.5189075631"/>
    <n v="6"/>
    <n v="58"/>
    <n v="4"/>
    <n v="0"/>
    <n v="0"/>
    <n v="2191095"/>
    <n v="155096"/>
    <n v="0"/>
    <n v="0"/>
    <n v="138"/>
    <n v="5350812"/>
    <n v="293542.8151260504"/>
    <n v="15"/>
    <n v="140"/>
    <n v="11.25"/>
    <m/>
    <n v="0"/>
    <n v="0"/>
    <n v="5428360"/>
    <n v="424996.875"/>
    <n v="0"/>
    <n v="0"/>
    <n v="138"/>
    <n v="5350812"/>
    <n v="825589.1675420168"/>
    <n v="15"/>
    <n v="143"/>
    <n v="5"/>
    <m/>
    <n v="0"/>
    <n v="0"/>
    <n v="5544682"/>
    <n v="188887.5"/>
    <n v="0"/>
    <n v="0"/>
    <n v="143"/>
    <n v="5350812"/>
    <n v="366928.5189075631"/>
    <n v="8"/>
    <n v="147"/>
    <n v="6"/>
    <n v="0"/>
    <n v="0"/>
    <n v="0"/>
    <n v="5699778"/>
    <n v="226665"/>
    <n v="0"/>
    <n v="0"/>
    <n v="147"/>
    <n v="5350812"/>
    <n v="440314.2226890756"/>
    <n v="8"/>
    <n v="141"/>
    <n v="6"/>
    <n v="50"/>
    <n v="50"/>
    <n v="0"/>
    <n v="5467134"/>
    <n v="226665"/>
    <n v="1888875"/>
    <n v="0"/>
    <n v="191"/>
    <n v="5467134"/>
    <n v="440314.2226890756"/>
    <n v="10"/>
    <n v="135"/>
    <n v="7.5"/>
    <n v="0"/>
    <n v="0"/>
    <n v="50"/>
    <n v="5099962.5"/>
    <n v="283331.25"/>
    <n v="0"/>
    <n v="1888875"/>
    <n v="185"/>
    <n v="6988837.5"/>
    <n v="550392.7783613446"/>
    <n v="20"/>
    <n v="177.5"/>
    <n v="15"/>
    <n v="0"/>
    <n v="0"/>
    <n v="0"/>
    <m/>
    <n v="6705506.25"/>
    <n v="566662.5"/>
    <n v="0"/>
    <n v="0"/>
    <n v="177.5"/>
    <n v="6705506.25"/>
    <n v="1008277.31092437"/>
    <n v="15"/>
    <n v="162.5"/>
    <n v="11.25"/>
    <m/>
    <n v="0"/>
    <n v="6138843.75"/>
    <n v="424996.875"/>
    <n v="0"/>
    <n v="0"/>
    <n v="162.5"/>
    <n v="6138843.75"/>
    <n v="794018.3823529413"/>
    <n v="25"/>
    <n v="151.25"/>
    <n v="18.75"/>
    <n v="0"/>
    <n v="0"/>
    <n v="5713846.875"/>
    <n v="708328.125"/>
    <n v="0"/>
    <n v="151.25"/>
    <n v="5713846.875"/>
    <n v="1375981.945903362"/>
    <n v="9"/>
    <n v="132.5"/>
    <n v="6.75"/>
    <n v="0"/>
    <m/>
    <n v="5005518.75"/>
    <n v="261724.5"/>
    <n v="0"/>
    <n v="132.5"/>
    <n v="5005518.75"/>
    <n v="495353.5005252101"/>
  </r>
  <r>
    <s v="Xroad-Accesorios de Instalacion"/>
    <x v="3"/>
    <x v="24"/>
    <x v="66"/>
    <n v="69746014453052"/>
    <x v="590"/>
    <x v="428"/>
    <x v="0"/>
    <x v="7"/>
    <n v="1"/>
    <x v="12"/>
    <n v="0"/>
    <m/>
    <n v="0"/>
    <n v="6893"/>
    <n v="0"/>
    <n v="5"/>
    <n v="5462.5"/>
    <n v="16798.31932773109"/>
    <n v="16798.31932773109"/>
    <s v="Shenzhen"/>
    <s v="30/70"/>
    <n v="30"/>
    <n v="500"/>
    <n v="400"/>
    <n v="0.4973377276121546"/>
    <n v="0"/>
    <s v=""/>
    <n v="3"/>
    <n v="0.3063770118852721"/>
    <n v="208"/>
    <n v="0.437886041042142"/>
    <n v="135"/>
    <n v="0.4411385224377903"/>
    <n v="42"/>
    <n v="0.4025875905567981"/>
    <n v="166"/>
    <n v="0.4282564560717154"/>
    <n v="177"/>
    <n v="0.439282662400492"/>
    <n v="55"/>
    <n v="0.4459141483594701"/>
    <n v="506"/>
    <n v="0.4469711577274674"/>
    <n v="5"/>
    <n v="0.5073316658329164"/>
    <n v="0"/>
    <s v=""/>
    <n v="500"/>
    <n v="0.4817293233082707"/>
    <n v="0"/>
    <s v=""/>
    <n v="0"/>
    <s v=""/>
    <n v="1000"/>
    <n v="0.466180977443609"/>
    <n v="0"/>
    <n v="0"/>
    <s v=""/>
    <n v="0"/>
    <n v="0"/>
    <s v=""/>
    <n v="0"/>
    <n v="0"/>
    <n v="0.4713637593984962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6893000"/>
    <n v="0"/>
    <n v="0"/>
    <n v="0"/>
    <n v="0"/>
    <n v="0"/>
    <n v="0"/>
    <n v="0"/>
    <n v="0"/>
    <n v="0"/>
    <n v="0"/>
    <n v="0"/>
    <n v="6893000"/>
    <n v="0"/>
    <n v="0"/>
    <n v="0"/>
    <n v="0"/>
    <n v="0"/>
    <n v="0"/>
    <n v="0"/>
    <n v="1000"/>
    <n v="1000"/>
    <n v="0"/>
    <n v="0"/>
    <n v="5175000"/>
    <n v="6893000"/>
    <n v="0"/>
    <n v="0"/>
    <n v="0"/>
    <n v="0"/>
    <n v="16798319.32773109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3"/>
    <x v="24"/>
    <x v="65"/>
    <s v="XRBOLBL-430"/>
    <x v="591"/>
    <x v="429"/>
    <x v="0"/>
    <x v="2"/>
    <n v="1"/>
    <x v="12"/>
    <n v="0"/>
    <m/>
    <n v="0"/>
    <n v="30576"/>
    <n v="0"/>
    <n v="26.82105263157895"/>
    <n v="30576"/>
    <n v="77082.35294117649"/>
    <n v="65520.00000000001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0"/>
    <n v="0"/>
    <n v="0"/>
    <n v="100"/>
    <n v="100"/>
    <n v="100"/>
    <n v="0"/>
    <n v="0"/>
    <n v="0"/>
    <n v="2775978.947368422"/>
    <n v="2775978.947368422"/>
    <n v="100"/>
    <n v="2775978.947368422"/>
    <n v="0"/>
    <n v="30"/>
    <n v="100"/>
    <n v="30"/>
    <m/>
    <n v="0"/>
    <n v="2775978.947368422"/>
    <n v="832793.6842105264"/>
    <n v="0"/>
    <n v="0"/>
    <n v="100"/>
    <n v="2775978.947368422"/>
    <n v="2063880"/>
    <n v="50"/>
    <n v="70"/>
    <n v="50"/>
    <n v="0"/>
    <n v="0"/>
    <n v="1943185.263157895"/>
    <n v="1387989.473684211"/>
    <n v="0"/>
    <n v="70"/>
    <n v="1943185.263157895"/>
    <n v="3854117.647058825"/>
    <n v="18"/>
    <n v="20"/>
    <n v="18"/>
    <n v="0"/>
    <m/>
    <n v="555195.7894736843"/>
    <n v="550368.0000000001"/>
    <n v="0"/>
    <n v="20"/>
    <n v="555195.7894736843"/>
    <n v="1387482.352941177"/>
  </r>
  <r>
    <m/>
    <x v="3"/>
    <x v="24"/>
    <x v="65"/>
    <s v="XRBOLBL-410"/>
    <x v="592"/>
    <x v="430"/>
    <x v="0"/>
    <x v="2"/>
    <n v="1"/>
    <x v="12"/>
    <n v="0"/>
    <m/>
    <n v="0"/>
    <n v="28224"/>
    <n v="0"/>
    <n v="24.7578947368421"/>
    <n v="28224"/>
    <n v="71152.94117647059"/>
    <n v="60480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0"/>
    <n v="0"/>
    <n v="0"/>
    <n v="100"/>
    <n v="100"/>
    <n v="100"/>
    <n v="0"/>
    <n v="0"/>
    <n v="0"/>
    <n v="2562442.105263158"/>
    <n v="2562442.105263158"/>
    <n v="100"/>
    <n v="2562442.105263158"/>
    <n v="0"/>
    <n v="30"/>
    <n v="100"/>
    <n v="30"/>
    <m/>
    <n v="0"/>
    <n v="2562442.105263158"/>
    <n v="768732.6315789473"/>
    <n v="0"/>
    <n v="0"/>
    <n v="100"/>
    <n v="2562442.105263158"/>
    <n v="1905120"/>
    <n v="50"/>
    <n v="70"/>
    <n v="50"/>
    <n v="0"/>
    <n v="0"/>
    <n v="1793709.47368421"/>
    <n v="1281221.052631579"/>
    <n v="0"/>
    <n v="70"/>
    <n v="1793709.47368421"/>
    <n v="3557647.058823529"/>
    <n v="18"/>
    <n v="20"/>
    <n v="18"/>
    <n v="0"/>
    <m/>
    <n v="512488.4210526315"/>
    <n v="508032"/>
    <n v="0"/>
    <n v="20"/>
    <n v="512488.4210526315"/>
    <n v="1280752.941176471"/>
  </r>
  <r>
    <s v="Xroad-Accesorios de Automovil"/>
    <x v="3"/>
    <x v="25"/>
    <x v="67"/>
    <n v="1660859424566"/>
    <x v="593"/>
    <x v="431"/>
    <x v="0"/>
    <x v="4"/>
    <n v="1"/>
    <x v="367"/>
    <n v="92"/>
    <m/>
    <n v="0"/>
    <n v="4922.582643801357"/>
    <n v="452877.6032297249"/>
    <n v="4.6"/>
    <n v="5025.5"/>
    <n v="16798.31932773109"/>
    <n v="15957.98319327731"/>
    <s v="Shenzhen"/>
    <s v="30/70"/>
    <n v="30"/>
    <n v="50"/>
    <n v="73"/>
    <n v="0.7060935127262874"/>
    <n v="105"/>
    <n v="0.6918436499213516"/>
    <n v="128"/>
    <n v="0.7059143231137999"/>
    <n v="87"/>
    <n v="0.7058247189716886"/>
    <n v="89"/>
    <n v="0.7323109796353429"/>
    <n v="315"/>
    <n v="0.6961104089701383"/>
    <n v="53"/>
    <n v="0.7233520966187303"/>
    <n v="45"/>
    <n v="0.7172913996252385"/>
    <n v="41"/>
    <n v="0.7123889397812037"/>
    <n v="257"/>
    <n v="0.6753021000729068"/>
    <n v="290"/>
    <n v="0.6906688260438979"/>
    <n v="11"/>
    <n v="0.6900200982173827"/>
    <n v="29"/>
    <n v="0.4464346920366481"/>
    <n v="127"/>
    <n v="0.4509123665283804"/>
    <n v="205"/>
    <n v="0.423328309611386"/>
    <n v="281"/>
    <n v="0.3768685941747415"/>
    <n v="1.405"/>
    <n v="250"/>
    <n v="0.7092869642588142"/>
    <n v="1"/>
    <n v="12"/>
    <n v="0.315799054725885"/>
    <n v="0.04"/>
    <n v="0"/>
    <n v="0.4922460991450558"/>
    <n v="0"/>
    <n v="150"/>
    <n v="29"/>
    <n v="150"/>
    <n v="200"/>
    <n v="200"/>
    <n v="0"/>
    <n v="2685268.832193641"/>
    <n v="138069"/>
    <n v="738387.3965702036"/>
    <n v="0"/>
    <n v="92"/>
    <n v="452877.6032297249"/>
    <n v="2117435.209377869"/>
    <n v="150"/>
    <n v="201"/>
    <n v="190.5"/>
    <n v="165"/>
    <n v="165"/>
    <n v="0"/>
    <n v="3330127.158531618"/>
    <n v="956961"/>
    <n v="937751.9936441586"/>
    <n v="0"/>
    <n v="92"/>
    <n v="452877.6032297249"/>
    <n v="2689142.715909894"/>
    <n v="150"/>
    <n v="172"/>
    <n v="205"/>
    <n v="0"/>
    <n v="0"/>
    <n v="3582625.164887459"/>
    <n v="846684.2147338334"/>
    <n v="1009129.441979278"/>
    <n v="0"/>
    <n v="92"/>
    <n v="452877.6032297249"/>
    <n v="3443655.462184874"/>
    <n v="200"/>
    <n v="498"/>
    <n v="281"/>
    <n v="500"/>
    <n v="0"/>
    <n v="2370978"/>
    <n v="1383245.722908181"/>
    <n v="2380500"/>
    <n v="0"/>
    <n v="92"/>
    <n v="452877.6032297249"/>
    <n v="4720327.731092437"/>
    <n v="250"/>
    <n v="342"/>
    <n v="250"/>
    <m/>
    <n v="0"/>
    <n v="0"/>
    <n v="1683523.264180064"/>
    <n v="1190250"/>
    <n v="0"/>
    <n v="0"/>
    <n v="92"/>
    <n v="452877.6032297249"/>
    <n v="4199579.831932773"/>
    <n v="300"/>
    <n v="104"/>
    <n v="12"/>
    <m/>
    <n v="0"/>
    <n v="0"/>
    <n v="511948.5949553412"/>
    <n v="57132"/>
    <n v="0"/>
    <n v="0"/>
    <n v="104"/>
    <n v="452877.6032297249"/>
    <n v="201579.8319327731"/>
    <n v="300"/>
    <n v="92"/>
    <n v="300"/>
    <n v="300"/>
    <n v="300"/>
    <n v="0"/>
    <n v="452877.6032297249"/>
    <n v="1428300"/>
    <n v="1380690"/>
    <n v="0"/>
    <n v="92"/>
    <n v="452877.6032297249"/>
    <n v="5039495.798319328"/>
    <n v="300"/>
    <n v="0"/>
    <n v="300"/>
    <n v="200"/>
    <n v="200"/>
    <n v="0"/>
    <n v="0"/>
    <n v="1428300"/>
    <n v="952200"/>
    <n v="0"/>
    <n v="200"/>
    <n v="0"/>
    <n v="5039495.798319328"/>
    <n v="300"/>
    <n v="0"/>
    <n v="300"/>
    <n v="450"/>
    <n v="450"/>
    <n v="0"/>
    <n v="0"/>
    <n v="1428300"/>
    <n v="2142450"/>
    <n v="0"/>
    <n v="0"/>
    <n v="0"/>
    <n v="5039495.798319328"/>
    <n v="300"/>
    <n v="450"/>
    <n v="300"/>
    <n v="0"/>
    <n v="0"/>
    <n v="0"/>
    <n v="450"/>
    <n v="2142450"/>
    <n v="1428300"/>
    <n v="0"/>
    <n v="2142450"/>
    <n v="450"/>
    <n v="4284900"/>
    <n v="4787394.957983194"/>
    <n v="300"/>
    <n v="150"/>
    <n v="300"/>
    <n v="300"/>
    <n v="300"/>
    <n v="714150"/>
    <n v="1428300"/>
    <n v="1428300"/>
    <n v="1428300"/>
    <n v="450"/>
    <n v="2142450"/>
    <n v="5026764.705882354"/>
    <n v="300"/>
    <n v="150"/>
    <n v="300"/>
    <n v="300"/>
    <n v="300"/>
    <n v="714150"/>
    <n v="1428300"/>
    <n v="1428300"/>
    <n v="450"/>
    <n v="2142450"/>
    <n v="5039495.798319328"/>
    <n v="180"/>
    <n v="150"/>
    <n v="180"/>
    <n v="0"/>
    <m/>
    <n v="714150"/>
    <n v="886064.8758842443"/>
    <n v="0"/>
    <n v="150"/>
    <n v="714150"/>
    <n v="3023697.478991597"/>
  </r>
  <r>
    <m/>
    <x v="3"/>
    <x v="25"/>
    <x v="67"/>
    <s v="XRCOBSUV-BS"/>
    <x v="594"/>
    <x v="432"/>
    <x v="0"/>
    <x v="2"/>
    <n v="1"/>
    <x v="12"/>
    <n v="120"/>
    <m/>
    <n v="0"/>
    <n v="5025.5"/>
    <n v="603060"/>
    <n v="4.6"/>
    <n v="5025.5"/>
    <n v="12669.32773109244"/>
    <n v="10768.92857142857"/>
    <s v="Shenzhen"/>
    <s v="30/70"/>
    <n v="30"/>
    <n v="5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16"/>
    <s v=""/>
    <n v="1.6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"/>
    <n v="603060"/>
    <n v="0"/>
    <n v="0"/>
    <n v="0"/>
    <n v="0"/>
    <n v="0"/>
    <n v="0"/>
    <n v="0"/>
    <n v="0"/>
    <n v="0"/>
    <n v="0"/>
    <n v="120"/>
    <n v="603060"/>
    <n v="0"/>
    <n v="0"/>
    <n v="0"/>
    <n v="0"/>
    <n v="0"/>
    <n v="0"/>
    <n v="0"/>
    <n v="0"/>
    <n v="0"/>
    <n v="0"/>
    <n v="120"/>
    <n v="603060"/>
    <n v="0"/>
    <n v="0"/>
    <n v="120"/>
    <n v="0"/>
    <m/>
    <n v="0"/>
    <n v="0"/>
    <n v="603060"/>
    <n v="0"/>
    <n v="0"/>
    <n v="0"/>
    <n v="120"/>
    <n v="603060"/>
    <n v="0"/>
    <n v="0"/>
    <n v="120"/>
    <n v="0"/>
    <m/>
    <n v="0"/>
    <n v="0"/>
    <n v="603060"/>
    <n v="0"/>
    <n v="0"/>
    <n v="0"/>
    <n v="120"/>
    <n v="603060"/>
    <n v="0"/>
    <n v="10"/>
    <n v="136"/>
    <n v="10"/>
    <n v="150"/>
    <n v="150"/>
    <n v="0"/>
    <n v="683468"/>
    <n v="47610"/>
    <n v="690344.9999999999"/>
    <n v="0"/>
    <n v="136"/>
    <n v="603060"/>
    <n v="126693.2773109244"/>
    <n v="40"/>
    <n v="126"/>
    <n v="40"/>
    <n v="0"/>
    <n v="0"/>
    <n v="0"/>
    <n v="633213"/>
    <n v="190440"/>
    <n v="0"/>
    <n v="0"/>
    <n v="126"/>
    <n v="633213"/>
    <n v="506773.1092436975"/>
    <n v="60"/>
    <n v="86"/>
    <n v="60"/>
    <n v="150"/>
    <n v="150"/>
    <n v="0"/>
    <n v="409446"/>
    <n v="285660"/>
    <n v="714150"/>
    <n v="0"/>
    <n v="86"/>
    <n v="409446"/>
    <n v="760159.6638655462"/>
    <n v="100"/>
    <n v="176"/>
    <n v="100"/>
    <n v="0"/>
    <n v="0"/>
    <n v="0"/>
    <n v="150"/>
    <n v="837936"/>
    <n v="476100"/>
    <n v="0"/>
    <n v="714150"/>
    <n v="176"/>
    <n v="1552086"/>
    <n v="1076892.857142857"/>
    <n v="80"/>
    <n v="76"/>
    <n v="80"/>
    <m/>
    <n v="0"/>
    <n v="361836"/>
    <n v="380880"/>
    <n v="0"/>
    <n v="0"/>
    <n v="76"/>
    <n v="361836"/>
    <n v="904590"/>
    <n v="90"/>
    <n v="0"/>
    <n v="90"/>
    <n v="0"/>
    <n v="0"/>
    <n v="0"/>
    <n v="428490"/>
    <n v="0"/>
    <n v="0"/>
    <n v="0"/>
    <n v="1140239.495798319"/>
    <n v="48"/>
    <n v="0"/>
    <n v="48"/>
    <n v="0"/>
    <m/>
    <n v="0"/>
    <n v="241224"/>
    <n v="0"/>
    <n v="0"/>
    <n v="0"/>
    <n v="608127.7310924369"/>
  </r>
  <r>
    <m/>
    <x v="3"/>
    <x v="25"/>
    <x v="67"/>
    <s v="XRCOBMOT-BS"/>
    <x v="595"/>
    <x v="433"/>
    <x v="0"/>
    <x v="2"/>
    <n v="1"/>
    <x v="12"/>
    <n v="144"/>
    <m/>
    <n v="0"/>
    <n v="5025.5"/>
    <n v="723672"/>
    <n v="4.6"/>
    <n v="5025.5"/>
    <n v="12669.32773109244"/>
    <n v="10768.92857142857"/>
    <s v="Shenzhen"/>
    <s v="30/70"/>
    <n v="30"/>
    <n v="5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5"/>
    <s v="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44"/>
    <n v="723672"/>
    <n v="0"/>
    <n v="0"/>
    <n v="0"/>
    <n v="0"/>
    <n v="0"/>
    <n v="0"/>
    <n v="0"/>
    <n v="0"/>
    <n v="0"/>
    <n v="0"/>
    <n v="144"/>
    <n v="723672"/>
    <n v="0"/>
    <n v="0"/>
    <n v="0"/>
    <n v="0"/>
    <n v="0"/>
    <n v="0"/>
    <n v="0"/>
    <n v="0"/>
    <n v="0"/>
    <n v="0"/>
    <n v="144"/>
    <n v="723672"/>
    <n v="0"/>
    <n v="0"/>
    <n v="144"/>
    <n v="0"/>
    <m/>
    <n v="0"/>
    <n v="0"/>
    <n v="723672"/>
    <n v="0"/>
    <n v="0"/>
    <n v="0"/>
    <n v="144"/>
    <n v="723672"/>
    <n v="0"/>
    <n v="0"/>
    <n v="144"/>
    <n v="0"/>
    <m/>
    <n v="0"/>
    <n v="0"/>
    <n v="723672"/>
    <n v="0"/>
    <n v="0"/>
    <n v="0"/>
    <n v="144"/>
    <n v="723672"/>
    <n v="0"/>
    <n v="0"/>
    <n v="149"/>
    <n v="0"/>
    <n v="150"/>
    <n v="150"/>
    <n v="0"/>
    <n v="748799.5"/>
    <n v="0"/>
    <n v="690344.9999999999"/>
    <n v="0"/>
    <n v="149"/>
    <n v="723672"/>
    <n v="0"/>
    <n v="40"/>
    <n v="149"/>
    <n v="40"/>
    <n v="0"/>
    <n v="0"/>
    <n v="0"/>
    <n v="748799.5"/>
    <n v="190440"/>
    <n v="0"/>
    <n v="0"/>
    <n v="149"/>
    <n v="748799.5"/>
    <n v="506773.1092436975"/>
    <n v="60"/>
    <n v="109"/>
    <n v="60"/>
    <n v="120"/>
    <n v="120"/>
    <n v="0"/>
    <n v="518949"/>
    <n v="285660"/>
    <n v="571320"/>
    <n v="0"/>
    <n v="109"/>
    <n v="518949"/>
    <n v="760159.6638655462"/>
    <n v="80"/>
    <n v="169"/>
    <n v="80"/>
    <n v="0"/>
    <n v="0"/>
    <n v="0"/>
    <n v="120"/>
    <n v="804609"/>
    <n v="380880"/>
    <n v="0"/>
    <n v="571320"/>
    <n v="169"/>
    <n v="1375929"/>
    <n v="861514.2857142857"/>
    <n v="60"/>
    <n v="89"/>
    <n v="60"/>
    <n v="100"/>
    <n v="100"/>
    <n v="423729"/>
    <n v="285660"/>
    <n v="476100"/>
    <n v="476100"/>
    <n v="189"/>
    <n v="899829"/>
    <n v="678442.4999999999"/>
    <n v="70"/>
    <n v="129"/>
    <n v="70"/>
    <n v="0"/>
    <n v="0"/>
    <n v="614169"/>
    <n v="333270"/>
    <n v="0"/>
    <n v="129"/>
    <n v="614169"/>
    <n v="886852.9411764706"/>
    <n v="36"/>
    <n v="59"/>
    <n v="36"/>
    <n v="0"/>
    <m/>
    <n v="280899"/>
    <n v="180918"/>
    <n v="0"/>
    <n v="59"/>
    <n v="280899"/>
    <n v="456095.7983193277"/>
  </r>
  <r>
    <s v="Xroad-Accesorios de Automovil"/>
    <x v="3"/>
    <x v="25"/>
    <x v="67"/>
    <n v="1656603353038"/>
    <x v="596"/>
    <x v="434"/>
    <x v="0"/>
    <x v="0"/>
    <n v="1"/>
    <x v="368"/>
    <n v="0"/>
    <m/>
    <n v="0"/>
    <n v="9118.109123585942"/>
    <n v="0"/>
    <n v="8.800000000000001"/>
    <n v="9614"/>
    <n v="18478.99159663866"/>
    <n v="16798.31932773109"/>
    <s v="Shenzhen"/>
    <s v="30/70"/>
    <n v="30"/>
    <n v="200"/>
    <n v="43"/>
    <n v="0.5455896175760754"/>
    <n v="35"/>
    <n v="0.5613793294961564"/>
    <n v="31"/>
    <n v="0.545263103964974"/>
    <n v="35"/>
    <n v="0.5505583295578989"/>
    <n v="23"/>
    <n v="0.5284134261887491"/>
    <n v="67"/>
    <n v="0.5112633408393769"/>
    <n v="21"/>
    <n v="0.560924119308756"/>
    <n v="24"/>
    <n v="0.5216269415112617"/>
    <n v="24"/>
    <n v="0.5445366870082914"/>
    <n v="51"/>
    <n v="0.4311843867737427"/>
    <n v="22"/>
    <n v="0.4653023525273672"/>
    <n v="49"/>
    <n v="0.447618040722954"/>
    <n v="46"/>
    <n v="0.3761672743247022"/>
    <n v="46"/>
    <n v="0.3441896325403472"/>
    <n v="25"/>
    <n v="0.28912101886262"/>
    <n v="24"/>
    <n v="0.3106460326914695"/>
    <n v="1.2"/>
    <n v="17"/>
    <n v="0.4924507136037332"/>
    <n v="0.5666666666666667"/>
    <n v="3"/>
    <n v="0.2198098559353955"/>
    <n v="0.1"/>
    <n v="0"/>
    <n v="0.3538090813751379"/>
    <n v="0"/>
    <n v="30"/>
    <n v="173"/>
    <n v="30"/>
    <n v="0"/>
    <m/>
    <n v="0"/>
    <n v="1130645.531324657"/>
    <n v="1575684"/>
    <n v="273543.2737075782"/>
    <n v="0"/>
    <n v="0"/>
    <n v="0"/>
    <n v="465856.9310076973"/>
    <n v="25"/>
    <n v="120"/>
    <n v="69"/>
    <n v="0"/>
    <m/>
    <n v="0"/>
    <n v="1075936.876583141"/>
    <n v="1092960"/>
    <n v="629149.52952743"/>
    <n v="0"/>
    <n v="0"/>
    <n v="0"/>
    <n v="1071470.941317704"/>
    <n v="25"/>
    <n v="83"/>
    <n v="25"/>
    <n v="0"/>
    <n v="0"/>
    <n v="720027.3470557112"/>
    <n v="756803.0572576332"/>
    <n v="227952.7280896486"/>
    <n v="0"/>
    <n v="0"/>
    <n v="0"/>
    <n v="461974.7899159665"/>
    <n v="20"/>
    <n v="57"/>
    <n v="24"/>
    <n v="0"/>
    <n v="0"/>
    <n v="519156"/>
    <n v="218834.6189660626"/>
    <n v="0"/>
    <n v="0"/>
    <n v="0"/>
    <n v="0"/>
    <n v="443495.7983193278"/>
    <n v="30"/>
    <n v="17"/>
    <n v="30"/>
    <m/>
    <n v="0"/>
    <n v="0"/>
    <n v="155007.855100961"/>
    <n v="273240"/>
    <n v="0"/>
    <n v="0"/>
    <n v="0"/>
    <n v="0"/>
    <n v="554369.7478991598"/>
    <n v="30"/>
    <n v="3"/>
    <n v="3"/>
    <m/>
    <n v="0"/>
    <n v="0"/>
    <n v="27354.32737075783"/>
    <n v="27324"/>
    <n v="0"/>
    <n v="0"/>
    <n v="3"/>
    <n v="0"/>
    <n v="55436.97478991597"/>
    <n v="30"/>
    <n v="0"/>
    <n v="30"/>
    <n v="0"/>
    <n v="0"/>
    <n v="0"/>
    <n v="0"/>
    <n v="273240"/>
    <n v="0"/>
    <n v="0"/>
    <n v="0"/>
    <n v="0"/>
    <n v="554369.7478991598"/>
    <n v="30"/>
    <n v="0"/>
    <n v="30"/>
    <n v="0"/>
    <n v="0"/>
    <n v="0"/>
    <n v="0"/>
    <n v="273240"/>
    <n v="0"/>
    <n v="0"/>
    <n v="0"/>
    <n v="0"/>
    <n v="554369.7478991598"/>
    <n v="30"/>
    <n v="0"/>
    <n v="30"/>
    <n v="200"/>
    <n v="200"/>
    <n v="0"/>
    <n v="0"/>
    <n v="273240"/>
    <n v="1821600"/>
    <n v="0"/>
    <n v="0"/>
    <n v="0"/>
    <n v="554369.7478991598"/>
    <n v="50"/>
    <n v="200"/>
    <n v="50"/>
    <n v="0"/>
    <n v="0"/>
    <n v="0"/>
    <n v="200"/>
    <n v="1821600"/>
    <n v="455400"/>
    <n v="0"/>
    <n v="1821600"/>
    <n v="200"/>
    <n v="3643200"/>
    <n v="839915.9663865546"/>
    <n v="40"/>
    <n v="150"/>
    <n v="40"/>
    <m/>
    <n v="0"/>
    <n v="1366200"/>
    <n v="364320"/>
    <n v="0"/>
    <n v="0"/>
    <n v="150"/>
    <n v="1366200"/>
    <n v="705529.4117647059"/>
    <n v="30"/>
    <n v="110"/>
    <n v="30"/>
    <n v="0"/>
    <n v="0"/>
    <n v="1001880"/>
    <n v="273240"/>
    <n v="0"/>
    <n v="110"/>
    <n v="1001880"/>
    <n v="554369.7478991598"/>
    <n v="24"/>
    <n v="80"/>
    <n v="24"/>
    <n v="0"/>
    <m/>
    <n v="728640"/>
    <n v="218834.6189660626"/>
    <n v="0"/>
    <n v="80"/>
    <n v="728640"/>
    <n v="443495.7983193278"/>
  </r>
  <r>
    <s v="Xroad-Accesorios de Automovil"/>
    <x v="3"/>
    <x v="25"/>
    <x v="67"/>
    <s v="XRPISUNIS-BK"/>
    <x v="597"/>
    <x v="435"/>
    <x v="0"/>
    <x v="1"/>
    <n v="1"/>
    <x v="369"/>
    <n v="199"/>
    <m/>
    <n v="0"/>
    <n v="3181"/>
    <n v="633019"/>
    <n v="3"/>
    <n v="3277.5"/>
    <n v="8394.957983193277"/>
    <n v="8394.957983193277"/>
    <s v="Shenzhen"/>
    <s v="30/70"/>
    <n v="30"/>
    <n v="100"/>
    <n v="0"/>
    <s v=""/>
    <n v="0"/>
    <s v=""/>
    <n v="0"/>
    <s v=""/>
    <n v="0"/>
    <s v=""/>
    <n v="0"/>
    <s v=""/>
    <n v="3"/>
    <n v="0.6753666587266478"/>
    <n v="8"/>
    <n v="0.616404578522858"/>
    <n v="16"/>
    <n v="0.6038610773710469"/>
    <n v="24"/>
    <n v="0.616404335496689"/>
    <n v="21"/>
    <n v="0.5772880394859256"/>
    <n v="14"/>
    <n v="0.5497430468655184"/>
    <n v="11"/>
    <n v="0.6376866404009748"/>
    <n v="0"/>
    <s v=""/>
    <n v="7"/>
    <s v=""/>
    <n v="17"/>
    <s v=""/>
    <n v="12"/>
    <s v=""/>
    <n v="0.3428571428571429"/>
    <n v="17"/>
    <s v=""/>
    <n v="0.425"/>
    <n v="41"/>
    <s v=""/>
    <n v="0.82"/>
    <n v="9"/>
    <s v=""/>
    <n v="0.36"/>
    <n v="30"/>
    <n v="1"/>
    <n v="30"/>
    <n v="100"/>
    <n v="100"/>
    <n v="0"/>
    <n v="182907.5"/>
    <n v="3105"/>
    <n v="95430"/>
    <n v="0"/>
    <n v="199"/>
    <n v="633019"/>
    <n v="211637.5962149566"/>
    <n v="25"/>
    <n v="101"/>
    <n v="10.5"/>
    <n v="45"/>
    <n v="45"/>
    <n v="0"/>
    <n v="125649.5"/>
    <n v="313604.9999999999"/>
    <n v="33400.5"/>
    <n v="0"/>
    <n v="199"/>
    <n v="633019"/>
    <n v="74073.15867523479"/>
    <n v="30"/>
    <n v="140"/>
    <n v="17"/>
    <n v="0"/>
    <n v="0"/>
    <n v="216449"/>
    <n v="445340"/>
    <n v="54077"/>
    <n v="0"/>
    <n v="199"/>
    <n v="633019"/>
    <n v="142714.2857142857"/>
    <n v="35"/>
    <n v="168"/>
    <n v="12"/>
    <n v="50"/>
    <n v="0"/>
    <n v="521639.9999999999"/>
    <n v="38172"/>
    <n v="155250"/>
    <n v="0"/>
    <n v="199"/>
    <n v="633019"/>
    <n v="100739.4957983193"/>
    <n v="40"/>
    <n v="216"/>
    <n v="40"/>
    <m/>
    <n v="0"/>
    <n v="0"/>
    <n v="687096"/>
    <n v="124200"/>
    <n v="0"/>
    <n v="0"/>
    <n v="199"/>
    <n v="633019"/>
    <n v="335798.3193277311"/>
    <n v="50"/>
    <n v="240"/>
    <n v="41"/>
    <m/>
    <n v="0"/>
    <n v="0"/>
    <n v="763440"/>
    <n v="127305"/>
    <n v="0"/>
    <n v="0"/>
    <n v="240"/>
    <n v="633019"/>
    <n v="344193.2773109244"/>
    <n v="25"/>
    <n v="208"/>
    <n v="25"/>
    <n v="100"/>
    <n v="100"/>
    <n v="0"/>
    <n v="661648"/>
    <n v="77624.99999999999"/>
    <n v="300149.9999999999"/>
    <n v="0"/>
    <n v="208"/>
    <n v="633019"/>
    <n v="209873.9495798319"/>
    <n v="25"/>
    <n v="183"/>
    <n v="25"/>
    <n v="0"/>
    <n v="0"/>
    <n v="0"/>
    <n v="582123"/>
    <n v="77624.99999999999"/>
    <n v="0"/>
    <n v="0"/>
    <n v="183"/>
    <n v="582123"/>
    <n v="209873.9495798319"/>
    <n v="20"/>
    <n v="158"/>
    <n v="20"/>
    <n v="0"/>
    <n v="0"/>
    <m/>
    <n v="490589.9999999999"/>
    <n v="62099.99999999999"/>
    <n v="0"/>
    <n v="0"/>
    <n v="158"/>
    <n v="490589.9999999999"/>
    <n v="167899.1596638655"/>
    <n v="30"/>
    <n v="138"/>
    <n v="30"/>
    <n v="0"/>
    <n v="0"/>
    <n v="0"/>
    <m/>
    <n v="428489.9999999999"/>
    <n v="93149.99999999999"/>
    <n v="0"/>
    <n v="0"/>
    <n v="138"/>
    <n v="428489.9999999999"/>
    <n v="251848.7394957983"/>
    <n v="30"/>
    <n v="108"/>
    <n v="30"/>
    <m/>
    <n v="0"/>
    <n v="335339.9999999999"/>
    <n v="93149.99999999999"/>
    <n v="0"/>
    <n v="0"/>
    <n v="108"/>
    <n v="335339.9999999999"/>
    <n v="264441.1764705883"/>
    <n v="30"/>
    <n v="78"/>
    <n v="30"/>
    <n v="0"/>
    <n v="0"/>
    <n v="242190"/>
    <n v="93149.99999999999"/>
    <n v="0"/>
    <n v="78"/>
    <n v="242190"/>
    <n v="251848.7394957983"/>
    <n v="18"/>
    <n v="48"/>
    <n v="18"/>
    <n v="0"/>
    <m/>
    <n v="149040"/>
    <n v="57258"/>
    <n v="0"/>
    <n v="48"/>
    <n v="149040"/>
    <n v="151109.243697479"/>
  </r>
  <r>
    <m/>
    <x v="3"/>
    <x v="25"/>
    <x v="67"/>
    <s v="XRPISUNIS3-BK"/>
    <x v="598"/>
    <x v="436"/>
    <x v="0"/>
    <x v="2"/>
    <n v="1"/>
    <x v="12"/>
    <n v="178"/>
    <m/>
    <n v="0"/>
    <n v="3277.5"/>
    <n v="583394.9999999999"/>
    <n v="3"/>
    <n v="3277.5"/>
    <n v="8262.605042016805"/>
    <n v="10915.96638655462"/>
    <s v="Shenzhen"/>
    <s v="30/7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1"/>
    <s v=""/>
    <n v="0"/>
    <s v=""/>
    <n v="0"/>
    <n v="2"/>
    <s v=""/>
    <n v="0.06666666666666667"/>
    <n v="11"/>
    <s v=""/>
    <n v="0.275"/>
    <n v="13"/>
    <s v=""/>
    <n v="1.083333333333333"/>
    <n v="0"/>
    <n v="0"/>
    <n v="0"/>
    <n v="0"/>
    <m/>
    <n v="0"/>
    <n v="3277.5"/>
    <n v="0"/>
    <n v="0"/>
    <n v="0"/>
    <n v="178"/>
    <n v="583394.9999999999"/>
    <n v="0"/>
    <n v="5"/>
    <n v="0"/>
    <n v="0"/>
    <n v="100"/>
    <n v="100"/>
    <n v="0"/>
    <n v="3277.5"/>
    <n v="0"/>
    <n v="0"/>
    <n v="0"/>
    <n v="178"/>
    <n v="583394.9999999999"/>
    <n v="0"/>
    <n v="0"/>
    <n v="0"/>
    <n v="1"/>
    <n v="0"/>
    <n v="0"/>
    <n v="96427.49999999999"/>
    <n v="0"/>
    <n v="3277.5"/>
    <n v="0"/>
    <n v="178"/>
    <n v="583394.9999999999"/>
    <n v="8262.605042016805"/>
    <n v="10"/>
    <n v="95"/>
    <n v="0"/>
    <n v="0"/>
    <n v="0"/>
    <n v="294974.9999999999"/>
    <n v="0"/>
    <n v="0"/>
    <n v="0"/>
    <n v="178"/>
    <n v="583394.9999999999"/>
    <n v="0"/>
    <n v="30"/>
    <n v="180"/>
    <n v="30"/>
    <m/>
    <n v="0"/>
    <n v="0"/>
    <n v="589949.9999999999"/>
    <n v="93149.99999999999"/>
    <n v="0"/>
    <n v="0"/>
    <n v="178"/>
    <n v="583394.9999999999"/>
    <n v="247878.1512605041"/>
    <n v="40"/>
    <n v="189"/>
    <n v="11"/>
    <m/>
    <n v="0"/>
    <n v="0"/>
    <n v="619447.4999999999"/>
    <n v="34154.99999999999"/>
    <n v="0"/>
    <n v="0"/>
    <n v="189"/>
    <n v="583394.9999999999"/>
    <n v="90888.65546218485"/>
    <n v="12"/>
    <n v="191"/>
    <n v="12"/>
    <n v="100"/>
    <n v="100"/>
    <n v="0"/>
    <n v="626002.4999999999"/>
    <n v="37259.99999999999"/>
    <n v="300149.9999999999"/>
    <n v="0"/>
    <n v="191"/>
    <n v="583394.9999999999"/>
    <n v="99151.26050420167"/>
    <n v="15"/>
    <n v="179"/>
    <n v="15"/>
    <n v="0"/>
    <n v="0"/>
    <n v="0"/>
    <n v="586672.4999999999"/>
    <n v="46574.99999999999"/>
    <n v="0"/>
    <n v="0"/>
    <n v="179"/>
    <n v="586672.4999999999"/>
    <n v="123939.0756302521"/>
    <n v="20"/>
    <n v="164"/>
    <n v="20"/>
    <n v="100"/>
    <n v="100"/>
    <n v="0"/>
    <n v="509219.9999999999"/>
    <n v="62099.99999999999"/>
    <n v="310499.9999999999"/>
    <n v="0"/>
    <n v="164"/>
    <n v="509219.9999999999"/>
    <n v="165252.1008403361"/>
    <n v="20"/>
    <n v="244"/>
    <n v="20"/>
    <n v="0"/>
    <n v="0"/>
    <n v="0"/>
    <n v="100"/>
    <n v="757619.9999999999"/>
    <n v="62099.99999999999"/>
    <n v="0"/>
    <n v="310499.9999999999"/>
    <n v="244"/>
    <n v="1068120"/>
    <n v="218319.3277310925"/>
    <n v="20"/>
    <n v="224"/>
    <n v="20"/>
    <m/>
    <n v="0"/>
    <n v="695519.9999999999"/>
    <n v="62099.99999999999"/>
    <n v="0"/>
    <n v="0"/>
    <n v="224"/>
    <n v="695519.9999999999"/>
    <n v="229235.2941176471"/>
    <n v="25"/>
    <n v="204"/>
    <n v="25"/>
    <n v="0"/>
    <n v="0"/>
    <n v="633419.9999999999"/>
    <n v="77624.99999999999"/>
    <n v="0"/>
    <n v="204"/>
    <n v="633419.9999999999"/>
    <n v="206565.1260504201"/>
    <n v="12"/>
    <n v="179"/>
    <n v="12"/>
    <n v="0"/>
    <m/>
    <n v="555794.9999999999"/>
    <n v="39329.99999999999"/>
    <n v="0"/>
    <n v="179"/>
    <n v="555794.9999999999"/>
    <n v="99151.26050420167"/>
  </r>
  <r>
    <s v="Xroad-Accesorios de Automovil"/>
    <x v="3"/>
    <x v="25"/>
    <x v="67"/>
    <s v="XRFUNCASUN-BK"/>
    <x v="599"/>
    <x v="437"/>
    <x v="0"/>
    <x v="2"/>
    <n v="1"/>
    <x v="370"/>
    <n v="66"/>
    <m/>
    <n v="0"/>
    <n v="24128.2"/>
    <n v="1592461.2"/>
    <n v="20"/>
    <n v="21850"/>
    <n v="50411.76470588236"/>
    <n v="50411.76470588236"/>
    <s v="Ningbo"/>
    <s v="30/70"/>
    <n v="30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0"/>
    <s v=""/>
    <n v="2"/>
    <n v="12"/>
    <s v=""/>
    <n v="0.6"/>
    <n v="11"/>
    <s v=""/>
    <n v="0.275"/>
    <n v="0"/>
    <s v=""/>
    <n v="0"/>
    <n v="0"/>
    <n v="0"/>
    <n v="0"/>
    <n v="0"/>
    <m/>
    <n v="0"/>
    <n v="0"/>
    <n v="0"/>
    <n v="0"/>
    <n v="0"/>
    <n v="66"/>
    <n v="1592461.2"/>
    <n v="0"/>
    <n v="5"/>
    <n v="0"/>
    <n v="0"/>
    <n v="100"/>
    <n v="100"/>
    <n v="0"/>
    <n v="241282"/>
    <n v="0"/>
    <n v="0"/>
    <n v="0"/>
    <n v="66"/>
    <n v="1592461.2"/>
    <n v="0"/>
    <n v="0"/>
    <n v="0"/>
    <n v="0"/>
    <n v="0"/>
    <n v="0"/>
    <n v="655282"/>
    <n v="0"/>
    <n v="0"/>
    <n v="0"/>
    <n v="66"/>
    <n v="1592461.2"/>
    <n v="0"/>
    <n v="5"/>
    <n v="100"/>
    <n v="10"/>
    <n v="0"/>
    <n v="0"/>
    <n v="2070000"/>
    <n v="241282"/>
    <n v="0"/>
    <n v="0"/>
    <n v="66"/>
    <n v="1592461.2"/>
    <n v="504117.6470588236"/>
    <n v="20"/>
    <n v="78"/>
    <n v="20"/>
    <m/>
    <n v="0"/>
    <n v="0"/>
    <n v="1881999.6"/>
    <n v="414000"/>
    <n v="0"/>
    <n v="0"/>
    <n v="66"/>
    <n v="1592461.2"/>
    <n v="1008235.294117647"/>
    <n v="40"/>
    <n v="77"/>
    <n v="11"/>
    <m/>
    <n v="0"/>
    <n v="0"/>
    <n v="1857871.4"/>
    <n v="227700"/>
    <n v="0"/>
    <n v="0"/>
    <n v="77"/>
    <n v="1592461.2"/>
    <n v="554529.4117647059"/>
    <n v="15"/>
    <n v="66"/>
    <n v="15"/>
    <n v="100"/>
    <n v="0"/>
    <n v="0"/>
    <n v="1592461.2"/>
    <n v="310500"/>
    <n v="2001000"/>
    <n v="0"/>
    <n v="66"/>
    <n v="1592461.2"/>
    <n v="756176.4705882353"/>
    <n v="15"/>
    <n v="51"/>
    <n v="15"/>
    <n v="0"/>
    <n v="100"/>
    <n v="100"/>
    <n v="1230538.2"/>
    <n v="310500"/>
    <n v="0"/>
    <n v="2070000"/>
    <n v="151"/>
    <n v="3300538.2"/>
    <n v="756176.4705882353"/>
    <n v="15"/>
    <n v="136"/>
    <n v="15"/>
    <n v="0"/>
    <n v="0"/>
    <n v="100"/>
    <n v="2815200"/>
    <n v="310500"/>
    <n v="0"/>
    <n v="2070000"/>
    <n v="236"/>
    <n v="4885200"/>
    <n v="756176.4705882353"/>
    <n v="25"/>
    <n v="221"/>
    <n v="25"/>
    <n v="0"/>
    <n v="0"/>
    <n v="0"/>
    <m/>
    <n v="4574700"/>
    <n v="517500"/>
    <n v="0"/>
    <n v="0"/>
    <n v="221"/>
    <n v="4574700"/>
    <n v="1260294.117647059"/>
    <n v="20"/>
    <n v="196"/>
    <n v="20"/>
    <m/>
    <n v="0"/>
    <n v="4057200"/>
    <n v="414000"/>
    <n v="0"/>
    <n v="0"/>
    <n v="196"/>
    <n v="4057200"/>
    <n v="1058647.058823529"/>
    <n v="30"/>
    <n v="176"/>
    <n v="30"/>
    <n v="0"/>
    <n v="0"/>
    <n v="3643200"/>
    <n v="621000"/>
    <n v="0"/>
    <n v="176"/>
    <n v="3643200"/>
    <n v="1512352.941176471"/>
    <n v="12"/>
    <n v="146"/>
    <n v="12"/>
    <n v="0"/>
    <m/>
    <n v="3022200"/>
    <n v="289538.4"/>
    <n v="0"/>
    <n v="146"/>
    <n v="3022200"/>
    <n v="604941.1764705883"/>
  </r>
  <r>
    <m/>
    <x v="3"/>
    <x v="25"/>
    <x v="68"/>
    <s v="XRCADCANRR"/>
    <x v="600"/>
    <x v="438"/>
    <x v="0"/>
    <x v="2"/>
    <n v="1"/>
    <x v="12"/>
    <n v="1"/>
    <m/>
    <n v="0"/>
    <n v="6562"/>
    <n v="6562"/>
    <n v="7.5"/>
    <n v="8193.75"/>
    <n v="33605.04201680672"/>
    <n v="29403.36134453782"/>
    <s v="Shenzhen"/>
    <s v="30/7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80"/>
    <s v=""/>
    <n v="1.6"/>
    <n v="59"/>
    <s v=""/>
    <n v="0.6555555555555556"/>
    <n v="83"/>
    <s v=""/>
    <n v="0.6916666666666667"/>
    <n v="58"/>
    <s v=""/>
    <n v="0.9666666666666667"/>
    <n v="0"/>
    <n v="0"/>
    <n v="0"/>
    <n v="0"/>
    <m/>
    <n v="0"/>
    <n v="0"/>
    <n v="0"/>
    <n v="0"/>
    <n v="0"/>
    <n v="1"/>
    <n v="6562"/>
    <n v="0"/>
    <n v="5"/>
    <n v="0"/>
    <n v="0"/>
    <n v="300"/>
    <n v="300"/>
    <n v="0"/>
    <n v="524960"/>
    <n v="0"/>
    <n v="0"/>
    <n v="0"/>
    <n v="1"/>
    <n v="6562"/>
    <n v="0"/>
    <n v="0"/>
    <n v="0"/>
    <n v="0"/>
    <n v="0"/>
    <n v="0"/>
    <n v="1223585"/>
    <n v="0"/>
    <n v="0"/>
    <n v="0"/>
    <n v="1"/>
    <n v="6562"/>
    <n v="0"/>
    <n v="50"/>
    <n v="297"/>
    <n v="80"/>
    <n v="0"/>
    <n v="0"/>
    <n v="2305462.5"/>
    <n v="524960"/>
    <n v="0"/>
    <n v="0"/>
    <n v="1"/>
    <n v="6562"/>
    <n v="2688403.361344538"/>
    <n v="90"/>
    <n v="60"/>
    <n v="90"/>
    <m/>
    <n v="0"/>
    <n v="0"/>
    <n v="393720"/>
    <n v="698624.9999999999"/>
    <n v="0"/>
    <n v="0"/>
    <n v="1"/>
    <n v="6562"/>
    <n v="3024453.781512605"/>
    <n v="120"/>
    <n v="84"/>
    <n v="83"/>
    <m/>
    <n v="0"/>
    <n v="0"/>
    <n v="551208"/>
    <n v="644287.4999999999"/>
    <n v="0"/>
    <n v="0"/>
    <n v="84"/>
    <n v="6562"/>
    <n v="2789218.487394958"/>
    <n v="60"/>
    <n v="59"/>
    <n v="60"/>
    <n v="0"/>
    <n v="0"/>
    <n v="0"/>
    <n v="387158"/>
    <n v="465749.9999999999"/>
    <n v="0"/>
    <n v="0"/>
    <n v="59"/>
    <n v="6562"/>
    <n v="2016302.521008403"/>
    <n v="60"/>
    <n v="0"/>
    <n v="60"/>
    <n v="300"/>
    <n v="300"/>
    <n v="0"/>
    <n v="0"/>
    <n v="465749.9999999999"/>
    <n v="2328750"/>
    <n v="0"/>
    <n v="300"/>
    <n v="0"/>
    <n v="2016302.521008403"/>
    <n v="60"/>
    <n v="0"/>
    <n v="60"/>
    <n v="0"/>
    <n v="0"/>
    <n v="300"/>
    <n v="0"/>
    <n v="465749.9999999999"/>
    <n v="0"/>
    <n v="2328750"/>
    <n v="300"/>
    <n v="2328750"/>
    <n v="2016302.521008403"/>
    <n v="120"/>
    <n v="240"/>
    <n v="120"/>
    <n v="0"/>
    <n v="0"/>
    <n v="0"/>
    <m/>
    <n v="1863000"/>
    <n v="931499.9999999999"/>
    <n v="0"/>
    <n v="0"/>
    <n v="240"/>
    <n v="1863000"/>
    <n v="3528403.361344538"/>
    <n v="100"/>
    <n v="120"/>
    <n v="100"/>
    <n v="300"/>
    <n v="300"/>
    <n v="931499.9999999999"/>
    <n v="776249.9999999999"/>
    <n v="2328750"/>
    <n v="2328750"/>
    <n v="420"/>
    <n v="3260250"/>
    <n v="3087352.941176471"/>
    <n v="140"/>
    <n v="320"/>
    <n v="140"/>
    <n v="0"/>
    <n v="0"/>
    <n v="2484000"/>
    <n v="1086750"/>
    <n v="0"/>
    <n v="320"/>
    <n v="2484000"/>
    <n v="4704705.882352941"/>
    <n v="60"/>
    <n v="180"/>
    <n v="60"/>
    <n v="0"/>
    <m/>
    <n v="1397250"/>
    <n v="393720"/>
    <n v="0"/>
    <n v="180"/>
    <n v="1397250"/>
    <n v="2016302.521008403"/>
  </r>
  <r>
    <s v="Xroad-Herramientas y Mantenimiento"/>
    <x v="3"/>
    <x v="26"/>
    <x v="69"/>
    <s v="XRHYDLAV-OR"/>
    <x v="601"/>
    <x v="439"/>
    <x v="0"/>
    <x v="0"/>
    <n v="1"/>
    <x v="371"/>
    <n v="8"/>
    <m/>
    <n v="0"/>
    <n v="27471"/>
    <n v="219768"/>
    <n v="29"/>
    <n v="31682.5"/>
    <n v="79871.84873949579"/>
    <n v="67891.07142857142"/>
    <s v="Shenzhen"/>
    <s v="30/70"/>
    <n v="30"/>
    <n v="5"/>
    <n v="0"/>
    <s v=""/>
    <n v="0"/>
    <s v=""/>
    <n v="0"/>
    <s v=""/>
    <n v="0"/>
    <s v=""/>
    <n v="0"/>
    <s v=""/>
    <n v="1"/>
    <n v="0.2932774709579128"/>
    <n v="3"/>
    <n v="0.4891001093728457"/>
    <n v="2"/>
    <n v="0.4059314256597676"/>
    <n v="15"/>
    <n v="0.428097777638644"/>
    <n v="24"/>
    <n v="0.3077828566765026"/>
    <n v="6"/>
    <n v="0.4841855588980415"/>
    <n v="5"/>
    <n v="0.4053424039349268"/>
    <n v="10"/>
    <s v=""/>
    <n v="1"/>
    <s v=""/>
    <n v="5"/>
    <s v=""/>
    <n v="5"/>
    <s v=""/>
    <n v="1"/>
    <n v="2"/>
    <s v=""/>
    <n v="0.4"/>
    <n v="1"/>
    <s v=""/>
    <n v="0"/>
    <n v="1"/>
    <s v=""/>
    <n v="0.2"/>
    <n v="5"/>
    <n v="14"/>
    <n v="5"/>
    <n v="0"/>
    <m/>
    <n v="0"/>
    <n v="315916.5"/>
    <n v="420209.9999999999"/>
    <n v="137355"/>
    <n v="0"/>
    <n v="8"/>
    <n v="219768"/>
    <n v="335596.0031071252"/>
    <n v="5"/>
    <n v="15"/>
    <n v="1.5"/>
    <n v="15"/>
    <n v="15"/>
    <n v="0"/>
    <n v="315916.5"/>
    <n v="450224.9999999999"/>
    <n v="41206.5"/>
    <n v="0"/>
    <n v="8"/>
    <n v="219768"/>
    <n v="100678.8009321376"/>
    <n v="5"/>
    <n v="14"/>
    <n v="5"/>
    <n v="0"/>
    <n v="0"/>
    <n v="424785"/>
    <n v="384594"/>
    <n v="137355"/>
    <n v="0"/>
    <n v="8"/>
    <n v="219768"/>
    <n v="399359.243697479"/>
    <n v="5"/>
    <n v="8"/>
    <n v="5"/>
    <n v="0"/>
    <n v="0"/>
    <n v="240120"/>
    <n v="137355"/>
    <n v="0"/>
    <n v="0"/>
    <n v="8"/>
    <n v="219768"/>
    <n v="399359.243697479"/>
    <n v="5"/>
    <n v="10"/>
    <n v="5"/>
    <m/>
    <n v="0"/>
    <n v="0"/>
    <n v="274710"/>
    <n v="150075"/>
    <n v="0"/>
    <n v="0"/>
    <n v="8"/>
    <n v="219768"/>
    <n v="399359.243697479"/>
    <n v="0"/>
    <n v="9"/>
    <n v="1"/>
    <m/>
    <n v="0"/>
    <n v="0"/>
    <n v="247239"/>
    <n v="30015"/>
    <n v="0"/>
    <n v="0"/>
    <n v="9"/>
    <n v="219768"/>
    <n v="79871.84873949579"/>
    <n v="5"/>
    <n v="9"/>
    <n v="5"/>
    <n v="10"/>
    <n v="10"/>
    <n v="0"/>
    <n v="247239"/>
    <n v="150075"/>
    <n v="290144.9999999999"/>
    <n v="0"/>
    <n v="9"/>
    <n v="219768"/>
    <n v="399359.243697479"/>
    <n v="5"/>
    <n v="4"/>
    <n v="5"/>
    <n v="20"/>
    <n v="20"/>
    <n v="0"/>
    <n v="109884"/>
    <n v="150075"/>
    <n v="600299.9999999999"/>
    <n v="0"/>
    <n v="24"/>
    <n v="109884"/>
    <n v="399359.243697479"/>
    <n v="10"/>
    <n v="0"/>
    <n v="10"/>
    <n v="20"/>
    <n v="20"/>
    <n v="20"/>
    <n v="0"/>
    <n v="300149.9999999999"/>
    <n v="600299.9999999999"/>
    <n v="600299.9999999999"/>
    <n v="20"/>
    <n v="600299.9999999999"/>
    <n v="798718.4873949579"/>
    <n v="15"/>
    <n v="10"/>
    <n v="10"/>
    <n v="0"/>
    <n v="0"/>
    <n v="0"/>
    <m/>
    <n v="300149.9999999999"/>
    <n v="300149.9999999999"/>
    <n v="0"/>
    <n v="0"/>
    <n v="10"/>
    <n v="300149.9999999999"/>
    <n v="678910.7142857142"/>
    <n v="15"/>
    <n v="0"/>
    <n v="15"/>
    <m/>
    <n v="0"/>
    <n v="0"/>
    <n v="450224.9999999999"/>
    <n v="0"/>
    <n v="0"/>
    <n v="0"/>
    <n v="0"/>
    <n v="1069284.375"/>
    <n v="15"/>
    <n v="0"/>
    <n v="15"/>
    <n v="0"/>
    <n v="0"/>
    <n v="0"/>
    <n v="450224.9999999999"/>
    <n v="0"/>
    <n v="0"/>
    <n v="0"/>
    <n v="1198077.731092437"/>
    <n v="9"/>
    <n v="0"/>
    <n v="9"/>
    <n v="0"/>
    <m/>
    <n v="0"/>
    <n v="247239"/>
    <n v="0"/>
    <n v="0"/>
    <n v="0"/>
    <n v="718846.6386554621"/>
  </r>
  <r>
    <m/>
    <x v="3"/>
    <x v="26"/>
    <x v="70"/>
    <s v="XRPARTBAT-GR"/>
    <x v="602"/>
    <x v="440"/>
    <x v="0"/>
    <x v="3"/>
    <n v="1"/>
    <x v="372"/>
    <n v="4"/>
    <m/>
    <n v="0"/>
    <n v="24502"/>
    <n v="98008"/>
    <n v="26"/>
    <n v="28405"/>
    <n v="58815.12605042017"/>
    <n v="67218.48739495799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834055938111026"/>
    <n v="39"/>
    <s v=""/>
    <n v="101"/>
    <s v=""/>
    <n v="4"/>
    <s v=""/>
    <n v="0"/>
    <s v=""/>
    <n v="0"/>
    <n v="0"/>
    <s v=""/>
    <n v="0"/>
    <n v="27"/>
    <s v=""/>
    <n v="0"/>
    <n v="122"/>
    <s v=""/>
    <n v="1.22"/>
    <n v="25"/>
    <n v="147"/>
    <n v="25"/>
    <n v="0"/>
    <n v="0"/>
    <n v="0"/>
    <n v="4422611"/>
    <n v="3955770"/>
    <n v="612550"/>
    <n v="0"/>
    <n v="4"/>
    <n v="98008"/>
    <n v="1235611.89181555"/>
    <n v="25"/>
    <n v="109"/>
    <n v="151.5"/>
    <n v="0"/>
    <m/>
    <n v="0"/>
    <n v="3810061"/>
    <n v="2933190"/>
    <n v="3712053"/>
    <n v="0"/>
    <n v="4"/>
    <n v="98008"/>
    <n v="7487808.064402232"/>
    <n v="10"/>
    <n v="4"/>
    <n v="4"/>
    <n v="0"/>
    <n v="0"/>
    <n v="98008"/>
    <n v="98008"/>
    <n v="98008"/>
    <n v="0"/>
    <n v="4"/>
    <n v="98008"/>
    <n v="235260.5042016807"/>
    <n v="0"/>
    <n v="4"/>
    <n v="0"/>
    <n v="0"/>
    <n v="0"/>
    <n v="107640"/>
    <n v="0"/>
    <n v="0"/>
    <n v="0"/>
    <n v="4"/>
    <n v="98008"/>
    <n v="0"/>
    <n v="0"/>
    <n v="4"/>
    <n v="0"/>
    <m/>
    <n v="0"/>
    <n v="0"/>
    <n v="98008"/>
    <n v="0"/>
    <n v="0"/>
    <n v="0"/>
    <n v="4"/>
    <n v="98008"/>
    <n v="0"/>
    <n v="0"/>
    <n v="31"/>
    <n v="27"/>
    <m/>
    <n v="0"/>
    <n v="0"/>
    <n v="759562"/>
    <n v="726569.9999999999"/>
    <n v="0"/>
    <n v="0"/>
    <n v="31"/>
    <n v="98008"/>
    <n v="1588008.403361345"/>
    <n v="100"/>
    <n v="126"/>
    <n v="100"/>
    <n v="150"/>
    <n v="150"/>
    <n v="0"/>
    <n v="3087252"/>
    <n v="2691000"/>
    <n v="3901950"/>
    <n v="0"/>
    <n v="126"/>
    <n v="98008"/>
    <n v="5881512.605042017"/>
    <n v="100"/>
    <n v="26"/>
    <n v="100"/>
    <n v="150"/>
    <n v="150"/>
    <n v="150"/>
    <n v="637052"/>
    <n v="2691000"/>
    <n v="4036500"/>
    <n v="4036500"/>
    <n v="176"/>
    <n v="4673552"/>
    <n v="5881512.605042017"/>
    <n v="80"/>
    <n v="76"/>
    <n v="80"/>
    <n v="150"/>
    <n v="150"/>
    <n v="0"/>
    <n v="2045160"/>
    <n v="2152800"/>
    <n v="4036500"/>
    <n v="0"/>
    <n v="76"/>
    <n v="2045160"/>
    <n v="4705210.084033614"/>
    <n v="140"/>
    <n v="150"/>
    <n v="140"/>
    <n v="0"/>
    <n v="0"/>
    <n v="0"/>
    <n v="150"/>
    <n v="4036500"/>
    <n v="3767400"/>
    <n v="0"/>
    <n v="4036500"/>
    <n v="150"/>
    <n v="8072999.999999999"/>
    <n v="9410588.235294119"/>
    <n v="100"/>
    <n v="10"/>
    <n v="100"/>
    <n v="150"/>
    <n v="150"/>
    <n v="269099.9999999999"/>
    <n v="2691000"/>
    <n v="4036500"/>
    <n v="4036500"/>
    <n v="160"/>
    <n v="4305599.999999999"/>
    <n v="7057941.176470589"/>
    <n v="150"/>
    <n v="60"/>
    <n v="150"/>
    <n v="150"/>
    <n v="150"/>
    <n v="1614600"/>
    <n v="4036500"/>
    <n v="4036500"/>
    <n v="210"/>
    <n v="5651099.999999999"/>
    <n v="8822268.907563025"/>
    <n v="60"/>
    <n v="60"/>
    <n v="60"/>
    <n v="150"/>
    <n v="150"/>
    <n v="1614600"/>
    <n v="1470120"/>
    <n v="4036500"/>
    <n v="210"/>
    <n v="5651099.999999999"/>
    <n v="3528907.56302521"/>
  </r>
  <r>
    <s v="Xroad-Accesorios de Viaje"/>
    <x v="3"/>
    <x v="27"/>
    <x v="71"/>
    <s v="XRCOOLPORT-GR"/>
    <x v="603"/>
    <x v="441"/>
    <x v="0"/>
    <x v="3"/>
    <n v="1"/>
    <x v="373"/>
    <n v="0"/>
    <m/>
    <n v="0"/>
    <n v="29925"/>
    <n v="0"/>
    <n v="25"/>
    <n v="27312.5"/>
    <n v="67218.48739495799"/>
    <n v="67218.48739495799"/>
    <s v="Ningbo"/>
    <s v="30/70"/>
    <n v="45"/>
    <n v="25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6"/>
    <n v="0.4836977592360178"/>
    <n v="69"/>
    <s v=""/>
    <n v="71"/>
    <s v=""/>
    <n v="0"/>
    <s v=""/>
    <n v="0"/>
    <s v=""/>
    <n v="0"/>
    <n v="1"/>
    <s v=""/>
    <n v="0"/>
    <n v="0"/>
    <s v=""/>
    <n v="0"/>
    <n v="0"/>
    <s v=""/>
    <n v="0"/>
    <n v="60"/>
    <n v="39"/>
    <n v="60"/>
    <n v="0"/>
    <n v="99"/>
    <n v="0"/>
    <n v="4982512.5"/>
    <n v="1009125"/>
    <n v="1795500"/>
    <n v="0"/>
    <n v="0"/>
    <n v="0"/>
    <n v="3389167.431678555"/>
    <n v="40"/>
    <n v="70"/>
    <n v="106.5"/>
    <n v="0"/>
    <n v="0"/>
    <n v="0"/>
    <n v="3187012.5"/>
    <n v="1811250"/>
    <n v="3187012.5"/>
    <n v="0"/>
    <n v="0"/>
    <n v="0"/>
    <n v="6015772.191229435"/>
    <n v="0"/>
    <n v="-1"/>
    <n v="0"/>
    <n v="0"/>
    <n v="0"/>
    <n v="0"/>
    <n v="-299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m/>
    <n v="0"/>
    <n v="0"/>
    <n v="29925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30"/>
    <n v="0"/>
    <n v="30"/>
    <n v="250"/>
    <n v="250"/>
    <n v="0"/>
    <n v="0"/>
    <n v="776249.9999999999"/>
    <n v="6253124.999999999"/>
    <n v="0"/>
    <n v="0"/>
    <n v="0"/>
    <n v="2016554.62184874"/>
    <n v="50"/>
    <n v="0"/>
    <n v="50"/>
    <n v="0"/>
    <n v="0"/>
    <n v="250"/>
    <n v="0"/>
    <n v="1293750"/>
    <n v="0"/>
    <n v="6468749.999999999"/>
    <n v="0"/>
    <n v="6468749.999999999"/>
    <n v="3360924.369747899"/>
    <n v="80"/>
    <n v="200"/>
    <n v="80"/>
    <n v="250"/>
    <n v="250"/>
    <n v="0"/>
    <n v="5174999.999999999"/>
    <n v="2070000"/>
    <n v="6468749.999999999"/>
    <n v="0"/>
    <n v="200"/>
    <n v="5174999.999999999"/>
    <n v="5377478.991596639"/>
    <n v="100"/>
    <n v="370"/>
    <n v="100"/>
    <n v="0"/>
    <n v="0"/>
    <n v="0"/>
    <n v="250"/>
    <n v="9573749.999999998"/>
    <n v="2587500"/>
    <n v="0"/>
    <n v="6468749.999999999"/>
    <n v="370"/>
    <n v="16042500"/>
    <n v="6721848.739495799"/>
    <n v="120"/>
    <n v="270"/>
    <n v="120"/>
    <m/>
    <n v="0"/>
    <n v="6986249.999999999"/>
    <n v="3105000"/>
    <n v="0"/>
    <n v="0"/>
    <n v="270"/>
    <n v="6986249.999999999"/>
    <n v="8469529.411764707"/>
    <n v="200"/>
    <n v="150"/>
    <n v="200"/>
    <n v="250"/>
    <n v="250"/>
    <n v="3881250"/>
    <n v="5174999.999999999"/>
    <n v="6468749.999999999"/>
    <n v="400"/>
    <n v="10350000"/>
    <n v="13443697.4789916"/>
    <n v="72"/>
    <n v="200"/>
    <n v="72"/>
    <n v="0"/>
    <m/>
    <n v="5174999.999999999"/>
    <n v="2154600"/>
    <n v="0"/>
    <n v="200"/>
    <n v="5174999.999999999"/>
    <n v="4839731.092436976"/>
  </r>
  <r>
    <m/>
    <x v="3"/>
    <x v="27"/>
    <x v="71"/>
    <s v="XRCOOLPORT40-GR"/>
    <x v="604"/>
    <x v="442"/>
    <x v="0"/>
    <x v="2"/>
    <n v="1"/>
    <x v="12"/>
    <n v="0"/>
    <m/>
    <n v="0"/>
    <n v="37000"/>
    <n v="0"/>
    <n v="32.45614035087719"/>
    <n v="37000"/>
    <n v="93277.31092436975"/>
    <n v="79285.71428571429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200"/>
    <n v="200"/>
    <n v="0"/>
    <n v="0"/>
    <n v="671842.1052631579"/>
    <n v="6718421.052631578"/>
    <n v="0"/>
    <n v="0"/>
    <n v="0"/>
    <n v="1865546.218487395"/>
    <n v="40"/>
    <n v="200"/>
    <n v="40"/>
    <n v="0"/>
    <n v="0"/>
    <n v="0"/>
    <n v="200"/>
    <n v="6718421.052631578"/>
    <n v="1343684.210526316"/>
    <n v="0"/>
    <n v="6718421.052631578"/>
    <n v="200"/>
    <n v="13436842.10526316"/>
    <n v="3171428.571428572"/>
    <n v="60"/>
    <n v="160"/>
    <n v="60"/>
    <m/>
    <n v="0"/>
    <n v="5374736.842105263"/>
    <n v="2015526.315789474"/>
    <n v="0"/>
    <n v="0"/>
    <n v="160"/>
    <n v="5374736.842105263"/>
    <n v="4995000"/>
    <n v="100"/>
    <n v="100"/>
    <n v="100"/>
    <n v="0"/>
    <n v="0"/>
    <n v="3359210.526315789"/>
    <n v="3359210.526315789"/>
    <n v="0"/>
    <n v="100"/>
    <n v="3359210.526315789"/>
    <n v="9327731.092436975"/>
    <n v="36"/>
    <n v="0"/>
    <n v="36"/>
    <n v="0"/>
    <m/>
    <n v="0"/>
    <n v="1332000"/>
    <n v="0"/>
    <n v="0"/>
    <n v="0"/>
    <n v="3357983.193277311"/>
  </r>
  <r>
    <m/>
    <x v="3"/>
    <x v="27"/>
    <x v="71"/>
    <s v="XRCOOLPORT20-GR"/>
    <x v="605"/>
    <x v="443"/>
    <x v="0"/>
    <x v="2"/>
    <n v="1"/>
    <x v="12"/>
    <n v="0"/>
    <m/>
    <n v="0"/>
    <n v="19000"/>
    <n v="0"/>
    <n v="16.66666666666667"/>
    <n v="19000"/>
    <n v="47899.15966386555"/>
    <n v="40714.28571428571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3"/>
    <x v="27"/>
    <x v="71"/>
    <s v="XRCOOLPOR50-BK"/>
    <x v="606"/>
    <x v="444"/>
    <x v="0"/>
    <x v="2"/>
    <n v="1"/>
    <x v="12"/>
    <n v="0"/>
    <m/>
    <n v="0"/>
    <n v="38808"/>
    <n v="0"/>
    <n v="34.04210526315789"/>
    <n v="38808"/>
    <n v="97835.29411764706"/>
    <n v="83160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200"/>
    <n v="200"/>
    <n v="0"/>
    <n v="0"/>
    <n v="704671.5789473683"/>
    <n v="7046715.789473683"/>
    <n v="0"/>
    <n v="0"/>
    <n v="0"/>
    <n v="1956705.882352941"/>
    <n v="50"/>
    <n v="200"/>
    <n v="50"/>
    <n v="0"/>
    <n v="0"/>
    <n v="0"/>
    <n v="200"/>
    <n v="7046715.789473683"/>
    <n v="1761678.947368421"/>
    <n v="0"/>
    <n v="7046715.789473683"/>
    <n v="200"/>
    <n v="14093431.57894737"/>
    <n v="4158000"/>
    <n v="70"/>
    <n v="150"/>
    <n v="70"/>
    <m/>
    <n v="0"/>
    <n v="5285036.842105262"/>
    <n v="2466350.526315789"/>
    <n v="0"/>
    <n v="0"/>
    <n v="150"/>
    <n v="5285036.842105262"/>
    <n v="6112260"/>
    <n v="120"/>
    <n v="80"/>
    <n v="120"/>
    <n v="0"/>
    <n v="0"/>
    <n v="2818686.315789473"/>
    <n v="4228029.473684209"/>
    <n v="0"/>
    <n v="80"/>
    <n v="2818686.315789473"/>
    <n v="11740235.29411765"/>
    <n v="42"/>
    <n v="0"/>
    <n v="42"/>
    <n v="0"/>
    <m/>
    <n v="0"/>
    <n v="1629936"/>
    <n v="0"/>
    <n v="0"/>
    <n v="0"/>
    <n v="4109082.352941177"/>
  </r>
  <r>
    <m/>
    <x v="3"/>
    <x v="27"/>
    <x v="71"/>
    <s v="XRCOOLPORTF40-GR"/>
    <x v="607"/>
    <x v="445"/>
    <x v="0"/>
    <x v="2"/>
    <n v="1"/>
    <x v="12"/>
    <n v="0"/>
    <m/>
    <n v="0"/>
    <n v="85848"/>
    <n v="0"/>
    <n v="75.30526315789474"/>
    <n v="85848"/>
    <n v="216423.5294117647"/>
    <n v="183960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100"/>
    <n v="100"/>
    <n v="0"/>
    <n v="0"/>
    <n v="389704.7368421053"/>
    <n v="7794094.736842105"/>
    <n v="0"/>
    <n v="0"/>
    <n v="0"/>
    <n v="1082117.647058824"/>
    <n v="15"/>
    <n v="100"/>
    <n v="15"/>
    <n v="0"/>
    <n v="0"/>
    <n v="0"/>
    <n v="100"/>
    <n v="7794094.736842105"/>
    <n v="1169114.210526316"/>
    <n v="0"/>
    <n v="7794094.736842105"/>
    <n v="100"/>
    <n v="15588189.47368421"/>
    <n v="2759400"/>
    <n v="25"/>
    <n v="85"/>
    <n v="25"/>
    <m/>
    <n v="0"/>
    <n v="6624980.52631579"/>
    <n v="1948523.684210526"/>
    <n v="0"/>
    <n v="0"/>
    <n v="85"/>
    <n v="6624980.52631579"/>
    <n v="4828950"/>
    <n v="40"/>
    <n v="60"/>
    <n v="40"/>
    <n v="0"/>
    <n v="0"/>
    <n v="4676456.842105263"/>
    <n v="3117637.894736842"/>
    <n v="0"/>
    <n v="60"/>
    <n v="4676456.842105263"/>
    <n v="8656941.176470589"/>
    <n v="15"/>
    <n v="20"/>
    <n v="15"/>
    <n v="0"/>
    <m/>
    <n v="1558818.947368421"/>
    <n v="1287720"/>
    <n v="0"/>
    <n v="20"/>
    <n v="1558818.947368421"/>
    <n v="3246352.941176471"/>
  </r>
  <r>
    <m/>
    <x v="3"/>
    <x v="27"/>
    <x v="71"/>
    <s v="XRESTAENER-OG"/>
    <x v="608"/>
    <x v="446"/>
    <x v="0"/>
    <x v="1"/>
    <n v="1"/>
    <x v="374"/>
    <n v="0"/>
    <m/>
    <n v="0"/>
    <n v="92122"/>
    <n v="0"/>
    <n v="92"/>
    <n v="100510"/>
    <n v="168058.8235294118"/>
    <n v="109235.2941176471"/>
    <s v="Shenzhen"/>
    <s v="30/70"/>
    <n v="30"/>
    <n v="200"/>
    <n v="0"/>
    <s v=""/>
    <n v="1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s v=""/>
    <n v="0"/>
    <s v=""/>
    <n v="1"/>
    <s v=""/>
    <n v="2"/>
    <s v=""/>
    <n v="0.1333333333333333"/>
    <n v="4"/>
    <s v=""/>
    <n v="0.8"/>
    <n v="11"/>
    <s v=""/>
    <n v="2.2"/>
    <n v="65"/>
    <s v=""/>
    <n v="13"/>
    <n v="10"/>
    <n v="50"/>
    <n v="10"/>
    <n v="0"/>
    <n v="100"/>
    <n v="0"/>
    <n v="1013342"/>
    <n v="4760999.999999999"/>
    <n v="921220"/>
    <n v="0"/>
    <n v="0"/>
    <n v="0"/>
    <n v="1412259.021255561"/>
    <n v="10"/>
    <n v="48"/>
    <n v="0"/>
    <n v="0"/>
    <n v="0"/>
    <n v="0"/>
    <n v="276366"/>
    <n v="4570559.999999999"/>
    <n v="0"/>
    <n v="0"/>
    <n v="0"/>
    <n v="0"/>
    <n v="0"/>
    <n v="10"/>
    <n v="95"/>
    <n v="1"/>
    <n v="0"/>
    <n v="0"/>
    <n v="752466"/>
    <n v="8751590"/>
    <n v="92122"/>
    <n v="0"/>
    <n v="0"/>
    <n v="0"/>
    <n v="168058.8235294118"/>
    <n v="15"/>
    <n v="97"/>
    <n v="2"/>
    <n v="0"/>
    <n v="0"/>
    <n v="9236339.999999998"/>
    <n v="184244"/>
    <n v="0"/>
    <n v="0"/>
    <n v="0"/>
    <n v="0"/>
    <n v="336117.6470588236"/>
    <n v="5"/>
    <n v="4"/>
    <n v="5"/>
    <m/>
    <n v="0"/>
    <n v="0"/>
    <n v="368488"/>
    <n v="476099.9999999999"/>
    <n v="0"/>
    <n v="0"/>
    <n v="0"/>
    <n v="0"/>
    <n v="840294.1176470589"/>
    <n v="5"/>
    <n v="11"/>
    <n v="11"/>
    <m/>
    <n v="0"/>
    <n v="0"/>
    <n v="1013342"/>
    <n v="1047420"/>
    <n v="0"/>
    <n v="0"/>
    <n v="11"/>
    <n v="0"/>
    <n v="1848647.05882353"/>
    <n v="5"/>
    <n v="65"/>
    <n v="5"/>
    <n v="0"/>
    <n v="0"/>
    <n v="0"/>
    <n v="5987930"/>
    <n v="476099.9999999999"/>
    <n v="0"/>
    <n v="0"/>
    <n v="65"/>
    <n v="0"/>
    <n v="840294.1176470589"/>
    <n v="5"/>
    <n v="60"/>
    <n v="5"/>
    <n v="0"/>
    <n v="0"/>
    <n v="0"/>
    <n v="5527320"/>
    <n v="476099.9999999999"/>
    <n v="0"/>
    <n v="0"/>
    <n v="60"/>
    <n v="5527320"/>
    <n v="840294.1176470589"/>
    <n v="5"/>
    <n v="55"/>
    <n v="5"/>
    <n v="0"/>
    <n v="0"/>
    <m/>
    <n v="5237099.999999999"/>
    <n v="476099.9999999999"/>
    <n v="0"/>
    <n v="0"/>
    <n v="55"/>
    <n v="5237099.999999999"/>
    <n v="840294.1176470589"/>
    <n v="5"/>
    <n v="50"/>
    <n v="5"/>
    <n v="0"/>
    <n v="0"/>
    <n v="0"/>
    <m/>
    <n v="4760999.999999999"/>
    <n v="476099.9999999999"/>
    <n v="0"/>
    <n v="0"/>
    <n v="50"/>
    <n v="4760999.999999999"/>
    <n v="546176.4705882353"/>
    <n v="5"/>
    <n v="45"/>
    <n v="5"/>
    <m/>
    <n v="0"/>
    <n v="4284899.999999999"/>
    <n v="476099.9999999999"/>
    <n v="0"/>
    <n v="0"/>
    <n v="45"/>
    <n v="4284899.999999999"/>
    <n v="573485.2941176471"/>
    <n v="5"/>
    <n v="40"/>
    <n v="5"/>
    <n v="0"/>
    <n v="0"/>
    <n v="3808800"/>
    <n v="476099.9999999999"/>
    <n v="0"/>
    <n v="40"/>
    <n v="3808800"/>
    <n v="840294.1176470589"/>
    <n v="3"/>
    <n v="35"/>
    <n v="3"/>
    <n v="0"/>
    <m/>
    <n v="3332700"/>
    <n v="276366"/>
    <n v="0"/>
    <n v="35"/>
    <n v="3332700"/>
    <n v="504176.4705882353"/>
  </r>
  <r>
    <m/>
    <x v="3"/>
    <x v="27"/>
    <x v="71"/>
    <s v="XRCARINF34-CL"/>
    <x v="609"/>
    <x v="447"/>
    <x v="0"/>
    <x v="2"/>
    <n v="1"/>
    <x v="12"/>
    <n v="0"/>
    <m/>
    <n v="0"/>
    <n v="164640"/>
    <n v="0"/>
    <n v="144.421052631579"/>
    <n v="164640"/>
    <n v="415058.8235294118"/>
    <n v="352800"/>
    <s v="Shenzhen"/>
    <s v="30/7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0"/>
    <n v="20"/>
    <n v="0"/>
    <n v="0"/>
    <n v="298951.5789473684"/>
    <n v="2989515.789473685"/>
    <n v="0"/>
    <n v="0"/>
    <n v="0"/>
    <n v="830117.6470588236"/>
    <n v="5"/>
    <n v="20"/>
    <n v="5"/>
    <n v="0"/>
    <n v="0"/>
    <n v="0"/>
    <n v="20"/>
    <n v="2989515.789473685"/>
    <n v="747378.9473684211"/>
    <n v="0"/>
    <n v="2989515.789473685"/>
    <n v="20"/>
    <n v="5979031.578947369"/>
    <n v="1764000"/>
    <n v="7"/>
    <n v="15"/>
    <n v="7"/>
    <m/>
    <n v="0"/>
    <n v="2242136.842105263"/>
    <n v="1046330.526315789"/>
    <n v="0"/>
    <n v="0"/>
    <n v="15"/>
    <n v="2242136.842105263"/>
    <n v="2593080"/>
    <n v="10"/>
    <n v="8"/>
    <n v="10"/>
    <n v="0"/>
    <n v="0"/>
    <n v="1195806.315789474"/>
    <n v="1494757.894736842"/>
    <n v="0"/>
    <n v="8"/>
    <n v="1195806.315789474"/>
    <n v="4150588.235294118"/>
    <n v="4.2"/>
    <n v="0"/>
    <n v="4.2"/>
    <n v="0"/>
    <m/>
    <n v="0"/>
    <n v="691488"/>
    <n v="0"/>
    <n v="0"/>
    <n v="0"/>
    <n v="1743247.05882353"/>
  </r>
  <r>
    <m/>
    <x v="3"/>
    <x v="27"/>
    <x v="71"/>
    <s v="XRCARINF68-CL"/>
    <x v="610"/>
    <x v="448"/>
    <x v="0"/>
    <x v="2"/>
    <n v="1"/>
    <x v="12"/>
    <n v="0"/>
    <m/>
    <n v="0"/>
    <n v="211680"/>
    <n v="0"/>
    <n v="185.6842105263158"/>
    <n v="211680"/>
    <n v="533647.0588235294"/>
    <n v="453600"/>
    <s v="Shenzhen"/>
    <s v="30/7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3"/>
    <x v="27"/>
    <x v="71"/>
    <s v="XRCARAA10-CL"/>
    <x v="611"/>
    <x v="449"/>
    <x v="0"/>
    <x v="2"/>
    <n v="1"/>
    <x v="12"/>
    <n v="0"/>
    <m/>
    <n v="0"/>
    <n v="94080"/>
    <n v="0"/>
    <n v="82.52631578947368"/>
    <n v="94080"/>
    <n v="237176.4705882353"/>
    <n v="201600"/>
    <s v="Shenzhen"/>
    <s v="30/70"/>
    <n v="30"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3"/>
    <x v="27"/>
    <x v="71"/>
    <s v="XRQUITCD-CL"/>
    <x v="612"/>
    <x v="450"/>
    <x v="0"/>
    <x v="2"/>
    <n v="1"/>
    <x v="12"/>
    <n v="0"/>
    <m/>
    <n v="0"/>
    <n v="9407.999999999998"/>
    <n v="0"/>
    <n v="8.252631578947367"/>
    <n v="9407.999999999998"/>
    <n v="23717.64705882352"/>
    <n v="20160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3"/>
    <x v="27"/>
    <x v="71"/>
    <s v="XRCOLINF2P-CL"/>
    <x v="613"/>
    <x v="451"/>
    <x v="0"/>
    <x v="2"/>
    <n v="1"/>
    <x v="12"/>
    <n v="0"/>
    <m/>
    <n v="0"/>
    <n v="19992"/>
    <n v="0"/>
    <n v="17.53684210526316"/>
    <n v="19992"/>
    <n v="50400"/>
    <n v="42840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3"/>
    <x v="27"/>
    <x v="71"/>
    <s v="XRCARRTRACT-CL"/>
    <x v="614"/>
    <x v="452"/>
    <x v="0"/>
    <x v="2"/>
    <n v="1"/>
    <x v="12"/>
    <n v="0"/>
    <m/>
    <n v="0"/>
    <n v="25650"/>
    <n v="0"/>
    <n v="22.5"/>
    <n v="25650"/>
    <n v="64663.86554621849"/>
    <n v="54964.28571428572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200"/>
    <n v="200"/>
    <n v="0"/>
    <n v="0"/>
    <n v="232875"/>
    <n v="4657500"/>
    <n v="0"/>
    <n v="0"/>
    <n v="0"/>
    <n v="646638.6554621849"/>
    <n v="25"/>
    <n v="200"/>
    <n v="25"/>
    <n v="0"/>
    <n v="0"/>
    <n v="0"/>
    <n v="200"/>
    <n v="4657500"/>
    <n v="582187.5"/>
    <n v="0"/>
    <n v="4657500"/>
    <n v="200"/>
    <n v="9315000"/>
    <n v="1374107.142857143"/>
    <n v="35"/>
    <n v="175"/>
    <n v="35"/>
    <m/>
    <n v="0"/>
    <n v="4075312.5"/>
    <n v="815062.5"/>
    <n v="0"/>
    <n v="0"/>
    <n v="175"/>
    <n v="4075312.5"/>
    <n v="2019937.5"/>
    <n v="60"/>
    <n v="140"/>
    <n v="60"/>
    <n v="0"/>
    <n v="0"/>
    <n v="3260250"/>
    <n v="1397250"/>
    <n v="0"/>
    <n v="140"/>
    <n v="3260250"/>
    <n v="3879831.93277311"/>
    <n v="21"/>
    <n v="80"/>
    <n v="21"/>
    <n v="0"/>
    <m/>
    <n v="1863000"/>
    <n v="538650"/>
    <n v="0"/>
    <n v="80"/>
    <n v="1863000"/>
    <n v="1357941.176470588"/>
  </r>
  <r>
    <s v="Dynamo-Herramientas Eléctricas"/>
    <x v="4"/>
    <x v="28"/>
    <x v="72"/>
    <s v="DYNHYDLA"/>
    <x v="615"/>
    <x v="453"/>
    <x v="0"/>
    <x v="6"/>
    <n v="1"/>
    <x v="12"/>
    <n v="-1"/>
    <m/>
    <n v="0"/>
    <n v="32555"/>
    <n v="-32555"/>
    <n v="28"/>
    <n v="30590"/>
    <n v="58815.12605042017"/>
    <n v="58815.12605042017"/>
    <s v="Shenzhen"/>
    <s v="30/70"/>
    <n v="30"/>
    <n v="10"/>
    <n v="0"/>
    <s v=""/>
    <n v="0"/>
    <s v=""/>
    <n v="3"/>
    <n v="0.4967810088397556"/>
    <n v="7"/>
    <n v="0.4876330283904215"/>
    <n v="6"/>
    <n v="0.506643270968446"/>
    <n v="16"/>
    <n v="0.4479282503016295"/>
    <n v="9"/>
    <n v="0.4429889447494357"/>
    <n v="17"/>
    <n v="0.3820969685000308"/>
    <n v="22"/>
    <n v="0.3133755410941272"/>
    <n v="41"/>
    <n v="0.2420444516341229"/>
    <n v="4"/>
    <n v="0.5000684897322988"/>
    <n v="6"/>
    <n v="0.3281140895503906"/>
    <n v="1"/>
    <s v=""/>
    <n v="25"/>
    <s v=""/>
    <n v="4"/>
    <s v=""/>
    <n v="0"/>
    <s v=""/>
    <n v="0"/>
    <n v="0"/>
    <s v=""/>
    <n v="0"/>
    <n v="1"/>
    <s v=""/>
    <n v="0"/>
    <n v="0"/>
    <s v=""/>
    <n v="0"/>
    <n v="15"/>
    <n v="34"/>
    <n v="5"/>
    <n v="0"/>
    <m/>
    <n v="0"/>
    <n v="1513807.5"/>
    <n v="985319.9999999999"/>
    <n v="162775"/>
    <n v="0"/>
    <n v="-1"/>
    <n v="-32555"/>
    <n v="247122.37836311"/>
    <n v="10"/>
    <n v="33"/>
    <n v="37.5"/>
    <n v="0"/>
    <n v="0"/>
    <n v="0"/>
    <n v="1351032.5"/>
    <n v="956339.9999999999"/>
    <n v="1220812.5"/>
    <n v="0"/>
    <n v="-1"/>
    <n v="-32555"/>
    <n v="1853417.837723325"/>
    <n v="10"/>
    <n v="5"/>
    <n v="4"/>
    <n v="0"/>
    <n v="0"/>
    <n v="130220"/>
    <n v="162775"/>
    <n v="130220"/>
    <n v="0"/>
    <n v="-1"/>
    <n v="-32555"/>
    <n v="235260.5042016807"/>
    <n v="5"/>
    <n v="2"/>
    <n v="0"/>
    <n v="0"/>
    <n v="0"/>
    <n v="57959.99999999999"/>
    <n v="0"/>
    <n v="0"/>
    <n v="0"/>
    <n v="-1"/>
    <n v="-32555"/>
    <n v="0"/>
    <n v="0"/>
    <n v="-1"/>
    <n v="0"/>
    <m/>
    <n v="0"/>
    <n v="0"/>
    <n v="-32555"/>
    <n v="0"/>
    <n v="0"/>
    <n v="0"/>
    <n v="-1"/>
    <n v="-32555"/>
    <n v="0"/>
    <n v="0"/>
    <n v="0"/>
    <n v="1"/>
    <m/>
    <n v="0"/>
    <n v="0"/>
    <n v="0"/>
    <n v="28980"/>
    <n v="0"/>
    <n v="0"/>
    <n v="0"/>
    <n v="-32555"/>
    <n v="58815.12605042017"/>
    <n v="0"/>
    <n v="-1"/>
    <n v="0"/>
    <n v="0"/>
    <n v="0"/>
    <n v="0"/>
    <n v="-32555"/>
    <n v="0"/>
    <n v="0"/>
    <n v="0"/>
    <n v="-1"/>
    <n v="-32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Dynamo-Herramientas Eléctricas"/>
    <x v="4"/>
    <x v="28"/>
    <x v="73"/>
    <s v="DYNLLAIMP"/>
    <x v="616"/>
    <x v="454"/>
    <x v="0"/>
    <x v="4"/>
    <n v="0.8"/>
    <x v="375"/>
    <n v="243"/>
    <m/>
    <n v="0"/>
    <n v="25908"/>
    <n v="6295644"/>
    <n v="23"/>
    <n v="25127.5"/>
    <n v="50411.76470588236"/>
    <n v="42008.40336134454"/>
    <s v="Shenzhen"/>
    <s v="30/70"/>
    <n v="30"/>
    <n v="10"/>
    <n v="0"/>
    <s v=""/>
    <n v="0"/>
    <s v=""/>
    <n v="6"/>
    <n v="0.5275428955478242"/>
    <n v="2"/>
    <n v="0.5258505955021671"/>
    <n v="7"/>
    <n v="0.462856665755393"/>
    <n v="37"/>
    <n v="0.4439849068496023"/>
    <n v="11"/>
    <n v="0.4616790335748903"/>
    <n v="7"/>
    <n v="0.3893924101741112"/>
    <n v="24"/>
    <n v="0.478121848321637"/>
    <n v="160"/>
    <n v="0.3217685696222699"/>
    <n v="57"/>
    <n v="0.4735935911163412"/>
    <n v="15"/>
    <n v="0.4225752114473266"/>
    <n v="29"/>
    <s v=""/>
    <n v="8"/>
    <s v=""/>
    <n v="5"/>
    <s v=""/>
    <n v="0"/>
    <s v=""/>
    <n v="0"/>
    <n v="2"/>
    <s v=""/>
    <n v="0.08"/>
    <n v="6"/>
    <s v=""/>
    <n v="0.1333333333333333"/>
    <n v="6"/>
    <s v=""/>
    <n v="0.15"/>
    <n v="35"/>
    <n v="98"/>
    <n v="15"/>
    <n v="0"/>
    <m/>
    <n v="0"/>
    <n v="829056"/>
    <n v="2332890"/>
    <n v="388620"/>
    <n v="0"/>
    <n v="243"/>
    <n v="6295644"/>
    <n v="635442.4122590213"/>
    <n v="25"/>
    <n v="70"/>
    <n v="12"/>
    <n v="0"/>
    <n v="0"/>
    <n v="0"/>
    <n v="440436"/>
    <n v="1666350"/>
    <n v="310896"/>
    <n v="0"/>
    <n v="243"/>
    <n v="6295644"/>
    <n v="508353.9298072171"/>
    <n v="24"/>
    <n v="61"/>
    <n v="5"/>
    <n v="0"/>
    <n v="0"/>
    <n v="605640"/>
    <n v="1580388"/>
    <n v="129540"/>
    <n v="0"/>
    <n v="243"/>
    <n v="6295644"/>
    <n v="252058.8235294118"/>
    <n v="20"/>
    <n v="57"/>
    <n v="0"/>
    <n v="0"/>
    <n v="0"/>
    <n v="1356885"/>
    <n v="0"/>
    <n v="0"/>
    <n v="0"/>
    <n v="243"/>
    <n v="6295644"/>
    <n v="0"/>
    <n v="25"/>
    <n v="245"/>
    <n v="20"/>
    <n v="50"/>
    <n v="50"/>
    <n v="0"/>
    <n v="6347460"/>
    <n v="476099.9999999999"/>
    <n v="1190250"/>
    <n v="0"/>
    <n v="243"/>
    <n v="6295644"/>
    <n v="1008235.294117647"/>
    <n v="45"/>
    <n v="249"/>
    <n v="6"/>
    <m/>
    <n v="50"/>
    <n v="0"/>
    <n v="6451092"/>
    <n v="142830"/>
    <n v="0"/>
    <n v="0"/>
    <n v="249"/>
    <n v="6295644"/>
    <n v="302470.5882352942"/>
    <n v="40"/>
    <n v="249"/>
    <n v="32"/>
    <n v="150"/>
    <n v="150"/>
    <n v="0"/>
    <n v="6451092"/>
    <n v="761759.9999999999"/>
    <n v="3451725"/>
    <n v="0"/>
    <n v="249"/>
    <n v="6295644"/>
    <n v="1613176.470588235"/>
    <n v="30"/>
    <n v="217"/>
    <n v="24"/>
    <n v="0"/>
    <n v="0"/>
    <n v="0"/>
    <n v="5622036"/>
    <n v="571319.9999999999"/>
    <n v="0"/>
    <n v="0"/>
    <n v="217"/>
    <n v="5622036"/>
    <n v="1209882.352941177"/>
    <n v="35"/>
    <n v="193"/>
    <n v="28"/>
    <n v="0"/>
    <n v="0"/>
    <m/>
    <n v="4594364.999999999"/>
    <n v="666539.9999999999"/>
    <n v="0"/>
    <n v="0"/>
    <n v="193"/>
    <n v="4594364.999999999"/>
    <n v="1411529.411764706"/>
    <n v="150"/>
    <n v="165"/>
    <n v="120"/>
    <n v="0"/>
    <n v="0"/>
    <n v="0"/>
    <m/>
    <n v="3927825"/>
    <n v="2856600"/>
    <n v="0"/>
    <n v="0"/>
    <n v="165"/>
    <n v="3927825"/>
    <n v="5041008.403361345"/>
    <n v="60"/>
    <n v="45"/>
    <n v="48"/>
    <n v="0"/>
    <n v="0"/>
    <n v="1071225"/>
    <n v="1142640"/>
    <n v="0"/>
    <n v="0"/>
    <n v="45"/>
    <n v="1071225"/>
    <n v="2117223.529411765"/>
    <n v="100"/>
    <n v="0"/>
    <n v="80"/>
    <n v="0"/>
    <n v="0"/>
    <n v="0"/>
    <n v="1904400"/>
    <n v="0"/>
    <n v="0"/>
    <n v="0"/>
    <n v="4032941.176470588"/>
    <n v="36"/>
    <n v="0"/>
    <n v="28.8"/>
    <n v="0"/>
    <m/>
    <n v="0"/>
    <n v="746150.4"/>
    <n v="0"/>
    <n v="0"/>
    <n v="0"/>
    <n v="1451858.823529412"/>
  </r>
  <r>
    <s v="Dynamo-Herramientas Eléctricas"/>
    <x v="4"/>
    <x v="28"/>
    <x v="73"/>
    <s v="DYNTALSPER"/>
    <x v="617"/>
    <x v="455"/>
    <x v="0"/>
    <x v="3"/>
    <n v="1.3"/>
    <x v="376"/>
    <n v="88"/>
    <m/>
    <n v="0"/>
    <n v="10942"/>
    <n v="962896"/>
    <n v="10.5"/>
    <n v="11471.25"/>
    <n v="25201.68067226891"/>
    <n v="21000"/>
    <s v="Shenzhen"/>
    <s v="30/70"/>
    <n v="30"/>
    <n v="10"/>
    <n v="0"/>
    <s v=""/>
    <n v="0"/>
    <s v=""/>
    <n v="17"/>
    <n v="0.6068542975616895"/>
    <n v="34"/>
    <n v="0.5735096429220393"/>
    <n v="50"/>
    <n v="0.577164970481176"/>
    <n v="200"/>
    <n v="0.5837700790744156"/>
    <n v="167"/>
    <n v="0.5384877634465565"/>
    <n v="202"/>
    <n v="0.5102385653788655"/>
    <n v="76"/>
    <n v="0.559472083426159"/>
    <n v="107"/>
    <n v="0.585493914239592"/>
    <n v="62"/>
    <n v="0.5359748838693587"/>
    <n v="139"/>
    <n v="0.5695755182893515"/>
    <n v="99"/>
    <s v=""/>
    <n v="33"/>
    <s v=""/>
    <n v="26"/>
    <s v=""/>
    <n v="55"/>
    <s v=""/>
    <n v="1.833333333333333"/>
    <n v="176"/>
    <s v=""/>
    <n v="2.514285714285714"/>
    <n v="199"/>
    <s v=""/>
    <n v="0.995"/>
    <n v="278"/>
    <s v=""/>
    <n v="1.7375"/>
    <n v="75"/>
    <n v="126"/>
    <n v="120"/>
    <n v="0"/>
    <m/>
    <n v="0"/>
    <n v="2139161"/>
    <n v="1369305"/>
    <n v="1313040"/>
    <n v="0"/>
    <n v="88"/>
    <n v="962896"/>
    <n v="2541345.950144764"/>
    <n v="6"/>
    <n v="48"/>
    <n v="49.5"/>
    <n v="300"/>
    <n v="300"/>
    <n v="0"/>
    <n v="1427931"/>
    <n v="521640"/>
    <n v="541629"/>
    <n v="0"/>
    <n v="88"/>
    <n v="962896"/>
    <n v="1048305.204434715"/>
    <n v="120"/>
    <n v="114"/>
    <n v="26"/>
    <n v="0"/>
    <n v="0"/>
    <n v="1875244.5"/>
    <n v="1247388"/>
    <n v="284492"/>
    <n v="0"/>
    <n v="88"/>
    <n v="962896"/>
    <n v="655243.6974789916"/>
    <n v="30"/>
    <n v="286"/>
    <n v="55"/>
    <n v="0"/>
    <n v="0"/>
    <n v="3108105"/>
    <n v="601810"/>
    <n v="0"/>
    <n v="0"/>
    <n v="88"/>
    <n v="962896"/>
    <n v="1386092.43697479"/>
    <n v="70"/>
    <n v="264"/>
    <n v="91"/>
    <n v="70"/>
    <n v="70"/>
    <n v="0"/>
    <n v="2888688"/>
    <n v="988942.5"/>
    <n v="760725"/>
    <n v="0"/>
    <n v="88"/>
    <n v="962896"/>
    <n v="2293352.94117647"/>
    <n v="200"/>
    <n v="287"/>
    <n v="199"/>
    <m/>
    <n v="70"/>
    <n v="0"/>
    <n v="3140354"/>
    <n v="2162632.5"/>
    <n v="0"/>
    <n v="0"/>
    <n v="287"/>
    <n v="962896"/>
    <n v="5015134.453781513"/>
    <n v="160"/>
    <n v="366"/>
    <n v="208"/>
    <n v="400"/>
    <n v="400"/>
    <n v="0"/>
    <n v="4004772"/>
    <n v="2260440"/>
    <n v="4202100"/>
    <n v="0"/>
    <n v="366"/>
    <n v="962896"/>
    <n v="5241949.579831933"/>
    <n v="200"/>
    <n v="158"/>
    <n v="260"/>
    <n v="150"/>
    <n v="150"/>
    <n v="0"/>
    <n v="1728836"/>
    <n v="2825550"/>
    <n v="1630125"/>
    <n v="0"/>
    <n v="308"/>
    <n v="1728836"/>
    <n v="6552436.974789916"/>
    <n v="120"/>
    <n v="0"/>
    <n v="156"/>
    <n v="0"/>
    <n v="0"/>
    <n v="150"/>
    <n v="0"/>
    <n v="1695330"/>
    <n v="0"/>
    <n v="1630125"/>
    <n v="150"/>
    <n v="1630125"/>
    <n v="3931462.18487395"/>
    <n v="150"/>
    <n v="0"/>
    <n v="0"/>
    <n v="300"/>
    <n v="300"/>
    <n v="300"/>
    <n v="0"/>
    <n v="0"/>
    <n v="0"/>
    <n v="3260250"/>
    <n v="3260250"/>
    <n v="300"/>
    <n v="3260250"/>
    <n v="0"/>
    <n v="100"/>
    <n v="300"/>
    <n v="130"/>
    <n v="0"/>
    <n v="0"/>
    <n v="3260250"/>
    <n v="1412775"/>
    <n v="0"/>
    <n v="0"/>
    <n v="300"/>
    <n v="3260250"/>
    <n v="2866500"/>
    <n v="150"/>
    <n v="170"/>
    <n v="195"/>
    <n v="200"/>
    <n v="200"/>
    <n v="1847475"/>
    <n v="2119162.5"/>
    <n v="2173500"/>
    <n v="370"/>
    <n v="4020975"/>
    <n v="4914327.731092437"/>
    <n v="60"/>
    <n v="175"/>
    <n v="78"/>
    <n v="0"/>
    <m/>
    <n v="1901812.5"/>
    <n v="853476"/>
    <n v="0"/>
    <n v="175"/>
    <n v="1901812.5"/>
    <n v="1965731.092436975"/>
  </r>
  <r>
    <s v="Dynamo-Herramientas Eléctricas"/>
    <x v="4"/>
    <x v="28"/>
    <x v="73"/>
    <s v="DYNTALSCA"/>
    <x v="618"/>
    <x v="455"/>
    <x v="0"/>
    <x v="3"/>
    <n v="0.6"/>
    <x v="377"/>
    <n v="210"/>
    <m/>
    <n v="0"/>
    <n v="8631"/>
    <n v="1812510"/>
    <n v="8"/>
    <n v="8740"/>
    <n v="16798.31932773109"/>
    <n v="16798.31932773109"/>
    <s v="Shenzhen"/>
    <s v="30/70"/>
    <n v="30"/>
    <n v="10"/>
    <n v="0"/>
    <s v=""/>
    <n v="0"/>
    <s v=""/>
    <n v="27"/>
    <n v="0.5173063776091851"/>
    <n v="96"/>
    <n v="0.540041383660377"/>
    <n v="19"/>
    <n v="0.5398095238095239"/>
    <n v="0"/>
    <n v="0.588147619047619"/>
    <n v="7"/>
    <n v="0.5973554798240521"/>
    <n v="26"/>
    <n v="0.5316814131417665"/>
    <n v="46"/>
    <n v="0.4935942388139592"/>
    <n v="218"/>
    <n v="0.4539929246998791"/>
    <n v="98"/>
    <n v="0.4715067341361987"/>
    <n v="48"/>
    <n v="0.4878499956629858"/>
    <n v="97"/>
    <s v=""/>
    <n v="186"/>
    <s v=""/>
    <n v="15"/>
    <s v=""/>
    <n v="3"/>
    <s v=""/>
    <n v="0.15"/>
    <n v="1"/>
    <s v=""/>
    <n v="0.01428571428571429"/>
    <n v="212"/>
    <s v=""/>
    <n v="1.413333333333333"/>
    <n v="77"/>
    <s v=""/>
    <n v="0.6416666666666667"/>
    <n v="50"/>
    <n v="308"/>
    <n v="60"/>
    <n v="0"/>
    <m/>
    <n v="0"/>
    <n v="3055374"/>
    <n v="2550240"/>
    <n v="517860"/>
    <n v="0"/>
    <n v="210"/>
    <n v="1812510"/>
    <n v="846974.0837511476"/>
    <n v="50"/>
    <n v="211"/>
    <n v="279"/>
    <n v="150"/>
    <n v="0"/>
    <n v="0"/>
    <n v="2563407"/>
    <n v="1747080"/>
    <n v="2408049"/>
    <n v="0"/>
    <n v="210"/>
    <n v="1812510"/>
    <n v="3938429.489442836"/>
    <n v="280"/>
    <n v="6"/>
    <n v="15"/>
    <n v="0"/>
    <n v="0"/>
    <n v="503118"/>
    <n v="51786"/>
    <n v="129465"/>
    <n v="0"/>
    <n v="210"/>
    <n v="1812510"/>
    <n v="251974.7899159664"/>
    <n v="20"/>
    <n v="5"/>
    <n v="3"/>
    <n v="0"/>
    <n v="0"/>
    <n v="41400"/>
    <n v="25893"/>
    <n v="0"/>
    <n v="0"/>
    <n v="210"/>
    <n v="1812510"/>
    <n v="50394.95798319328"/>
    <n v="70"/>
    <n v="211"/>
    <n v="42"/>
    <n v="100"/>
    <n v="100"/>
    <n v="0"/>
    <n v="1821141"/>
    <n v="347760"/>
    <n v="828000"/>
    <n v="0"/>
    <n v="210"/>
    <n v="1812510"/>
    <n v="705529.4117647059"/>
    <n v="150"/>
    <n v="422"/>
    <n v="212"/>
    <m/>
    <n v="250"/>
    <n v="0"/>
    <n v="3642282"/>
    <n v="1755360"/>
    <n v="0"/>
    <n v="0"/>
    <n v="422"/>
    <n v="1812510"/>
    <n v="3561243.697478992"/>
    <n v="120"/>
    <n v="287"/>
    <n v="72"/>
    <n v="250"/>
    <n v="250"/>
    <n v="0"/>
    <n v="2477097"/>
    <n v="596160"/>
    <n v="2001000"/>
    <n v="0"/>
    <n v="287"/>
    <n v="1812510"/>
    <n v="1209478.991596639"/>
    <n v="50"/>
    <n v="215"/>
    <n v="30"/>
    <n v="100"/>
    <n v="100"/>
    <n v="0"/>
    <n v="1855665"/>
    <n v="248400"/>
    <n v="828000"/>
    <n v="0"/>
    <n v="315"/>
    <n v="1855665"/>
    <n v="503949.5798319328"/>
    <n v="50"/>
    <n v="185"/>
    <n v="30"/>
    <n v="0"/>
    <n v="0"/>
    <n v="100"/>
    <n v="1531800"/>
    <n v="248400"/>
    <n v="0"/>
    <n v="828000"/>
    <n v="285"/>
    <n v="2359800"/>
    <n v="503949.5798319328"/>
    <n v="210"/>
    <n v="255"/>
    <n v="126"/>
    <n v="0"/>
    <n v="0"/>
    <n v="0"/>
    <m/>
    <n v="2111400"/>
    <n v="1043280"/>
    <n v="0"/>
    <n v="0"/>
    <n v="255"/>
    <n v="2111400"/>
    <n v="2116588.235294118"/>
    <n v="210"/>
    <n v="129"/>
    <n v="126"/>
    <n v="0"/>
    <n v="0"/>
    <n v="1068120"/>
    <n v="1043280"/>
    <n v="0"/>
    <n v="0"/>
    <n v="129"/>
    <n v="1068120"/>
    <n v="2222417.647058824"/>
    <n v="210"/>
    <n v="3"/>
    <n v="126"/>
    <n v="0"/>
    <n v="0"/>
    <n v="24840"/>
    <n v="1043280"/>
    <n v="0"/>
    <n v="3"/>
    <n v="24840"/>
    <n v="2116588.235294118"/>
    <n v="126"/>
    <n v="0"/>
    <n v="75.59999999999999"/>
    <n v="0"/>
    <m/>
    <n v="0"/>
    <n v="652503.6"/>
    <n v="0"/>
    <n v="0"/>
    <n v="0"/>
    <n v="1269952.941176471"/>
  </r>
  <r>
    <s v="Dynamo-Herramientas Eléctricas"/>
    <x v="4"/>
    <x v="28"/>
    <x v="73"/>
    <s v="DYNTALPOW"/>
    <x v="619"/>
    <x v="456"/>
    <x v="0"/>
    <x v="3"/>
    <n v="0.8"/>
    <x v="378"/>
    <n v="119"/>
    <m/>
    <n v="0"/>
    <n v="25079"/>
    <n v="2984401"/>
    <n v="23.5"/>
    <n v="25673.75"/>
    <n v="50411.76470588236"/>
    <n v="42008.40336134454"/>
    <s v="Shenzhen"/>
    <s v="30/70"/>
    <n v="30"/>
    <n v="10"/>
    <n v="0"/>
    <s v=""/>
    <n v="0"/>
    <s v=""/>
    <n v="19"/>
    <n v="0.4315235175383361"/>
    <n v="15"/>
    <n v="0.4636705594931163"/>
    <n v="7"/>
    <n v="0.5172668903517514"/>
    <n v="32"/>
    <n v="0.4581521502161229"/>
    <n v="7"/>
    <n v="0.5067112767352419"/>
    <n v="26"/>
    <n v="0.4917060607259834"/>
    <n v="16"/>
    <n v="0.3826190002312939"/>
    <n v="34"/>
    <n v="0.4392897816632065"/>
    <n v="27"/>
    <n v="0.4864530870333247"/>
    <n v="25"/>
    <n v="0.4991833859268914"/>
    <n v="22"/>
    <s v=""/>
    <n v="35"/>
    <s v=""/>
    <n v="23"/>
    <s v=""/>
    <n v="12"/>
    <s v=""/>
    <n v="0.8"/>
    <n v="4"/>
    <s v=""/>
    <n v="0.2666666666666667"/>
    <n v="33"/>
    <s v=""/>
    <n v="0.825"/>
    <n v="29"/>
    <s v=""/>
    <n v="1.16"/>
    <n v="20"/>
    <n v="88"/>
    <n v="16"/>
    <n v="0"/>
    <m/>
    <n v="0"/>
    <n v="2294728.5"/>
    <n v="2140380"/>
    <n v="401264"/>
    <n v="0"/>
    <n v="119"/>
    <n v="2984401"/>
    <n v="677805.2397429561"/>
    <n v="15"/>
    <n v="75"/>
    <n v="52.5"/>
    <n v="50"/>
    <n v="0"/>
    <n v="0"/>
    <n v="2194412.5"/>
    <n v="1824187.5"/>
    <n v="1316647.5"/>
    <n v="0"/>
    <n v="119"/>
    <n v="2984401"/>
    <n v="2224048.442906575"/>
    <n v="50"/>
    <n v="30"/>
    <n v="23"/>
    <n v="0"/>
    <n v="0"/>
    <n v="1169635"/>
    <n v="752370"/>
    <n v="576817"/>
    <n v="0"/>
    <n v="119"/>
    <n v="2984401"/>
    <n v="1159470.588235294"/>
    <n v="15"/>
    <n v="25"/>
    <n v="12"/>
    <n v="0"/>
    <n v="0"/>
    <n v="608062.4999999999"/>
    <n v="300948"/>
    <n v="0"/>
    <n v="0"/>
    <n v="119"/>
    <n v="2984401"/>
    <n v="604941.1764705883"/>
    <n v="15"/>
    <n v="123"/>
    <n v="12"/>
    <n v="30"/>
    <n v="30"/>
    <n v="0"/>
    <n v="3084717"/>
    <n v="291869.9999999999"/>
    <n v="729674.9999999999"/>
    <n v="0"/>
    <n v="119"/>
    <n v="2984401"/>
    <n v="604941.1764705883"/>
    <n v="40"/>
    <n v="152"/>
    <n v="33"/>
    <m/>
    <n v="80"/>
    <n v="0"/>
    <n v="3812008"/>
    <n v="802642.4999999999"/>
    <n v="0"/>
    <n v="0"/>
    <n v="152"/>
    <n v="2984401"/>
    <n v="1663588.235294118"/>
    <n v="25"/>
    <n v="148"/>
    <n v="20"/>
    <n v="100"/>
    <n v="100"/>
    <n v="0"/>
    <n v="3711692"/>
    <n v="486449.9999999999"/>
    <n v="2351175"/>
    <n v="0"/>
    <n v="148"/>
    <n v="2984401"/>
    <n v="1008235.294117647"/>
    <n v="30"/>
    <n v="128"/>
    <n v="24"/>
    <n v="0"/>
    <n v="0"/>
    <n v="0"/>
    <n v="3210112"/>
    <n v="583739.9999999999"/>
    <n v="0"/>
    <n v="0"/>
    <n v="128"/>
    <n v="3210112"/>
    <n v="1209882.352941177"/>
    <n v="16"/>
    <n v="104"/>
    <n v="12.8"/>
    <n v="0"/>
    <n v="0"/>
    <m/>
    <n v="2529540"/>
    <n v="311327.9999999999"/>
    <n v="0"/>
    <n v="0"/>
    <n v="104"/>
    <n v="2529540"/>
    <n v="645270.5882352942"/>
    <n v="35"/>
    <n v="91.2"/>
    <n v="28"/>
    <n v="0"/>
    <n v="0"/>
    <n v="0"/>
    <m/>
    <n v="2218212"/>
    <n v="681029.9999999999"/>
    <n v="0"/>
    <n v="0"/>
    <n v="91.2"/>
    <n v="2218212"/>
    <n v="1176235.294117647"/>
    <n v="25"/>
    <n v="63.2"/>
    <n v="20"/>
    <n v="0"/>
    <n v="0"/>
    <n v="1537182"/>
    <n v="486449.9999999999"/>
    <n v="0"/>
    <n v="0"/>
    <n v="63.2"/>
    <n v="1537182"/>
    <n v="882176.4705882354"/>
    <n v="30"/>
    <n v="43.2"/>
    <n v="24"/>
    <n v="0"/>
    <n v="0"/>
    <n v="1050732"/>
    <n v="583739.9999999999"/>
    <n v="0"/>
    <n v="43.2"/>
    <n v="1050732"/>
    <n v="1209882.352941177"/>
    <n v="15"/>
    <n v="19.2"/>
    <n v="12"/>
    <n v="0"/>
    <m/>
    <n v="466992"/>
    <n v="300948"/>
    <n v="0"/>
    <n v="19.2"/>
    <n v="466992"/>
    <n v="604941.1764705883"/>
  </r>
  <r>
    <s v="Dynamo-Herramientas Eléctricas"/>
    <x v="4"/>
    <x v="28"/>
    <x v="73"/>
    <s v="DYNTALCPER"/>
    <x v="620"/>
    <x v="457"/>
    <x v="0"/>
    <x v="0"/>
    <n v="1.5"/>
    <x v="379"/>
    <n v="88"/>
    <m/>
    <n v="0"/>
    <n v="11893"/>
    <n v="1046584"/>
    <n v="11"/>
    <n v="12017.5"/>
    <n v="25201.68067226891"/>
    <n v="22680.67226890757"/>
    <s v="Shenzhen"/>
    <s v="30/70"/>
    <n v="30"/>
    <n v="10"/>
    <n v="0"/>
    <s v=""/>
    <n v="0"/>
    <s v=""/>
    <n v="9"/>
    <n v="0.631328887583061"/>
    <n v="25"/>
    <n v="0.6680169456297448"/>
    <n v="24"/>
    <n v="0.6755984360603224"/>
    <n v="45"/>
    <n v="0.5472369533656074"/>
    <n v="21"/>
    <n v="0.6616756969626661"/>
    <n v="21"/>
    <n v="0.5956039550259358"/>
    <n v="61"/>
    <n v="0.5354165661118518"/>
    <n v="140"/>
    <n v="0.4819522952777636"/>
    <n v="99"/>
    <n v="0.4826776543604407"/>
    <n v="49"/>
    <n v="0.4842225079443421"/>
    <n v="2"/>
    <s v=""/>
    <n v="0"/>
    <s v=""/>
    <n v="15"/>
    <s v=""/>
    <n v="48"/>
    <s v=""/>
    <n v="2.4"/>
    <n v="88"/>
    <s v=""/>
    <n v="2.933333333333333"/>
    <n v="30"/>
    <s v=""/>
    <n v="0.6"/>
    <n v="51"/>
    <s v=""/>
    <n v="1.457142857142857"/>
    <n v="0"/>
    <n v="2"/>
    <n v="2"/>
    <n v="0"/>
    <m/>
    <n v="0"/>
    <n v="202181"/>
    <n v="22770"/>
    <n v="23786"/>
    <n v="0"/>
    <n v="88"/>
    <n v="1046584"/>
    <n v="42355.76583574607"/>
    <n v="0"/>
    <n v="0"/>
    <n v="0"/>
    <n v="150"/>
    <n v="150"/>
    <n v="0"/>
    <n v="749259"/>
    <n v="0"/>
    <n v="0"/>
    <n v="0"/>
    <n v="88"/>
    <n v="1046584"/>
    <n v="0"/>
    <n v="50"/>
    <n v="103"/>
    <n v="15"/>
    <n v="0"/>
    <n v="0"/>
    <n v="1261584"/>
    <n v="1224979"/>
    <n v="178395"/>
    <n v="0"/>
    <n v="88"/>
    <n v="1046584"/>
    <n v="378025.2100840336"/>
    <n v="20"/>
    <n v="132"/>
    <n v="48"/>
    <n v="0"/>
    <n v="0"/>
    <n v="1502820"/>
    <n v="570864"/>
    <n v="0"/>
    <n v="0"/>
    <n v="88"/>
    <n v="1046584"/>
    <n v="1209680.672268908"/>
    <n v="30"/>
    <n v="176"/>
    <n v="45"/>
    <n v="60"/>
    <n v="60"/>
    <n v="0"/>
    <n v="2093168"/>
    <n v="512325"/>
    <n v="683100"/>
    <n v="0"/>
    <n v="88"/>
    <n v="1046584"/>
    <n v="1134075.630252101"/>
    <n v="50"/>
    <n v="118"/>
    <n v="30"/>
    <m/>
    <n v="60"/>
    <n v="0"/>
    <n v="1403374"/>
    <n v="341550"/>
    <n v="0"/>
    <n v="0"/>
    <n v="118"/>
    <n v="1046584"/>
    <n v="756050.4201680672"/>
    <n v="35"/>
    <n v="139"/>
    <n v="52.5"/>
    <n v="150"/>
    <n v="150"/>
    <n v="0"/>
    <n v="1653127"/>
    <n v="597712.5"/>
    <n v="1650825"/>
    <n v="0"/>
    <n v="139"/>
    <n v="1046584"/>
    <n v="1323088.235294118"/>
    <n v="25"/>
    <n v="86.5"/>
    <n v="37.5"/>
    <n v="0"/>
    <n v="0"/>
    <n v="0"/>
    <n v="1028744.5"/>
    <n v="426937.5"/>
    <n v="0"/>
    <n v="0"/>
    <n v="86.5"/>
    <n v="1028744.5"/>
    <n v="945063.025210084"/>
    <n v="60"/>
    <n v="49"/>
    <n v="90"/>
    <n v="0"/>
    <n v="0"/>
    <m/>
    <n v="557865"/>
    <n v="1024650"/>
    <n v="0"/>
    <n v="0"/>
    <n v="49"/>
    <n v="557865"/>
    <n v="2268151.260504202"/>
    <n v="140"/>
    <n v="0"/>
    <n v="0"/>
    <n v="350"/>
    <n v="350"/>
    <n v="350"/>
    <n v="0"/>
    <n v="0"/>
    <n v="0"/>
    <n v="3984750"/>
    <n v="3984750"/>
    <n v="350"/>
    <n v="3984750"/>
    <n v="0"/>
    <n v="100"/>
    <n v="350"/>
    <n v="150"/>
    <n v="0"/>
    <n v="0"/>
    <n v="3984750"/>
    <n v="1707750"/>
    <n v="0"/>
    <n v="0"/>
    <n v="350"/>
    <n v="3984750"/>
    <n v="3572205.882352942"/>
    <n v="80"/>
    <n v="200"/>
    <n v="120"/>
    <n v="150"/>
    <n v="150"/>
    <n v="2277000"/>
    <n v="1366200"/>
    <n v="1707750"/>
    <n v="350"/>
    <n v="3984750"/>
    <n v="3024201.680672269"/>
    <n v="60"/>
    <n v="230"/>
    <n v="90"/>
    <n v="0"/>
    <m/>
    <n v="2618550"/>
    <n v="1070370"/>
    <n v="0"/>
    <n v="230"/>
    <n v="2618550"/>
    <n v="2268151.260504202"/>
  </r>
  <r>
    <s v="Dynamo-Herramientas Eléctricas"/>
    <x v="4"/>
    <x v="28"/>
    <x v="73"/>
    <s v="DYNTALIMPA"/>
    <x v="621"/>
    <x v="458"/>
    <x v="0"/>
    <x v="0"/>
    <n v="0.8"/>
    <x v="380"/>
    <n v="115"/>
    <m/>
    <n v="0"/>
    <n v="39607"/>
    <n v="4554805"/>
    <n v="36.5"/>
    <n v="39876.25"/>
    <n v="75621.84873949581"/>
    <n v="58815.12605042017"/>
    <s v="Shenzhen"/>
    <s v="30/70"/>
    <n v="30"/>
    <n v="10"/>
    <n v="0"/>
    <s v=""/>
    <n v="0"/>
    <s v=""/>
    <n v="8"/>
    <n v="0.5055387063027932"/>
    <n v="10"/>
    <n v="0.551463985485395"/>
    <n v="13"/>
    <n v="0.5626803370731269"/>
    <n v="8"/>
    <n v="0.5000116739767881"/>
    <n v="6"/>
    <n v="0.533610514703996"/>
    <n v="18"/>
    <n v="0.4829458565690321"/>
    <n v="35"/>
    <n v="0.4773184841140812"/>
    <n v="56"/>
    <n v="0.4027733515342427"/>
    <n v="17"/>
    <n v="0.474533618327625"/>
    <n v="2"/>
    <n v="0.45505703003536"/>
    <n v="2"/>
    <s v=""/>
    <n v="0"/>
    <s v=""/>
    <n v="5"/>
    <s v=""/>
    <n v="4"/>
    <s v=""/>
    <n v="0.2666666666666667"/>
    <n v="3"/>
    <s v=""/>
    <n v="0.2"/>
    <n v="27"/>
    <s v=""/>
    <n v="0.9"/>
    <n v="13"/>
    <s v=""/>
    <n v="0.65"/>
    <n v="0"/>
    <n v="2"/>
    <n v="2"/>
    <n v="0"/>
    <m/>
    <n v="0"/>
    <n v="277249"/>
    <n v="75555"/>
    <n v="79214"/>
    <n v="0"/>
    <n v="115"/>
    <n v="4554805"/>
    <n v="127095.544099993"/>
    <n v="0"/>
    <n v="0"/>
    <n v="0"/>
    <n v="100"/>
    <n v="100"/>
    <n v="0"/>
    <n v="356463"/>
    <n v="0"/>
    <n v="0"/>
    <n v="0"/>
    <n v="115"/>
    <n v="4554805"/>
    <n v="0"/>
    <n v="20"/>
    <n v="120"/>
    <n v="5"/>
    <n v="0"/>
    <n v="0"/>
    <n v="809793"/>
    <n v="4752840"/>
    <n v="198035"/>
    <n v="0"/>
    <n v="115"/>
    <n v="4554805"/>
    <n v="378109.243697479"/>
    <n v="15"/>
    <n v="103"/>
    <n v="4"/>
    <n v="0"/>
    <n v="0"/>
    <n v="3891082.5"/>
    <n v="158428"/>
    <n v="0"/>
    <n v="0"/>
    <n v="115"/>
    <n v="4554805"/>
    <n v="302487.3949579832"/>
    <n v="15"/>
    <n v="118"/>
    <n v="12"/>
    <n v="0"/>
    <n v="0"/>
    <n v="0"/>
    <n v="4673626"/>
    <n v="453330"/>
    <n v="0"/>
    <n v="0"/>
    <n v="115"/>
    <n v="4554805"/>
    <n v="907462.1848739497"/>
    <n v="30"/>
    <n v="142"/>
    <n v="27"/>
    <m/>
    <n v="0"/>
    <n v="0"/>
    <n v="5624194"/>
    <n v="1019992.5"/>
    <n v="0"/>
    <n v="0"/>
    <n v="142"/>
    <n v="4554805"/>
    <n v="2041789.915966387"/>
    <n v="20"/>
    <n v="128"/>
    <n v="16"/>
    <n v="60"/>
    <n v="60"/>
    <n v="0"/>
    <n v="5069696"/>
    <n v="604440"/>
    <n v="2191095"/>
    <n v="0"/>
    <n v="128"/>
    <n v="4554805"/>
    <n v="1209949.579831933"/>
    <n v="25"/>
    <n v="112"/>
    <n v="20"/>
    <n v="0"/>
    <n v="0"/>
    <n v="0"/>
    <n v="4435984"/>
    <n v="755550"/>
    <n v="0"/>
    <n v="0"/>
    <n v="112"/>
    <n v="4435984"/>
    <n v="1512436.974789916"/>
    <n v="30"/>
    <n v="92"/>
    <n v="24"/>
    <n v="0"/>
    <n v="0"/>
    <m/>
    <n v="3475530"/>
    <n v="906660"/>
    <n v="0"/>
    <n v="0"/>
    <n v="92"/>
    <n v="3475530"/>
    <n v="1814924.369747899"/>
    <n v="55"/>
    <n v="68"/>
    <n v="44"/>
    <n v="0"/>
    <n v="0"/>
    <n v="0"/>
    <m/>
    <n v="2568870"/>
    <n v="1662210"/>
    <n v="0"/>
    <n v="0"/>
    <n v="68"/>
    <n v="2568870"/>
    <n v="2587865.546218487"/>
    <n v="35"/>
    <n v="24"/>
    <n v="28"/>
    <n v="0"/>
    <n v="0"/>
    <n v="906660"/>
    <n v="1057770"/>
    <n v="0"/>
    <n v="0"/>
    <n v="24"/>
    <n v="906660"/>
    <n v="1729164.705882353"/>
    <n v="45"/>
    <n v="0"/>
    <n v="36"/>
    <n v="0"/>
    <n v="0"/>
    <n v="0"/>
    <n v="1359990"/>
    <n v="0"/>
    <n v="0"/>
    <n v="0"/>
    <n v="2722386.554621849"/>
    <n v="21"/>
    <n v="0"/>
    <n v="16.8"/>
    <n v="0"/>
    <m/>
    <n v="0"/>
    <n v="665397.6"/>
    <n v="0"/>
    <n v="0"/>
    <n v="0"/>
    <n v="1270447.05882353"/>
  </r>
  <r>
    <s v="T-Care-Cuidado Personal"/>
    <x v="5"/>
    <x v="29"/>
    <x v="74"/>
    <s v="TCRANEBL"/>
    <x v="622"/>
    <x v="459"/>
    <x v="0"/>
    <x v="4"/>
    <n v="1"/>
    <x v="381"/>
    <n v="169"/>
    <m/>
    <n v="0"/>
    <n v="11995"/>
    <n v="2027155"/>
    <n v="10.5"/>
    <n v="11471.25"/>
    <n v="25201.68067226891"/>
    <n v="25201.68067226891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4"/>
    <n v="0.4648588328160987"/>
    <n v="11"/>
    <n v="0.4600805940819176"/>
    <n v="40"/>
    <n v="0.463191638463531"/>
    <n v="77"/>
    <n v="0.4933046366567703"/>
    <n v="53"/>
    <s v=""/>
    <n v="60"/>
    <s v=""/>
    <n v="35"/>
    <s v=""/>
    <n v="26"/>
    <s v=""/>
    <n v="0.4333333333333333"/>
    <n v="36"/>
    <s v=""/>
    <n v="0.72"/>
    <n v="64"/>
    <s v=""/>
    <n v="0.8"/>
    <n v="47"/>
    <s v=""/>
    <n v="0.9399999999999999"/>
    <n v="30"/>
    <n v="120"/>
    <n v="55"/>
    <n v="0"/>
    <m/>
    <n v="0"/>
    <n v="2159100"/>
    <n v="1304100"/>
    <n v="659725"/>
    <n v="0"/>
    <n v="169"/>
    <n v="2027155"/>
    <n v="1164783.560483017"/>
    <n v="40"/>
    <n v="91"/>
    <n v="90"/>
    <n v="150"/>
    <n v="150"/>
    <n v="0"/>
    <n v="1811245"/>
    <n v="988942.5"/>
    <n v="1079550"/>
    <n v="0"/>
    <n v="169"/>
    <n v="2027155"/>
    <n v="1906009.462608573"/>
    <n v="50"/>
    <n v="20"/>
    <n v="35"/>
    <n v="0"/>
    <n v="0"/>
    <n v="1275070"/>
    <n v="239900"/>
    <n v="419825"/>
    <n v="0"/>
    <n v="169"/>
    <n v="2027155"/>
    <n v="882058.8235294118"/>
    <n v="60"/>
    <n v="158"/>
    <n v="26"/>
    <n v="0"/>
    <n v="0"/>
    <n v="1717065"/>
    <n v="311870"/>
    <n v="0"/>
    <n v="0"/>
    <n v="169"/>
    <n v="2027155"/>
    <n v="655243.6974789916"/>
    <n v="50"/>
    <n v="205"/>
    <n v="50"/>
    <m/>
    <n v="0"/>
    <n v="0"/>
    <n v="2458975"/>
    <n v="543375"/>
    <n v="0"/>
    <n v="0"/>
    <n v="169"/>
    <n v="2027155"/>
    <n v="1260084.033613445"/>
    <n v="80"/>
    <n v="233"/>
    <n v="64"/>
    <m/>
    <n v="0"/>
    <n v="0"/>
    <n v="2794835"/>
    <n v="695520"/>
    <n v="0"/>
    <n v="0"/>
    <n v="233"/>
    <n v="2027155"/>
    <n v="1612907.56302521"/>
    <n v="50"/>
    <n v="216"/>
    <n v="50"/>
    <n v="200"/>
    <n v="200"/>
    <n v="0"/>
    <n v="2590920"/>
    <n v="543375"/>
    <n v="2101050"/>
    <n v="0"/>
    <n v="216"/>
    <n v="2027155"/>
    <n v="1260084.033613445"/>
    <n v="50"/>
    <n v="166"/>
    <n v="50"/>
    <n v="0"/>
    <n v="0"/>
    <n v="0"/>
    <n v="1991170"/>
    <n v="543375"/>
    <n v="0"/>
    <n v="0"/>
    <n v="166"/>
    <n v="1991170"/>
    <n v="1260084.033613445"/>
    <n v="50"/>
    <n v="116"/>
    <n v="50"/>
    <n v="200"/>
    <n v="200"/>
    <n v="200"/>
    <n v="1260630"/>
    <n v="543375"/>
    <n v="2173500"/>
    <n v="2173500"/>
    <n v="316"/>
    <n v="3434130"/>
    <n v="1260084.033613445"/>
    <n v="120"/>
    <n v="466"/>
    <n v="120"/>
    <n v="0"/>
    <n v="0"/>
    <n v="0"/>
    <n v="200"/>
    <n v="5064255"/>
    <n v="1304100"/>
    <n v="0"/>
    <n v="2173500"/>
    <n v="466"/>
    <n v="7237755"/>
    <n v="3024201.680672269"/>
    <n v="80"/>
    <n v="346"/>
    <n v="80"/>
    <n v="0"/>
    <n v="0"/>
    <n v="3760155"/>
    <n v="869400"/>
    <n v="0"/>
    <n v="0"/>
    <n v="346"/>
    <n v="3760155"/>
    <n v="2116941.176470588"/>
    <n v="150"/>
    <n v="266"/>
    <n v="150"/>
    <n v="300"/>
    <n v="300"/>
    <n v="2890755"/>
    <n v="1630125"/>
    <n v="3260250"/>
    <n v="566"/>
    <n v="6151005"/>
    <n v="3780252.100840336"/>
    <n v="48"/>
    <n v="416"/>
    <n v="48"/>
    <n v="0"/>
    <m/>
    <n v="4520880"/>
    <n v="575760"/>
    <n v="0"/>
    <n v="416"/>
    <n v="4520880"/>
    <n v="1209680.672268908"/>
  </r>
  <r>
    <m/>
    <x v="5"/>
    <x v="29"/>
    <x v="74"/>
    <s v="TCAFSKIFL"/>
    <x v="623"/>
    <x v="460"/>
    <x v="0"/>
    <x v="2"/>
    <n v="1"/>
    <x v="12"/>
    <n v="0"/>
    <m/>
    <n v="0"/>
    <n v="13680"/>
    <n v="0"/>
    <n v="12"/>
    <n v="13680"/>
    <n v="34487.3949579832"/>
    <n v="29314.28571428572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35"/>
    <n v="0"/>
    <m/>
    <m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80"/>
    <n v="0"/>
    <n v="0"/>
    <n v="300"/>
    <n v="300"/>
    <n v="300"/>
    <n v="0"/>
    <n v="0"/>
    <n v="0"/>
    <n v="3726000"/>
    <n v="3726000"/>
    <n v="300"/>
    <n v="3726000"/>
    <n v="0"/>
    <n v="80"/>
    <n v="300"/>
    <n v="80"/>
    <n v="0"/>
    <n v="0"/>
    <n v="3726000"/>
    <n v="993599.9999999999"/>
    <n v="0"/>
    <n v="0"/>
    <n v="300"/>
    <n v="3726000"/>
    <n v="2462400"/>
    <n v="150"/>
    <n v="220"/>
    <n v="150"/>
    <n v="0"/>
    <n v="0"/>
    <n v="2732400"/>
    <n v="1863000"/>
    <n v="0"/>
    <n v="220"/>
    <n v="2732400"/>
    <n v="5173109.243697479"/>
    <n v="48"/>
    <n v="70"/>
    <m/>
    <n v="0"/>
    <m/>
    <n v="869399.9999999999"/>
    <n v="0"/>
    <n v="0"/>
    <n v="70"/>
    <n v="869399.9999999999"/>
    <n v="0"/>
  </r>
  <r>
    <s v="T-Care-Cuidado Personal"/>
    <x v="5"/>
    <x v="29"/>
    <x v="75"/>
    <s v="TCMULTSTY5N1"/>
    <x v="624"/>
    <x v="461"/>
    <x v="0"/>
    <x v="3"/>
    <n v="1"/>
    <x v="382"/>
    <n v="27"/>
    <m/>
    <n v="0"/>
    <n v="21585"/>
    <n v="582795"/>
    <n v="24"/>
    <n v="26220"/>
    <n v="63016.80672268908"/>
    <n v="50411.76470588236"/>
    <s v="Shenzhen"/>
    <s v="30/70"/>
    <n v="55"/>
    <n v="10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04"/>
    <n v="0.5472591925288702"/>
    <n v="436"/>
    <n v="0.5489405516099732"/>
    <n v="5"/>
    <s v=""/>
    <n v="36"/>
    <s v=""/>
    <n v="193"/>
    <s v=""/>
    <n v="250"/>
    <s v=""/>
    <n v="1.25"/>
    <n v="297"/>
    <s v=""/>
    <n v="1.08"/>
    <n v="496"/>
    <s v=""/>
    <n v="1.24"/>
    <n v="196"/>
    <s v=""/>
    <n v="0.98"/>
    <n v="0"/>
    <n v="2"/>
    <n v="0"/>
    <n v="0"/>
    <m/>
    <n v="0"/>
    <n v="5331495"/>
    <n v="49679.99999999999"/>
    <n v="0"/>
    <n v="0"/>
    <n v="27"/>
    <n v="582795"/>
    <n v="0"/>
    <n v="70"/>
    <n v="490"/>
    <n v="54"/>
    <n v="0"/>
    <n v="498"/>
    <n v="0"/>
    <n v="10727745"/>
    <n v="12171600"/>
    <n v="1165590"/>
    <n v="0"/>
    <n v="27"/>
    <n v="582795"/>
    <n v="2859586.187416143"/>
    <n v="200"/>
    <n v="441"/>
    <n v="193"/>
    <n v="0"/>
    <n v="0"/>
    <n v="16393155"/>
    <n v="9518985"/>
    <n v="4165905"/>
    <n v="0"/>
    <n v="27"/>
    <n v="582795"/>
    <n v="12162243.69747899"/>
    <n v="200"/>
    <n v="1163"/>
    <n v="250"/>
    <n v="2000"/>
    <n v="0"/>
    <n v="28888920"/>
    <n v="5396250"/>
    <n v="49679999.99999999"/>
    <n v="0"/>
    <n v="27"/>
    <n v="582795"/>
    <n v="15754201.68067227"/>
    <n v="275"/>
    <n v="324"/>
    <n v="275"/>
    <m/>
    <n v="0"/>
    <n v="0"/>
    <n v="6993540"/>
    <n v="6830999.999999999"/>
    <n v="0"/>
    <n v="0"/>
    <n v="27"/>
    <n v="582795"/>
    <n v="17329621.8487395"/>
    <n v="400"/>
    <n v="523"/>
    <n v="496"/>
    <m/>
    <n v="0"/>
    <n v="0"/>
    <n v="11288955"/>
    <n v="12320640"/>
    <n v="0"/>
    <n v="0"/>
    <n v="523"/>
    <n v="582795"/>
    <n v="31256336.13445378"/>
    <n v="200"/>
    <n v="223"/>
    <n v="200"/>
    <n v="0"/>
    <n v="0"/>
    <n v="0"/>
    <n v="4813455"/>
    <n v="4967999.999999999"/>
    <n v="0"/>
    <n v="0"/>
    <n v="223"/>
    <n v="582795"/>
    <n v="12603361.34453782"/>
    <n v="116"/>
    <n v="23"/>
    <n v="116"/>
    <n v="0"/>
    <n v="0"/>
    <n v="0"/>
    <n v="496455"/>
    <n v="2881440"/>
    <n v="0"/>
    <n v="0"/>
    <n v="23"/>
    <n v="496455"/>
    <n v="7309949.579831933"/>
    <n v="180"/>
    <n v="0"/>
    <n v="180"/>
    <n v="2000"/>
    <n v="2000"/>
    <n v="0"/>
    <n v="0"/>
    <n v="4471199.999999999"/>
    <n v="49679999.99999999"/>
    <n v="0"/>
    <n v="0"/>
    <n v="0"/>
    <n v="11343025.21008403"/>
    <n v="500"/>
    <n v="2004"/>
    <n v="500"/>
    <n v="0"/>
    <n v="0"/>
    <n v="0"/>
    <n v="2004"/>
    <n v="49779359.99999999"/>
    <n v="12420000"/>
    <n v="0"/>
    <n v="49779359.99999999"/>
    <n v="2004"/>
    <n v="99558719.99999999"/>
    <n v="25205882.35294118"/>
    <n v="250"/>
    <n v="1504"/>
    <n v="250"/>
    <n v="0"/>
    <n v="0"/>
    <n v="37359359.99999999"/>
    <n v="6209999.999999999"/>
    <n v="0"/>
    <n v="0"/>
    <n v="1504"/>
    <n v="37359359.99999999"/>
    <n v="13233088.23529412"/>
    <n v="500"/>
    <n v="1254"/>
    <n v="500"/>
    <n v="0"/>
    <n v="0"/>
    <n v="31149360"/>
    <n v="12420000"/>
    <n v="0"/>
    <n v="1254"/>
    <n v="31149360"/>
    <n v="31508403.36134454"/>
    <n v="150"/>
    <n v="754"/>
    <n v="150"/>
    <n v="0"/>
    <m/>
    <n v="18729360"/>
    <n v="3237750"/>
    <n v="0"/>
    <n v="754"/>
    <n v="18729360"/>
    <n v="9452521.008403361"/>
  </r>
  <r>
    <m/>
    <x v="5"/>
    <x v="29"/>
    <x v="75"/>
    <s v="TCMULTSTY5N1-BG"/>
    <x v="625"/>
    <x v="462"/>
    <x v="0"/>
    <x v="2"/>
    <n v="0.8"/>
    <x v="383"/>
    <n v="379"/>
    <m/>
    <n v="0"/>
    <n v="21706"/>
    <n v="8226574"/>
    <n v="24"/>
    <n v="26220"/>
    <n v="63016.80672268908"/>
    <n v="46210.08403361345"/>
    <s v="Shenzhen"/>
    <s v="30/70"/>
    <n v="55"/>
    <n v="10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n v="0"/>
    <n v="0"/>
    <n v="0"/>
    <n v="0"/>
    <s v=""/>
    <n v="3"/>
    <s v=""/>
    <n v="33"/>
    <s v=""/>
    <n v="0.66"/>
    <n v="111"/>
    <s v=""/>
    <n v="1.3875"/>
    <n v="222"/>
    <s v=""/>
    <n v="1.11"/>
    <n v="240"/>
    <s v=""/>
    <n v="2.4"/>
    <m/>
    <m/>
    <m/>
    <m/>
    <m/>
    <m/>
    <m/>
    <m/>
    <m/>
    <m/>
    <m/>
    <m/>
    <m/>
    <n v="0"/>
    <n v="0"/>
    <n v="0"/>
    <m/>
    <m/>
    <n v="0"/>
    <m/>
    <m/>
    <m/>
    <m/>
    <n v="379"/>
    <n v="8226574"/>
    <m/>
    <n v="0"/>
    <n v="0"/>
    <n v="3"/>
    <m/>
    <n v="0"/>
    <m/>
    <n v="0"/>
    <m/>
    <n v="0"/>
    <n v="379"/>
    <n v="8226574"/>
    <n v="189050.4201680672"/>
    <n v="50"/>
    <n v="961"/>
    <n v="33"/>
    <n v="0"/>
    <n v="0"/>
    <n v="23871240"/>
    <n v="716298"/>
    <n v="0"/>
    <n v="0"/>
    <n v="379"/>
    <n v="8226574"/>
    <n v="2079554.62184874"/>
    <n v="80"/>
    <n v="490"/>
    <n v="64"/>
    <m/>
    <n v="0"/>
    <n v="0"/>
    <n v="10635940"/>
    <n v="1589760"/>
    <n v="0"/>
    <n v="0"/>
    <n v="379"/>
    <n v="8226574"/>
    <n v="4033075.630252101"/>
    <n v="200"/>
    <n v="601"/>
    <n v="222"/>
    <m/>
    <n v="0"/>
    <n v="0"/>
    <n v="13045306"/>
    <n v="5514479.999999999"/>
    <n v="0"/>
    <n v="0"/>
    <n v="601"/>
    <n v="8226574"/>
    <n v="13989731.09243697"/>
    <n v="100"/>
    <n v="619"/>
    <n v="80"/>
    <n v="0"/>
    <n v="0"/>
    <n v="0"/>
    <n v="13436014"/>
    <n v="1987200"/>
    <n v="0"/>
    <n v="0"/>
    <n v="619"/>
    <n v="8226574"/>
    <n v="5041344.537815127"/>
    <n v="180"/>
    <n v="539"/>
    <n v="144"/>
    <n v="0"/>
    <n v="0"/>
    <n v="0"/>
    <n v="11699534"/>
    <n v="3576960"/>
    <n v="0"/>
    <n v="0"/>
    <n v="539"/>
    <n v="11699534"/>
    <n v="9074420.168067228"/>
    <n v="100"/>
    <n v="395"/>
    <n v="80"/>
    <n v="1000"/>
    <n v="1000"/>
    <n v="0"/>
    <n v="9811799.999999998"/>
    <n v="1987200"/>
    <n v="24840000"/>
    <n v="0"/>
    <n v="395"/>
    <n v="9811799.999999998"/>
    <n v="5041344.537815127"/>
    <n v="200"/>
    <n v="1317"/>
    <n v="160"/>
    <n v="0"/>
    <n v="0"/>
    <n v="0"/>
    <n v="1002"/>
    <n v="32714280"/>
    <n v="3974400"/>
    <n v="0"/>
    <n v="24889680"/>
    <n v="1317"/>
    <n v="57603959.99999999"/>
    <n v="7393613.445378152"/>
    <n v="200"/>
    <n v="1157"/>
    <n v="160"/>
    <n v="0"/>
    <n v="0"/>
    <n v="28739880"/>
    <n v="3974400"/>
    <n v="0"/>
    <n v="0"/>
    <n v="1157"/>
    <n v="28739880"/>
    <n v="7763294.117647059"/>
    <n v="300"/>
    <n v="997"/>
    <n v="240"/>
    <n v="0"/>
    <n v="0"/>
    <n v="24765480"/>
    <n v="5961599.999999999"/>
    <n v="0"/>
    <n v="997"/>
    <n v="24765480"/>
    <n v="15124033.61344538"/>
    <n v="120"/>
    <n v="757"/>
    <n v="96"/>
    <n v="0"/>
    <m/>
    <n v="18803880"/>
    <n v="2083776"/>
    <n v="0"/>
    <n v="757"/>
    <n v="18803880"/>
    <n v="6049613.445378152"/>
  </r>
  <r>
    <m/>
    <x v="5"/>
    <x v="29"/>
    <x v="76"/>
    <s v="TCALSCAEGL-PP"/>
    <x v="626"/>
    <x v="463"/>
    <x v="0"/>
    <x v="2"/>
    <n v="1"/>
    <x v="12"/>
    <n v="0"/>
    <m/>
    <n v="0"/>
    <n v="37050"/>
    <n v="0"/>
    <n v="32.5"/>
    <n v="37050"/>
    <n v="93403.36134453781"/>
    <n v="79392.85714285714"/>
    <s v="Shenzhen"/>
    <s v="30/70"/>
    <n v="30"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50"/>
    <n v="0"/>
    <m/>
    <m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80"/>
    <n v="0"/>
    <n v="0"/>
    <n v="500"/>
    <n v="500"/>
    <n v="500"/>
    <n v="0"/>
    <n v="0"/>
    <n v="0"/>
    <n v="16818750"/>
    <n v="16818750"/>
    <n v="500"/>
    <n v="16818750"/>
    <n v="0"/>
    <n v="100"/>
    <n v="500"/>
    <n v="100"/>
    <n v="0"/>
    <n v="0"/>
    <n v="16818750"/>
    <n v="3363750"/>
    <n v="0"/>
    <n v="0"/>
    <n v="500"/>
    <n v="16818750"/>
    <n v="8336250.000000001"/>
    <n v="200"/>
    <n v="400"/>
    <n v="200"/>
    <n v="0"/>
    <n v="0"/>
    <n v="13455000"/>
    <n v="6727500"/>
    <n v="0"/>
    <n v="400"/>
    <n v="13455000"/>
    <n v="18680672.26890756"/>
    <n v="60"/>
    <n v="200"/>
    <n v="60"/>
    <n v="0"/>
    <m/>
    <n v="6727500"/>
    <n v="2223000"/>
    <n v="0"/>
    <n v="200"/>
    <n v="6727500"/>
    <n v="5604201.680672269"/>
  </r>
  <r>
    <m/>
    <x v="6"/>
    <x v="30"/>
    <x v="77"/>
    <s v="BDBBYCHK"/>
    <x v="627"/>
    <x v="464"/>
    <x v="0"/>
    <x v="0"/>
    <n v="1"/>
    <x v="384"/>
    <n v="13"/>
    <m/>
    <n v="0"/>
    <n v="20716"/>
    <n v="269308"/>
    <n v="16"/>
    <n v="17936"/>
    <n v="50411.76470588236"/>
    <n v="42008.40336134454"/>
    <s v="Ningbo"/>
    <s v="30/70"/>
    <n v="30"/>
    <n v="10"/>
    <n v="0"/>
    <s v=""/>
    <n v="0"/>
    <s v=""/>
    <n v="0"/>
    <s v=""/>
    <n v="0"/>
    <s v=""/>
    <n v="0"/>
    <s v=""/>
    <n v="0"/>
    <s v=""/>
    <n v="0"/>
    <s v=""/>
    <n v="1"/>
    <n v="0"/>
    <n v="2"/>
    <n v="0.3553619186398086"/>
    <n v="15"/>
    <n v="0.408209758364873"/>
    <n v="20"/>
    <n v="0.4213424867733418"/>
    <n v="7"/>
    <n v="0.4109035779653498"/>
    <n v="5"/>
    <s v=""/>
    <n v="5"/>
    <s v=""/>
    <n v="7"/>
    <s v=""/>
    <n v="5"/>
    <s v=""/>
    <n v="0.4166666666666667"/>
    <n v="3"/>
    <s v=""/>
    <n v="0.75"/>
    <n v="6"/>
    <s v=""/>
    <n v="0.5"/>
    <n v="5"/>
    <s v=""/>
    <n v="0.8333333333333334"/>
    <n v="10"/>
    <n v="49"/>
    <n v="10"/>
    <n v="0"/>
    <m/>
    <n v="0"/>
    <n v="507542"/>
    <n v="811440"/>
    <n v="207160"/>
    <n v="0"/>
    <n v="13"/>
    <n v="269308"/>
    <n v="423628.2748393476"/>
    <n v="10"/>
    <n v="43"/>
    <n v="7.5"/>
    <n v="0"/>
    <n v="0"/>
    <n v="0"/>
    <n v="403962"/>
    <n v="712080"/>
    <n v="155370"/>
    <n v="0"/>
    <n v="13"/>
    <n v="269308"/>
    <n v="317721.2061295107"/>
    <n v="12"/>
    <n v="38"/>
    <n v="7"/>
    <n v="0"/>
    <n v="0"/>
    <n v="314832"/>
    <n v="787208"/>
    <n v="145012"/>
    <n v="0"/>
    <n v="13"/>
    <n v="269308"/>
    <n v="352882.3529411765"/>
    <n v="12"/>
    <n v="32"/>
    <n v="5"/>
    <n v="0"/>
    <n v="0"/>
    <n v="529920"/>
    <n v="103580"/>
    <n v="0"/>
    <n v="0"/>
    <n v="13"/>
    <n v="269308"/>
    <n v="252058.8235294118"/>
    <n v="4"/>
    <n v="16"/>
    <n v="4"/>
    <m/>
    <n v="0"/>
    <n v="0"/>
    <n v="331456"/>
    <n v="66240"/>
    <n v="0"/>
    <n v="0"/>
    <n v="13"/>
    <n v="269308"/>
    <n v="201647.0588235294"/>
    <n v="12"/>
    <n v="19"/>
    <n v="6"/>
    <m/>
    <n v="0"/>
    <n v="0"/>
    <n v="393604"/>
    <n v="99360"/>
    <n v="0"/>
    <n v="0"/>
    <n v="19"/>
    <n v="269308"/>
    <n v="302470.5882352942"/>
    <n v="6"/>
    <n v="18"/>
    <n v="6"/>
    <n v="0"/>
    <n v="0"/>
    <n v="0"/>
    <n v="372888"/>
    <n v="99360"/>
    <n v="0"/>
    <n v="0"/>
    <n v="18"/>
    <n v="269308"/>
    <n v="302470.5882352942"/>
    <n v="12"/>
    <n v="12"/>
    <n v="12"/>
    <n v="0"/>
    <n v="0"/>
    <n v="0"/>
    <n v="248592"/>
    <n v="198720"/>
    <n v="0"/>
    <n v="0"/>
    <n v="12"/>
    <n v="248592"/>
    <n v="604941.1764705883"/>
    <n v="0"/>
    <n v="0"/>
    <n v="0"/>
    <n v="0"/>
    <n v="0"/>
    <m/>
    <n v="0"/>
    <n v="0"/>
    <n v="0"/>
    <n v="0"/>
    <n v="0"/>
    <n v="0"/>
    <n v="0"/>
    <n v="15"/>
    <n v="0"/>
    <n v="0"/>
    <n v="0"/>
    <n v="0"/>
    <n v="0"/>
    <m/>
    <n v="0"/>
    <n v="0"/>
    <n v="0"/>
    <n v="0"/>
    <n v="0"/>
    <n v="0"/>
    <n v="0"/>
    <n v="14"/>
    <n v="0"/>
    <n v="14"/>
    <n v="0"/>
    <n v="0"/>
    <n v="0"/>
    <n v="231840"/>
    <n v="0"/>
    <n v="0"/>
    <n v="0"/>
    <n v="0"/>
    <n v="617523.5294117648"/>
    <n v="16"/>
    <n v="0"/>
    <n v="16"/>
    <n v="0"/>
    <n v="0"/>
    <n v="0"/>
    <n v="264960"/>
    <n v="0"/>
    <n v="0"/>
    <n v="0"/>
    <n v="806588.2352941177"/>
    <n v="8.4"/>
    <n v="0"/>
    <n v="8.4"/>
    <n v="0"/>
    <m/>
    <n v="0"/>
    <n v="174014.4"/>
    <n v="0"/>
    <n v="0"/>
    <n v="0"/>
    <n v="423458.8235294118"/>
  </r>
  <r>
    <s v="Bandú-Jueguetes de Rol"/>
    <x v="6"/>
    <x v="31"/>
    <x v="78"/>
    <s v="BDCOCGRND"/>
    <x v="628"/>
    <x v="465"/>
    <x v="0"/>
    <x v="3"/>
    <n v="1"/>
    <x v="385"/>
    <n v="98"/>
    <m/>
    <n v="0"/>
    <n v="31896"/>
    <n v="3125808"/>
    <n v="32.01"/>
    <n v="35883.20999999999"/>
    <n v="100831.9327731092"/>
    <n v="84025.21008403362"/>
    <s v="Ningbo"/>
    <s v="30/70"/>
    <n v="30"/>
    <n v="10"/>
    <n v="0"/>
    <s v=""/>
    <n v="0"/>
    <s v=""/>
    <n v="0"/>
    <s v=""/>
    <n v="0"/>
    <s v=""/>
    <n v="0"/>
    <s v=""/>
    <n v="0"/>
    <s v=""/>
    <n v="18"/>
    <n v="0.6028728989202062"/>
    <n v="2"/>
    <n v="0.7173083654299389"/>
    <n v="0"/>
    <s v=""/>
    <n v="0"/>
    <s v=""/>
    <n v="37"/>
    <n v="0.5406142199219739"/>
    <n v="43"/>
    <n v="0.564734839105831"/>
    <n v="0"/>
    <s v=""/>
    <n v="0"/>
    <s v=""/>
    <n v="5"/>
    <s v=""/>
    <n v="13"/>
    <s v=""/>
    <n v="0.65"/>
    <n v="4"/>
    <s v=""/>
    <n v="0.2666666666666667"/>
    <n v="6"/>
    <s v=""/>
    <n v="0.1714285714285714"/>
    <n v="2"/>
    <s v=""/>
    <n v="0.06666666666666667"/>
    <n v="0"/>
    <n v="3"/>
    <n v="0"/>
    <n v="0"/>
    <m/>
    <n v="0"/>
    <n v="159480"/>
    <n v="99391.04999999999"/>
    <n v="0"/>
    <n v="0"/>
    <n v="98"/>
    <n v="3125808"/>
    <n v="0"/>
    <n v="10"/>
    <n v="48"/>
    <n v="0"/>
    <n v="45"/>
    <n v="45"/>
    <n v="0"/>
    <n v="574128"/>
    <n v="1590256.8"/>
    <n v="0"/>
    <n v="0"/>
    <n v="98"/>
    <n v="3125808"/>
    <n v="0"/>
    <n v="15"/>
    <n v="48"/>
    <n v="5"/>
    <n v="0"/>
    <n v="0"/>
    <n v="1071083.25"/>
    <n v="1531008"/>
    <n v="159480"/>
    <n v="0"/>
    <n v="98"/>
    <n v="3125808"/>
    <n v="504159.6638655462"/>
    <n v="20"/>
    <n v="57"/>
    <n v="13"/>
    <n v="20"/>
    <n v="0"/>
    <n v="1888429.95"/>
    <n v="414648"/>
    <n v="662607"/>
    <n v="0"/>
    <n v="98"/>
    <n v="3125808"/>
    <n v="1310815.12605042"/>
    <n v="15"/>
    <n v="102"/>
    <n v="15"/>
    <m/>
    <n v="0"/>
    <n v="0"/>
    <n v="3253392"/>
    <n v="496955.25"/>
    <n v="0"/>
    <n v="0"/>
    <n v="98"/>
    <n v="3125808"/>
    <n v="1512478.991596639"/>
    <n v="35"/>
    <n v="104"/>
    <n v="6"/>
    <m/>
    <n v="0"/>
    <n v="0"/>
    <n v="3317184"/>
    <n v="198782.1"/>
    <n v="0"/>
    <n v="0"/>
    <n v="104"/>
    <n v="3125808"/>
    <n v="604991.5966386555"/>
    <n v="30"/>
    <n v="100"/>
    <n v="30"/>
    <n v="60"/>
    <n v="60"/>
    <n v="0"/>
    <n v="3189600"/>
    <n v="993910.5"/>
    <n v="1921560.3"/>
    <n v="0"/>
    <n v="100"/>
    <n v="3125808"/>
    <n v="3024957.983193277"/>
    <n v="40"/>
    <n v="70"/>
    <n v="40"/>
    <n v="0"/>
    <n v="0"/>
    <n v="0"/>
    <n v="2232720"/>
    <n v="1325214"/>
    <n v="0"/>
    <n v="0"/>
    <n v="70"/>
    <n v="2232720"/>
    <n v="4033277.31092437"/>
    <n v="15"/>
    <n v="30"/>
    <n v="15"/>
    <n v="30"/>
    <n v="30"/>
    <n v="0"/>
    <n v="993910.5"/>
    <n v="496955.25"/>
    <n v="993910.5"/>
    <n v="0"/>
    <n v="30"/>
    <n v="993910.5"/>
    <n v="1512478.991596639"/>
    <n v="40"/>
    <n v="45"/>
    <n v="40"/>
    <n v="95"/>
    <n v="95"/>
    <n v="95"/>
    <n v="30"/>
    <n v="1490865.75"/>
    <n v="1325214"/>
    <n v="3147383.25"/>
    <n v="4141293.75"/>
    <n v="140"/>
    <n v="5632159.5"/>
    <n v="3361008.403361345"/>
    <n v="45"/>
    <n v="100"/>
    <n v="45"/>
    <n v="0"/>
    <n v="0"/>
    <n v="3313035"/>
    <n v="1490865.75"/>
    <n v="0"/>
    <n v="0"/>
    <n v="100"/>
    <n v="3313035"/>
    <n v="3970191.176470589"/>
    <n v="60"/>
    <n v="55"/>
    <n v="60"/>
    <n v="0"/>
    <n v="0"/>
    <n v="1822169.25"/>
    <n v="1987821"/>
    <n v="0"/>
    <n v="55"/>
    <n v="1822169.25"/>
    <n v="6049915.966386555"/>
    <n v="27"/>
    <n v="0"/>
    <n v="27"/>
    <n v="0"/>
    <m/>
    <n v="0"/>
    <n v="861192"/>
    <n v="0"/>
    <n v="0"/>
    <n v="0"/>
    <n v="2722462.18487395"/>
  </r>
  <r>
    <m/>
    <x v="6"/>
    <x v="31"/>
    <x v="78"/>
    <s v="BDCOCMEDI"/>
    <x v="629"/>
    <x v="466"/>
    <x v="0"/>
    <x v="3"/>
    <n v="1"/>
    <x v="386"/>
    <n v="68"/>
    <m/>
    <n v="0"/>
    <n v="28393"/>
    <n v="1930724"/>
    <n v="28.95"/>
    <n v="32452.95"/>
    <n v="84025.21008403362"/>
    <n v="75621.84873949581"/>
    <s v="Ningbo"/>
    <s v="30/70"/>
    <n v="30"/>
    <n v="10"/>
    <n v="0"/>
    <s v=""/>
    <n v="0"/>
    <s v=""/>
    <n v="0"/>
    <s v=""/>
    <n v="0"/>
    <s v=""/>
    <n v="0"/>
    <s v=""/>
    <n v="0"/>
    <s v=""/>
    <n v="20"/>
    <n v="0.5405400697051421"/>
    <n v="1"/>
    <s v=""/>
    <n v="1"/>
    <n v="0.5658274047234931"/>
    <n v="0"/>
    <s v=""/>
    <n v="86"/>
    <n v="0.5170459588093252"/>
    <n v="1"/>
    <n v="0.6744882576959695"/>
    <n v="3"/>
    <s v=""/>
    <n v="0"/>
    <s v=""/>
    <n v="33"/>
    <s v=""/>
    <n v="40"/>
    <s v=""/>
    <n v="0.8"/>
    <n v="0"/>
    <s v=""/>
    <n v="0"/>
    <n v="3"/>
    <s v=""/>
    <n v="0.04615384615384616"/>
    <n v="9"/>
    <s v=""/>
    <n v="0.225"/>
    <n v="0"/>
    <n v="3"/>
    <n v="3"/>
    <n v="0"/>
    <m/>
    <n v="0"/>
    <n v="1022148"/>
    <n v="89889.74999999999"/>
    <n v="85179"/>
    <n v="0"/>
    <n v="68"/>
    <n v="1930724"/>
    <n v="211828.2607160512"/>
    <n v="15"/>
    <n v="65"/>
    <n v="0"/>
    <n v="65"/>
    <n v="65"/>
    <n v="0"/>
    <n v="2072689"/>
    <n v="1947611.25"/>
    <n v="0"/>
    <n v="0"/>
    <n v="68"/>
    <n v="1930724"/>
    <n v="0"/>
    <n v="20"/>
    <n v="65"/>
    <n v="33"/>
    <n v="0"/>
    <n v="0"/>
    <n v="3421035.25"/>
    <n v="1845545"/>
    <n v="936969"/>
    <n v="0"/>
    <n v="68"/>
    <n v="1930724"/>
    <n v="2772831.93277311"/>
    <n v="50"/>
    <n v="41"/>
    <n v="40"/>
    <n v="10"/>
    <n v="0"/>
    <n v="1228493.25"/>
    <n v="1135720"/>
    <n v="299632.4999999999"/>
    <n v="0"/>
    <n v="68"/>
    <n v="1930724"/>
    <n v="3361008.403361345"/>
    <n v="45"/>
    <n v="68"/>
    <n v="45"/>
    <m/>
    <n v="0"/>
    <n v="0"/>
    <n v="1930724"/>
    <n v="1348346.25"/>
    <n v="0"/>
    <n v="0"/>
    <n v="68"/>
    <n v="1930724"/>
    <n v="3781134.453781513"/>
    <n v="65"/>
    <n v="71"/>
    <n v="3"/>
    <m/>
    <n v="0"/>
    <n v="0"/>
    <n v="2015903"/>
    <n v="89889.74999999999"/>
    <n v="0"/>
    <n v="0"/>
    <n v="71"/>
    <n v="1930724"/>
    <n v="252075.6302521009"/>
    <n v="40"/>
    <n v="77"/>
    <n v="40"/>
    <n v="80"/>
    <n v="80"/>
    <n v="0"/>
    <n v="2186261"/>
    <n v="1198530"/>
    <n v="2317158"/>
    <n v="0"/>
    <n v="77"/>
    <n v="1930724"/>
    <n v="3361008.403361345"/>
    <n v="65"/>
    <n v="37"/>
    <n v="65"/>
    <n v="0"/>
    <n v="0"/>
    <n v="0"/>
    <n v="1050541"/>
    <n v="1947611.25"/>
    <n v="0"/>
    <n v="0"/>
    <n v="37"/>
    <n v="1050541"/>
    <n v="5461638.655462185"/>
    <n v="25"/>
    <n v="0"/>
    <n v="25"/>
    <n v="50"/>
    <n v="50"/>
    <n v="0"/>
    <n v="0"/>
    <n v="749081.2499999999"/>
    <n v="1498162.5"/>
    <n v="0"/>
    <n v="0"/>
    <n v="0"/>
    <n v="2100630.252100841"/>
    <n v="50"/>
    <n v="50"/>
    <n v="50"/>
    <n v="150"/>
    <n v="150"/>
    <n v="150"/>
    <n v="50"/>
    <n v="1498162.5"/>
    <n v="1498162.5"/>
    <n v="4494487.499999999"/>
    <n v="5992649.999999999"/>
    <n v="200"/>
    <n v="7490812.499999999"/>
    <n v="3781092.43697479"/>
    <n v="100"/>
    <n v="150"/>
    <n v="100"/>
    <n v="125"/>
    <n v="125"/>
    <n v="4494487.499999999"/>
    <n v="2996325"/>
    <n v="3745406.25"/>
    <n v="3745406.25"/>
    <n v="275"/>
    <n v="8239893.749999998"/>
    <n v="7940294.11764706"/>
    <n v="150"/>
    <n v="175"/>
    <n v="150"/>
    <n v="0"/>
    <n v="0"/>
    <n v="5243568.749999999"/>
    <n v="4494487.499999999"/>
    <n v="0"/>
    <n v="175"/>
    <n v="5243568.749999999"/>
    <n v="12603781.51260504"/>
    <n v="60"/>
    <n v="25"/>
    <n v="60"/>
    <n v="0"/>
    <m/>
    <n v="749081.2499999999"/>
    <n v="1703580"/>
    <n v="0"/>
    <n v="25"/>
    <n v="749081.2499999999"/>
    <n v="5041512.605042017"/>
  </r>
  <r>
    <m/>
    <x v="6"/>
    <x v="31"/>
    <x v="78"/>
    <s v="BDCOCPQMD"/>
    <x v="630"/>
    <x v="467"/>
    <x v="0"/>
    <x v="3"/>
    <n v="1.1"/>
    <x v="387"/>
    <n v="0"/>
    <m/>
    <n v="0"/>
    <n v="26348"/>
    <n v="0"/>
    <n v="23.98"/>
    <n v="26881.58"/>
    <n v="58815.12605042017"/>
    <n v="58815.12605042017"/>
    <s v="Ningbo"/>
    <s v="30/70"/>
    <n v="30"/>
    <n v="10"/>
    <n v="0"/>
    <s v=""/>
    <n v="0"/>
    <s v=""/>
    <n v="0"/>
    <s v=""/>
    <n v="0"/>
    <s v=""/>
    <n v="0"/>
    <s v=""/>
    <n v="0"/>
    <s v=""/>
    <n v="25"/>
    <n v="0.5433831903719938"/>
    <n v="21"/>
    <n v="0.6066451955040256"/>
    <n v="1"/>
    <n v="0.5879109888736093"/>
    <n v="1"/>
    <n v="0.5879109888736093"/>
    <n v="21"/>
    <n v="0.5528711178516521"/>
    <n v="0"/>
    <s v=""/>
    <n v="9"/>
    <s v=""/>
    <n v="41"/>
    <s v=""/>
    <n v="81"/>
    <s v=""/>
    <n v="84"/>
    <s v=""/>
    <n v="1.2"/>
    <n v="60"/>
    <s v=""/>
    <n v="1.2"/>
    <n v="2"/>
    <s v=""/>
    <n v="0.02"/>
    <n v="11"/>
    <s v=""/>
    <n v="0.1375"/>
    <n v="25"/>
    <n v="236"/>
    <n v="12"/>
    <n v="0"/>
    <m/>
    <n v="0"/>
    <n v="4070766"/>
    <n v="5857354.8"/>
    <n v="316176"/>
    <n v="0"/>
    <n v="0"/>
    <n v="0"/>
    <n v="593093.708071464"/>
    <n v="20"/>
    <n v="277"/>
    <n v="61.5"/>
    <n v="50"/>
    <n v="0"/>
    <n v="0"/>
    <n v="5967822"/>
    <n v="6874946.1"/>
    <n v="1620402"/>
    <n v="0"/>
    <n v="0"/>
    <n v="0"/>
    <n v="3039605.253866252"/>
    <n v="35"/>
    <n v="211"/>
    <n v="81"/>
    <n v="0"/>
    <n v="0"/>
    <n v="5712481.5"/>
    <n v="5559428"/>
    <n v="2134188"/>
    <n v="0"/>
    <n v="0"/>
    <n v="0"/>
    <n v="4764025.210084034"/>
    <n v="70"/>
    <n v="145"/>
    <n v="84"/>
    <n v="0"/>
    <n v="0"/>
    <n v="3598798.5"/>
    <n v="2213232"/>
    <n v="0"/>
    <n v="0"/>
    <n v="0"/>
    <n v="0"/>
    <n v="4940470.588235294"/>
    <n v="50"/>
    <n v="60"/>
    <n v="55.00000000000001"/>
    <m/>
    <n v="0"/>
    <n v="0"/>
    <n v="1580880"/>
    <n v="1365061.5"/>
    <n v="0"/>
    <n v="0"/>
    <n v="0"/>
    <n v="0"/>
    <n v="3234831.93277311"/>
    <n v="100"/>
    <n v="2"/>
    <n v="2"/>
    <m/>
    <n v="0"/>
    <n v="0"/>
    <n v="52696"/>
    <n v="49638.6"/>
    <n v="0"/>
    <n v="0"/>
    <n v="2"/>
    <n v="0"/>
    <n v="117630.2521008403"/>
    <n v="80"/>
    <n v="11"/>
    <n v="88"/>
    <n v="0"/>
    <n v="0"/>
    <n v="0"/>
    <n v="289828"/>
    <n v="2184098.4"/>
    <n v="0"/>
    <n v="0"/>
    <n v="11"/>
    <n v="0"/>
    <n v="5175731.092436975"/>
    <n v="100"/>
    <n v="0"/>
    <n v="110"/>
    <n v="0"/>
    <n v="0"/>
    <n v="0"/>
    <n v="0"/>
    <n v="2730123"/>
    <n v="0"/>
    <n v="0"/>
    <n v="0"/>
    <n v="0"/>
    <n v="6469663.86554622"/>
    <n v="40"/>
    <n v="0"/>
    <n v="44"/>
    <n v="80"/>
    <n v="80"/>
    <n v="0"/>
    <n v="0"/>
    <n v="1092049.2"/>
    <n v="1985544"/>
    <n v="0"/>
    <n v="0"/>
    <n v="0"/>
    <n v="2587865.546218487"/>
    <n v="100"/>
    <n v="80"/>
    <n v="80"/>
    <n v="200"/>
    <n v="200"/>
    <n v="200"/>
    <n v="80"/>
    <n v="1985544"/>
    <n v="1985544"/>
    <n v="4963860"/>
    <n v="6949404"/>
    <n v="280"/>
    <n v="8934948"/>
    <n v="4705210.084033614"/>
    <n v="105"/>
    <n v="200"/>
    <n v="115.5"/>
    <n v="170"/>
    <n v="170"/>
    <n v="4963860"/>
    <n v="2866629.15"/>
    <n v="4219281"/>
    <n v="4219281"/>
    <n v="370"/>
    <n v="9183141"/>
    <n v="7132804.411764707"/>
    <n v="160"/>
    <n v="254.5"/>
    <n v="176"/>
    <n v="0"/>
    <n v="0"/>
    <n v="6316511.85"/>
    <n v="4368196.8"/>
    <n v="0"/>
    <n v="254.5"/>
    <n v="6316511.85"/>
    <n v="10351462.18487395"/>
    <n v="63"/>
    <n v="78.5"/>
    <n v="69.30000000000001"/>
    <n v="0"/>
    <m/>
    <n v="1948315.05"/>
    <n v="1825916.4"/>
    <n v="0"/>
    <n v="78.5"/>
    <n v="1948315.05"/>
    <n v="4075888.235294119"/>
  </r>
  <r>
    <m/>
    <x v="6"/>
    <x v="31"/>
    <x v="78"/>
    <s v="BDCOCMIN"/>
    <x v="631"/>
    <x v="468"/>
    <x v="0"/>
    <x v="6"/>
    <n v="1"/>
    <x v="12"/>
    <n v="5"/>
    <m/>
    <n v="0"/>
    <n v="7906"/>
    <n v="39530"/>
    <n v="7"/>
    <n v="7847"/>
    <n v="16798.31932773109"/>
    <n v="16798.31932773109"/>
    <s v="Ningbo"/>
    <s v="30/70"/>
    <n v="30"/>
    <n v="10"/>
    <n v="0"/>
    <s v=""/>
    <n v="0"/>
    <s v=""/>
    <n v="0"/>
    <s v=""/>
    <n v="0"/>
    <s v=""/>
    <n v="0"/>
    <s v=""/>
    <n v="0"/>
    <s v=""/>
    <n v="5"/>
    <n v="0.4640523774809843"/>
    <n v="6"/>
    <n v="0.5667927391057274"/>
    <n v="5"/>
    <n v="0.5360810147230735"/>
    <n v="4"/>
    <n v="0.4426934596782723"/>
    <n v="12"/>
    <n v="0.4124866581060413"/>
    <n v="24"/>
    <n v="0.5372474762612608"/>
    <n v="4"/>
    <s v=""/>
    <n v="5"/>
    <s v=""/>
    <n v="7"/>
    <s v=""/>
    <n v="10"/>
    <s v=""/>
    <n v="1.25"/>
    <n v="1"/>
    <s v=""/>
    <n v="0.125"/>
    <n v="2"/>
    <s v=""/>
    <n v="0"/>
    <n v="4"/>
    <s v=""/>
    <n v="0"/>
    <n v="8"/>
    <n v="36"/>
    <n v="4"/>
    <n v="0"/>
    <n v="0"/>
    <n v="0"/>
    <n v="146261"/>
    <n v="260820"/>
    <n v="31624"/>
    <n v="0"/>
    <n v="5"/>
    <n v="39530"/>
    <n v="56464.93891674317"/>
    <n v="6"/>
    <n v="33"/>
    <n v="7.5"/>
    <n v="0.124576271186438"/>
    <n v="0"/>
    <n v="0"/>
    <n v="193697"/>
    <n v="239085"/>
    <n v="59295"/>
    <n v="0"/>
    <n v="5"/>
    <n v="39530"/>
    <n v="105871.7604688935"/>
    <n v="8"/>
    <n v="28"/>
    <n v="7"/>
    <n v="0"/>
    <n v="0"/>
    <n v="192362"/>
    <n v="221368"/>
    <n v="55342"/>
    <n v="0"/>
    <n v="5"/>
    <n v="39530"/>
    <n v="117588.2352941177"/>
    <n v="8"/>
    <n v="22"/>
    <n v="10"/>
    <n v="0"/>
    <n v="0"/>
    <n v="159390"/>
    <n v="79060"/>
    <n v="0"/>
    <n v="0"/>
    <n v="5"/>
    <n v="39530"/>
    <n v="167983.1932773109"/>
    <n v="8"/>
    <n v="6"/>
    <n v="8"/>
    <m/>
    <n v="0"/>
    <n v="0"/>
    <n v="47436"/>
    <n v="57959.99999999999"/>
    <n v="0"/>
    <n v="0"/>
    <n v="5"/>
    <n v="39530"/>
    <n v="134386.5546218487"/>
    <n v="0"/>
    <n v="7"/>
    <n v="2"/>
    <m/>
    <n v="0"/>
    <n v="0"/>
    <n v="55342"/>
    <n v="14490"/>
    <n v="0"/>
    <n v="0"/>
    <n v="7"/>
    <n v="39530"/>
    <n v="33596.63865546219"/>
    <n v="0"/>
    <n v="9"/>
    <n v="0"/>
    <n v="0"/>
    <n v="0"/>
    <n v="0"/>
    <n v="71154"/>
    <n v="0"/>
    <n v="0"/>
    <n v="0"/>
    <n v="9"/>
    <n v="39530"/>
    <n v="0"/>
    <n v="0"/>
    <n v="9"/>
    <n v="0"/>
    <n v="0"/>
    <n v="0"/>
    <n v="0"/>
    <n v="71154"/>
    <n v="0"/>
    <n v="0"/>
    <n v="0"/>
    <n v="9"/>
    <n v="71154"/>
    <n v="0"/>
    <n v="0"/>
    <n v="9"/>
    <n v="0"/>
    <n v="0"/>
    <n v="0"/>
    <m/>
    <n v="65204.99999999999"/>
    <n v="0"/>
    <n v="0"/>
    <n v="0"/>
    <n v="9"/>
    <n v="65204.99999999999"/>
    <n v="0"/>
    <n v="0"/>
    <n v="9"/>
    <n v="0"/>
    <n v="0"/>
    <n v="0"/>
    <n v="0"/>
    <m/>
    <n v="65204.99999999999"/>
    <n v="0"/>
    <n v="0"/>
    <n v="0"/>
    <n v="9"/>
    <n v="65204.99999999999"/>
    <n v="0"/>
    <n v="31.5"/>
    <n v="9"/>
    <n v="31.5"/>
    <n v="0"/>
    <n v="0"/>
    <n v="65204.99999999999"/>
    <n v="228217.4999999999"/>
    <n v="0"/>
    <n v="0"/>
    <n v="9"/>
    <n v="65204.99999999999"/>
    <n v="555604.4117647059"/>
    <n v="36"/>
    <n v="0"/>
    <n v="36"/>
    <n v="0"/>
    <n v="0"/>
    <n v="0"/>
    <n v="260820"/>
    <n v="0"/>
    <n v="0"/>
    <n v="0"/>
    <n v="604739.4957983193"/>
    <n v="18.9"/>
    <n v="0"/>
    <n v="18.9"/>
    <n v="0"/>
    <m/>
    <n v="0"/>
    <n v="149423.4"/>
    <n v="0"/>
    <n v="0"/>
    <n v="0"/>
    <n v="317488.2352941177"/>
  </r>
  <r>
    <m/>
    <x v="6"/>
    <x v="31"/>
    <x v="78"/>
    <s v="BDSETPAST"/>
    <x v="632"/>
    <x v="469"/>
    <x v="0"/>
    <x v="6"/>
    <n v="1"/>
    <x v="12"/>
    <n v="36"/>
    <m/>
    <n v="0"/>
    <n v="6889"/>
    <n v="248004"/>
    <n v="6.5"/>
    <n v="7286.5"/>
    <n v="14277.31092436975"/>
    <n v="12596.63865546219"/>
    <s v="Ningbo"/>
    <s v="30/70"/>
    <n v="30"/>
    <n v="10"/>
    <n v="0"/>
    <s v=""/>
    <n v="0"/>
    <s v=""/>
    <n v="0"/>
    <s v=""/>
    <n v="0"/>
    <s v=""/>
    <n v="0"/>
    <s v=""/>
    <n v="0"/>
    <s v=""/>
    <n v="3"/>
    <n v="0.4333107120484443"/>
    <n v="3"/>
    <n v="0.5618717487286593"/>
    <n v="1"/>
    <n v="0.5691830915457728"/>
    <n v="3"/>
    <n v="0.4254926412347907"/>
    <n v="5"/>
    <n v="0.4225641201690034"/>
    <n v="9"/>
    <n v="0.4991071487425828"/>
    <n v="1"/>
    <s v=""/>
    <n v="2"/>
    <s v=""/>
    <n v="2"/>
    <s v=""/>
    <n v="2"/>
    <s v=""/>
    <n v="1"/>
    <n v="1"/>
    <s v=""/>
    <n v="0.25"/>
    <n v="11"/>
    <s v=""/>
    <n v="1.1"/>
    <n v="4"/>
    <s v=""/>
    <n v="0.4"/>
    <n v="5"/>
    <n v="37"/>
    <n v="3"/>
    <n v="0"/>
    <n v="0"/>
    <n v="0"/>
    <n v="55112"/>
    <n v="248917.5"/>
    <n v="20667"/>
    <n v="0"/>
    <n v="36"/>
    <n v="248004"/>
    <n v="35993.22081773887"/>
    <n v="5"/>
    <n v="53"/>
    <n v="3"/>
    <n v="0.3559322033898322"/>
    <n v="0"/>
    <n v="0"/>
    <n v="48223"/>
    <n v="356557.4999999999"/>
    <n v="20667"/>
    <n v="0"/>
    <n v="36"/>
    <n v="248004"/>
    <n v="35993.22081773887"/>
    <n v="5"/>
    <n v="51"/>
    <n v="2"/>
    <n v="0"/>
    <n v="0"/>
    <n v="54466"/>
    <n v="351339"/>
    <n v="13778"/>
    <n v="0"/>
    <n v="36"/>
    <n v="248004"/>
    <n v="28554.6218487395"/>
    <n v="2"/>
    <n v="49"/>
    <n v="2"/>
    <n v="0"/>
    <n v="0"/>
    <n v="329647.4999999999"/>
    <n v="13778"/>
    <n v="0"/>
    <n v="0"/>
    <n v="36"/>
    <n v="248004"/>
    <n v="28554.6218487395"/>
    <n v="4"/>
    <n v="37"/>
    <n v="4"/>
    <m/>
    <n v="0"/>
    <n v="0"/>
    <n v="254893"/>
    <n v="26910"/>
    <n v="0"/>
    <n v="0"/>
    <n v="36"/>
    <n v="248004"/>
    <n v="57109.243697479"/>
    <n v="10"/>
    <n v="47"/>
    <n v="11"/>
    <m/>
    <n v="0"/>
    <n v="0"/>
    <n v="323783"/>
    <n v="74002.49999999999"/>
    <n v="0"/>
    <n v="0"/>
    <n v="47"/>
    <n v="248004"/>
    <n v="157050.4201680672"/>
    <n v="10"/>
    <n v="40"/>
    <n v="10"/>
    <n v="0"/>
    <n v="0"/>
    <n v="0"/>
    <n v="275560"/>
    <n v="67274.99999999999"/>
    <n v="0"/>
    <n v="0"/>
    <n v="40"/>
    <n v="248004"/>
    <n v="142773.1092436975"/>
    <n v="15"/>
    <n v="30"/>
    <n v="15"/>
    <n v="0"/>
    <n v="0"/>
    <n v="0"/>
    <n v="206670"/>
    <n v="100912.5"/>
    <n v="0"/>
    <n v="0"/>
    <n v="30"/>
    <n v="206670"/>
    <n v="214159.6638655462"/>
    <n v="5"/>
    <n v="15"/>
    <n v="5"/>
    <n v="0"/>
    <n v="0"/>
    <m/>
    <n v="100912.5"/>
    <n v="33637.49999999999"/>
    <n v="0"/>
    <n v="0"/>
    <n v="15"/>
    <n v="100912.5"/>
    <n v="71386.55462184874"/>
    <n v="5"/>
    <n v="10"/>
    <n v="5"/>
    <n v="0"/>
    <n v="0"/>
    <n v="0"/>
    <m/>
    <n v="67274.99999999999"/>
    <n v="33637.49999999999"/>
    <n v="0"/>
    <n v="0"/>
    <n v="10"/>
    <n v="67274.99999999999"/>
    <n v="62983.19327731093"/>
    <n v="0"/>
    <n v="5"/>
    <n v="0"/>
    <n v="0"/>
    <n v="0"/>
    <n v="33637.49999999999"/>
    <n v="0"/>
    <n v="0"/>
    <n v="0"/>
    <n v="5"/>
    <n v="33637.49999999999"/>
    <n v="0"/>
    <n v="0"/>
    <n v="5"/>
    <n v="0"/>
    <n v="0"/>
    <n v="0"/>
    <n v="33637.49999999999"/>
    <n v="0"/>
    <n v="0"/>
    <n v="5"/>
    <n v="33637.49999999999"/>
    <n v="0"/>
    <n v="0"/>
    <n v="5"/>
    <n v="0"/>
    <n v="0"/>
    <m/>
    <n v="33637.49999999999"/>
    <n v="0"/>
    <n v="0"/>
    <n v="5"/>
    <n v="33637.49999999999"/>
    <n v="0"/>
  </r>
  <r>
    <m/>
    <x v="6"/>
    <x v="31"/>
    <x v="78"/>
    <s v="BDELECTCOC"/>
    <x v="633"/>
    <x v="470"/>
    <x v="0"/>
    <x v="4"/>
    <n v="1.2"/>
    <x v="388"/>
    <n v="76"/>
    <m/>
    <n v="0"/>
    <n v="5823"/>
    <n v="442548"/>
    <n v="5.5"/>
    <n v="6165.5"/>
    <n v="14277.31092436975"/>
    <n v="12596.63865546219"/>
    <s v="Ningbo"/>
    <s v="30/70"/>
    <n v="30"/>
    <n v="10"/>
    <n v="0"/>
    <s v=""/>
    <n v="0"/>
    <s v=""/>
    <n v="0"/>
    <s v=""/>
    <n v="0"/>
    <s v=""/>
    <n v="0"/>
    <s v=""/>
    <n v="0"/>
    <s v=""/>
    <n v="23"/>
    <n v="0.5598222319180348"/>
    <n v="14"/>
    <n v="0.5986366597399279"/>
    <n v="0"/>
    <s v=""/>
    <n v="1"/>
    <n v="0.6022221110555278"/>
    <n v="29"/>
    <n v="0.5332501960431566"/>
    <n v="74"/>
    <n v="0.571440516055897"/>
    <n v="13"/>
    <s v=""/>
    <n v="17"/>
    <s v=""/>
    <n v="24"/>
    <s v=""/>
    <n v="20"/>
    <s v=""/>
    <n v="1.333333333333333"/>
    <n v="25"/>
    <s v=""/>
    <n v="5"/>
    <n v="35"/>
    <s v=""/>
    <n v="2.916666666666667"/>
    <n v="23"/>
    <s v=""/>
    <n v="0.92"/>
    <n v="20"/>
    <n v="64"/>
    <n v="15"/>
    <n v="0"/>
    <m/>
    <n v="0"/>
    <n v="375583.5"/>
    <n v="364320"/>
    <n v="87345"/>
    <n v="0"/>
    <n v="76"/>
    <n v="442548"/>
    <n v="179966.1040886943"/>
    <n v="12"/>
    <n v="109"/>
    <n v="25.5"/>
    <n v="45"/>
    <n v="30"/>
    <n v="0"/>
    <n v="404698.5"/>
    <n v="620482.5"/>
    <n v="148486.5"/>
    <n v="0"/>
    <n v="76"/>
    <n v="442548"/>
    <n v="305942.3769507803"/>
    <n v="32"/>
    <n v="86"/>
    <n v="24"/>
    <n v="0"/>
    <n v="0"/>
    <n v="290367"/>
    <n v="500778"/>
    <n v="139752"/>
    <n v="0"/>
    <n v="76"/>
    <n v="442548"/>
    <n v="342655.462184874"/>
    <n v="15"/>
    <n v="76"/>
    <n v="20"/>
    <n v="10"/>
    <n v="0"/>
    <n v="432630"/>
    <n v="116460"/>
    <n v="56925"/>
    <n v="0"/>
    <n v="76"/>
    <n v="442548"/>
    <n v="285546.218487395"/>
    <n v="5"/>
    <n v="101"/>
    <n v="6"/>
    <m/>
    <n v="0"/>
    <n v="0"/>
    <n v="588123"/>
    <n v="34155"/>
    <n v="0"/>
    <n v="0"/>
    <n v="76"/>
    <n v="442548"/>
    <n v="85663.8655462185"/>
    <n v="12"/>
    <n v="111"/>
    <n v="35"/>
    <m/>
    <n v="0"/>
    <n v="0"/>
    <n v="646353"/>
    <n v="199237.5"/>
    <n v="0"/>
    <n v="0"/>
    <n v="111"/>
    <n v="442548"/>
    <n v="499705.8823529412"/>
    <n v="25"/>
    <n v="99"/>
    <n v="30"/>
    <n v="100"/>
    <n v="100"/>
    <n v="0"/>
    <n v="576477"/>
    <n v="170775"/>
    <n v="550275"/>
    <n v="0"/>
    <n v="99"/>
    <n v="442548"/>
    <n v="428319.3277310925"/>
    <n v="40"/>
    <n v="69"/>
    <n v="48"/>
    <n v="0"/>
    <n v="0"/>
    <n v="0"/>
    <n v="401787"/>
    <n v="273240"/>
    <n v="0"/>
    <n v="0"/>
    <n v="69"/>
    <n v="401787"/>
    <n v="685310.924369748"/>
    <n v="15"/>
    <n v="21"/>
    <n v="18"/>
    <n v="0"/>
    <n v="0"/>
    <m/>
    <n v="119542.5"/>
    <n v="102465"/>
    <n v="0"/>
    <n v="0"/>
    <n v="21"/>
    <n v="119542.5"/>
    <n v="256991.5966386555"/>
    <n v="30"/>
    <n v="3"/>
    <n v="3"/>
    <n v="145"/>
    <n v="145"/>
    <n v="145"/>
    <n v="0"/>
    <n v="17077.5"/>
    <n v="17077.5"/>
    <n v="825412.5"/>
    <n v="825412.5"/>
    <n v="148"/>
    <n v="842490"/>
    <n v="37789.91596638656"/>
    <n v="30"/>
    <n v="145"/>
    <n v="36"/>
    <n v="0"/>
    <n v="0"/>
    <n v="825412.5"/>
    <n v="204930"/>
    <n v="0"/>
    <n v="0"/>
    <n v="145"/>
    <n v="825412.5"/>
    <n v="476152.9411764707"/>
    <n v="80"/>
    <n v="109"/>
    <n v="96"/>
    <n v="0"/>
    <n v="0"/>
    <n v="620482.5"/>
    <n v="546480"/>
    <n v="0"/>
    <n v="109"/>
    <n v="620482.5"/>
    <n v="1370621.848739496"/>
    <n v="18"/>
    <n v="13"/>
    <n v="21.6"/>
    <n v="0"/>
    <m/>
    <n v="74002.5"/>
    <n v="125776.8"/>
    <n v="0"/>
    <n v="13"/>
    <n v="74002.5"/>
    <n v="308389.9159663866"/>
  </r>
  <r>
    <m/>
    <x v="6"/>
    <x v="31"/>
    <x v="79"/>
    <s v="BDSETDOC"/>
    <x v="634"/>
    <x v="471"/>
    <x v="0"/>
    <x v="3"/>
    <n v="1"/>
    <x v="389"/>
    <n v="39"/>
    <m/>
    <n v="0"/>
    <n v="4770"/>
    <n v="186030"/>
    <n v="5.2"/>
    <n v="5829.2"/>
    <n v="12596.63865546219"/>
    <n v="10915.96638655462"/>
    <s v="Ningbo"/>
    <s v="30/70"/>
    <n v="30"/>
    <n v="10"/>
    <n v="0"/>
    <s v=""/>
    <n v="0"/>
    <s v=""/>
    <n v="0"/>
    <s v=""/>
    <n v="0"/>
    <s v=""/>
    <n v="0"/>
    <s v=""/>
    <n v="0"/>
    <s v=""/>
    <n v="29"/>
    <n v="0.5637074239745126"/>
    <n v="31"/>
    <n v="0.5868174845762019"/>
    <n v="1"/>
    <n v="0.5192506152258475"/>
    <n v="0"/>
    <s v=""/>
    <n v="2"/>
    <n v="0.5192437199866713"/>
    <n v="0"/>
    <s v=""/>
    <n v="40"/>
    <s v=""/>
    <n v="36"/>
    <s v=""/>
    <n v="92"/>
    <s v=""/>
    <n v="0"/>
    <s v=""/>
    <n v="0"/>
    <n v="0"/>
    <s v=""/>
    <n v="0"/>
    <n v="4"/>
    <s v=""/>
    <n v="0.04"/>
    <n v="17"/>
    <s v=""/>
    <n v="0.2833333333333333"/>
    <n v="30"/>
    <n v="68"/>
    <n v="10"/>
    <n v="0"/>
    <m/>
    <n v="0"/>
    <n v="744120"/>
    <n v="365976"/>
    <n v="47700"/>
    <n v="0"/>
    <n v="39"/>
    <n v="186030"/>
    <n v="105854.1063484217"/>
    <n v="25"/>
    <n v="128"/>
    <n v="54"/>
    <n v="0"/>
    <n v="100"/>
    <n v="0"/>
    <n v="696420"/>
    <n v="688896"/>
    <n v="257580"/>
    <n v="0"/>
    <n v="39"/>
    <n v="186030"/>
    <n v="571612.1742814773"/>
    <n v="70"/>
    <n v="57"/>
    <n v="92"/>
    <n v="0"/>
    <n v="0"/>
    <n v="654120"/>
    <n v="271890"/>
    <n v="438840"/>
    <n v="0"/>
    <n v="39"/>
    <n v="186030"/>
    <n v="1158890.756302521"/>
    <n v="30"/>
    <n v="0"/>
    <n v="0"/>
    <n v="0"/>
    <n v="0"/>
    <n v="0"/>
    <n v="0"/>
    <n v="0"/>
    <n v="0"/>
    <n v="39"/>
    <n v="186030"/>
    <n v="0"/>
    <n v="40"/>
    <n v="39"/>
    <n v="40"/>
    <m/>
    <n v="0"/>
    <n v="0"/>
    <n v="186030"/>
    <n v="215280"/>
    <n v="0"/>
    <n v="0"/>
    <n v="39"/>
    <n v="186030"/>
    <n v="503865.5462184874"/>
    <n v="100"/>
    <n v="43"/>
    <n v="4"/>
    <m/>
    <n v="0"/>
    <n v="0"/>
    <n v="205110"/>
    <n v="21528"/>
    <n v="0"/>
    <n v="0"/>
    <n v="43"/>
    <n v="186030"/>
    <n v="50386.55462184874"/>
    <n v="60"/>
    <n v="56"/>
    <n v="60"/>
    <n v="50"/>
    <n v="50"/>
    <n v="0"/>
    <n v="267120"/>
    <n v="322920"/>
    <n v="260130"/>
    <n v="0"/>
    <n v="56"/>
    <n v="186030"/>
    <n v="755798.3193277312"/>
    <n v="120"/>
    <n v="0"/>
    <n v="120"/>
    <n v="0"/>
    <n v="0"/>
    <n v="0"/>
    <n v="0"/>
    <n v="645840"/>
    <n v="0"/>
    <n v="0"/>
    <n v="0"/>
    <n v="0"/>
    <n v="1511596.638655462"/>
    <n v="40"/>
    <n v="0"/>
    <n v="40"/>
    <n v="80"/>
    <n v="80"/>
    <n v="0"/>
    <n v="0"/>
    <n v="215280"/>
    <n v="430560"/>
    <n v="0"/>
    <n v="0"/>
    <n v="0"/>
    <n v="503865.5462184874"/>
    <n v="100"/>
    <n v="80"/>
    <n v="80"/>
    <n v="200"/>
    <n v="200"/>
    <n v="200"/>
    <n v="80"/>
    <n v="430560"/>
    <n v="430560"/>
    <n v="1076400"/>
    <n v="1506960"/>
    <n v="280"/>
    <n v="1937520"/>
    <n v="873277.3109243698"/>
    <n v="105"/>
    <n v="200"/>
    <n v="105"/>
    <n v="160"/>
    <n v="160"/>
    <n v="1076400"/>
    <n v="565110"/>
    <n v="861120"/>
    <n v="861120"/>
    <n v="360"/>
    <n v="1937520"/>
    <n v="1203485.294117647"/>
    <n v="200"/>
    <n v="255"/>
    <n v="200"/>
    <n v="0"/>
    <n v="0"/>
    <n v="1372410"/>
    <n v="1076400"/>
    <n v="0"/>
    <n v="255"/>
    <n v="1372410"/>
    <n v="2519327.731092437"/>
    <n v="63"/>
    <n v="55"/>
    <n v="63"/>
    <n v="0"/>
    <m/>
    <n v="296010"/>
    <n v="300510"/>
    <n v="0"/>
    <n v="55"/>
    <n v="296010"/>
    <n v="793588.2352941177"/>
  </r>
  <r>
    <m/>
    <x v="6"/>
    <x v="31"/>
    <x v="79"/>
    <s v="BDSETLIMP"/>
    <x v="635"/>
    <x v="472"/>
    <x v="0"/>
    <x v="2"/>
    <n v="1"/>
    <x v="12"/>
    <n v="39"/>
    <m/>
    <n v="0"/>
    <n v="11970"/>
    <n v="466830"/>
    <n v="10.5"/>
    <n v="11970"/>
    <n v="30176.47058823529"/>
    <n v="25650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7"/>
    <s v=""/>
    <n v="0.28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39"/>
    <n v="466830"/>
    <n v="0"/>
    <n v="0"/>
    <n v="0"/>
    <n v="0"/>
    <n v="0"/>
    <n v="0"/>
    <n v="0"/>
    <n v="0"/>
    <n v="0"/>
    <n v="0"/>
    <n v="39"/>
    <n v="466830"/>
    <n v="0"/>
    <n v="0"/>
    <n v="39"/>
    <n v="0"/>
    <m/>
    <m/>
    <n v="0"/>
    <n v="466830"/>
    <n v="0"/>
    <n v="0"/>
    <n v="0"/>
    <n v="39"/>
    <n v="466830"/>
    <n v="0"/>
    <n v="15"/>
    <n v="39"/>
    <n v="0"/>
    <m/>
    <n v="0"/>
    <n v="0"/>
    <n v="466830"/>
    <n v="0"/>
    <n v="0"/>
    <n v="0"/>
    <n v="39"/>
    <n v="466830"/>
    <n v="0"/>
    <n v="25"/>
    <n v="46"/>
    <n v="25"/>
    <n v="50"/>
    <n v="50"/>
    <n v="0"/>
    <n v="550620"/>
    <n v="271687.5"/>
    <n v="525262.5"/>
    <n v="0"/>
    <n v="46"/>
    <n v="466830"/>
    <n v="754411.7647058823"/>
    <n v="10"/>
    <n v="21"/>
    <n v="10"/>
    <n v="0"/>
    <n v="0"/>
    <n v="0"/>
    <n v="251370"/>
    <n v="108675"/>
    <n v="0"/>
    <n v="0"/>
    <n v="21"/>
    <n v="251370"/>
    <n v="301764.705882353"/>
    <n v="8"/>
    <n v="11"/>
    <n v="8"/>
    <n v="0"/>
    <n v="0"/>
    <m/>
    <n v="119542.5"/>
    <n v="86940"/>
    <n v="0"/>
    <n v="0"/>
    <n v="11"/>
    <n v="119542.5"/>
    <n v="241411.7647058823"/>
    <n v="20"/>
    <n v="3"/>
    <n v="3"/>
    <n v="70"/>
    <n v="70"/>
    <n v="70"/>
    <n v="0"/>
    <n v="32602.5"/>
    <n v="32602.5"/>
    <n v="760725"/>
    <n v="760725"/>
    <n v="73"/>
    <n v="793327.5"/>
    <n v="76950"/>
    <n v="17.5"/>
    <n v="70"/>
    <n v="17.5"/>
    <n v="0"/>
    <n v="0"/>
    <n v="760725"/>
    <n v="190181.25"/>
    <n v="0"/>
    <n v="0"/>
    <n v="70"/>
    <n v="760725"/>
    <n v="471318.75"/>
    <n v="40"/>
    <n v="52.5"/>
    <n v="40"/>
    <n v="0"/>
    <n v="0"/>
    <n v="570543.75"/>
    <n v="434700"/>
    <n v="0"/>
    <n v="52.5"/>
    <n v="570543.75"/>
    <n v="1207058.823529412"/>
    <n v="10.5"/>
    <n v="12.5"/>
    <n v="10.5"/>
    <n v="0"/>
    <m/>
    <n v="135843.75"/>
    <n v="125685"/>
    <n v="0"/>
    <n v="12.5"/>
    <n v="135843.75"/>
    <n v="316852.9411764706"/>
  </r>
  <r>
    <m/>
    <x v="6"/>
    <x v="31"/>
    <x v="79"/>
    <s v="BDPZMG2E1"/>
    <x v="636"/>
    <x v="473"/>
    <x v="0"/>
    <x v="2"/>
    <n v="1"/>
    <x v="12"/>
    <n v="45"/>
    <m/>
    <n v="0"/>
    <n v="15960"/>
    <n v="718200"/>
    <n v="14"/>
    <n v="15960"/>
    <n v="40235.29411764706"/>
    <n v="34200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5"/>
    <s v=""/>
    <n v="0.25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45"/>
    <n v="718200"/>
    <n v="0"/>
    <n v="0"/>
    <n v="0"/>
    <n v="0"/>
    <n v="0"/>
    <n v="0"/>
    <n v="0"/>
    <n v="0"/>
    <n v="0"/>
    <n v="0"/>
    <n v="45"/>
    <n v="718200"/>
    <n v="0"/>
    <n v="0"/>
    <n v="45"/>
    <n v="0"/>
    <m/>
    <m/>
    <n v="0"/>
    <n v="718200"/>
    <n v="0"/>
    <n v="0"/>
    <n v="0"/>
    <n v="45"/>
    <n v="718200"/>
    <n v="0"/>
    <n v="10"/>
    <n v="45"/>
    <n v="0"/>
    <m/>
    <n v="0"/>
    <n v="0"/>
    <n v="718200"/>
    <n v="0"/>
    <n v="0"/>
    <n v="0"/>
    <n v="45"/>
    <n v="718200"/>
    <n v="0"/>
    <n v="20"/>
    <n v="50"/>
    <n v="20"/>
    <n v="50"/>
    <n v="50"/>
    <n v="0"/>
    <n v="798000"/>
    <n v="289799.9999999999"/>
    <n v="700349.9999999999"/>
    <n v="0"/>
    <n v="50"/>
    <n v="718200"/>
    <n v="804705.8823529412"/>
    <n v="35"/>
    <n v="30"/>
    <n v="35"/>
    <n v="0"/>
    <n v="0"/>
    <n v="0"/>
    <n v="478800"/>
    <n v="507149.9999999999"/>
    <n v="0"/>
    <n v="0"/>
    <n v="30"/>
    <n v="478800"/>
    <n v="1408235.294117647"/>
    <n v="15"/>
    <n v="0"/>
    <n v="15"/>
    <n v="30"/>
    <n v="30"/>
    <n v="0"/>
    <n v="0"/>
    <n v="217350"/>
    <n v="434699.9999999999"/>
    <n v="0"/>
    <n v="0"/>
    <n v="0"/>
    <n v="603529.4117647059"/>
    <n v="50"/>
    <n v="30"/>
    <n v="30"/>
    <n v="100"/>
    <n v="100"/>
    <n v="100"/>
    <n v="30"/>
    <n v="434699.9999999999"/>
    <n v="434699.9999999999"/>
    <n v="1449000"/>
    <n v="1883700"/>
    <n v="130"/>
    <n v="2318400"/>
    <n v="1026000"/>
    <n v="56"/>
    <n v="100"/>
    <n v="56"/>
    <n v="50"/>
    <n v="50"/>
    <n v="1449000"/>
    <n v="811439.9999999999"/>
    <n v="724499.9999999999"/>
    <n v="724499.9999999999"/>
    <n v="150"/>
    <n v="2173500"/>
    <n v="2010960"/>
    <n v="80"/>
    <n v="94"/>
    <n v="80"/>
    <n v="0"/>
    <n v="0"/>
    <n v="1362060"/>
    <n v="1159200"/>
    <n v="0"/>
    <n v="94"/>
    <n v="1362060"/>
    <n v="3218823.529411765"/>
    <n v="33.6"/>
    <n v="14"/>
    <n v="33.6"/>
    <n v="0"/>
    <m/>
    <n v="202860"/>
    <n v="536256"/>
    <n v="0"/>
    <n v="14"/>
    <n v="202860"/>
    <n v="1351905.882352941"/>
  </r>
  <r>
    <m/>
    <x v="6"/>
    <x v="31"/>
    <x v="79"/>
    <s v="BDCASMUÑEC-WD"/>
    <x v="637"/>
    <x v="474"/>
    <x v="0"/>
    <x v="2"/>
    <n v="1"/>
    <x v="12"/>
    <n v="49"/>
    <m/>
    <n v="0"/>
    <n v="24692.4"/>
    <n v="1209927.6"/>
    <n v="21.66"/>
    <n v="24692.4"/>
    <n v="62249.74789915968"/>
    <n v="52912.28571428572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49"/>
    <n v="1209927.6"/>
    <n v="0"/>
    <n v="0"/>
    <n v="0"/>
    <n v="0"/>
    <n v="0"/>
    <n v="0"/>
    <n v="0"/>
    <n v="0"/>
    <n v="0"/>
    <n v="0"/>
    <n v="49"/>
    <n v="1209927.6"/>
    <n v="0"/>
    <n v="0"/>
    <n v="49"/>
    <n v="0"/>
    <m/>
    <m/>
    <n v="0"/>
    <n v="1209927.6"/>
    <n v="0"/>
    <n v="0"/>
    <n v="0"/>
    <n v="49"/>
    <n v="1209927.6"/>
    <n v="0"/>
    <n v="70"/>
    <n v="49"/>
    <n v="0"/>
    <m/>
    <n v="0"/>
    <n v="0"/>
    <n v="1209927.6"/>
    <n v="0"/>
    <n v="0"/>
    <n v="0"/>
    <n v="49"/>
    <n v="1209927.6"/>
    <n v="0"/>
    <n v="10"/>
    <n v="49"/>
    <n v="10"/>
    <n v="50"/>
    <n v="50"/>
    <n v="0"/>
    <n v="1209927.6"/>
    <n v="224181"/>
    <n v="1083541.5"/>
    <n v="0"/>
    <n v="49"/>
    <n v="1209927.6"/>
    <n v="622497.4789915968"/>
    <n v="25"/>
    <n v="39"/>
    <n v="25"/>
    <n v="0"/>
    <n v="0"/>
    <n v="0"/>
    <n v="963003.6000000001"/>
    <n v="560452.5"/>
    <n v="0"/>
    <n v="0"/>
    <n v="39"/>
    <n v="963003.6000000001"/>
    <n v="1556243.697478992"/>
    <n v="10"/>
    <n v="14"/>
    <n v="10"/>
    <n v="15"/>
    <n v="15"/>
    <n v="0"/>
    <n v="313853.4"/>
    <n v="224181"/>
    <n v="336271.5"/>
    <n v="0"/>
    <n v="14"/>
    <n v="313853.4"/>
    <n v="622497.4789915968"/>
    <n v="25"/>
    <n v="19"/>
    <n v="19"/>
    <n v="80"/>
    <n v="80"/>
    <n v="80"/>
    <n v="15"/>
    <n v="425943.9"/>
    <n v="425943.9"/>
    <n v="1793448"/>
    <n v="2129719.5"/>
    <n v="99"/>
    <n v="2555663.4"/>
    <n v="1005333.428571429"/>
    <n v="28"/>
    <n v="80"/>
    <n v="28"/>
    <n v="0"/>
    <n v="0"/>
    <n v="1793448"/>
    <n v="627706.7999999999"/>
    <n v="0"/>
    <n v="0"/>
    <n v="80"/>
    <n v="1793448"/>
    <n v="1555621.2"/>
    <n v="48"/>
    <n v="52"/>
    <n v="48"/>
    <n v="0"/>
    <n v="0"/>
    <n v="1165741.2"/>
    <n v="1076068.8"/>
    <n v="0"/>
    <n v="52"/>
    <n v="1165741.2"/>
    <n v="2987987.899159665"/>
    <n v="16.8"/>
    <n v="4"/>
    <n v="16.8"/>
    <n v="0"/>
    <m/>
    <n v="89672.39999999999"/>
    <n v="414832.3200000001"/>
    <n v="0"/>
    <n v="4"/>
    <n v="89672.39999999999"/>
    <n v="1045795.764705883"/>
  </r>
  <r>
    <m/>
    <x v="6"/>
    <x v="31"/>
    <x v="79"/>
    <s v="BDPKMESILL"/>
    <x v="638"/>
    <x v="475"/>
    <x v="0"/>
    <x v="2"/>
    <n v="1"/>
    <x v="12"/>
    <n v="2"/>
    <m/>
    <n v="0"/>
    <n v="47880"/>
    <n v="95760"/>
    <n v="42"/>
    <n v="47880"/>
    <n v="120705.8823529412"/>
    <n v="102600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8"/>
    <s v=""/>
    <n v="1.6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"/>
    <n v="95760"/>
    <n v="0"/>
    <n v="0"/>
    <n v="0"/>
    <n v="0"/>
    <n v="0"/>
    <n v="0"/>
    <n v="0"/>
    <n v="0"/>
    <n v="0"/>
    <n v="0"/>
    <n v="2"/>
    <n v="95760"/>
    <n v="0"/>
    <n v="0"/>
    <n v="2"/>
    <n v="0"/>
    <m/>
    <m/>
    <n v="0"/>
    <n v="95760"/>
    <n v="0"/>
    <n v="0"/>
    <n v="0"/>
    <n v="2"/>
    <n v="95760"/>
    <n v="0"/>
    <n v="3"/>
    <n v="2"/>
    <n v="0"/>
    <m/>
    <n v="0"/>
    <n v="0"/>
    <n v="95760"/>
    <n v="0"/>
    <n v="0"/>
    <n v="0"/>
    <n v="2"/>
    <n v="95760"/>
    <n v="0"/>
    <n v="5"/>
    <n v="10"/>
    <n v="5"/>
    <n v="10"/>
    <n v="10"/>
    <n v="0"/>
    <n v="478800"/>
    <n v="217350"/>
    <n v="420210"/>
    <n v="0"/>
    <n v="10"/>
    <n v="95760"/>
    <n v="603529.4117647059"/>
    <n v="3"/>
    <n v="5"/>
    <n v="3"/>
    <n v="0"/>
    <n v="0"/>
    <n v="0"/>
    <n v="239400"/>
    <n v="130410"/>
    <n v="0"/>
    <n v="0"/>
    <n v="5"/>
    <n v="239400"/>
    <n v="362117.6470588235"/>
    <n v="2"/>
    <n v="2"/>
    <n v="2"/>
    <n v="0"/>
    <n v="0"/>
    <m/>
    <n v="86940"/>
    <n v="86940"/>
    <n v="0"/>
    <n v="0"/>
    <n v="2"/>
    <n v="86940"/>
    <n v="241411.7647058823"/>
    <n v="4"/>
    <n v="0"/>
    <n v="0"/>
    <n v="20"/>
    <n v="20"/>
    <n v="20"/>
    <n v="0"/>
    <n v="0"/>
    <n v="0"/>
    <n v="869400"/>
    <n v="869400"/>
    <n v="20"/>
    <n v="869400"/>
    <n v="0"/>
    <n v="3.5"/>
    <n v="20"/>
    <n v="3.5"/>
    <n v="5"/>
    <n v="5"/>
    <n v="869400"/>
    <n v="152145"/>
    <n v="217350"/>
    <n v="217350"/>
    <n v="25"/>
    <n v="1086750"/>
    <n v="377055"/>
    <n v="8"/>
    <n v="21.5"/>
    <n v="8"/>
    <n v="0"/>
    <n v="0"/>
    <n v="934605"/>
    <n v="347760"/>
    <n v="0"/>
    <n v="21.5"/>
    <n v="934605"/>
    <n v="965647.0588235294"/>
    <n v="2.1"/>
    <n v="13.5"/>
    <n v="2.1"/>
    <n v="0"/>
    <m/>
    <n v="586845"/>
    <n v="100548"/>
    <n v="0"/>
    <n v="13.5"/>
    <n v="586845"/>
    <n v="253482.3529411765"/>
  </r>
  <r>
    <m/>
    <x v="6"/>
    <x v="31"/>
    <x v="80"/>
    <s v="BDSETMAQ"/>
    <x v="639"/>
    <x v="476"/>
    <x v="0"/>
    <x v="4"/>
    <n v="0.8"/>
    <x v="390"/>
    <n v="106"/>
    <m/>
    <n v="0"/>
    <n v="4770"/>
    <n v="505620"/>
    <n v="5.2"/>
    <n v="5829.2"/>
    <n v="16798.31932773109"/>
    <n v="12596.63865546219"/>
    <s v="Ningbo"/>
    <s v="30/70"/>
    <n v="30"/>
    <n v="10"/>
    <n v="0"/>
    <s v=""/>
    <n v="0"/>
    <s v=""/>
    <n v="0"/>
    <s v=""/>
    <n v="0"/>
    <s v=""/>
    <n v="0"/>
    <s v=""/>
    <n v="0"/>
    <s v=""/>
    <n v="9"/>
    <n v="0.5232967349894877"/>
    <n v="17"/>
    <n v="0.5913898857649567"/>
    <n v="20"/>
    <n v="0.5521064308442364"/>
    <n v="10"/>
    <n v="0.5317324154041807"/>
    <n v="4"/>
    <n v="0.5493041601547964"/>
    <n v="0"/>
    <s v=""/>
    <n v="0"/>
    <s v=""/>
    <n v="0"/>
    <s v=""/>
    <n v="13"/>
    <s v=""/>
    <n v="11"/>
    <s v=""/>
    <n v="0.7333333333333333"/>
    <n v="9"/>
    <s v=""/>
    <n v="0.9"/>
    <n v="20"/>
    <s v=""/>
    <n v="0.8"/>
    <n v="22"/>
    <s v=""/>
    <n v="0.6285714285714286"/>
    <n v="0"/>
    <n v="0"/>
    <n v="0"/>
    <n v="0"/>
    <m/>
    <n v="0"/>
    <n v="62010"/>
    <n v="0"/>
    <n v="0"/>
    <n v="0"/>
    <n v="106"/>
    <n v="505620"/>
    <n v="0"/>
    <n v="0"/>
    <n v="80"/>
    <n v="0"/>
    <n v="0"/>
    <n v="0"/>
    <n v="0"/>
    <n v="114480"/>
    <n v="430560"/>
    <n v="0"/>
    <n v="0"/>
    <n v="106"/>
    <n v="505620"/>
    <n v="0"/>
    <n v="15"/>
    <n v="80"/>
    <n v="13"/>
    <n v="0"/>
    <n v="0"/>
    <n v="157536"/>
    <n v="381600"/>
    <n v="62010"/>
    <n v="0"/>
    <n v="106"/>
    <n v="505620"/>
    <n v="218378.1512605042"/>
    <n v="15"/>
    <n v="109"/>
    <n v="11"/>
    <n v="30"/>
    <n v="0"/>
    <n v="586638"/>
    <n v="52470"/>
    <n v="161460"/>
    <n v="0"/>
    <n v="106"/>
    <n v="505620"/>
    <n v="184781.512605042"/>
    <n v="10"/>
    <n v="115"/>
    <n v="8"/>
    <m/>
    <n v="0"/>
    <n v="0"/>
    <n v="548550"/>
    <n v="43056"/>
    <n v="0"/>
    <n v="0"/>
    <n v="106"/>
    <n v="505620"/>
    <n v="134386.5546218487"/>
    <n v="25"/>
    <n v="126"/>
    <n v="20"/>
    <m/>
    <n v="0"/>
    <n v="0"/>
    <n v="601020"/>
    <n v="107640"/>
    <n v="0"/>
    <n v="0"/>
    <n v="126"/>
    <n v="505620"/>
    <n v="335966.3865546219"/>
    <n v="35"/>
    <n v="128"/>
    <n v="28"/>
    <n v="50"/>
    <n v="50"/>
    <n v="0"/>
    <n v="610560"/>
    <n v="150696"/>
    <n v="260130"/>
    <n v="0"/>
    <n v="128"/>
    <n v="505620"/>
    <n v="470352.9411764706"/>
    <n v="45"/>
    <n v="100"/>
    <n v="36"/>
    <n v="0"/>
    <n v="0"/>
    <n v="0"/>
    <n v="477000"/>
    <n v="193752"/>
    <n v="0"/>
    <n v="0"/>
    <n v="100"/>
    <n v="477000"/>
    <n v="604739.4957983193"/>
    <n v="15"/>
    <n v="64"/>
    <n v="12"/>
    <n v="0"/>
    <n v="0"/>
    <m/>
    <n v="344448"/>
    <n v="64584"/>
    <n v="0"/>
    <n v="0"/>
    <n v="64"/>
    <n v="344448"/>
    <n v="201579.8319327731"/>
    <n v="25"/>
    <n v="52"/>
    <n v="20"/>
    <n v="40"/>
    <n v="40"/>
    <n v="40"/>
    <n v="0"/>
    <n v="279864"/>
    <n v="107640"/>
    <n v="215280"/>
    <n v="215280"/>
    <n v="92"/>
    <n v="495144"/>
    <n v="251932.7731092437"/>
    <n v="35"/>
    <n v="72"/>
    <n v="28"/>
    <n v="0"/>
    <n v="0"/>
    <n v="387504"/>
    <n v="150696"/>
    <n v="0"/>
    <n v="0"/>
    <n v="72"/>
    <n v="387504"/>
    <n v="370341.1764705883"/>
    <n v="64"/>
    <n v="44"/>
    <n v="51.2"/>
    <n v="0"/>
    <n v="0"/>
    <n v="236808"/>
    <n v="275558.4"/>
    <n v="0"/>
    <n v="44"/>
    <n v="236808"/>
    <n v="860073.949579832"/>
    <n v="21"/>
    <n v="0"/>
    <n v="16.8"/>
    <n v="0"/>
    <m/>
    <n v="0"/>
    <n v="80136"/>
    <n v="0"/>
    <n v="0"/>
    <n v="0"/>
    <n v="282211.7647058823"/>
  </r>
  <r>
    <m/>
    <x v="6"/>
    <x v="31"/>
    <x v="80"/>
    <s v="BDTOCMD-WH"/>
    <x v="640"/>
    <x v="477"/>
    <x v="0"/>
    <x v="4"/>
    <n v="0.7"/>
    <x v="391"/>
    <n v="45"/>
    <m/>
    <n v="0"/>
    <n v="33401"/>
    <n v="1503045"/>
    <n v="29.49"/>
    <n v="33058.29"/>
    <n v="84025.21008403362"/>
    <n v="84025.21008403362"/>
    <s v="Ningbo"/>
    <s v="30/70"/>
    <n v="30"/>
    <n v="10"/>
    <n v="0"/>
    <s v=""/>
    <n v="0"/>
    <s v=""/>
    <n v="0"/>
    <s v=""/>
    <n v="0"/>
    <s v=""/>
    <n v="0"/>
    <s v=""/>
    <n v="0"/>
    <s v=""/>
    <n v="6"/>
    <n v="0.4848252642785003"/>
    <n v="7"/>
    <n v="0.536414592772578"/>
    <n v="4"/>
    <n v="0.5115805699305357"/>
    <n v="3"/>
    <n v="0.5115778222277785"/>
    <n v="26"/>
    <n v="0.4868110654157207"/>
    <n v="13"/>
    <n v="0.5138497966751184"/>
    <n v="0"/>
    <s v=""/>
    <n v="0"/>
    <s v=""/>
    <n v="0"/>
    <s v=""/>
    <n v="4"/>
    <s v=""/>
    <n v="0.4"/>
    <n v="2"/>
    <s v=""/>
    <n v="0.1333333333333333"/>
    <n v="4"/>
    <s v=""/>
    <n v="0.1142857142857143"/>
    <n v="2"/>
    <s v=""/>
    <n v="0.08"/>
    <n v="0"/>
    <n v="0"/>
    <n v="0"/>
    <n v="0"/>
    <m/>
    <n v="0"/>
    <n v="0"/>
    <n v="0"/>
    <n v="0"/>
    <n v="0"/>
    <n v="45"/>
    <n v="1503045"/>
    <n v="0"/>
    <n v="0"/>
    <n v="0"/>
    <n v="0"/>
    <n v="0"/>
    <n v="0"/>
    <n v="0"/>
    <n v="133604"/>
    <n v="0"/>
    <n v="0"/>
    <n v="0"/>
    <n v="45"/>
    <n v="1503045"/>
    <n v="0"/>
    <n v="5"/>
    <n v="0"/>
    <n v="0"/>
    <n v="0"/>
    <n v="0"/>
    <n v="454086.575"/>
    <n v="0"/>
    <n v="0"/>
    <n v="0"/>
    <n v="45"/>
    <n v="1503045"/>
    <n v="0"/>
    <n v="10"/>
    <n v="16"/>
    <n v="4"/>
    <n v="20"/>
    <n v="0"/>
    <n v="488354.4"/>
    <n v="133604"/>
    <n v="610443"/>
    <n v="0"/>
    <n v="45"/>
    <n v="1503045"/>
    <n v="336100.8403361345"/>
    <n v="15"/>
    <n v="47"/>
    <n v="10.5"/>
    <m/>
    <n v="0"/>
    <n v="0"/>
    <n v="1569847"/>
    <n v="320482.575"/>
    <n v="0"/>
    <n v="0"/>
    <n v="45"/>
    <n v="1503045"/>
    <n v="882264.705882353"/>
    <n v="35"/>
    <n v="49"/>
    <n v="4"/>
    <m/>
    <n v="0"/>
    <n v="0"/>
    <n v="1636649"/>
    <n v="122088.6"/>
    <n v="0"/>
    <n v="0"/>
    <n v="49"/>
    <n v="1503045"/>
    <n v="336100.8403361345"/>
    <n v="25"/>
    <n v="47"/>
    <n v="17.5"/>
    <n v="40"/>
    <n v="40"/>
    <n v="0"/>
    <n v="1569847"/>
    <n v="534137.625"/>
    <n v="1180189.8"/>
    <n v="0"/>
    <n v="47"/>
    <n v="1503045"/>
    <n v="1470441.176470588"/>
    <n v="30"/>
    <n v="29.5"/>
    <n v="21"/>
    <n v="0"/>
    <n v="0"/>
    <n v="0"/>
    <n v="985329.5"/>
    <n v="640965.1499999999"/>
    <n v="0"/>
    <n v="0"/>
    <n v="29.5"/>
    <n v="985329.5"/>
    <n v="1764529.411764706"/>
    <n v="16"/>
    <n v="8.5"/>
    <n v="11.2"/>
    <n v="30"/>
    <n v="30"/>
    <n v="0"/>
    <n v="259438.275"/>
    <n v="341848.08"/>
    <n v="915664.4999999999"/>
    <n v="0"/>
    <n v="8.5"/>
    <n v="259438.275"/>
    <n v="941082.3529411765"/>
    <n v="20"/>
    <n v="30"/>
    <n v="14"/>
    <n v="0"/>
    <n v="0"/>
    <n v="0"/>
    <n v="30"/>
    <n v="915664.4999999999"/>
    <n v="427310.1"/>
    <n v="0"/>
    <n v="915664.4999999999"/>
    <n v="30"/>
    <n v="1831329"/>
    <n v="1176352.941176471"/>
    <n v="25"/>
    <n v="16"/>
    <n v="17.5"/>
    <n v="45"/>
    <n v="45"/>
    <n v="488354.4"/>
    <n v="534137.625"/>
    <n v="1373496.75"/>
    <n v="1373496.75"/>
    <n v="61"/>
    <n v="1861851.15"/>
    <n v="1543963.235294118"/>
    <n v="30"/>
    <n v="43.5"/>
    <n v="21"/>
    <n v="0"/>
    <n v="0"/>
    <n v="1327713.525"/>
    <n v="640965.1499999999"/>
    <n v="0"/>
    <n v="43.5"/>
    <n v="1327713.525"/>
    <n v="1764529.411764706"/>
    <n v="15"/>
    <n v="22.5"/>
    <n v="10.5"/>
    <n v="0"/>
    <m/>
    <n v="686748.375"/>
    <n v="350710.5"/>
    <n v="0"/>
    <n v="22.5"/>
    <n v="686748.375"/>
    <n v="882264.705882353"/>
  </r>
  <r>
    <m/>
    <x v="6"/>
    <x v="32"/>
    <x v="81"/>
    <s v="BDMESHERRA"/>
    <x v="641"/>
    <x v="478"/>
    <x v="0"/>
    <x v="0"/>
    <n v="0.6"/>
    <x v="392"/>
    <n v="9"/>
    <m/>
    <n v="0"/>
    <n v="20332"/>
    <n v="182988"/>
    <n v="18"/>
    <n v="20178"/>
    <n v="42008.40336134454"/>
    <n v="42008.40336134454"/>
    <s v="Ningbo"/>
    <s v="30/70"/>
    <n v="30"/>
    <n v="10"/>
    <n v="0"/>
    <s v=""/>
    <n v="0"/>
    <s v=""/>
    <n v="0"/>
    <s v=""/>
    <n v="0"/>
    <s v=""/>
    <n v="0"/>
    <s v=""/>
    <n v="0"/>
    <s v=""/>
    <n v="2"/>
    <n v="0.3355210819411297"/>
    <n v="2"/>
    <n v="0.5228051799657208"/>
    <n v="2"/>
    <n v="0.4385974738846725"/>
    <n v="6"/>
    <n v="0.4736750056850926"/>
    <n v="9"/>
    <n v="0.4346389278428951"/>
    <n v="12"/>
    <n v="0.5464689198134115"/>
    <n v="0"/>
    <s v=""/>
    <n v="0"/>
    <s v=""/>
    <n v="0"/>
    <s v=""/>
    <n v="2"/>
    <s v=""/>
    <n v="0.2"/>
    <n v="2"/>
    <s v=""/>
    <n v="0.3333333333333333"/>
    <n v="6"/>
    <s v=""/>
    <n v="0.4"/>
    <n v="4"/>
    <s v=""/>
    <n v="0.4"/>
    <n v="0"/>
    <n v="0"/>
    <n v="0"/>
    <n v="0"/>
    <n v="0"/>
    <n v="0"/>
    <n v="0"/>
    <n v="0"/>
    <n v="0"/>
    <n v="0"/>
    <n v="9"/>
    <n v="182988"/>
    <n v="0"/>
    <n v="0"/>
    <n v="0"/>
    <n v="0"/>
    <n v="0.01016949152542423"/>
    <n v="0"/>
    <n v="0"/>
    <n v="40664"/>
    <n v="0"/>
    <n v="0"/>
    <n v="0"/>
    <n v="9"/>
    <n v="182988"/>
    <n v="0"/>
    <n v="5"/>
    <n v="0"/>
    <n v="0"/>
    <n v="0"/>
    <n v="0"/>
    <n v="107732"/>
    <n v="0"/>
    <n v="0"/>
    <n v="0"/>
    <n v="9"/>
    <n v="182988"/>
    <n v="0"/>
    <n v="10"/>
    <n v="17"/>
    <n v="2"/>
    <n v="20"/>
    <n v="0"/>
    <n v="316710"/>
    <n v="40664"/>
    <n v="372600"/>
    <n v="0"/>
    <n v="9"/>
    <n v="182988"/>
    <n v="84016.80672268909"/>
    <n v="6"/>
    <n v="11"/>
    <n v="3.6"/>
    <m/>
    <n v="0"/>
    <n v="0"/>
    <n v="223652"/>
    <n v="67068"/>
    <n v="0"/>
    <n v="0"/>
    <n v="9"/>
    <n v="182988"/>
    <n v="151230.2521008403"/>
    <n v="15"/>
    <n v="15"/>
    <n v="6"/>
    <m/>
    <n v="0"/>
    <n v="0"/>
    <n v="304980"/>
    <n v="111780"/>
    <n v="0"/>
    <n v="0"/>
    <n v="15"/>
    <n v="182988"/>
    <n v="252050.4201680673"/>
    <n v="10"/>
    <n v="13"/>
    <n v="6"/>
    <n v="0"/>
    <n v="0"/>
    <n v="0"/>
    <n v="264316"/>
    <n v="111780"/>
    <n v="0"/>
    <n v="0"/>
    <n v="13"/>
    <n v="182988"/>
    <n v="252050.4201680673"/>
    <n v="12"/>
    <n v="7"/>
    <n v="7.199999999999999"/>
    <n v="0"/>
    <n v="0"/>
    <n v="0"/>
    <n v="142324"/>
    <n v="134136"/>
    <n v="0"/>
    <n v="0"/>
    <n v="7"/>
    <n v="142324"/>
    <n v="302460.5042016807"/>
    <n v="10"/>
    <n v="0"/>
    <n v="6"/>
    <n v="15"/>
    <n v="15"/>
    <n v="0"/>
    <n v="0"/>
    <n v="111780"/>
    <n v="279450"/>
    <n v="0"/>
    <n v="0"/>
    <n v="0"/>
    <n v="252050.4201680673"/>
    <n v="6"/>
    <n v="15"/>
    <n v="3.6"/>
    <n v="10"/>
    <n v="10"/>
    <n v="10"/>
    <n v="15"/>
    <n v="279450"/>
    <n v="67068"/>
    <n v="186300"/>
    <n v="465750"/>
    <n v="25"/>
    <n v="745200"/>
    <n v="151230.2521008403"/>
    <n v="9"/>
    <n v="21.4"/>
    <n v="5.399999999999999"/>
    <n v="0"/>
    <n v="0"/>
    <n v="398682"/>
    <n v="100602"/>
    <n v="0"/>
    <n v="0"/>
    <n v="21.4"/>
    <n v="398682"/>
    <n v="238187.6470588236"/>
    <n v="12"/>
    <n v="16"/>
    <n v="7.199999999999999"/>
    <n v="0"/>
    <n v="0"/>
    <n v="298080"/>
    <n v="134136"/>
    <n v="0"/>
    <n v="16"/>
    <n v="298080"/>
    <n v="302460.5042016807"/>
    <n v="5.399999999999999"/>
    <n v="8.800000000000001"/>
    <n v="3.24"/>
    <n v="0"/>
    <m/>
    <n v="163944"/>
    <n v="65875.67999999999"/>
    <n v="0"/>
    <n v="8.800000000000001"/>
    <n v="163944"/>
    <n v="136107.2268907563"/>
  </r>
  <r>
    <m/>
    <x v="6"/>
    <x v="32"/>
    <x v="82"/>
    <s v="BDJUETRE"/>
    <x v="642"/>
    <x v="479"/>
    <x v="0"/>
    <x v="4"/>
    <n v="1"/>
    <x v="393"/>
    <n v="72"/>
    <m/>
    <n v="0"/>
    <n v="16420"/>
    <n v="1182240"/>
    <n v="15.67"/>
    <n v="17566.07"/>
    <n v="42008.40336134454"/>
    <n v="36126.05042016807"/>
    <s v="Ningbo"/>
    <s v="30/70"/>
    <n v="30"/>
    <n v="10"/>
    <n v="0"/>
    <s v=""/>
    <n v="0"/>
    <s v=""/>
    <n v="0"/>
    <s v=""/>
    <n v="0"/>
    <s v=""/>
    <n v="0"/>
    <s v=""/>
    <n v="0"/>
    <s v=""/>
    <n v="9"/>
    <n v="0.584974107675614"/>
    <n v="9"/>
    <n v="0.5446437261128816"/>
    <n v="3"/>
    <n v="0.5847219577223386"/>
    <n v="1"/>
    <n v="0.5674328646879416"/>
    <n v="1"/>
    <n v="0"/>
    <n v="0"/>
    <s v=""/>
    <n v="3"/>
    <s v=""/>
    <n v="5"/>
    <s v=""/>
    <n v="11"/>
    <s v=""/>
    <n v="8"/>
    <s v=""/>
    <n v="0.8"/>
    <n v="13"/>
    <s v=""/>
    <n v="0.8666666666666667"/>
    <n v="11"/>
    <s v=""/>
    <n v="0.3142857142857143"/>
    <n v="7"/>
    <s v=""/>
    <n v="0.28"/>
    <n v="10"/>
    <n v="86"/>
    <n v="5"/>
    <n v="0"/>
    <m/>
    <n v="0"/>
    <n v="385870"/>
    <n v="1394786.7"/>
    <n v="82100"/>
    <n v="0"/>
    <n v="72"/>
    <n v="1182240"/>
    <n v="176505.8964762376"/>
    <n v="5"/>
    <n v="83"/>
    <n v="7.5"/>
    <n v="0"/>
    <n v="0"/>
    <n v="0"/>
    <n v="435130"/>
    <n v="1346131.35"/>
    <n v="123150"/>
    <n v="0"/>
    <n v="72"/>
    <n v="1182240"/>
    <n v="264758.8447143564"/>
    <n v="15"/>
    <n v="76"/>
    <n v="11"/>
    <n v="0"/>
    <n v="0"/>
    <n v="555256.75"/>
    <n v="1247920"/>
    <n v="180620"/>
    <n v="0"/>
    <n v="72"/>
    <n v="1182240"/>
    <n v="462092.4369747899"/>
    <n v="10"/>
    <n v="54"/>
    <n v="8"/>
    <n v="0"/>
    <n v="0"/>
    <n v="875796.2999999999"/>
    <n v="131360"/>
    <n v="0"/>
    <n v="0"/>
    <n v="72"/>
    <n v="1182240"/>
    <n v="336067.2268907563"/>
    <n v="15"/>
    <n v="85"/>
    <n v="15"/>
    <m/>
    <n v="0"/>
    <n v="0"/>
    <n v="1395700"/>
    <n v="243276.75"/>
    <n v="0"/>
    <n v="0"/>
    <n v="72"/>
    <n v="1182240"/>
    <n v="630126.0504201681"/>
    <n v="35"/>
    <n v="83"/>
    <n v="11"/>
    <m/>
    <n v="0"/>
    <n v="0"/>
    <n v="1362860"/>
    <n v="178402.95"/>
    <n v="0"/>
    <n v="0"/>
    <n v="83"/>
    <n v="1182240"/>
    <n v="462092.4369747899"/>
    <n v="25"/>
    <n v="79"/>
    <n v="25"/>
    <n v="40"/>
    <n v="40"/>
    <n v="0"/>
    <n v="1297180"/>
    <n v="405461.25"/>
    <n v="627113.3999999999"/>
    <n v="0"/>
    <n v="79"/>
    <n v="1182240"/>
    <n v="1050210.084033614"/>
    <n v="30"/>
    <n v="54"/>
    <n v="30"/>
    <n v="0"/>
    <n v="0"/>
    <n v="0"/>
    <n v="886680"/>
    <n v="486553.4999999999"/>
    <n v="0"/>
    <n v="0"/>
    <n v="54"/>
    <n v="886680"/>
    <n v="1260252.100840336"/>
    <n v="15"/>
    <n v="24"/>
    <n v="15"/>
    <n v="30"/>
    <n v="30"/>
    <n v="0"/>
    <n v="389242.8"/>
    <n v="243276.75"/>
    <n v="486553.4999999999"/>
    <n v="0"/>
    <n v="24"/>
    <n v="389242.8"/>
    <n v="630126.0504201681"/>
    <n v="15"/>
    <n v="39"/>
    <n v="15"/>
    <n v="0"/>
    <n v="0"/>
    <n v="0"/>
    <n v="30"/>
    <n v="632519.5499999999"/>
    <n v="243276.75"/>
    <n v="0"/>
    <n v="486553.4999999999"/>
    <n v="39"/>
    <n v="1119073.05"/>
    <n v="541890.756302521"/>
    <n v="28"/>
    <n v="24"/>
    <n v="28"/>
    <n v="50"/>
    <n v="50"/>
    <n v="389242.8"/>
    <n v="454116.6"/>
    <n v="810922.5"/>
    <n v="810922.5"/>
    <n v="74"/>
    <n v="1200165.3"/>
    <n v="1062105.882352941"/>
    <n v="40"/>
    <n v="46"/>
    <n v="40"/>
    <n v="0"/>
    <n v="0"/>
    <n v="746048.7"/>
    <n v="648738"/>
    <n v="0"/>
    <n v="46"/>
    <n v="746048.7"/>
    <n v="1680336.134453782"/>
    <n v="16.8"/>
    <n v="6"/>
    <n v="16.8"/>
    <n v="0"/>
    <m/>
    <n v="97310.7"/>
    <n v="275856"/>
    <n v="0"/>
    <n v="6"/>
    <n v="97310.7"/>
    <n v="705741.1764705883"/>
  </r>
  <r>
    <m/>
    <x v="6"/>
    <x v="32"/>
    <x v="82"/>
    <s v="BDHELMAD"/>
    <x v="643"/>
    <x v="480"/>
    <x v="0"/>
    <x v="1"/>
    <n v="1.2"/>
    <x v="394"/>
    <n v="8"/>
    <m/>
    <n v="0"/>
    <n v="14626"/>
    <n v="117008"/>
    <n v="12.9"/>
    <n v="14460.9"/>
    <n v="33605.04201680672"/>
    <n v="31084.03361344538"/>
    <s v="Ningbo"/>
    <s v="30/70"/>
    <n v="30"/>
    <n v="10"/>
    <m/>
    <s v=""/>
    <m/>
    <s v=""/>
    <m/>
    <s v=""/>
    <m/>
    <s v=""/>
    <m/>
    <s v=""/>
    <m/>
    <s v=""/>
    <m/>
    <s v=""/>
    <m/>
    <s v=""/>
    <n v="0"/>
    <s v=""/>
    <n v="0"/>
    <s v=""/>
    <m/>
    <m/>
    <n v="11"/>
    <n v="0.5234186920187074"/>
    <n v="1"/>
    <s v=""/>
    <n v="2"/>
    <s v=""/>
    <n v="4"/>
    <s v=""/>
    <n v="5"/>
    <s v=""/>
    <n v="1.666666666666667"/>
    <n v="6"/>
    <s v=""/>
    <n v="2"/>
    <n v="11"/>
    <s v=""/>
    <n v="3.666666666666667"/>
    <n v="6"/>
    <s v=""/>
    <n v="1"/>
    <n v="10"/>
    <n v="40"/>
    <n v="5"/>
    <n v="0"/>
    <m/>
    <n v="0"/>
    <n v="175512"/>
    <n v="534059.9999999999"/>
    <n v="73130"/>
    <n v="0"/>
    <n v="8"/>
    <n v="117008"/>
    <n v="141197.6555328013"/>
    <n v="10"/>
    <n v="39"/>
    <n v="3"/>
    <n v="0"/>
    <n v="0"/>
    <n v="0"/>
    <n v="175512"/>
    <n v="520708.4999999999"/>
    <n v="43878"/>
    <n v="0"/>
    <n v="8"/>
    <n v="117008"/>
    <n v="84718.59331968082"/>
    <n v="4"/>
    <n v="37"/>
    <n v="4"/>
    <n v="0"/>
    <n v="0"/>
    <n v="179699.4"/>
    <n v="541162"/>
    <n v="58504"/>
    <n v="0"/>
    <n v="8"/>
    <n v="117008"/>
    <n v="134420.1680672269"/>
    <n v="3"/>
    <n v="33"/>
    <n v="5"/>
    <n v="0"/>
    <n v="0"/>
    <n v="440599.4999999999"/>
    <n v="73130"/>
    <n v="0"/>
    <n v="0"/>
    <n v="8"/>
    <n v="117008"/>
    <n v="168025.2100840336"/>
    <n v="3"/>
    <n v="14"/>
    <n v="3.6"/>
    <m/>
    <n v="0"/>
    <n v="0"/>
    <n v="204764"/>
    <n v="48065.39999999999"/>
    <n v="0"/>
    <n v="0"/>
    <n v="8"/>
    <n v="117008"/>
    <n v="120978.1512605042"/>
    <n v="3"/>
    <n v="19"/>
    <n v="11"/>
    <m/>
    <n v="0"/>
    <n v="0"/>
    <n v="277894"/>
    <n v="146866.5"/>
    <n v="0"/>
    <n v="0"/>
    <n v="19"/>
    <n v="117008"/>
    <n v="369655.4621848739"/>
    <n v="6"/>
    <n v="14"/>
    <n v="7.199999999999999"/>
    <n v="0"/>
    <n v="0"/>
    <n v="0"/>
    <n v="204764"/>
    <n v="96130.79999999997"/>
    <n v="0"/>
    <n v="0"/>
    <n v="14"/>
    <n v="117008"/>
    <n v="241956.3025210084"/>
    <n v="6"/>
    <n v="6.800000000000001"/>
    <n v="7.199999999999999"/>
    <n v="0"/>
    <n v="0"/>
    <n v="0"/>
    <n v="99456.80000000002"/>
    <n v="96130.79999999997"/>
    <n v="0"/>
    <n v="0"/>
    <n v="6.800000000000001"/>
    <n v="99456.80000000002"/>
    <n v="241956.3025210084"/>
    <n v="5"/>
    <n v="0"/>
    <n v="6"/>
    <n v="0"/>
    <n v="0"/>
    <m/>
    <n v="0"/>
    <n v="80108.99999999999"/>
    <n v="0"/>
    <n v="0"/>
    <n v="0"/>
    <n v="0"/>
    <n v="201630.2521008403"/>
    <n v="5"/>
    <n v="0"/>
    <n v="0"/>
    <n v="30"/>
    <n v="30"/>
    <n v="30"/>
    <n v="0"/>
    <n v="0"/>
    <n v="0"/>
    <n v="400544.9999999999"/>
    <n v="400544.9999999999"/>
    <n v="30"/>
    <n v="400544.9999999999"/>
    <n v="0"/>
    <n v="6"/>
    <n v="30"/>
    <n v="7.199999999999999"/>
    <n v="0"/>
    <n v="0"/>
    <n v="400544.9999999999"/>
    <n v="96130.79999999997"/>
    <n v="0"/>
    <n v="0"/>
    <n v="30"/>
    <n v="400544.9999999999"/>
    <n v="234995.2941176471"/>
    <n v="12"/>
    <n v="22.8"/>
    <n v="14.4"/>
    <n v="0"/>
    <n v="0"/>
    <n v="304414.2"/>
    <n v="192261.5999999999"/>
    <n v="0"/>
    <n v="22.8"/>
    <n v="304414.2"/>
    <n v="483912.6050420167"/>
    <n v="3.6"/>
    <n v="8.400000000000002"/>
    <n v="4.319999999999999"/>
    <n v="0"/>
    <m/>
    <n v="112152.6"/>
    <n v="63184.31999999999"/>
    <n v="0"/>
    <n v="8.400000000000002"/>
    <n v="112152.6"/>
    <n v="145173.781512605"/>
  </r>
  <r>
    <m/>
    <x v="6"/>
    <x v="32"/>
    <x v="82"/>
    <s v="BDJUEAUT"/>
    <x v="644"/>
    <x v="481"/>
    <x v="0"/>
    <x v="0"/>
    <n v="1"/>
    <x v="395"/>
    <n v="57"/>
    <m/>
    <n v="0"/>
    <n v="6641"/>
    <n v="378537"/>
    <n v="7"/>
    <n v="7847"/>
    <n v="16798.31932773109"/>
    <n v="14277.31092436975"/>
    <s v="Ningbo"/>
    <s v="30/70"/>
    <n v="30"/>
    <n v="10"/>
    <n v="0"/>
    <s v=""/>
    <n v="0"/>
    <s v=""/>
    <n v="0"/>
    <s v=""/>
    <n v="0"/>
    <s v=""/>
    <n v="0"/>
    <s v=""/>
    <n v="0"/>
    <s v=""/>
    <n v="6"/>
    <n v="0.4824447810766953"/>
    <n v="20"/>
    <n v="0.5367769205797898"/>
    <n v="8"/>
    <n v="0.5038266670153309"/>
    <n v="13"/>
    <n v="0.4541670941442916"/>
    <n v="25"/>
    <n v="0.4682658235319235"/>
    <n v="60"/>
    <n v="0.5466322427265492"/>
    <n v="4"/>
    <s v=""/>
    <n v="9"/>
    <s v=""/>
    <n v="19"/>
    <s v=""/>
    <n v="14"/>
    <s v=""/>
    <n v="0.9333333333333333"/>
    <n v="12"/>
    <s v=""/>
    <n v="1.2"/>
    <n v="19"/>
    <s v=""/>
    <n v="0.76"/>
    <n v="19"/>
    <s v=""/>
    <n v="0.95"/>
    <n v="15"/>
    <n v="14"/>
    <n v="6"/>
    <n v="0"/>
    <m/>
    <n v="0"/>
    <n v="255678.5"/>
    <n v="101430"/>
    <n v="39846"/>
    <n v="0"/>
    <n v="57"/>
    <n v="378537"/>
    <n v="84697.40837511476"/>
    <n v="10"/>
    <n v="62"/>
    <n v="13.5"/>
    <n v="45"/>
    <n v="45"/>
    <n v="0"/>
    <n v="308806.5"/>
    <n v="449189.9999999999"/>
    <n v="89653.5"/>
    <n v="0"/>
    <n v="57"/>
    <n v="378537"/>
    <n v="190569.1688440082"/>
    <n v="20"/>
    <n v="50"/>
    <n v="19"/>
    <n v="0"/>
    <n v="0"/>
    <n v="291603"/>
    <n v="332050"/>
    <n v="126179"/>
    <n v="0"/>
    <n v="57"/>
    <n v="378537"/>
    <n v="319168.0672268908"/>
    <n v="15"/>
    <n v="44"/>
    <n v="14"/>
    <n v="10"/>
    <n v="0"/>
    <n v="318779.9999999999"/>
    <n v="92974"/>
    <n v="72449.99999999999"/>
    <n v="0"/>
    <n v="57"/>
    <n v="378537"/>
    <n v="235176.4705882353"/>
    <n v="10"/>
    <n v="69"/>
    <n v="10"/>
    <m/>
    <n v="0"/>
    <n v="0"/>
    <n v="458229"/>
    <n v="72449.99999999999"/>
    <n v="0"/>
    <n v="0"/>
    <n v="57"/>
    <n v="378537"/>
    <n v="167983.1932773109"/>
    <n v="25"/>
    <n v="76"/>
    <n v="19"/>
    <m/>
    <n v="0"/>
    <n v="0"/>
    <n v="504716"/>
    <n v="137655"/>
    <n v="0"/>
    <n v="0"/>
    <n v="76"/>
    <n v="378537"/>
    <n v="319168.0672268908"/>
    <n v="20"/>
    <n v="76"/>
    <n v="20"/>
    <n v="75"/>
    <n v="75"/>
    <n v="0"/>
    <n v="504716"/>
    <n v="144900"/>
    <n v="525262.4999999999"/>
    <n v="0"/>
    <n v="76"/>
    <n v="378537"/>
    <n v="335966.3865546219"/>
    <n v="25"/>
    <n v="56"/>
    <n v="25"/>
    <n v="0"/>
    <n v="0"/>
    <n v="0"/>
    <n v="371896"/>
    <n v="181125"/>
    <n v="0"/>
    <n v="0"/>
    <n v="56"/>
    <n v="371896"/>
    <n v="419957.9831932773"/>
    <n v="12"/>
    <n v="31"/>
    <n v="12"/>
    <n v="0"/>
    <n v="0"/>
    <m/>
    <n v="224595"/>
    <n v="86939.99999999999"/>
    <n v="0"/>
    <n v="0"/>
    <n v="31"/>
    <n v="224595"/>
    <n v="201579.8319327731"/>
    <n v="20"/>
    <n v="19"/>
    <n v="19"/>
    <n v="0"/>
    <n v="0"/>
    <n v="0"/>
    <m/>
    <n v="137655"/>
    <n v="137655"/>
    <n v="0"/>
    <n v="0"/>
    <n v="19"/>
    <n v="137655"/>
    <n v="271268.9075630252"/>
    <n v="25"/>
    <n v="0"/>
    <n v="25"/>
    <n v="90"/>
    <n v="90"/>
    <n v="0"/>
    <n v="181125"/>
    <n v="652049.9999999999"/>
    <n v="652049.9999999999"/>
    <n v="90"/>
    <n v="652049.9999999999"/>
    <n v="374779.4117647059"/>
    <n v="60"/>
    <n v="65"/>
    <n v="60"/>
    <n v="0"/>
    <n v="0"/>
    <n v="470924.9999999999"/>
    <n v="434699.9999999999"/>
    <n v="0"/>
    <n v="65"/>
    <n v="470924.9999999999"/>
    <n v="1007899.159663866"/>
    <n v="15"/>
    <n v="5"/>
    <n v="15"/>
    <n v="0"/>
    <m/>
    <n v="36224.99999999999"/>
    <n v="99615"/>
    <n v="0"/>
    <n v="5"/>
    <n v="36224.99999999999"/>
    <n v="251974.7899159664"/>
  </r>
  <r>
    <m/>
    <x v="6"/>
    <x v="33"/>
    <x v="83"/>
    <s v="BDANDDIDAC-GR"/>
    <x v="645"/>
    <x v="482"/>
    <x v="0"/>
    <x v="4"/>
    <n v="0.8"/>
    <x v="396"/>
    <n v="85"/>
    <m/>
    <n v="0"/>
    <n v="14214"/>
    <n v="1208190"/>
    <n v="13.99"/>
    <n v="15682.79"/>
    <n v="42008.40336134454"/>
    <n v="33605.04201680672"/>
    <s v="Ningbo"/>
    <s v="30/70"/>
    <n v="30"/>
    <n v="10"/>
    <n v="0"/>
    <s v=""/>
    <n v="0"/>
    <s v=""/>
    <n v="0"/>
    <s v=""/>
    <n v="0"/>
    <s v=""/>
    <n v="0"/>
    <s v=""/>
    <n v="0"/>
    <s v=""/>
    <n v="2"/>
    <n v="0.4934757165430621"/>
    <n v="13"/>
    <n v="0.504923784298567"/>
    <n v="14"/>
    <n v="0.4948094198259502"/>
    <n v="8"/>
    <n v="0.4958317939570837"/>
    <n v="50"/>
    <n v="0.4680659648520266"/>
    <n v="1"/>
    <n v="0.7671416172917989"/>
    <n v="0"/>
    <s v=""/>
    <n v="1"/>
    <s v=""/>
    <n v="14"/>
    <s v=""/>
    <n v="9"/>
    <s v=""/>
    <n v="0.6"/>
    <n v="2"/>
    <s v=""/>
    <n v="0.1333333333333333"/>
    <n v="13"/>
    <s v=""/>
    <n v="0.52"/>
    <n v="25"/>
    <s v=""/>
    <n v="1"/>
    <n v="15"/>
    <n v="8"/>
    <n v="5"/>
    <n v="0"/>
    <n v="0"/>
    <n v="0"/>
    <n v="291387"/>
    <n v="115837.2"/>
    <n v="71070"/>
    <n v="0"/>
    <n v="85"/>
    <n v="1208190"/>
    <n v="176505.8964762376"/>
    <n v="15"/>
    <n v="23"/>
    <n v="1.5"/>
    <n v="15"/>
    <n v="15"/>
    <n v="0"/>
    <n v="348243"/>
    <n v="333031.95"/>
    <n v="21321"/>
    <n v="0"/>
    <n v="85"/>
    <n v="1208190"/>
    <n v="52951.76894287128"/>
    <n v="20"/>
    <n v="22"/>
    <n v="14"/>
    <n v="0"/>
    <n v="0"/>
    <n v="500677.8"/>
    <n v="312708"/>
    <n v="198996"/>
    <n v="0"/>
    <n v="85"/>
    <n v="1208190"/>
    <n v="588117.6470588236"/>
    <n v="15"/>
    <n v="35"/>
    <n v="9"/>
    <n v="30"/>
    <n v="0"/>
    <n v="506787.75"/>
    <n v="127926"/>
    <n v="434389.5"/>
    <n v="0"/>
    <n v="85"/>
    <n v="1208190"/>
    <n v="378075.6302521009"/>
    <n v="15"/>
    <n v="87"/>
    <n v="12"/>
    <m/>
    <n v="0"/>
    <n v="0"/>
    <n v="1236618"/>
    <n v="173755.8"/>
    <n v="0"/>
    <n v="0"/>
    <n v="85"/>
    <n v="1208190"/>
    <n v="504100.8403361345"/>
    <n v="25"/>
    <n v="98"/>
    <n v="13"/>
    <m/>
    <n v="0"/>
    <n v="0"/>
    <n v="1392972"/>
    <n v="188235.45"/>
    <n v="0"/>
    <n v="0"/>
    <n v="98"/>
    <n v="1208190"/>
    <n v="546109.243697479"/>
    <n v="25"/>
    <n v="110"/>
    <n v="20"/>
    <n v="100"/>
    <n v="100"/>
    <n v="0"/>
    <n v="1563540"/>
    <n v="289593"/>
    <n v="1399699.5"/>
    <n v="0"/>
    <n v="110"/>
    <n v="1208190"/>
    <n v="840168.0672268908"/>
    <n v="35"/>
    <n v="90"/>
    <n v="28"/>
    <n v="0"/>
    <n v="0"/>
    <n v="0"/>
    <n v="1279260"/>
    <n v="405430.2"/>
    <n v="0"/>
    <n v="0"/>
    <n v="90"/>
    <n v="1279260"/>
    <n v="1176235.294117647"/>
    <n v="20"/>
    <n v="62"/>
    <n v="16"/>
    <n v="0"/>
    <n v="0"/>
    <m/>
    <n v="897738.2999999999"/>
    <n v="231674.4"/>
    <n v="0"/>
    <n v="0"/>
    <n v="62"/>
    <n v="897738.2999999999"/>
    <n v="672134.4537815127"/>
    <n v="25"/>
    <n v="46"/>
    <n v="20"/>
    <n v="0"/>
    <n v="0"/>
    <n v="0"/>
    <m/>
    <n v="666063.9"/>
    <n v="289593"/>
    <n v="0"/>
    <n v="0"/>
    <n v="46"/>
    <n v="666063.9"/>
    <n v="672100.8403361344"/>
    <n v="50"/>
    <n v="26"/>
    <n v="40"/>
    <n v="120"/>
    <n v="120"/>
    <n v="376470.9"/>
    <n v="579186"/>
    <n v="1737558"/>
    <n v="1737558"/>
    <n v="146"/>
    <n v="2114028.9"/>
    <n v="1411411.764705882"/>
    <n v="80"/>
    <n v="106"/>
    <n v="64"/>
    <n v="0"/>
    <n v="0"/>
    <n v="1534842.9"/>
    <n v="926697.6"/>
    <n v="0"/>
    <n v="106"/>
    <n v="1534842.9"/>
    <n v="2688537.815126051"/>
    <n v="30"/>
    <n v="42"/>
    <n v="24"/>
    <n v="0"/>
    <m/>
    <n v="608145.2999999999"/>
    <n v="341136"/>
    <n v="0"/>
    <n v="42"/>
    <n v="608145.2999999999"/>
    <n v="1008201.680672269"/>
  </r>
  <r>
    <m/>
    <x v="6"/>
    <x v="33"/>
    <x v="83"/>
    <s v="BDANDDIDAC"/>
    <x v="646"/>
    <x v="482"/>
    <x v="0"/>
    <x v="3"/>
    <n v="0.8"/>
    <x v="397"/>
    <n v="96"/>
    <m/>
    <n v="0"/>
    <n v="14655"/>
    <n v="1406880"/>
    <n v="13.99"/>
    <n v="15682.79"/>
    <n v="42008.40336134454"/>
    <n v="33605.04201680672"/>
    <s v="Ningbo"/>
    <s v="30/70"/>
    <n v="30"/>
    <n v="10"/>
    <n v="0"/>
    <s v=""/>
    <n v="0"/>
    <s v=""/>
    <n v="0"/>
    <s v=""/>
    <n v="0"/>
    <s v=""/>
    <n v="0"/>
    <s v=""/>
    <n v="0"/>
    <s v=""/>
    <n v="19"/>
    <n v="0.5517097746852493"/>
    <n v="28"/>
    <n v="0.5080748707235321"/>
    <n v="3"/>
    <n v="0.5115911477869467"/>
    <n v="0"/>
    <s v=""/>
    <n v="55"/>
    <n v="0.4951656376064832"/>
    <n v="-1"/>
    <n v="0.1417207792207792"/>
    <n v="3"/>
    <s v=""/>
    <n v="4"/>
    <s v=""/>
    <n v="25"/>
    <s v=""/>
    <n v="11"/>
    <s v=""/>
    <n v="0.55"/>
    <n v="14"/>
    <s v=""/>
    <n v="0.7"/>
    <n v="24"/>
    <s v=""/>
    <n v="0.96"/>
    <n v="91"/>
    <s v=""/>
    <n v="3.033333333333333"/>
    <n v="20"/>
    <n v="115"/>
    <n v="5"/>
    <n v="0"/>
    <m/>
    <n v="0"/>
    <n v="527580"/>
    <n v="1665159.75"/>
    <n v="73275"/>
    <n v="0"/>
    <n v="96"/>
    <n v="1406880"/>
    <n v="176505.8964762376"/>
    <n v="20"/>
    <n v="161"/>
    <n v="6"/>
    <n v="50"/>
    <n v="0"/>
    <n v="0"/>
    <n v="615510"/>
    <n v="2331223.65"/>
    <n v="87930"/>
    <n v="0"/>
    <n v="96"/>
    <n v="1406880"/>
    <n v="211807.0757714851"/>
    <n v="30"/>
    <n v="157"/>
    <n v="25"/>
    <n v="0"/>
    <n v="0"/>
    <n v="759254.4"/>
    <n v="2300835"/>
    <n v="366375"/>
    <n v="0"/>
    <n v="96"/>
    <n v="1406880"/>
    <n v="1050210.084033614"/>
    <n v="20"/>
    <n v="137"/>
    <n v="11"/>
    <n v="10"/>
    <n v="0"/>
    <n v="1983712.05"/>
    <n v="161205"/>
    <n v="144796.5"/>
    <n v="0"/>
    <n v="96"/>
    <n v="1406880"/>
    <n v="462092.4369747899"/>
    <n v="20"/>
    <n v="110"/>
    <n v="16"/>
    <m/>
    <n v="0"/>
    <n v="0"/>
    <n v="1612050"/>
    <n v="231674.4"/>
    <n v="0"/>
    <n v="0"/>
    <n v="96"/>
    <n v="1406880"/>
    <n v="672134.4537815127"/>
    <n v="25"/>
    <n v="120"/>
    <n v="24"/>
    <m/>
    <n v="0"/>
    <n v="0"/>
    <n v="1758600"/>
    <n v="347511.6"/>
    <n v="0"/>
    <n v="0"/>
    <n v="120"/>
    <n v="1406880"/>
    <n v="1008201.680672269"/>
    <n v="30"/>
    <n v="187"/>
    <n v="24"/>
    <n v="100"/>
    <n v="100"/>
    <n v="0"/>
    <n v="2740485"/>
    <n v="347511.6"/>
    <n v="1399699.5"/>
    <n v="0"/>
    <n v="187"/>
    <n v="1406880"/>
    <n v="1008201.680672269"/>
    <n v="40"/>
    <n v="163"/>
    <n v="32"/>
    <n v="0"/>
    <n v="0"/>
    <n v="0"/>
    <n v="2388765"/>
    <n v="463348.8"/>
    <n v="0"/>
    <n v="0"/>
    <n v="163"/>
    <n v="2388765"/>
    <n v="1344268.907563025"/>
    <n v="20"/>
    <n v="131"/>
    <n v="16"/>
    <n v="0"/>
    <n v="0"/>
    <m/>
    <n v="1896834.15"/>
    <n v="231674.4"/>
    <n v="0"/>
    <n v="0"/>
    <n v="131"/>
    <n v="1896834.15"/>
    <n v="672134.4537815127"/>
    <n v="25"/>
    <n v="115"/>
    <n v="20"/>
    <n v="0"/>
    <n v="0"/>
    <n v="0"/>
    <m/>
    <n v="1665159.75"/>
    <n v="289593"/>
    <n v="0"/>
    <n v="0"/>
    <n v="115"/>
    <n v="1665159.75"/>
    <n v="672100.8403361344"/>
    <n v="60"/>
    <n v="95"/>
    <n v="48"/>
    <n v="70"/>
    <n v="70"/>
    <n v="1375566.75"/>
    <n v="695023.2"/>
    <n v="1013575.5"/>
    <n v="1013575.5"/>
    <n v="165"/>
    <n v="2389142.25"/>
    <n v="1693694.117647059"/>
    <n v="100"/>
    <n v="117"/>
    <n v="80"/>
    <n v="0"/>
    <n v="0"/>
    <n v="1694119.05"/>
    <n v="1158372"/>
    <n v="0"/>
    <n v="117"/>
    <n v="1694119.05"/>
    <n v="3360672.268907563"/>
    <n v="36"/>
    <n v="37"/>
    <n v="28.8"/>
    <n v="0"/>
    <m/>
    <n v="535747.0499999999"/>
    <n v="422064"/>
    <n v="0"/>
    <n v="37"/>
    <n v="535747.0499999999"/>
    <n v="1209842.016806723"/>
  </r>
  <r>
    <m/>
    <x v="6"/>
    <x v="33"/>
    <x v="83"/>
    <s v="BNANDCONTRU"/>
    <x v="647"/>
    <x v="483"/>
    <x v="0"/>
    <x v="0"/>
    <n v="1"/>
    <x v="398"/>
    <n v="2"/>
    <m/>
    <n v="0"/>
    <n v="16700"/>
    <n v="33400"/>
    <n v="15"/>
    <n v="16815"/>
    <n v="42008.40336134454"/>
    <n v="33605.04201680672"/>
    <s v="Ningbo"/>
    <s v="30/70"/>
    <n v="30"/>
    <n v="10"/>
    <n v="0"/>
    <s v=""/>
    <n v="0"/>
    <s v=""/>
    <n v="0"/>
    <s v=""/>
    <n v="0"/>
    <s v=""/>
    <n v="0"/>
    <s v=""/>
    <n v="0"/>
    <s v=""/>
    <n v="7"/>
    <n v="0.5834111069149396"/>
    <n v="10"/>
    <n v="0.5867519663176547"/>
    <n v="8"/>
    <n v="0.6024581063699121"/>
    <n v="16"/>
    <n v="0.5397365986180286"/>
    <n v="10"/>
    <n v="0.5858908233756536"/>
    <n v="0"/>
    <s v=""/>
    <n v="0"/>
    <s v=""/>
    <n v="0"/>
    <s v=""/>
    <n v="1"/>
    <s v=""/>
    <n v="0"/>
    <s v=""/>
    <n v="0"/>
    <n v="0"/>
    <s v=""/>
    <n v="0"/>
    <n v="1"/>
    <s v=""/>
    <n v="0.125"/>
    <n v="41"/>
    <s v=""/>
    <n v="8.199999999999999"/>
    <n v="0"/>
    <n v="0"/>
    <n v="0"/>
    <n v="0"/>
    <m/>
    <n v="0"/>
    <n v="16700"/>
    <n v="0"/>
    <n v="0"/>
    <n v="0"/>
    <n v="2"/>
    <n v="33400"/>
    <n v="0"/>
    <n v="5"/>
    <n v="0"/>
    <n v="0"/>
    <n v="0"/>
    <n v="0"/>
    <n v="0"/>
    <n v="16700"/>
    <n v="0"/>
    <n v="0"/>
    <n v="0"/>
    <n v="2"/>
    <n v="33400"/>
    <n v="0"/>
    <n v="6"/>
    <n v="0"/>
    <n v="1"/>
    <n v="0"/>
    <n v="0"/>
    <n v="63274.99999999999"/>
    <n v="0"/>
    <n v="16700"/>
    <n v="0"/>
    <n v="2"/>
    <n v="33400"/>
    <n v="42008.40336134454"/>
    <n v="0"/>
    <n v="0"/>
    <n v="0"/>
    <n v="0"/>
    <n v="0"/>
    <n v="0"/>
    <n v="0"/>
    <n v="0"/>
    <n v="0"/>
    <n v="2"/>
    <n v="33400"/>
    <n v="0"/>
    <n v="3"/>
    <n v="2"/>
    <n v="3"/>
    <m/>
    <n v="0"/>
    <n v="0"/>
    <n v="33400"/>
    <n v="46574.99999999999"/>
    <n v="0"/>
    <n v="0"/>
    <n v="2"/>
    <n v="33400"/>
    <n v="126025.2100840336"/>
    <n v="8"/>
    <n v="3"/>
    <n v="1"/>
    <m/>
    <n v="0"/>
    <n v="0"/>
    <n v="50100"/>
    <n v="15525"/>
    <n v="0"/>
    <n v="0"/>
    <n v="3"/>
    <n v="33400"/>
    <n v="42008.40336134454"/>
    <n v="5"/>
    <n v="43"/>
    <n v="5"/>
    <n v="45"/>
    <n v="45"/>
    <n v="0"/>
    <n v="718100"/>
    <n v="77624.99999999999"/>
    <n v="675337.4999999999"/>
    <n v="0"/>
    <n v="43"/>
    <n v="33400"/>
    <n v="210042.0168067227"/>
    <n v="15"/>
    <n v="38"/>
    <n v="15"/>
    <n v="0"/>
    <n v="0"/>
    <n v="0"/>
    <n v="634600"/>
    <n v="232875"/>
    <n v="0"/>
    <n v="0"/>
    <n v="38"/>
    <n v="634600"/>
    <n v="630126.0504201681"/>
    <n v="5"/>
    <n v="23"/>
    <n v="5"/>
    <n v="0"/>
    <n v="0"/>
    <m/>
    <n v="357074.9999999999"/>
    <n v="77624.99999999999"/>
    <n v="0"/>
    <n v="0"/>
    <n v="23"/>
    <n v="357074.9999999999"/>
    <n v="210042.0168067227"/>
    <n v="20"/>
    <n v="18"/>
    <n v="18"/>
    <n v="0"/>
    <n v="0"/>
    <n v="0"/>
    <m/>
    <n v="279449.9999999999"/>
    <n v="279449.9999999999"/>
    <n v="0"/>
    <n v="0"/>
    <n v="18"/>
    <n v="279449.9999999999"/>
    <n v="604890.756302521"/>
    <n v="21"/>
    <n v="0"/>
    <n v="21"/>
    <n v="50"/>
    <n v="50"/>
    <n v="0"/>
    <n v="326024.9999999999"/>
    <n v="776249.9999999999"/>
    <n v="776249.9999999999"/>
    <n v="50"/>
    <n v="776249.9999999999"/>
    <n v="740991.1764705883"/>
    <n v="30"/>
    <n v="29"/>
    <n v="30"/>
    <n v="0"/>
    <n v="0"/>
    <n v="450224.9999999999"/>
    <n v="465749.9999999999"/>
    <n v="0"/>
    <n v="29"/>
    <n v="450224.9999999999"/>
    <n v="1260252.100840336"/>
    <n v="12.6"/>
    <n v="0"/>
    <n v="12.6"/>
    <n v="0"/>
    <m/>
    <n v="0"/>
    <n v="210420"/>
    <n v="0"/>
    <n v="0"/>
    <n v="0"/>
    <n v="529305.8823529412"/>
  </r>
  <r>
    <m/>
    <x v="6"/>
    <x v="33"/>
    <x v="84"/>
    <s v="BDMROBLDESC"/>
    <x v="648"/>
    <x v="484"/>
    <x v="0"/>
    <x v="3"/>
    <n v="1.2"/>
    <x v="399"/>
    <n v="52"/>
    <m/>
    <n v="0"/>
    <n v="38891"/>
    <n v="2022332"/>
    <n v="41"/>
    <n v="45961"/>
    <n v="109235.2941176471"/>
    <n v="84025.21008403362"/>
    <s v="Ningbo"/>
    <s v="30/70"/>
    <n v="30"/>
    <n v="10"/>
    <n v="0"/>
    <s v=""/>
    <n v="0"/>
    <s v=""/>
    <n v="0"/>
    <s v=""/>
    <n v="0"/>
    <s v=""/>
    <n v="0"/>
    <s v=""/>
    <n v="0"/>
    <s v=""/>
    <n v="5"/>
    <n v="0.5030900141962138"/>
    <n v="0"/>
    <s v=""/>
    <n v="0"/>
    <s v=""/>
    <n v="0"/>
    <s v=""/>
    <n v="23"/>
    <n v="0.5244349943996969"/>
    <n v="17"/>
    <n v="0.5144799891373201"/>
    <n v="0"/>
    <s v=""/>
    <n v="0"/>
    <s v=""/>
    <n v="0"/>
    <s v=""/>
    <n v="12"/>
    <s v=""/>
    <n v="1.2"/>
    <n v="3"/>
    <s v=""/>
    <n v="0.5"/>
    <n v="22"/>
    <s v=""/>
    <n v="1.466666666666667"/>
    <n v="4"/>
    <s v=""/>
    <n v="0.3333333333333333"/>
    <n v="0"/>
    <n v="0"/>
    <n v="0"/>
    <n v="0"/>
    <m/>
    <n v="0"/>
    <n v="0"/>
    <n v="0"/>
    <n v="0"/>
    <n v="0"/>
    <n v="52"/>
    <n v="2022332"/>
    <n v="0"/>
    <n v="0"/>
    <n v="30"/>
    <n v="0"/>
    <n v="0"/>
    <n v="0"/>
    <n v="0"/>
    <n v="466692"/>
    <n v="1273050"/>
    <n v="0"/>
    <n v="0"/>
    <n v="52"/>
    <n v="2022332"/>
    <n v="0"/>
    <n v="15"/>
    <n v="30"/>
    <n v="0"/>
    <n v="0"/>
    <n v="0"/>
    <n v="772224"/>
    <n v="1166730"/>
    <n v="0"/>
    <n v="0"/>
    <n v="52"/>
    <n v="2022332"/>
    <n v="0"/>
    <n v="10"/>
    <n v="50"/>
    <n v="12"/>
    <n v="20"/>
    <n v="0"/>
    <n v="2121750"/>
    <n v="466692"/>
    <n v="848700"/>
    <n v="0"/>
    <n v="52"/>
    <n v="2022332"/>
    <n v="1310823.529411765"/>
    <n v="6"/>
    <n v="55"/>
    <n v="7.199999999999999"/>
    <m/>
    <n v="0"/>
    <n v="0"/>
    <n v="2139005"/>
    <n v="305531.9999999999"/>
    <n v="0"/>
    <n v="0"/>
    <n v="52"/>
    <n v="2022332"/>
    <n v="786494.1176470588"/>
    <n v="15"/>
    <n v="74"/>
    <n v="22"/>
    <m/>
    <n v="0"/>
    <n v="0"/>
    <n v="2877934"/>
    <n v="933570"/>
    <n v="0"/>
    <n v="0"/>
    <n v="74"/>
    <n v="2022332"/>
    <n v="2403176.470588235"/>
    <n v="12"/>
    <n v="56"/>
    <n v="14.4"/>
    <n v="40"/>
    <n v="40"/>
    <n v="0"/>
    <n v="2177896"/>
    <n v="611063.9999999999"/>
    <n v="1640820"/>
    <n v="0"/>
    <n v="56"/>
    <n v="2022332"/>
    <n v="1572988.235294118"/>
    <n v="20"/>
    <n v="41.6"/>
    <n v="24"/>
    <n v="0"/>
    <n v="0"/>
    <n v="0"/>
    <n v="1617865.6"/>
    <n v="1018440"/>
    <n v="0"/>
    <n v="0"/>
    <n v="41.6"/>
    <n v="1617865.6"/>
    <n v="2621647.05882353"/>
    <n v="10"/>
    <n v="17.6"/>
    <n v="12"/>
    <n v="0"/>
    <n v="0"/>
    <m/>
    <n v="746856.0000000001"/>
    <n v="509220"/>
    <n v="0"/>
    <n v="0"/>
    <n v="17.6"/>
    <n v="746856.0000000001"/>
    <n v="1310823.529411765"/>
    <n v="20"/>
    <n v="5.600000000000001"/>
    <n v="5.600000000000001"/>
    <n v="100"/>
    <n v="100"/>
    <n v="100"/>
    <n v="0"/>
    <n v="237636.0000000001"/>
    <n v="237636.0000000001"/>
    <n v="4243500"/>
    <n v="4243500"/>
    <n v="105.6"/>
    <n v="4481136"/>
    <n v="470541.1764705884"/>
    <n v="25"/>
    <n v="100"/>
    <n v="30"/>
    <n v="0"/>
    <n v="0"/>
    <n v="4243500"/>
    <n v="1273050"/>
    <n v="0"/>
    <n v="0"/>
    <n v="100"/>
    <n v="4243500"/>
    <n v="2646794.117647059"/>
    <n v="50"/>
    <n v="70"/>
    <n v="60"/>
    <n v="0"/>
    <n v="0"/>
    <n v="2970450"/>
    <n v="2546100"/>
    <n v="0"/>
    <n v="70"/>
    <n v="2970450"/>
    <n v="6554117.647058824"/>
    <n v="15"/>
    <n v="10"/>
    <n v="18"/>
    <n v="0"/>
    <m/>
    <n v="424350"/>
    <n v="700038"/>
    <n v="0"/>
    <n v="10"/>
    <n v="424350"/>
    <n v="1966235.294117647"/>
  </r>
  <r>
    <m/>
    <x v="6"/>
    <x v="33"/>
    <x v="84"/>
    <s v="BDGIMPIK"/>
    <x v="649"/>
    <x v="485"/>
    <x v="0"/>
    <x v="4"/>
    <n v="1"/>
    <x v="400"/>
    <n v="22"/>
    <m/>
    <n v="0"/>
    <n v="83749"/>
    <n v="1842478"/>
    <n v="80"/>
    <n v="91200"/>
    <n v="243689.0756302521"/>
    <n v="252092.4369747899"/>
    <s v="Ningbo"/>
    <s v="30/70"/>
    <n v="30"/>
    <n v="10"/>
    <m/>
    <m/>
    <m/>
    <m/>
    <m/>
    <m/>
    <m/>
    <m/>
    <m/>
    <m/>
    <m/>
    <m/>
    <m/>
    <m/>
    <m/>
    <m/>
    <n v="0"/>
    <s v=""/>
    <n v="0"/>
    <s v=""/>
    <n v="15"/>
    <n v="0.6120851770765463"/>
    <n v="19"/>
    <n v="0.6474668723768621"/>
    <n v="0"/>
    <s v=""/>
    <n v="0"/>
    <s v=""/>
    <n v="2"/>
    <s v=""/>
    <n v="0"/>
    <s v=""/>
    <n v="0"/>
    <n v="0"/>
    <s v=""/>
    <n v="0"/>
    <n v="2"/>
    <s v=""/>
    <n v="0.2"/>
    <n v="1"/>
    <s v=""/>
    <n v="0.1428571428571428"/>
    <n v="0"/>
    <n v="0"/>
    <n v="0"/>
    <n v="0"/>
    <m/>
    <n v="0"/>
    <n v="167498"/>
    <n v="0"/>
    <n v="0"/>
    <n v="0"/>
    <n v="22"/>
    <n v="1842478"/>
    <n v="0"/>
    <n v="0"/>
    <n v="0"/>
    <n v="0"/>
    <n v="0"/>
    <n v="0"/>
    <n v="0"/>
    <n v="167498"/>
    <n v="0"/>
    <n v="0"/>
    <n v="0"/>
    <n v="22"/>
    <n v="1842478"/>
    <n v="0"/>
    <n v="0"/>
    <n v="0"/>
    <n v="2"/>
    <n v="0"/>
    <n v="0"/>
    <n v="498698"/>
    <n v="0"/>
    <n v="167498"/>
    <n v="0"/>
    <n v="22"/>
    <n v="1842478"/>
    <n v="487378.1512605042"/>
    <n v="0"/>
    <n v="0"/>
    <n v="0"/>
    <n v="0"/>
    <n v="0"/>
    <n v="0"/>
    <n v="0"/>
    <n v="0"/>
    <n v="0"/>
    <n v="22"/>
    <n v="1842478"/>
    <n v="0"/>
    <n v="4"/>
    <n v="22"/>
    <n v="4"/>
    <m/>
    <n v="0"/>
    <n v="0"/>
    <n v="1842478"/>
    <n v="331200"/>
    <n v="0"/>
    <n v="0"/>
    <n v="22"/>
    <n v="1842478"/>
    <n v="974756.3025210084"/>
    <n v="10"/>
    <n v="24"/>
    <n v="2"/>
    <m/>
    <n v="0"/>
    <n v="0"/>
    <n v="2009976"/>
    <n v="165600"/>
    <n v="0"/>
    <n v="0"/>
    <n v="24"/>
    <n v="1842478"/>
    <n v="487378.1512605042"/>
    <n v="7"/>
    <n v="23"/>
    <n v="7"/>
    <n v="25"/>
    <n v="25"/>
    <n v="0"/>
    <n v="1926227"/>
    <n v="579600"/>
    <n v="2001000"/>
    <n v="0"/>
    <n v="23"/>
    <n v="1842478"/>
    <n v="1705823.529411765"/>
    <n v="15"/>
    <n v="16"/>
    <n v="15"/>
    <n v="0"/>
    <n v="0"/>
    <n v="0"/>
    <n v="1339984"/>
    <n v="1242000"/>
    <n v="0"/>
    <n v="0"/>
    <n v="16"/>
    <n v="1339984"/>
    <n v="3655336.134453781"/>
    <n v="5"/>
    <n v="1"/>
    <n v="5"/>
    <n v="5"/>
    <n v="5"/>
    <n v="0"/>
    <n v="82800"/>
    <n v="414000"/>
    <n v="414000"/>
    <n v="0"/>
    <n v="1"/>
    <n v="82800"/>
    <n v="1218445.378151261"/>
    <n v="12"/>
    <n v="5"/>
    <n v="5"/>
    <n v="70"/>
    <n v="70"/>
    <n v="70"/>
    <n v="5"/>
    <n v="414000"/>
    <n v="414000"/>
    <n v="5796000"/>
    <n v="6210000"/>
    <n v="75"/>
    <n v="6624000"/>
    <n v="1260462.18487395"/>
    <n v="25"/>
    <n v="70"/>
    <n v="25"/>
    <n v="0"/>
    <n v="0"/>
    <n v="5796000"/>
    <n v="2070000"/>
    <n v="0"/>
    <n v="0"/>
    <n v="70"/>
    <n v="5796000"/>
    <n v="6617426.470588235"/>
    <n v="35"/>
    <n v="45"/>
    <n v="35"/>
    <n v="0"/>
    <n v="0"/>
    <n v="3726000"/>
    <n v="2898000"/>
    <n v="0"/>
    <n v="45"/>
    <n v="3726000"/>
    <n v="8529117.647058824"/>
    <n v="15"/>
    <n v="10"/>
    <n v="15"/>
    <n v="0"/>
    <m/>
    <n v="828000"/>
    <n v="1256235"/>
    <n v="0"/>
    <n v="10"/>
    <n v="828000"/>
    <n v="3655336.134453781"/>
  </r>
  <r>
    <m/>
    <x v="6"/>
    <x v="33"/>
    <x v="84"/>
    <s v="BDSILLEVREG"/>
    <x v="650"/>
    <x v="486"/>
    <x v="0"/>
    <x v="2"/>
    <n v="1"/>
    <x v="12"/>
    <n v="26"/>
    <m/>
    <n v="0"/>
    <n v="34200"/>
    <n v="889200"/>
    <n v="30"/>
    <n v="34200"/>
    <n v="86218.48739495799"/>
    <n v="73285.71428571429"/>
    <s v="Shenzhen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3"/>
    <s v=""/>
    <n v="0.3333333333333333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6"/>
    <n v="889200"/>
    <n v="0"/>
    <n v="0"/>
    <n v="0"/>
    <n v="0"/>
    <n v="0"/>
    <n v="0"/>
    <n v="0"/>
    <n v="0"/>
    <n v="0"/>
    <n v="0"/>
    <n v="26"/>
    <n v="889200"/>
    <n v="0"/>
    <n v="0"/>
    <n v="26"/>
    <n v="0"/>
    <m/>
    <m/>
    <n v="0"/>
    <n v="889200"/>
    <n v="0"/>
    <n v="0"/>
    <n v="0"/>
    <n v="26"/>
    <n v="889200"/>
    <n v="0"/>
    <n v="12"/>
    <n v="26"/>
    <n v="0"/>
    <m/>
    <n v="0"/>
    <n v="0"/>
    <n v="889200"/>
    <n v="0"/>
    <n v="0"/>
    <n v="0"/>
    <n v="26"/>
    <n v="889200"/>
    <n v="0"/>
    <n v="9"/>
    <n v="29"/>
    <n v="9"/>
    <n v="30"/>
    <n v="30"/>
    <n v="0"/>
    <n v="991800"/>
    <n v="279449.9999999999"/>
    <n v="900449.9999999999"/>
    <n v="0"/>
    <n v="29"/>
    <n v="889200"/>
    <n v="775966.386554622"/>
    <n v="12"/>
    <n v="20"/>
    <n v="12"/>
    <n v="0"/>
    <n v="0"/>
    <n v="0"/>
    <n v="684000"/>
    <n v="372599.9999999999"/>
    <n v="0"/>
    <n v="0"/>
    <n v="20"/>
    <n v="684000"/>
    <n v="1034621.848739496"/>
    <n v="6"/>
    <n v="8"/>
    <n v="6"/>
    <n v="0"/>
    <n v="0"/>
    <m/>
    <n v="248400"/>
    <n v="186300"/>
    <n v="0"/>
    <n v="0"/>
    <n v="8"/>
    <n v="248400"/>
    <n v="517310.924369748"/>
    <n v="10"/>
    <n v="2"/>
    <n v="2"/>
    <n v="50"/>
    <n v="50"/>
    <n v="50"/>
    <n v="0"/>
    <n v="62099.99999999999"/>
    <n v="62099.99999999999"/>
    <n v="1552500"/>
    <n v="1552500"/>
    <n v="52"/>
    <n v="1614600"/>
    <n v="146571.4285714286"/>
    <n v="15"/>
    <n v="50"/>
    <n v="15"/>
    <n v="0"/>
    <n v="0"/>
    <n v="1552500"/>
    <n v="465749.9999999999"/>
    <n v="0"/>
    <n v="0"/>
    <n v="50"/>
    <n v="1552500"/>
    <n v="1154250"/>
    <n v="30"/>
    <n v="35"/>
    <n v="30"/>
    <n v="0"/>
    <n v="0"/>
    <n v="1086750"/>
    <n v="931499.9999999999"/>
    <n v="0"/>
    <n v="35"/>
    <n v="1086750"/>
    <n v="2586554.62184874"/>
    <n v="9"/>
    <n v="5"/>
    <n v="9"/>
    <n v="0"/>
    <m/>
    <n v="155250"/>
    <n v="307800"/>
    <n v="0"/>
    <n v="5"/>
    <n v="155250"/>
    <n v="775966.386554622"/>
  </r>
  <r>
    <m/>
    <x v="6"/>
    <x v="33"/>
    <x v="84"/>
    <s v="BDTORRAPR"/>
    <x v="651"/>
    <x v="487"/>
    <x v="0"/>
    <x v="2"/>
    <n v="1"/>
    <x v="12"/>
    <n v="0"/>
    <m/>
    <n v="0"/>
    <n v="35910"/>
    <n v="0"/>
    <n v="31.5"/>
    <n v="35910"/>
    <n v="90529.41176470589"/>
    <n v="76950"/>
    <s v="Shenzhen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12"/>
    <n v="0"/>
    <n v="0"/>
    <m/>
    <n v="0"/>
    <n v="0"/>
    <n v="0"/>
    <n v="0"/>
    <n v="0"/>
    <n v="0"/>
    <n v="0"/>
    <n v="0"/>
    <n v="0"/>
    <n v="9"/>
    <n v="0"/>
    <n v="9"/>
    <n v="30"/>
    <n v="30"/>
    <n v="0"/>
    <n v="0"/>
    <n v="293422.4999999999"/>
    <n v="945472.4999999999"/>
    <n v="0"/>
    <n v="0"/>
    <n v="0"/>
    <n v="814764.705882353"/>
    <n v="12"/>
    <n v="0"/>
    <n v="12"/>
    <n v="0"/>
    <n v="0"/>
    <n v="30"/>
    <n v="0"/>
    <n v="391229.9999999999"/>
    <n v="0"/>
    <n v="978074.9999999999"/>
    <n v="0"/>
    <n v="978074.9999999999"/>
    <n v="1086352.941176471"/>
    <n v="6"/>
    <n v="18"/>
    <n v="6"/>
    <n v="0"/>
    <n v="0"/>
    <m/>
    <n v="586844.9999999999"/>
    <n v="195615"/>
    <n v="0"/>
    <n v="0"/>
    <n v="18"/>
    <n v="586844.9999999999"/>
    <n v="543176.4705882353"/>
    <n v="10"/>
    <n v="12"/>
    <n v="10"/>
    <n v="40"/>
    <n v="40"/>
    <n v="40"/>
    <n v="0"/>
    <n v="391229.9999999999"/>
    <n v="326024.9999999999"/>
    <n v="1304100"/>
    <n v="1304100"/>
    <n v="52"/>
    <n v="1695330"/>
    <n v="769500"/>
    <n v="15"/>
    <n v="42"/>
    <n v="15"/>
    <n v="0"/>
    <n v="0"/>
    <n v="1369305"/>
    <n v="489037.4999999999"/>
    <n v="0"/>
    <n v="0"/>
    <n v="42"/>
    <n v="1369305"/>
    <n v="1211962.5"/>
    <n v="25"/>
    <n v="27"/>
    <n v="25"/>
    <n v="0"/>
    <n v="0"/>
    <n v="880267.4999999999"/>
    <n v="815062.4999999999"/>
    <n v="0"/>
    <n v="27"/>
    <n v="880267.4999999999"/>
    <n v="2263235.294117647"/>
    <n v="9"/>
    <n v="2"/>
    <n v="9"/>
    <n v="0"/>
    <m/>
    <n v="65204.99999999999"/>
    <n v="323190"/>
    <n v="0"/>
    <n v="2"/>
    <n v="65204.99999999999"/>
    <n v="814764.705882353"/>
  </r>
  <r>
    <m/>
    <x v="6"/>
    <x v="33"/>
    <x v="84"/>
    <s v="BDGMNMVBB"/>
    <x v="652"/>
    <x v="488"/>
    <x v="0"/>
    <x v="2"/>
    <n v="1"/>
    <x v="12"/>
    <n v="8"/>
    <m/>
    <n v="0"/>
    <n v="39990"/>
    <n v="319920"/>
    <n v="11"/>
    <n v="39990"/>
    <n v="100815.1260504202"/>
    <n v="85692.85714285714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21"/>
    <s v=""/>
    <n v="1.4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8"/>
    <n v="319920"/>
    <n v="0"/>
    <n v="0"/>
    <n v="0"/>
    <n v="0"/>
    <n v="0"/>
    <n v="0"/>
    <n v="0"/>
    <n v="0"/>
    <n v="0"/>
    <n v="0"/>
    <n v="8"/>
    <n v="319920"/>
    <n v="0"/>
    <n v="0"/>
    <n v="8"/>
    <n v="0"/>
    <m/>
    <m/>
    <n v="0"/>
    <n v="319920"/>
    <n v="0"/>
    <n v="0"/>
    <n v="0"/>
    <n v="8"/>
    <n v="319920"/>
    <n v="0"/>
    <n v="8"/>
    <n v="8"/>
    <n v="0"/>
    <m/>
    <n v="0"/>
    <n v="0"/>
    <n v="319920"/>
    <n v="0"/>
    <n v="0"/>
    <n v="0"/>
    <n v="8"/>
    <n v="319920"/>
    <n v="0"/>
    <n v="15"/>
    <n v="29"/>
    <n v="15"/>
    <n v="30"/>
    <n v="30"/>
    <n v="0"/>
    <n v="1159710"/>
    <n v="170775"/>
    <n v="330165"/>
    <n v="0"/>
    <n v="29"/>
    <n v="319920"/>
    <n v="1512226.890756303"/>
    <n v="25"/>
    <n v="14"/>
    <n v="25"/>
    <n v="0"/>
    <n v="0"/>
    <n v="0"/>
    <n v="559860"/>
    <n v="284625"/>
    <n v="0"/>
    <n v="0"/>
    <n v="14"/>
    <n v="559860"/>
    <n v="2520378.151260504"/>
    <n v="10"/>
    <n v="0"/>
    <n v="10"/>
    <n v="15"/>
    <n v="15"/>
    <n v="0"/>
    <n v="0"/>
    <n v="113850"/>
    <n v="170775"/>
    <n v="0"/>
    <n v="0"/>
    <n v="0"/>
    <n v="1008151.260504202"/>
    <n v="20"/>
    <n v="15"/>
    <n v="15"/>
    <n v="75"/>
    <n v="75"/>
    <n v="75"/>
    <n v="15"/>
    <n v="170775"/>
    <n v="170775"/>
    <n v="853875"/>
    <n v="1024650"/>
    <n v="90"/>
    <n v="1195425"/>
    <n v="1285392.857142857"/>
    <n v="21"/>
    <n v="75"/>
    <n v="21"/>
    <n v="0"/>
    <n v="0"/>
    <n v="853875"/>
    <n v="239085"/>
    <n v="0"/>
    <n v="0"/>
    <n v="75"/>
    <n v="853875"/>
    <n v="1889527.5"/>
    <n v="40"/>
    <n v="54"/>
    <n v="40"/>
    <n v="0"/>
    <n v="0"/>
    <n v="614790"/>
    <n v="455400"/>
    <n v="0"/>
    <n v="54"/>
    <n v="614790"/>
    <n v="4032605.042016807"/>
    <n v="12.6"/>
    <n v="14"/>
    <n v="12.6"/>
    <n v="0"/>
    <m/>
    <n v="159390"/>
    <n v="503874"/>
    <n v="0"/>
    <n v="14"/>
    <n v="159390"/>
    <n v="1270270.588235294"/>
  </r>
  <r>
    <m/>
    <x v="6"/>
    <x v="33"/>
    <x v="85"/>
    <s v="BDMESDIDAC"/>
    <x v="653"/>
    <x v="489"/>
    <x v="0"/>
    <x v="6"/>
    <n v="1"/>
    <x v="12"/>
    <n v="17"/>
    <m/>
    <n v="0"/>
    <n v="15296"/>
    <n v="260032"/>
    <n v="13.5"/>
    <n v="15133.5"/>
    <n v="42008.40336134454"/>
    <n v="39487.3949579832"/>
    <s v="Ningbo"/>
    <s v="30/70"/>
    <n v="30"/>
    <n v="10"/>
    <n v="0"/>
    <s v=""/>
    <n v="0"/>
    <s v=""/>
    <n v="0"/>
    <s v=""/>
    <n v="0"/>
    <s v=""/>
    <n v="0"/>
    <s v=""/>
    <n v="0"/>
    <s v=""/>
    <n v="4"/>
    <n v="0.618383799911128"/>
    <n v="4"/>
    <n v="0.5790874018890515"/>
    <n v="8"/>
    <n v="0.5401272026037202"/>
    <n v="2"/>
    <n v="0.5527884721537869"/>
    <n v="16"/>
    <n v="0.5186522281427984"/>
    <n v="38"/>
    <n v="0.5444723700677282"/>
    <n v="3"/>
    <s v=""/>
    <n v="0"/>
    <s v=""/>
    <n v="0"/>
    <s v=""/>
    <n v="4"/>
    <s v=""/>
    <n v="1.333333333333333"/>
    <n v="5"/>
    <s v=""/>
    <n v="1.666666666666667"/>
    <n v="13"/>
    <s v=""/>
    <n v="2.166666666666667"/>
    <n v="6"/>
    <s v=""/>
    <n v="2"/>
    <n v="7"/>
    <n v="3"/>
    <n v="3"/>
    <n v="0"/>
    <m/>
    <n v="0"/>
    <n v="45888"/>
    <n v="41917.49999999999"/>
    <n v="45888"/>
    <n v="0"/>
    <n v="17"/>
    <n v="260032"/>
    <n v="105903.5378857426"/>
    <n v="6"/>
    <n v="0"/>
    <n v="0"/>
    <n v="0"/>
    <n v="0"/>
    <n v="0"/>
    <n v="61184"/>
    <n v="0"/>
    <n v="0"/>
    <n v="0"/>
    <n v="17"/>
    <n v="260032"/>
    <n v="0"/>
    <n v="15"/>
    <n v="0"/>
    <n v="0"/>
    <n v="0"/>
    <n v="0"/>
    <n v="103101.5"/>
    <n v="0"/>
    <n v="0"/>
    <n v="0"/>
    <n v="17"/>
    <n v="260032"/>
    <n v="0"/>
    <n v="3"/>
    <n v="19"/>
    <n v="4"/>
    <n v="20"/>
    <n v="0"/>
    <n v="265477.4999999999"/>
    <n v="61184"/>
    <n v="279449.9999999999"/>
    <n v="0"/>
    <n v="17"/>
    <n v="260032"/>
    <n v="168033.6134453782"/>
    <n v="3"/>
    <n v="22"/>
    <n v="3"/>
    <m/>
    <n v="0"/>
    <n v="0"/>
    <n v="336512"/>
    <n v="41917.49999999999"/>
    <n v="0"/>
    <n v="0"/>
    <n v="17"/>
    <n v="260032"/>
    <n v="126025.2100840336"/>
    <n v="6"/>
    <n v="30"/>
    <n v="13"/>
    <m/>
    <n v="0"/>
    <n v="0"/>
    <n v="458880"/>
    <n v="181642.5"/>
    <n v="0"/>
    <n v="0"/>
    <n v="30"/>
    <n v="260032"/>
    <n v="546109.243697479"/>
    <n v="3"/>
    <n v="23"/>
    <n v="3"/>
    <n v="20"/>
    <n v="20"/>
    <n v="0"/>
    <n v="351808"/>
    <n v="41917.49999999999"/>
    <n v="270134.9999999999"/>
    <n v="0"/>
    <n v="23"/>
    <n v="260032"/>
    <n v="126025.2100840336"/>
    <n v="5"/>
    <n v="20"/>
    <n v="5"/>
    <n v="0"/>
    <n v="0"/>
    <n v="0"/>
    <n v="305920"/>
    <n v="69862.49999999999"/>
    <n v="0"/>
    <n v="0"/>
    <n v="20"/>
    <n v="305920"/>
    <n v="210042.0168067227"/>
    <n v="0"/>
    <n v="15"/>
    <n v="0"/>
    <n v="0"/>
    <n v="0"/>
    <m/>
    <n v="209587.5"/>
    <n v="0"/>
    <n v="0"/>
    <n v="0"/>
    <n v="15"/>
    <n v="209587.5"/>
    <n v="0"/>
    <n v="0"/>
    <n v="15"/>
    <n v="0"/>
    <n v="0"/>
    <n v="0"/>
    <n v="0"/>
    <m/>
    <n v="209587.5"/>
    <n v="0"/>
    <n v="0"/>
    <n v="0"/>
    <n v="15"/>
    <n v="209587.5"/>
    <n v="0"/>
    <n v="0"/>
    <n v="15"/>
    <n v="0"/>
    <n v="0"/>
    <n v="0"/>
    <n v="209587.5"/>
    <n v="0"/>
    <n v="0"/>
    <n v="0"/>
    <n v="15"/>
    <n v="209587.5"/>
    <n v="0"/>
    <n v="0"/>
    <n v="15"/>
    <n v="0"/>
    <n v="0"/>
    <n v="0"/>
    <n v="209587.5"/>
    <n v="0"/>
    <n v="0"/>
    <n v="15"/>
    <n v="209587.5"/>
    <n v="0"/>
    <n v="0"/>
    <n v="15"/>
    <n v="0"/>
    <n v="0"/>
    <m/>
    <n v="209587.5"/>
    <n v="0"/>
    <n v="0"/>
    <n v="15"/>
    <n v="209587.5"/>
    <n v="0"/>
  </r>
  <r>
    <m/>
    <x v="6"/>
    <x v="33"/>
    <x v="85"/>
    <s v="BDMBAVTHIE"/>
    <x v="654"/>
    <x v="490"/>
    <x v="0"/>
    <x v="6"/>
    <n v="1"/>
    <x v="12"/>
    <n v="200"/>
    <m/>
    <n v="0"/>
    <n v="11071"/>
    <n v="2214200"/>
    <n v="10.05"/>
    <n v="11266.05"/>
    <n v="19319.32773109244"/>
    <n v="16798.31932773109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"/>
    <n v="0.4436962539587193"/>
    <n v="0"/>
    <s v=""/>
    <n v="1"/>
    <s v=""/>
    <n v="0"/>
    <s v=""/>
    <n v="1"/>
    <s v=""/>
    <n v="0.3333333333333333"/>
    <n v="1"/>
    <s v=""/>
    <n v="0.3333333333333333"/>
    <n v="1"/>
    <s v=""/>
    <n v="0.05"/>
    <n v="1"/>
    <s v=""/>
    <n v="0.06666666666666667"/>
    <n v="15"/>
    <n v="205"/>
    <n v="5"/>
    <n v="0"/>
    <m/>
    <n v="0"/>
    <n v="71961.5"/>
    <n v="2132358.75"/>
    <n v="55355"/>
    <n v="0"/>
    <n v="200"/>
    <n v="2214200"/>
    <n v="81173.64592895983"/>
    <n v="5"/>
    <n v="205"/>
    <n v="1.5"/>
    <n v="0"/>
    <n v="0"/>
    <n v="0"/>
    <n v="27677.5"/>
    <n v="2132358.75"/>
    <n v="16606.5"/>
    <n v="0"/>
    <n v="200"/>
    <n v="2214200"/>
    <n v="24352.09377868795"/>
    <n v="35"/>
    <n v="204"/>
    <n v="0"/>
    <n v="0"/>
    <n v="0"/>
    <n v="42276.25"/>
    <n v="2258484"/>
    <n v="0"/>
    <n v="0"/>
    <n v="200"/>
    <n v="2214200"/>
    <n v="0"/>
    <n v="3"/>
    <n v="204"/>
    <n v="1"/>
    <n v="0"/>
    <n v="0"/>
    <n v="2121957"/>
    <n v="11071"/>
    <n v="0"/>
    <n v="0"/>
    <n v="200"/>
    <n v="2214200"/>
    <n v="19319.32773109244"/>
    <n v="3"/>
    <n v="201"/>
    <n v="3"/>
    <m/>
    <n v="0"/>
    <n v="0"/>
    <n v="2225271"/>
    <n v="31205.25"/>
    <n v="0"/>
    <n v="0"/>
    <n v="200"/>
    <n v="2214200"/>
    <n v="57957.98319327732"/>
    <n v="20"/>
    <n v="201"/>
    <n v="1"/>
    <m/>
    <n v="0"/>
    <n v="0"/>
    <n v="2225271"/>
    <n v="10401.75"/>
    <n v="0"/>
    <n v="0"/>
    <n v="201"/>
    <n v="2214200"/>
    <n v="19319.32773109244"/>
    <n v="15"/>
    <n v="201"/>
    <n v="15"/>
    <n v="0"/>
    <n v="0"/>
    <n v="0"/>
    <n v="2225271"/>
    <n v="156026.25"/>
    <n v="0"/>
    <n v="0"/>
    <n v="201"/>
    <n v="2214200"/>
    <n v="289789.9159663866"/>
    <n v="15"/>
    <n v="186"/>
    <n v="15"/>
    <n v="0"/>
    <n v="0"/>
    <n v="0"/>
    <n v="2059206"/>
    <n v="156026.25"/>
    <n v="0"/>
    <n v="0"/>
    <n v="186"/>
    <n v="2059206"/>
    <n v="289789.9159663866"/>
    <n v="5"/>
    <n v="171"/>
    <n v="5"/>
    <n v="0"/>
    <n v="0"/>
    <m/>
    <n v="1778699.25"/>
    <n v="52008.75"/>
    <n v="0"/>
    <n v="0"/>
    <n v="171"/>
    <n v="1778699.25"/>
    <n v="96596.63865546219"/>
    <n v="15"/>
    <n v="166"/>
    <n v="15"/>
    <n v="0"/>
    <n v="0"/>
    <n v="0"/>
    <m/>
    <n v="1726690.5"/>
    <n v="156026.25"/>
    <n v="0"/>
    <n v="0"/>
    <n v="166"/>
    <n v="1726690.5"/>
    <n v="251974.7899159664"/>
    <n v="10.5"/>
    <n v="151"/>
    <n v="10.5"/>
    <n v="0"/>
    <n v="0"/>
    <n v="1570664.25"/>
    <n v="109218.375"/>
    <n v="0"/>
    <n v="0"/>
    <n v="151"/>
    <n v="1570664.25"/>
    <n v="185201.4705882353"/>
    <n v="16"/>
    <n v="140.5"/>
    <n v="16"/>
    <n v="0"/>
    <n v="0"/>
    <n v="1461445.875"/>
    <n v="166428"/>
    <n v="0"/>
    <n v="140.5"/>
    <n v="1461445.875"/>
    <n v="309109.243697479"/>
    <n v="6.3"/>
    <n v="124.5"/>
    <n v="6.3"/>
    <n v="0"/>
    <m/>
    <n v="1295017.875"/>
    <n v="69747.3"/>
    <n v="0"/>
    <n v="124.5"/>
    <n v="1295017.875"/>
    <n v="121711.7647058824"/>
  </r>
  <r>
    <m/>
    <x v="6"/>
    <x v="33"/>
    <x v="85"/>
    <s v="BDMBMNMRIO"/>
    <x v="655"/>
    <x v="491"/>
    <x v="0"/>
    <x v="6"/>
    <n v="1"/>
    <x v="12"/>
    <n v="56"/>
    <m/>
    <n v="0"/>
    <n v="6475"/>
    <n v="362600"/>
    <n v="5.66"/>
    <n v="6344.86"/>
    <n v="12596.63865546219"/>
    <n v="10075.63025210084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4745171238435319"/>
    <n v="124"/>
    <n v="0.4515867871567701"/>
    <n v="11"/>
    <s v=""/>
    <n v="11"/>
    <s v=""/>
    <n v="6"/>
    <s v=""/>
    <n v="1"/>
    <s v=""/>
    <n v="0.3333333333333333"/>
    <n v="4"/>
    <s v=""/>
    <n v="1.333333333333333"/>
    <n v="21"/>
    <s v=""/>
    <n v="1.05"/>
    <n v="2"/>
    <s v=""/>
    <n v="0.1333333333333333"/>
    <n v="40"/>
    <n v="103"/>
    <n v="15"/>
    <n v="0"/>
    <m/>
    <n v="0"/>
    <n v="242812.5"/>
    <n v="603384.2999999999"/>
    <n v="97125"/>
    <n v="0"/>
    <n v="56"/>
    <n v="362600"/>
    <n v="158781.1595226326"/>
    <n v="15"/>
    <n v="102"/>
    <n v="16.5"/>
    <n v="0"/>
    <n v="0"/>
    <n v="0"/>
    <n v="152162.5"/>
    <n v="597526.2"/>
    <n v="106837.5"/>
    <n v="0"/>
    <n v="56"/>
    <n v="362600"/>
    <n v="174659.2754748959"/>
    <n v="45"/>
    <n v="91"/>
    <n v="6"/>
    <n v="0"/>
    <n v="0"/>
    <n v="62899.3"/>
    <n v="589225"/>
    <n v="38850"/>
    <n v="0"/>
    <n v="56"/>
    <n v="362600"/>
    <n v="75579.83193277312"/>
    <n v="3"/>
    <n v="85"/>
    <n v="1"/>
    <n v="0"/>
    <n v="0"/>
    <n v="497938.4999999999"/>
    <n v="6475"/>
    <n v="0"/>
    <n v="0"/>
    <n v="56"/>
    <n v="362600"/>
    <n v="12596.63865546219"/>
    <n v="3"/>
    <n v="60"/>
    <n v="3"/>
    <m/>
    <n v="0"/>
    <n v="0"/>
    <n v="388500"/>
    <n v="17574.3"/>
    <n v="0"/>
    <n v="0"/>
    <n v="56"/>
    <n v="362600"/>
    <n v="37789.91596638656"/>
    <n v="20"/>
    <n v="77"/>
    <n v="21"/>
    <m/>
    <n v="0"/>
    <n v="0"/>
    <n v="498575"/>
    <n v="123020.1"/>
    <n v="0"/>
    <n v="0"/>
    <n v="77"/>
    <n v="362600"/>
    <n v="264529.4117647059"/>
    <n v="15"/>
    <n v="58"/>
    <n v="15"/>
    <n v="0"/>
    <n v="0"/>
    <n v="0"/>
    <n v="375550"/>
    <n v="87871.49999999999"/>
    <n v="0"/>
    <n v="0"/>
    <n v="58"/>
    <n v="362600"/>
    <n v="188949.5798319328"/>
    <n v="30"/>
    <n v="43"/>
    <n v="30"/>
    <n v="0"/>
    <n v="0"/>
    <n v="0"/>
    <n v="278425"/>
    <n v="175743"/>
    <n v="0"/>
    <n v="0"/>
    <n v="43"/>
    <n v="278425"/>
    <n v="377899.1596638656"/>
    <n v="5"/>
    <n v="13"/>
    <n v="5"/>
    <n v="0"/>
    <n v="0"/>
    <m/>
    <n v="76155.29999999999"/>
    <n v="29290.5"/>
    <n v="0"/>
    <n v="0"/>
    <n v="13"/>
    <n v="76155.29999999999"/>
    <n v="62983.19327731093"/>
    <n v="20"/>
    <n v="8"/>
    <n v="8"/>
    <n v="0"/>
    <n v="0"/>
    <n v="0"/>
    <m/>
    <n v="46864.8"/>
    <n v="46864.8"/>
    <n v="0"/>
    <n v="0"/>
    <n v="8"/>
    <n v="46864.8"/>
    <n v="80605.04201680672"/>
    <n v="17.5"/>
    <n v="0"/>
    <n v="17.5"/>
    <n v="0"/>
    <n v="0"/>
    <n v="0"/>
    <n v="102516.75"/>
    <n v="0"/>
    <n v="0"/>
    <n v="0"/>
    <n v="0"/>
    <n v="185139.705882353"/>
    <n v="80"/>
    <n v="0"/>
    <n v="80"/>
    <n v="0"/>
    <n v="0"/>
    <n v="0"/>
    <n v="468647.9999999999"/>
    <n v="0"/>
    <n v="0"/>
    <n v="0"/>
    <n v="1007731.092436975"/>
    <n v="10.5"/>
    <n v="0"/>
    <n v="10.5"/>
    <n v="0"/>
    <m/>
    <n v="0"/>
    <n v="67987.5"/>
    <n v="0"/>
    <n v="0"/>
    <n v="0"/>
    <n v="132264.705882353"/>
  </r>
  <r>
    <m/>
    <x v="6"/>
    <x v="33"/>
    <x v="85"/>
    <s v="BDMBSPAVMRIO"/>
    <x v="656"/>
    <x v="492"/>
    <x v="0"/>
    <x v="6"/>
    <n v="1"/>
    <x v="12"/>
    <n v="102"/>
    <m/>
    <n v="0"/>
    <n v="12159"/>
    <n v="1240218"/>
    <n v="11.09"/>
    <n v="12431.89"/>
    <n v="21000"/>
    <n v="19319.32773109244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210091903303122"/>
    <n v="58"/>
    <n v="0.4166206744165363"/>
    <n v="17"/>
    <s v=""/>
    <n v="7"/>
    <s v=""/>
    <n v="6"/>
    <s v=""/>
    <n v="3"/>
    <s v=""/>
    <n v="1"/>
    <n v="7"/>
    <s v=""/>
    <n v="2.333333333333333"/>
    <n v="5"/>
    <s v=""/>
    <n v="0.3333333333333333"/>
    <n v="6"/>
    <s v=""/>
    <n v="0.5"/>
    <n v="20"/>
    <n v="153"/>
    <n v="15"/>
    <n v="0"/>
    <m/>
    <n v="0"/>
    <n v="383008.5"/>
    <n v="1756156.95"/>
    <n v="182385"/>
    <n v="0"/>
    <n v="102"/>
    <n v="1240218"/>
    <n v="264705.8823529412"/>
    <n v="15"/>
    <n v="137"/>
    <n v="10.5"/>
    <n v="0"/>
    <n v="0"/>
    <n v="0"/>
    <n v="237100.5"/>
    <n v="1572506.55"/>
    <n v="127669.5"/>
    <n v="0"/>
    <n v="102"/>
    <n v="1240218"/>
    <n v="185294.1176470588"/>
    <n v="25"/>
    <n v="130"/>
    <n v="6"/>
    <n v="0"/>
    <n v="0"/>
    <n v="143865.45"/>
    <n v="1580670"/>
    <n v="72954"/>
    <n v="0"/>
    <n v="102"/>
    <n v="1240218"/>
    <n v="126000"/>
    <n v="3"/>
    <n v="124"/>
    <n v="3"/>
    <n v="0"/>
    <n v="0"/>
    <n v="1423290.6"/>
    <n v="36477"/>
    <n v="0"/>
    <n v="0"/>
    <n v="102"/>
    <n v="1240218"/>
    <n v="63000"/>
    <n v="3"/>
    <n v="109"/>
    <n v="3"/>
    <m/>
    <n v="0"/>
    <n v="0"/>
    <n v="1325331"/>
    <n v="34434.45"/>
    <n v="0"/>
    <n v="0"/>
    <n v="102"/>
    <n v="1240218"/>
    <n v="63000"/>
    <n v="15"/>
    <n v="107"/>
    <n v="5"/>
    <m/>
    <n v="0"/>
    <n v="0"/>
    <n v="1301013"/>
    <n v="57390.75"/>
    <n v="0"/>
    <n v="0"/>
    <n v="107"/>
    <n v="1240218"/>
    <n v="105000"/>
    <n v="12"/>
    <n v="108"/>
    <n v="12"/>
    <n v="0"/>
    <n v="0"/>
    <n v="0"/>
    <n v="1313172"/>
    <n v="137737.8"/>
    <n v="0"/>
    <n v="0"/>
    <n v="108"/>
    <n v="1240218"/>
    <n v="252000"/>
    <n v="20"/>
    <n v="96"/>
    <n v="20"/>
    <n v="0"/>
    <n v="0"/>
    <n v="0"/>
    <n v="1167264"/>
    <n v="229563"/>
    <n v="0"/>
    <n v="0"/>
    <n v="96"/>
    <n v="1167264"/>
    <n v="420000"/>
    <n v="4"/>
    <n v="76"/>
    <n v="4"/>
    <n v="0"/>
    <n v="0"/>
    <m/>
    <n v="872339.4"/>
    <n v="45912.6"/>
    <n v="0"/>
    <n v="0"/>
    <n v="76"/>
    <n v="872339.4"/>
    <n v="84000"/>
    <n v="20"/>
    <n v="72"/>
    <n v="20"/>
    <n v="0"/>
    <n v="0"/>
    <n v="0"/>
    <m/>
    <n v="826426.7999999999"/>
    <n v="229563"/>
    <n v="0"/>
    <n v="0"/>
    <n v="72"/>
    <n v="826426.7999999999"/>
    <n v="386386.5546218487"/>
    <n v="14"/>
    <n v="52"/>
    <n v="14"/>
    <n v="0"/>
    <n v="0"/>
    <n v="596863.7999999999"/>
    <n v="160694.1"/>
    <n v="0"/>
    <n v="0"/>
    <n v="52"/>
    <n v="596863.7999999999"/>
    <n v="283994.1176470589"/>
    <n v="40"/>
    <n v="38"/>
    <n v="40"/>
    <n v="0"/>
    <n v="0"/>
    <n v="436169.7"/>
    <n v="459126"/>
    <n v="0"/>
    <n v="38"/>
    <n v="436169.7"/>
    <n v="840000"/>
    <n v="8.4"/>
    <n v="0"/>
    <n v="8.4"/>
    <n v="0"/>
    <m/>
    <n v="0"/>
    <n v="102135.6"/>
    <n v="0"/>
    <n v="0"/>
    <n v="0"/>
    <n v="176400"/>
  </r>
  <r>
    <m/>
    <x v="6"/>
    <x v="33"/>
    <x v="85"/>
    <s v="BDMBBOESP"/>
    <x v="657"/>
    <x v="493"/>
    <x v="0"/>
    <x v="6"/>
    <n v="1"/>
    <x v="12"/>
    <n v="139"/>
    <m/>
    <n v="0"/>
    <n v="4538"/>
    <n v="630782"/>
    <n v="3.81"/>
    <n v="4271.01"/>
    <n v="8394.957983193277"/>
    <n v="7554.621848739496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617999227500966"/>
    <n v="38"/>
    <n v="0.5392155801661496"/>
    <n v="12"/>
    <s v=""/>
    <n v="4"/>
    <s v=""/>
    <n v="8"/>
    <s v=""/>
    <n v="3"/>
    <s v=""/>
    <n v="1"/>
    <n v="8"/>
    <s v=""/>
    <n v="2.666666666666667"/>
    <n v="13"/>
    <s v=""/>
    <n v="0.8666666666666667"/>
    <n v="18"/>
    <s v=""/>
    <n v="1.5"/>
    <n v="20"/>
    <n v="205"/>
    <n v="10"/>
    <n v="0"/>
    <m/>
    <n v="0"/>
    <n v="108912"/>
    <n v="808386.75"/>
    <n v="45380"/>
    <n v="0"/>
    <n v="139"/>
    <n v="630782"/>
    <n v="70545.86540498552"/>
    <n v="10"/>
    <n v="193"/>
    <n v="6"/>
    <n v="0"/>
    <n v="0"/>
    <n v="0"/>
    <n v="77146"/>
    <n v="761066.5499999999"/>
    <n v="27228"/>
    <n v="0"/>
    <n v="139"/>
    <n v="630782"/>
    <n v="42327.51924299131"/>
    <n v="50"/>
    <n v="188"/>
    <n v="8"/>
    <n v="0"/>
    <n v="0"/>
    <n v="61748.05"/>
    <n v="853144"/>
    <n v="36304"/>
    <n v="0"/>
    <n v="139"/>
    <n v="630782"/>
    <n v="67159.66386554622"/>
    <n v="3"/>
    <n v="181"/>
    <n v="3"/>
    <n v="0"/>
    <n v="0"/>
    <n v="713746.35"/>
    <n v="13614"/>
    <n v="0"/>
    <n v="0"/>
    <n v="139"/>
    <n v="630782"/>
    <n v="25184.87394957983"/>
    <n v="3"/>
    <n v="147"/>
    <n v="3"/>
    <m/>
    <n v="0"/>
    <n v="0"/>
    <n v="667086"/>
    <n v="11830.05"/>
    <n v="0"/>
    <n v="0"/>
    <n v="139"/>
    <n v="630782"/>
    <n v="25184.87394957983"/>
    <n v="15"/>
    <n v="152"/>
    <n v="13"/>
    <m/>
    <n v="0"/>
    <n v="0"/>
    <n v="689776"/>
    <n v="51263.55"/>
    <n v="0"/>
    <n v="0"/>
    <n v="152"/>
    <n v="630782"/>
    <n v="109134.4537815126"/>
    <n v="12"/>
    <n v="157"/>
    <n v="12"/>
    <n v="0"/>
    <n v="0"/>
    <n v="0"/>
    <n v="712466"/>
    <n v="47320.2"/>
    <n v="0"/>
    <n v="0"/>
    <n v="157"/>
    <n v="630782"/>
    <n v="100739.4957983193"/>
    <n v="20"/>
    <n v="145"/>
    <n v="20"/>
    <n v="0"/>
    <n v="0"/>
    <n v="0"/>
    <n v="658010"/>
    <n v="78867"/>
    <n v="0"/>
    <n v="0"/>
    <n v="145"/>
    <n v="658010"/>
    <n v="167899.1596638655"/>
    <n v="4"/>
    <n v="125"/>
    <n v="4"/>
    <n v="0"/>
    <n v="0"/>
    <m/>
    <n v="492918.75"/>
    <n v="15773.4"/>
    <n v="0"/>
    <n v="0"/>
    <n v="125"/>
    <n v="492918.75"/>
    <n v="33579.83193277311"/>
    <n v="20"/>
    <n v="121"/>
    <n v="20"/>
    <n v="0"/>
    <n v="0"/>
    <n v="0"/>
    <m/>
    <n v="477145.35"/>
    <n v="78867"/>
    <n v="0"/>
    <n v="0"/>
    <n v="121"/>
    <n v="477145.35"/>
    <n v="151092.4369747899"/>
    <n v="14"/>
    <n v="101"/>
    <n v="14"/>
    <n v="0"/>
    <n v="0"/>
    <n v="398278.35"/>
    <n v="55206.9"/>
    <n v="0"/>
    <n v="0"/>
    <n v="101"/>
    <n v="398278.35"/>
    <n v="111052.9411764706"/>
    <n v="32"/>
    <n v="87"/>
    <n v="32"/>
    <n v="0"/>
    <n v="0"/>
    <n v="343071.45"/>
    <n v="126187.2"/>
    <n v="0"/>
    <n v="87"/>
    <n v="343071.45"/>
    <n v="268638.6554621849"/>
    <n v="8.4"/>
    <n v="55"/>
    <n v="8.4"/>
    <n v="0"/>
    <m/>
    <n v="216884.25"/>
    <n v="38119.2"/>
    <n v="0"/>
    <n v="55"/>
    <n v="216884.25"/>
    <n v="70517.64705882352"/>
  </r>
  <r>
    <m/>
    <x v="6"/>
    <x v="33"/>
    <x v="85"/>
    <s v="BDMBCIUMG"/>
    <x v="658"/>
    <x v="494"/>
    <x v="0"/>
    <x v="6"/>
    <n v="1"/>
    <x v="12"/>
    <n v="169"/>
    <m/>
    <n v="0"/>
    <n v="8924"/>
    <n v="1508156"/>
    <n v="8"/>
    <n v="8968"/>
    <n v="15957.98319327731"/>
    <n v="14277.31092436975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05003193527783692"/>
    <n v="3"/>
    <n v="0.4731684278883051"/>
    <n v="29"/>
    <n v="0.3763441491689134"/>
    <n v="3"/>
    <s v=""/>
    <n v="1"/>
    <s v=""/>
    <n v="4"/>
    <s v=""/>
    <n v="0"/>
    <s v=""/>
    <n v="0"/>
    <n v="1"/>
    <s v=""/>
    <n v="0.3333333333333333"/>
    <n v="2"/>
    <s v=""/>
    <n v="0.1111111111111111"/>
    <n v="4"/>
    <s v=""/>
    <n v="0.2857142857142857"/>
    <n v="20"/>
    <n v="184"/>
    <n v="5"/>
    <n v="0"/>
    <m/>
    <n v="0"/>
    <n v="93702"/>
    <n v="1523520"/>
    <n v="44620"/>
    <n v="0"/>
    <n v="169"/>
    <n v="1508156"/>
    <n v="67050.34955158536"/>
    <n v="5"/>
    <n v="181"/>
    <n v="1.5"/>
    <n v="0"/>
    <n v="0"/>
    <n v="0"/>
    <n v="49082"/>
    <n v="1498680"/>
    <n v="13386"/>
    <n v="0"/>
    <n v="169"/>
    <n v="1508156"/>
    <n v="20115.10486547561"/>
    <n v="25"/>
    <n v="180"/>
    <n v="4"/>
    <n v="0"/>
    <n v="0"/>
    <n v="60536"/>
    <n v="1606320"/>
    <n v="35696"/>
    <n v="0"/>
    <n v="169"/>
    <n v="1508156"/>
    <n v="63831.93277310925"/>
    <n v="3"/>
    <n v="176"/>
    <n v="0"/>
    <n v="0"/>
    <n v="0"/>
    <n v="1457280"/>
    <n v="0"/>
    <n v="0"/>
    <n v="0"/>
    <n v="169"/>
    <n v="1508156"/>
    <n v="0"/>
    <n v="3"/>
    <n v="170"/>
    <n v="3"/>
    <m/>
    <n v="0"/>
    <n v="0"/>
    <n v="1517080"/>
    <n v="24840"/>
    <n v="0"/>
    <n v="0"/>
    <n v="169"/>
    <n v="1508156"/>
    <n v="47873.94957983194"/>
    <n v="18"/>
    <n v="171"/>
    <n v="2"/>
    <m/>
    <n v="0"/>
    <n v="0"/>
    <n v="1526004"/>
    <n v="16560"/>
    <n v="0"/>
    <n v="0"/>
    <n v="171"/>
    <n v="1508156"/>
    <n v="31915.96638655462"/>
    <n v="14"/>
    <n v="173"/>
    <n v="14"/>
    <n v="0"/>
    <n v="0"/>
    <n v="0"/>
    <n v="1543852"/>
    <n v="115920"/>
    <n v="0"/>
    <n v="0"/>
    <n v="173"/>
    <n v="1508156"/>
    <n v="223411.7647058824"/>
    <n v="20"/>
    <n v="159"/>
    <n v="20"/>
    <n v="0"/>
    <n v="0"/>
    <n v="0"/>
    <n v="1418916"/>
    <n v="165600"/>
    <n v="0"/>
    <n v="0"/>
    <n v="159"/>
    <n v="1418916"/>
    <n v="319159.6638655462"/>
    <n v="5"/>
    <n v="139"/>
    <n v="5"/>
    <n v="0"/>
    <n v="0"/>
    <m/>
    <n v="1150920"/>
    <n v="41400"/>
    <n v="0"/>
    <n v="0"/>
    <n v="139"/>
    <n v="1150920"/>
    <n v="79789.91596638656"/>
    <n v="22"/>
    <n v="134"/>
    <n v="22"/>
    <n v="0"/>
    <n v="0"/>
    <n v="0"/>
    <m/>
    <n v="1109520"/>
    <n v="182160"/>
    <n v="0"/>
    <n v="0"/>
    <n v="134"/>
    <n v="1109520"/>
    <n v="314100.8403361345"/>
    <n v="15.4"/>
    <n v="112"/>
    <n v="15.4"/>
    <n v="0"/>
    <n v="0"/>
    <n v="927360"/>
    <n v="127512"/>
    <n v="0"/>
    <n v="0"/>
    <n v="112"/>
    <n v="927360"/>
    <n v="230864.1176470589"/>
    <n v="24"/>
    <n v="96.59999999999999"/>
    <n v="24"/>
    <n v="0"/>
    <n v="0"/>
    <n v="799848"/>
    <n v="198720"/>
    <n v="0"/>
    <n v="96.59999999999999"/>
    <n v="799848"/>
    <n v="382991.5966386555"/>
    <n v="9.239999999999998"/>
    <n v="72.59999999999999"/>
    <n v="9.239999999999998"/>
    <n v="0"/>
    <m/>
    <n v="601128"/>
    <n v="82457.75999999998"/>
    <n v="0"/>
    <n v="72.59999999999999"/>
    <n v="601128"/>
    <n v="147451.7647058823"/>
  </r>
  <r>
    <m/>
    <x v="7"/>
    <x v="34"/>
    <x v="86"/>
    <n v="1661877072053"/>
    <x v="659"/>
    <x v="495"/>
    <x v="0"/>
    <x v="5"/>
    <n v="1"/>
    <x v="12"/>
    <n v="0"/>
    <m/>
    <n v="0"/>
    <n v="275044.23"/>
    <n v="0"/>
    <n v="251.7567322654462"/>
    <n v="282220.0869565217"/>
    <n v="546210.0840336134"/>
    <n v="546210.0840336134"/>
    <s v="Shenzhen"/>
    <s v="30/70"/>
    <n v="30"/>
    <n v="1"/>
    <n v="0"/>
    <s v=""/>
    <n v="2"/>
    <n v="0.6167048935926212"/>
    <n v="2"/>
    <n v="0.5903597881830464"/>
    <n v="0"/>
    <s v=""/>
    <n v="0"/>
    <s v=""/>
    <n v="2"/>
    <n v="0.5642126330678323"/>
    <n v="1"/>
    <n v="0.3451327857142857"/>
    <n v="1"/>
    <n v="0.5798426725652361"/>
    <n v="1"/>
    <n v="0.5903599189192007"/>
    <n v="1"/>
    <n v="0.4999195818181819"/>
    <n v="1"/>
    <n v="0.5903599189192007"/>
    <n v="0"/>
    <s v=""/>
    <n v="1"/>
    <n v="0.5798426841681601"/>
    <n v="0"/>
    <s v=""/>
    <n v="0"/>
    <s v=""/>
    <n v="2"/>
    <n v="0.3304834950062854"/>
    <n v="2"/>
    <n v="1"/>
    <n v="0.4964481761257866"/>
    <n v="1"/>
    <n v="0"/>
    <s v=""/>
    <n v="0"/>
    <n v="0"/>
    <n v="0.4497137465491443"/>
    <n v="0"/>
    <n v="1.333333333333333"/>
    <n v="5"/>
    <n v="1.333333333333333"/>
    <n v="0"/>
    <m/>
    <n v="0"/>
    <n v="366725.64"/>
    <n v="1302841.089473684"/>
    <n v="366725.64"/>
    <n v="0"/>
    <n v="0"/>
    <n v="0"/>
    <n v="612000.0941553091"/>
    <n v="1"/>
    <n v="4"/>
    <n v="0"/>
    <n v="0"/>
    <m/>
    <n v="0"/>
    <n v="550088.46"/>
    <n v="1042272.871578947"/>
    <n v="0"/>
    <n v="0"/>
    <n v="0"/>
    <n v="0"/>
    <n v="0"/>
    <n v="1"/>
    <n v="4"/>
    <n v="0"/>
    <n v="0"/>
    <n v="0"/>
    <n v="810656.6778947368"/>
    <n v="1100176.92"/>
    <n v="0"/>
    <n v="0"/>
    <n v="0"/>
    <n v="0"/>
    <n v="0"/>
    <n v="1"/>
    <n v="4"/>
    <n v="2"/>
    <n v="0"/>
    <n v="0"/>
    <n v="1042272.871578947"/>
    <n v="550088.46"/>
    <n v="0"/>
    <n v="0"/>
    <n v="0"/>
    <n v="0"/>
    <n v="1092420.168067227"/>
    <n v="1"/>
    <n v="1"/>
    <n v="1"/>
    <m/>
    <n v="0"/>
    <n v="0"/>
    <n v="275044.23"/>
    <n v="260568.2178947368"/>
    <n v="0"/>
    <n v="0"/>
    <n v="0"/>
    <n v="0"/>
    <n v="546210.0840336134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260568.2178947368"/>
    <n v="0"/>
    <n v="0"/>
    <n v="0"/>
    <n v="0"/>
    <n v="573520.5882352941"/>
    <n v="1"/>
    <n v="0"/>
    <n v="1"/>
    <n v="0"/>
    <n v="0"/>
    <n v="0"/>
    <n v="260568.2178947368"/>
    <n v="0"/>
    <n v="0"/>
    <n v="0"/>
    <n v="546210.0840336134"/>
    <n v="0.6"/>
    <n v="0"/>
    <n v="0.6"/>
    <n v="0"/>
    <m/>
    <n v="0"/>
    <n v="165026.538"/>
    <n v="0"/>
    <n v="0"/>
    <n v="0"/>
    <n v="327726.050420168"/>
  </r>
  <r>
    <m/>
    <x v="7"/>
    <x v="34"/>
    <x v="86"/>
    <s v="INNCAMINSH5512-20"/>
    <x v="660"/>
    <x v="496"/>
    <x v="0"/>
    <x v="5"/>
    <n v="1"/>
    <x v="12"/>
    <n v="1"/>
    <m/>
    <n v="0"/>
    <n v="423998"/>
    <n v="423998"/>
    <n v="388.0988558352403"/>
    <n v="435058.8173913044"/>
    <n v="1176462.18487395"/>
    <n v="1176462.1848739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1"/>
    <n v="0"/>
    <n v="0"/>
    <m/>
    <n v="0"/>
    <n v="0"/>
    <n v="401682.3157894738"/>
    <n v="0"/>
    <n v="0"/>
    <n v="1"/>
    <n v="423998"/>
    <n v="0"/>
    <n v="0"/>
    <n v="1"/>
    <n v="0"/>
    <n v="0"/>
    <m/>
    <n v="0"/>
    <n v="0"/>
    <n v="401682.3157894738"/>
    <n v="0"/>
    <n v="0"/>
    <n v="1"/>
    <n v="423998"/>
    <n v="0"/>
    <n v="0"/>
    <n v="1"/>
    <n v="0"/>
    <n v="0"/>
    <n v="0"/>
    <n v="0"/>
    <n v="423998"/>
    <n v="0"/>
    <n v="0"/>
    <n v="1"/>
    <n v="423998"/>
    <n v="0"/>
    <n v="0"/>
    <n v="1"/>
    <n v="0"/>
    <n v="0"/>
    <n v="0"/>
    <n v="401682.3157894738"/>
    <n v="0"/>
    <n v="0"/>
    <n v="0"/>
    <n v="1"/>
    <n v="423998"/>
    <n v="0"/>
    <n v="0"/>
    <n v="1"/>
    <n v="0"/>
    <m/>
    <n v="0"/>
    <n v="0"/>
    <n v="423998"/>
    <n v="0"/>
    <n v="0"/>
    <n v="0"/>
    <n v="1"/>
    <n v="423998"/>
    <n v="0"/>
    <n v="0"/>
    <n v="1"/>
    <n v="0"/>
    <m/>
    <n v="0"/>
    <n v="0"/>
    <n v="423998"/>
    <n v="0"/>
    <n v="0"/>
    <n v="0"/>
    <n v="1"/>
    <n v="423998"/>
    <n v="0"/>
    <n v="0"/>
    <n v="1"/>
    <n v="0"/>
    <n v="0"/>
    <n v="0"/>
    <n v="0"/>
    <n v="423998"/>
    <n v="0"/>
    <n v="0"/>
    <n v="0"/>
    <n v="1"/>
    <n v="423998"/>
    <n v="0"/>
    <n v="0"/>
    <n v="1"/>
    <n v="0"/>
    <n v="0"/>
    <n v="0"/>
    <n v="0"/>
    <n v="423998"/>
    <n v="0"/>
    <n v="0"/>
    <n v="0"/>
    <n v="1"/>
    <n v="423998"/>
    <n v="0"/>
    <n v="0"/>
    <n v="1"/>
    <n v="0"/>
    <n v="0"/>
    <n v="0"/>
    <m/>
    <n v="401682.3157894738"/>
    <n v="0"/>
    <n v="0"/>
    <n v="0"/>
    <n v="1"/>
    <n v="401682.3157894738"/>
    <n v="0"/>
    <n v="0"/>
    <n v="1"/>
    <n v="0"/>
    <n v="0"/>
    <n v="0"/>
    <n v="0"/>
    <m/>
    <n v="401682.3157894738"/>
    <n v="0"/>
    <n v="0"/>
    <n v="0"/>
    <n v="1"/>
    <n v="401682.3157894738"/>
    <n v="0"/>
    <n v="0"/>
    <n v="1"/>
    <n v="0"/>
    <n v="0"/>
    <n v="0"/>
    <n v="401682.3157894738"/>
    <n v="0"/>
    <n v="0"/>
    <n v="0"/>
    <n v="1"/>
    <n v="401682.3157894738"/>
    <n v="0"/>
    <n v="0"/>
    <n v="1"/>
    <n v="0"/>
    <n v="0"/>
    <n v="0"/>
    <n v="401682.3157894738"/>
    <n v="0"/>
    <n v="0"/>
    <n v="1"/>
    <n v="401682.3157894738"/>
    <n v="0"/>
    <n v="0"/>
    <n v="1"/>
    <n v="0"/>
    <n v="0"/>
    <m/>
    <n v="401682.3157894738"/>
    <n v="0"/>
    <n v="0"/>
    <n v="1"/>
    <n v="401682.3157894738"/>
    <n v="0"/>
  </r>
  <r>
    <m/>
    <x v="7"/>
    <x v="34"/>
    <x v="86"/>
    <s v="INNCAMINSH3-70"/>
    <x v="661"/>
    <x v="497"/>
    <x v="0"/>
    <x v="5"/>
    <n v="1"/>
    <x v="12"/>
    <n v="0"/>
    <m/>
    <n v="0"/>
    <n v="1867612"/>
    <n v="0"/>
    <n v="1709.48466819222"/>
    <n v="1916332.313043478"/>
    <n v="5042008.403361345"/>
    <n v="5042008.403361345"/>
    <s v="Shenzhen"/>
    <s v="30/70"/>
    <n v="30"/>
    <n v="1"/>
    <n v="0"/>
    <s v=""/>
    <n v="0"/>
    <s v=""/>
    <n v="0"/>
    <s v=""/>
    <n v="1"/>
    <n v="0.4579111536675952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1"/>
    <n v="0"/>
    <n v="0"/>
    <n v="1.024130996839989"/>
    <n v="1.024130996839989"/>
    <n v="0"/>
    <n v="0"/>
    <n v="0"/>
    <n v="0"/>
    <n v="0"/>
    <n v="0"/>
    <n v="0"/>
    <n v="0"/>
    <n v="1"/>
    <n v="0"/>
    <n v="0"/>
    <n v="0"/>
    <n v="0"/>
    <n v="1769316.631578947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m/>
    <n v="0"/>
    <n v="0"/>
    <n v="0"/>
    <n v="1769316.631578947"/>
    <n v="0"/>
    <n v="0"/>
    <n v="0"/>
    <n v="0"/>
    <n v="5042008.403361345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1769316.631578947"/>
    <n v="0"/>
    <n v="0"/>
    <n v="0"/>
    <n v="0"/>
    <n v="5294108.823529412"/>
    <n v="1"/>
    <n v="0"/>
    <n v="1"/>
    <n v="0"/>
    <n v="0"/>
    <n v="0"/>
    <n v="1769316.631578947"/>
    <n v="0"/>
    <n v="0"/>
    <n v="0"/>
    <n v="5042008.403361345"/>
    <n v="0.6"/>
    <n v="0"/>
    <n v="0.6"/>
    <n v="0"/>
    <m/>
    <n v="0"/>
    <n v="1120567.2"/>
    <n v="0"/>
    <n v="0"/>
    <n v="0"/>
    <n v="3025205.042016807"/>
  </r>
  <r>
    <m/>
    <x v="7"/>
    <x v="34"/>
    <x v="86"/>
    <s v="INNCAMINSH5-20"/>
    <x v="662"/>
    <x v="498"/>
    <x v="0"/>
    <x v="5"/>
    <n v="1"/>
    <x v="12"/>
    <n v="1"/>
    <m/>
    <n v="0"/>
    <n v="282666"/>
    <n v="282666"/>
    <n v="258.7331807780321"/>
    <n v="290039.8956521739"/>
    <n v="798310.924369748"/>
    <n v="798310.924369748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1"/>
    <n v="0"/>
    <n v="0"/>
    <m/>
    <n v="0"/>
    <n v="0"/>
    <n v="267788.8421052632"/>
    <n v="0"/>
    <n v="0"/>
    <n v="1"/>
    <n v="282666"/>
    <n v="0"/>
    <n v="0"/>
    <n v="1"/>
    <n v="0"/>
    <n v="0"/>
    <m/>
    <n v="0"/>
    <n v="0"/>
    <n v="267788.8421052632"/>
    <n v="0"/>
    <n v="0"/>
    <n v="1"/>
    <n v="282666"/>
    <n v="0"/>
    <n v="0"/>
    <n v="1"/>
    <n v="0"/>
    <n v="0"/>
    <n v="0"/>
    <n v="0"/>
    <n v="282666"/>
    <n v="0"/>
    <n v="0"/>
    <n v="1"/>
    <n v="282666"/>
    <n v="0"/>
    <n v="0"/>
    <n v="1"/>
    <n v="0"/>
    <n v="0"/>
    <n v="0"/>
    <n v="267788.8421052632"/>
    <n v="0"/>
    <n v="0"/>
    <n v="0"/>
    <n v="1"/>
    <n v="282666"/>
    <n v="0"/>
    <n v="0"/>
    <n v="1"/>
    <n v="0"/>
    <m/>
    <n v="0"/>
    <n v="0"/>
    <n v="282666"/>
    <n v="0"/>
    <n v="0"/>
    <n v="0"/>
    <n v="1"/>
    <n v="282666"/>
    <n v="0"/>
    <n v="0"/>
    <n v="1"/>
    <n v="0"/>
    <m/>
    <n v="0"/>
    <n v="0"/>
    <n v="282666"/>
    <n v="0"/>
    <n v="0"/>
    <n v="0"/>
    <n v="1"/>
    <n v="282666"/>
    <n v="0"/>
    <n v="0"/>
    <n v="1"/>
    <n v="0"/>
    <n v="0"/>
    <n v="0"/>
    <n v="0"/>
    <n v="282666"/>
    <n v="0"/>
    <n v="0"/>
    <n v="0"/>
    <n v="1"/>
    <n v="282666"/>
    <n v="0"/>
    <n v="0"/>
    <n v="1"/>
    <n v="0"/>
    <n v="0"/>
    <n v="0"/>
    <n v="0"/>
    <n v="282666"/>
    <n v="0"/>
    <n v="0"/>
    <n v="0"/>
    <n v="1"/>
    <n v="282666"/>
    <n v="0"/>
    <n v="0"/>
    <n v="1"/>
    <n v="0"/>
    <n v="0"/>
    <n v="0"/>
    <m/>
    <n v="267788.8421052632"/>
    <n v="0"/>
    <n v="0"/>
    <n v="0"/>
    <n v="1"/>
    <n v="267788.8421052632"/>
    <n v="0"/>
    <n v="0"/>
    <n v="1"/>
    <n v="0"/>
    <n v="0"/>
    <n v="0"/>
    <n v="0"/>
    <m/>
    <n v="267788.8421052632"/>
    <n v="0"/>
    <n v="0"/>
    <n v="0"/>
    <n v="1"/>
    <n v="267788.8421052632"/>
    <n v="0"/>
    <n v="0"/>
    <n v="1"/>
    <n v="0"/>
    <n v="0"/>
    <n v="0"/>
    <n v="267788.8421052632"/>
    <n v="0"/>
    <n v="0"/>
    <n v="0"/>
    <n v="1"/>
    <n v="267788.8421052632"/>
    <n v="0"/>
    <n v="0"/>
    <n v="1"/>
    <n v="0"/>
    <n v="0"/>
    <n v="0"/>
    <n v="267788.8421052632"/>
    <n v="0"/>
    <n v="0"/>
    <n v="1"/>
    <n v="267788.8421052632"/>
    <n v="0"/>
    <n v="0"/>
    <n v="1"/>
    <n v="0"/>
    <n v="0"/>
    <m/>
    <n v="267788.8421052632"/>
    <n v="0"/>
    <n v="0"/>
    <n v="1"/>
    <n v="267788.8421052632"/>
    <n v="0"/>
  </r>
  <r>
    <m/>
    <x v="7"/>
    <x v="34"/>
    <x v="86"/>
    <s v="INNCAMINSH6-40"/>
    <x v="663"/>
    <x v="499"/>
    <x v="0"/>
    <x v="5"/>
    <n v="1"/>
    <x v="12"/>
    <n v="4"/>
    <m/>
    <n v="0"/>
    <n v="302856"/>
    <n v="1211424"/>
    <n v="277.2137299771168"/>
    <n v="310756.5913043479"/>
    <n v="840327.7310924371"/>
    <n v="840327.7310924371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4"/>
    <n v="0"/>
    <n v="0"/>
    <m/>
    <n v="0"/>
    <n v="0"/>
    <n v="1147664.842105263"/>
    <n v="0"/>
    <n v="0"/>
    <n v="4"/>
    <n v="1211424"/>
    <n v="0"/>
    <n v="0"/>
    <n v="4"/>
    <n v="0"/>
    <n v="0"/>
    <m/>
    <n v="0"/>
    <n v="0"/>
    <n v="1147664.842105263"/>
    <n v="0"/>
    <n v="0"/>
    <n v="4"/>
    <n v="1211424"/>
    <n v="0"/>
    <n v="0"/>
    <n v="4"/>
    <n v="0"/>
    <n v="0"/>
    <n v="0"/>
    <n v="0"/>
    <n v="1211424"/>
    <n v="0"/>
    <n v="0"/>
    <n v="4"/>
    <n v="1211424"/>
    <n v="0"/>
    <n v="0"/>
    <n v="4"/>
    <n v="0"/>
    <n v="0"/>
    <n v="0"/>
    <n v="1147664.842105263"/>
    <n v="0"/>
    <n v="0"/>
    <n v="0"/>
    <n v="4"/>
    <n v="1211424"/>
    <n v="0"/>
    <n v="0"/>
    <n v="4"/>
    <n v="0"/>
    <m/>
    <n v="0"/>
    <n v="0"/>
    <n v="1211424"/>
    <n v="0"/>
    <n v="0"/>
    <n v="0"/>
    <n v="4"/>
    <n v="1211424"/>
    <n v="0"/>
    <n v="0"/>
    <n v="4"/>
    <n v="0"/>
    <m/>
    <n v="0"/>
    <n v="0"/>
    <n v="1211424"/>
    <n v="0"/>
    <n v="0"/>
    <n v="0"/>
    <n v="4"/>
    <n v="1211424"/>
    <n v="0"/>
    <n v="0"/>
    <n v="4"/>
    <n v="0"/>
    <n v="0"/>
    <n v="0"/>
    <n v="0"/>
    <n v="1211424"/>
    <n v="0"/>
    <n v="0"/>
    <n v="0"/>
    <n v="4"/>
    <n v="1211424"/>
    <n v="0"/>
    <n v="0"/>
    <n v="4"/>
    <n v="0"/>
    <n v="0"/>
    <n v="0"/>
    <n v="0"/>
    <n v="1211424"/>
    <n v="0"/>
    <n v="0"/>
    <n v="0"/>
    <n v="4"/>
    <n v="1211424"/>
    <n v="0"/>
    <n v="0"/>
    <n v="4"/>
    <n v="0"/>
    <n v="0"/>
    <n v="0"/>
    <m/>
    <n v="1147664.842105263"/>
    <n v="0"/>
    <n v="0"/>
    <n v="0"/>
    <n v="4"/>
    <n v="1147664.842105263"/>
    <n v="0"/>
    <n v="0"/>
    <n v="4"/>
    <n v="0"/>
    <n v="0"/>
    <n v="0"/>
    <n v="0"/>
    <m/>
    <n v="1147664.842105263"/>
    <n v="0"/>
    <n v="0"/>
    <n v="0"/>
    <n v="4"/>
    <n v="1147664.842105263"/>
    <n v="0"/>
    <n v="0"/>
    <n v="4"/>
    <n v="0"/>
    <n v="0"/>
    <n v="0"/>
    <n v="1147664.842105263"/>
    <n v="0"/>
    <n v="0"/>
    <n v="0"/>
    <n v="4"/>
    <n v="1147664.842105263"/>
    <n v="0"/>
    <n v="0"/>
    <n v="4"/>
    <n v="0"/>
    <n v="0"/>
    <n v="0"/>
    <n v="1147664.842105263"/>
    <n v="0"/>
    <n v="0"/>
    <n v="4"/>
    <n v="1147664.842105263"/>
    <n v="0"/>
    <n v="0"/>
    <n v="4"/>
    <n v="0"/>
    <n v="0"/>
    <m/>
    <n v="1147664.842105263"/>
    <n v="0"/>
    <n v="0"/>
    <n v="4"/>
    <n v="1147664.842105263"/>
    <n v="0"/>
  </r>
  <r>
    <m/>
    <x v="7"/>
    <x v="34"/>
    <x v="86"/>
    <s v="INCAMINS92-40"/>
    <x v="664"/>
    <x v="500"/>
    <x v="0"/>
    <x v="5"/>
    <n v="1"/>
    <x v="12"/>
    <n v="0"/>
    <m/>
    <n v="0"/>
    <n v="293682"/>
    <n v="0"/>
    <n v="268.81647597254"/>
    <n v="301343.2695652174"/>
    <n v="672260.5042016807"/>
    <n v="672260.5042016807"/>
    <s v="Shenzhen"/>
    <s v="30/70"/>
    <n v="30"/>
    <n v="1"/>
    <n v="0"/>
    <s v=""/>
    <n v="0"/>
    <s v=""/>
    <n v="0"/>
    <s v=""/>
    <n v="0"/>
    <s v=""/>
    <n v="0"/>
    <s v=""/>
    <n v="2"/>
    <n v="0.5558983176179448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7"/>
    <x v="34"/>
    <x v="86"/>
    <n v="1661877043628"/>
    <x v="665"/>
    <x v="501"/>
    <x v="0"/>
    <x v="5"/>
    <n v="1"/>
    <x v="12"/>
    <n v="4"/>
    <m/>
    <n v="0"/>
    <n v="237256"/>
    <n v="949024"/>
    <n v="220"/>
    <n v="246620"/>
    <n v="462176.4705882353"/>
    <n v="462176.4705882353"/>
    <s v="Shenzhen"/>
    <s v="30/70"/>
    <n v="30"/>
    <n v="1"/>
    <n v="2"/>
    <n v="0.5553196890873138"/>
    <n v="0"/>
    <s v=""/>
    <n v="2"/>
    <n v="0.5279187970640614"/>
    <n v="6"/>
    <n v="0.5373867054144744"/>
    <n v="1"/>
    <n v="0.5107931394100949"/>
    <n v="5"/>
    <n v="0.5212392024566118"/>
    <n v="3"/>
    <n v="0.5104969369028692"/>
    <n v="0"/>
    <s v=""/>
    <n v="1"/>
    <n v="0.3960646557210131"/>
    <n v="0"/>
    <s v=""/>
    <n v="0"/>
    <s v=""/>
    <n v="0"/>
    <s v=""/>
    <n v="0"/>
    <s v=""/>
    <n v="0"/>
    <s v=""/>
    <n v="1"/>
    <n v="0.4866544368863447"/>
    <n v="0"/>
    <s v=""/>
    <n v="0"/>
    <n v="0"/>
    <s v=""/>
    <n v="0"/>
    <n v="0"/>
    <s v=""/>
    <n v="0"/>
    <n v="0"/>
    <n v="0.4866544368863447"/>
    <n v="0"/>
    <n v="2"/>
    <n v="5"/>
    <n v="2"/>
    <n v="0"/>
    <n v="0"/>
    <n v="0"/>
    <n v="711768"/>
    <n v="1138500"/>
    <n v="474512"/>
    <n v="0"/>
    <n v="4"/>
    <n v="949024"/>
    <n v="776767.177459219"/>
    <n v="3"/>
    <n v="5"/>
    <n v="0"/>
    <n v="3.133503028745246"/>
    <n v="3.133503028745246"/>
    <n v="0"/>
    <n v="237256"/>
    <n v="1138500"/>
    <n v="0"/>
    <n v="0"/>
    <n v="4"/>
    <n v="949024"/>
    <n v="0"/>
    <n v="3"/>
    <n v="5"/>
    <n v="1"/>
    <n v="0"/>
    <n v="0"/>
    <n v="920355.9999999999"/>
    <n v="1186280"/>
    <n v="237256"/>
    <n v="0"/>
    <n v="4"/>
    <n v="949024"/>
    <n v="462176.4705882353"/>
    <n v="3"/>
    <n v="4"/>
    <n v="0"/>
    <n v="0"/>
    <n v="0"/>
    <n v="910799.9999999999"/>
    <n v="0"/>
    <n v="0"/>
    <n v="0"/>
    <n v="4"/>
    <n v="949024"/>
    <n v="0"/>
    <n v="3"/>
    <n v="4"/>
    <n v="3"/>
    <m/>
    <n v="0"/>
    <n v="0"/>
    <n v="949024"/>
    <n v="683099.9999999999"/>
    <n v="0"/>
    <n v="0"/>
    <n v="4"/>
    <n v="949024"/>
    <n v="1386529.411764706"/>
    <n v="3"/>
    <n v="4"/>
    <n v="0"/>
    <m/>
    <n v="0"/>
    <n v="0"/>
    <n v="949024"/>
    <n v="0"/>
    <n v="0"/>
    <n v="0"/>
    <n v="4"/>
    <n v="949024"/>
    <n v="0"/>
    <n v="0"/>
    <n v="4"/>
    <n v="0"/>
    <n v="0"/>
    <n v="0"/>
    <n v="0"/>
    <n v="949024"/>
    <n v="0"/>
    <n v="0"/>
    <n v="0"/>
    <n v="4"/>
    <n v="949024"/>
    <n v="0"/>
    <n v="0"/>
    <n v="4"/>
    <n v="0"/>
    <n v="0"/>
    <n v="0"/>
    <n v="0"/>
    <n v="949024"/>
    <n v="0"/>
    <n v="0"/>
    <n v="0"/>
    <n v="4"/>
    <n v="949024"/>
    <n v="0"/>
    <n v="0"/>
    <n v="4"/>
    <n v="0"/>
    <n v="0"/>
    <n v="0"/>
    <m/>
    <n v="910799.9999999999"/>
    <n v="0"/>
    <n v="0"/>
    <n v="0"/>
    <n v="4"/>
    <n v="910799.9999999999"/>
    <n v="0"/>
    <n v="3"/>
    <n v="4"/>
    <n v="3"/>
    <n v="0"/>
    <n v="0"/>
    <n v="0"/>
    <m/>
    <n v="910799.9999999999"/>
    <n v="683099.9999999999"/>
    <n v="0"/>
    <n v="0"/>
    <n v="4"/>
    <n v="910799.9999999999"/>
    <n v="1386529.411764706"/>
    <n v="3"/>
    <n v="1"/>
    <n v="3"/>
    <m/>
    <n v="0"/>
    <n v="227700"/>
    <n v="683099.9999999999"/>
    <n v="0"/>
    <n v="0"/>
    <n v="1"/>
    <n v="227700"/>
    <n v="1455855.882352941"/>
    <n v="3"/>
    <n v="0"/>
    <n v="3"/>
    <n v="0"/>
    <n v="0"/>
    <n v="0"/>
    <n v="683099.9999999999"/>
    <n v="0"/>
    <n v="0"/>
    <n v="0"/>
    <n v="1386529.411764706"/>
    <n v="1.8"/>
    <n v="0"/>
    <n v="1.8"/>
    <n v="0"/>
    <m/>
    <n v="0"/>
    <n v="427060.7999999999"/>
    <n v="0"/>
    <n v="0"/>
    <n v="0"/>
    <n v="831917.6470588235"/>
  </r>
  <r>
    <m/>
    <x v="7"/>
    <x v="34"/>
    <x v="86"/>
    <s v="INNCAMINS-96"/>
    <x v="666"/>
    <x v="502"/>
    <x v="0"/>
    <x v="5"/>
    <n v="1"/>
    <x v="12"/>
    <n v="0"/>
    <m/>
    <n v="0"/>
    <n v="432031"/>
    <n v="0"/>
    <n v="395.4517162471396"/>
    <n v="443301.3739130435"/>
    <n v="1117566.488856412"/>
    <n v="949931.5155279504"/>
    <s v="Shenzhen"/>
    <s v="30/70"/>
    <n v="30"/>
    <n v="1"/>
    <n v="0"/>
    <s v=""/>
    <n v="1"/>
    <n v="0.6045225822456196"/>
    <n v="0"/>
    <s v=""/>
    <n v="0"/>
    <s v=""/>
    <n v="0"/>
    <s v=""/>
    <n v="0"/>
    <s v=""/>
    <n v="1"/>
    <n v="0.5715652810310256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1"/>
    <n v="0"/>
    <n v="0"/>
    <n v="1.048908359666763"/>
    <n v="1.048908359666763"/>
    <n v="0"/>
    <n v="0"/>
    <n v="0"/>
    <n v="0"/>
    <n v="0"/>
    <n v="0"/>
    <n v="0"/>
    <n v="0"/>
    <n v="1"/>
    <n v="0"/>
    <n v="0"/>
    <n v="0"/>
    <n v="0"/>
    <n v="409292.5263157895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m/>
    <n v="0"/>
    <n v="0"/>
    <n v="0"/>
    <n v="409292.5263157895"/>
    <n v="0"/>
    <n v="0"/>
    <n v="0"/>
    <n v="0"/>
    <n v="1117566.488856412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409292.5263157895"/>
    <n v="0"/>
    <n v="0"/>
    <n v="0"/>
    <n v="0"/>
    <n v="997428.091304348"/>
    <n v="1"/>
    <n v="0"/>
    <n v="1"/>
    <n v="0"/>
    <n v="0"/>
    <n v="0"/>
    <n v="409292.5263157895"/>
    <n v="0"/>
    <n v="0"/>
    <n v="0"/>
    <n v="1117566.488856412"/>
    <n v="0.6"/>
    <n v="0"/>
    <n v="0.6"/>
    <n v="0"/>
    <m/>
    <n v="0"/>
    <n v="259218.6"/>
    <n v="0"/>
    <n v="0"/>
    <n v="0"/>
    <n v="670539.8933138474"/>
  </r>
  <r>
    <m/>
    <x v="7"/>
    <x v="34"/>
    <x v="86"/>
    <s v="INNCAMINS-7F"/>
    <x v="667"/>
    <x v="503"/>
    <x v="0"/>
    <x v="5"/>
    <n v="1"/>
    <x v="12"/>
    <n v="0"/>
    <m/>
    <n v="0"/>
    <n v="553437"/>
    <n v="0"/>
    <n v="506.5784897025172"/>
    <n v="567874.4869565218"/>
    <n v="1344529.411764706"/>
    <n v="1344529.411764706"/>
    <s v="Shenzhen"/>
    <s v="30/70"/>
    <n v="30"/>
    <n v="1"/>
    <n v="0"/>
    <s v=""/>
    <n v="0"/>
    <s v=""/>
    <n v="0"/>
    <s v=""/>
    <n v="1"/>
    <n v="0.5883785325567541"/>
    <n v="0"/>
    <s v=""/>
    <n v="0"/>
    <s v=""/>
    <n v="0"/>
    <s v=""/>
    <n v="0"/>
    <s v=""/>
    <n v="1"/>
    <n v="0.5883785325567541"/>
    <n v="1"/>
    <n v="0.5737254016949714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n v="0"/>
    <n v="0"/>
    <n v="0"/>
    <n v="0"/>
    <n v="0"/>
    <n v="0"/>
    <n v="0"/>
    <n v="0"/>
    <n v="0"/>
    <n v="0"/>
    <n v="0"/>
    <n v="0"/>
    <n v="1"/>
    <n v="0"/>
    <n v="0"/>
    <n v="1.048908359666763"/>
    <n v="1.048908359666763"/>
    <n v="0"/>
    <n v="0"/>
    <n v="0"/>
    <n v="0"/>
    <n v="0"/>
    <n v="0"/>
    <n v="0"/>
    <n v="0"/>
    <n v="1"/>
    <n v="0"/>
    <n v="0"/>
    <n v="0"/>
    <n v="0"/>
    <n v="524308.736842105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m/>
    <n v="0"/>
    <n v="0"/>
    <n v="0"/>
    <n v="524308.7368421053"/>
    <n v="0"/>
    <n v="0"/>
    <n v="0"/>
    <n v="0"/>
    <n v="1344529.411764706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524308.7368421053"/>
    <n v="0"/>
    <n v="0"/>
    <n v="0"/>
    <n v="0"/>
    <n v="1411755.882352941"/>
    <n v="1"/>
    <n v="0"/>
    <n v="1"/>
    <n v="0"/>
    <n v="0"/>
    <n v="0"/>
    <n v="524308.7368421053"/>
    <n v="0"/>
    <n v="0"/>
    <n v="0"/>
    <n v="1344529.411764706"/>
    <n v="0.6"/>
    <n v="0"/>
    <n v="0.6"/>
    <n v="0"/>
    <m/>
    <n v="0"/>
    <n v="332062.2"/>
    <n v="0"/>
    <n v="0"/>
    <n v="0"/>
    <n v="806717.6470588236"/>
  </r>
  <r>
    <m/>
    <x v="7"/>
    <x v="34"/>
    <x v="86"/>
    <s v="INNCAMINS-U9"/>
    <x v="668"/>
    <x v="504"/>
    <x v="0"/>
    <x v="5"/>
    <n v="1"/>
    <x v="12"/>
    <n v="2"/>
    <m/>
    <n v="0"/>
    <n v="50149"/>
    <n v="100298"/>
    <n v="46.5"/>
    <n v="52126.5"/>
    <n v="126042.0168067227"/>
    <n v="126042.0168067227"/>
    <s v="Shenzhen"/>
    <s v="30/70"/>
    <n v="30"/>
    <n v="1"/>
    <n v="1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.3333333333333333"/>
    <n v="2"/>
    <n v="0.3333333333333333"/>
    <n v="0"/>
    <n v="0"/>
    <n v="0"/>
    <n v="16716.33333333333"/>
    <n v="96254.99999999999"/>
    <n v="16716.33333333333"/>
    <n v="0"/>
    <n v="2"/>
    <n v="100298"/>
    <n v="35305.88706070663"/>
    <n v="1"/>
    <n v="2"/>
    <n v="0"/>
    <n v="0.03270474515467339"/>
    <m/>
    <n v="0"/>
    <n v="0"/>
    <n v="96254.99999999999"/>
    <n v="0"/>
    <n v="0"/>
    <n v="2"/>
    <n v="100298"/>
    <n v="0"/>
    <n v="0"/>
    <n v="2"/>
    <n v="0"/>
    <n v="0"/>
    <n v="0"/>
    <n v="0"/>
    <n v="100298"/>
    <n v="0"/>
    <n v="0"/>
    <n v="2"/>
    <n v="100298"/>
    <n v="0"/>
    <n v="0"/>
    <n v="2"/>
    <n v="0"/>
    <n v="0"/>
    <n v="0"/>
    <n v="96254.99999999999"/>
    <n v="0"/>
    <n v="0"/>
    <n v="0"/>
    <n v="2"/>
    <n v="100298"/>
    <n v="0"/>
    <n v="0"/>
    <n v="2"/>
    <n v="0"/>
    <m/>
    <n v="0"/>
    <n v="0"/>
    <n v="100298"/>
    <n v="0"/>
    <n v="0"/>
    <n v="0"/>
    <n v="2"/>
    <n v="100298"/>
    <n v="0"/>
    <n v="0"/>
    <n v="2"/>
    <n v="0"/>
    <m/>
    <n v="0"/>
    <n v="0"/>
    <n v="100298"/>
    <n v="0"/>
    <n v="0"/>
    <n v="0"/>
    <n v="2"/>
    <n v="100298"/>
    <n v="0"/>
    <n v="0"/>
    <n v="2"/>
    <n v="0"/>
    <n v="0"/>
    <n v="0"/>
    <n v="0"/>
    <n v="100298"/>
    <n v="0"/>
    <n v="0"/>
    <n v="0"/>
    <n v="2"/>
    <n v="100298"/>
    <n v="0"/>
    <n v="0"/>
    <n v="2"/>
    <n v="0"/>
    <n v="0"/>
    <n v="0"/>
    <n v="0"/>
    <n v="100298"/>
    <n v="0"/>
    <n v="0"/>
    <n v="0"/>
    <n v="2"/>
    <n v="100298"/>
    <n v="0"/>
    <n v="0"/>
    <n v="2"/>
    <n v="0"/>
    <n v="0"/>
    <n v="0"/>
    <m/>
    <n v="96254.99999999999"/>
    <n v="0"/>
    <n v="0"/>
    <n v="0"/>
    <n v="2"/>
    <n v="96254.99999999999"/>
    <n v="0"/>
    <n v="0"/>
    <n v="2"/>
    <n v="0"/>
    <n v="0"/>
    <n v="0"/>
    <n v="0"/>
    <m/>
    <n v="96254.99999999999"/>
    <n v="0"/>
    <n v="0"/>
    <n v="0"/>
    <n v="2"/>
    <n v="96254.99999999999"/>
    <n v="0"/>
    <n v="0"/>
    <n v="2"/>
    <n v="0"/>
    <n v="0"/>
    <n v="0"/>
    <n v="96254.99999999999"/>
    <n v="0"/>
    <n v="0"/>
    <n v="0"/>
    <n v="2"/>
    <n v="96254.99999999999"/>
    <n v="0"/>
    <n v="0"/>
    <n v="2"/>
    <n v="0"/>
    <n v="0"/>
    <n v="0"/>
    <n v="96254.99999999999"/>
    <n v="0"/>
    <n v="0"/>
    <n v="2"/>
    <n v="96254.99999999999"/>
    <n v="0"/>
    <n v="0"/>
    <n v="2"/>
    <n v="0"/>
    <n v="0"/>
    <m/>
    <n v="96254.99999999999"/>
    <n v="0"/>
    <n v="0"/>
    <n v="2"/>
    <n v="96254.99999999999"/>
    <n v="0"/>
  </r>
  <r>
    <s v="Innovate-K-Hogar"/>
    <x v="7"/>
    <x v="35"/>
    <x v="87"/>
    <n v="1571055493973"/>
    <x v="669"/>
    <x v="505"/>
    <x v="0"/>
    <x v="8"/>
    <n v="1"/>
    <x v="12"/>
    <n v="0"/>
    <m/>
    <n v="0"/>
    <n v="19691"/>
    <n v="0"/>
    <n v="21"/>
    <n v="22942.5"/>
    <n v="42008.40336134454"/>
    <n v="42008.40336134454"/>
    <s v="Shenzhen"/>
    <s v="30/70"/>
    <n v="30"/>
    <n v="100"/>
    <n v="3"/>
    <n v="0.6203026233429624"/>
    <n v="9"/>
    <n v="0.529728029909285"/>
    <n v="8"/>
    <n v="0.5737185355012252"/>
    <n v="2"/>
    <n v="0.5339848336061103"/>
    <n v="2"/>
    <n v="0.5339848336061103"/>
    <n v="41"/>
    <n v="0.6098885510030124"/>
    <n v="17"/>
    <n v="0.6115657781093872"/>
    <n v="21"/>
    <n v="0.516149526347576"/>
    <n v="15"/>
    <n v="0.4685555896536366"/>
    <n v="18"/>
    <n v="0.3815454989792795"/>
    <n v="17"/>
    <n v="0.3456199306991332"/>
    <n v="10"/>
    <n v="0.4530527854844293"/>
    <n v="6"/>
    <n v="0.3433880858157089"/>
    <n v="13"/>
    <n v="0.3108762657298864"/>
    <n v="19"/>
    <n v="0.3357982837557397"/>
    <n v="12"/>
    <n v="0.4050004688221252"/>
    <n v="1.714285714285714"/>
    <n v="2"/>
    <n v="0.5738790689216221"/>
    <n v="0.2857142857142857"/>
    <n v="1"/>
    <n v="0.5312508501700339"/>
    <n v="0.1428571428571428"/>
    <n v="0"/>
    <n v="0.3616082356401358"/>
    <n v="0"/>
    <n v="6.666666666666667"/>
    <n v="54"/>
    <n v="6.666666666666667"/>
    <n v="0"/>
    <m/>
    <n v="0"/>
    <n v="889376.8333333334"/>
    <n v="1173690"/>
    <n v="131273.3333333333"/>
    <n v="0"/>
    <n v="0"/>
    <n v="0"/>
    <n v="235341.1953016501"/>
    <n v="7"/>
    <n v="48"/>
    <n v="19.5"/>
    <n v="0"/>
    <m/>
    <n v="0"/>
    <n v="994395.5"/>
    <n v="1043280"/>
    <n v="383974.5"/>
    <n v="0"/>
    <n v="0"/>
    <n v="0"/>
    <n v="688372.9962573266"/>
    <n v="7"/>
    <n v="31"/>
    <n v="19"/>
    <n v="0"/>
    <n v="0"/>
    <n v="762566"/>
    <n v="610421"/>
    <n v="374129"/>
    <n v="0"/>
    <n v="0"/>
    <n v="0"/>
    <n v="798159.6638655463"/>
    <n v="7"/>
    <n v="12"/>
    <n v="12"/>
    <n v="0"/>
    <n v="0"/>
    <n v="260820"/>
    <n v="236292"/>
    <n v="0"/>
    <n v="0"/>
    <n v="0"/>
    <n v="0"/>
    <n v="504100.8403361345"/>
    <n v="7"/>
    <n v="2"/>
    <n v="7"/>
    <m/>
    <n v="0"/>
    <n v="0"/>
    <n v="39382"/>
    <n v="152145"/>
    <n v="0"/>
    <n v="0"/>
    <n v="0"/>
    <n v="0"/>
    <n v="294058.8235294118"/>
    <n v="7"/>
    <n v="1"/>
    <n v="1"/>
    <m/>
    <n v="0"/>
    <n v="0"/>
    <n v="19691"/>
    <n v="21735"/>
    <n v="0"/>
    <n v="0"/>
    <n v="1"/>
    <n v="0"/>
    <n v="42008.40336134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7"/>
    <n v="0"/>
    <n v="0"/>
    <n v="0"/>
    <n v="0"/>
    <n v="0"/>
    <m/>
    <n v="0"/>
    <n v="0"/>
    <n v="0"/>
    <n v="0"/>
    <n v="0"/>
    <n v="0"/>
    <n v="0"/>
    <n v="7"/>
    <n v="0"/>
    <n v="7"/>
    <m/>
    <n v="0"/>
    <n v="0"/>
    <n v="152145"/>
    <n v="0"/>
    <n v="0"/>
    <n v="0"/>
    <n v="0"/>
    <n v="308761.7647058824"/>
    <n v="7"/>
    <n v="0"/>
    <n v="7"/>
    <n v="0"/>
    <n v="0"/>
    <n v="0"/>
    <n v="152145"/>
    <n v="0"/>
    <n v="0"/>
    <n v="0"/>
    <n v="294058.8235294118"/>
    <n v="4.2"/>
    <n v="0"/>
    <n v="4.2"/>
    <n v="0"/>
    <m/>
    <n v="0"/>
    <n v="82702.2"/>
    <n v="0"/>
    <n v="0"/>
    <n v="0"/>
    <n v="176435.2941176471"/>
  </r>
  <r>
    <m/>
    <x v="8"/>
    <x v="12"/>
    <x v="28"/>
    <s v="MTBOBIC450"/>
    <x v="670"/>
    <x v="506"/>
    <x v="0"/>
    <x v="2"/>
    <n v="0.6"/>
    <x v="401"/>
    <n v="857"/>
    <m/>
    <n v="0"/>
    <n v="3856.525"/>
    <n v="3305041.925"/>
    <n v="3.53"/>
    <n v="3856.52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71"/>
    <s v=""/>
    <n v="6"/>
    <s v=""/>
    <n v="0.05714285714285714"/>
    <n v="5"/>
    <s v=""/>
    <n v="0.3333333333333333"/>
    <n v="12"/>
    <s v=""/>
    <n v="0.48"/>
    <n v="6"/>
    <s v=""/>
    <n v="0.3"/>
    <n v="0"/>
    <n v="0"/>
    <n v="0"/>
    <n v="0"/>
    <n v="0"/>
    <n v="0"/>
    <n v="4130338.274999999"/>
    <n v="0"/>
    <n v="0"/>
    <n v="0"/>
    <n v="857"/>
    <n v="3305041.925"/>
    <n v="0"/>
    <n v="0"/>
    <n v="0"/>
    <n v="0"/>
    <n v="1880"/>
    <n v="1880"/>
    <n v="0"/>
    <n v="4153477.424999999"/>
    <n v="0"/>
    <n v="0"/>
    <n v="0"/>
    <n v="857"/>
    <n v="3305041.925"/>
    <n v="0"/>
    <n v="1481"/>
    <n v="1928"/>
    <n v="1071"/>
    <n v="0"/>
    <n v="0"/>
    <n v="4186359.375"/>
    <n v="7435380.199999999"/>
    <n v="4130338.274999999"/>
    <n v="0"/>
    <n v="857"/>
    <n v="3305041.925"/>
    <n v="15291000"/>
    <n v="105"/>
    <n v="809"/>
    <n v="6"/>
    <n v="0"/>
    <n v="0"/>
    <n v="2955721.95"/>
    <n v="23139.15"/>
    <n v="0"/>
    <n v="0"/>
    <n v="857"/>
    <n v="3305041.925"/>
    <n v="85663.8655462185"/>
    <n v="15"/>
    <n v="862"/>
    <n v="9"/>
    <m/>
    <n v="0"/>
    <n v="0"/>
    <n v="3324324.55"/>
    <n v="32881.95"/>
    <n v="0"/>
    <n v="0"/>
    <n v="857"/>
    <n v="3305041.925"/>
    <n v="128495.7983193277"/>
    <n v="25"/>
    <n v="869"/>
    <n v="12"/>
    <m/>
    <n v="0"/>
    <n v="0"/>
    <n v="3351320.225"/>
    <n v="43842.6"/>
    <n v="0"/>
    <n v="0"/>
    <n v="869"/>
    <n v="3305041.925"/>
    <n v="171327.731092437"/>
    <n v="20"/>
    <n v="863"/>
    <n v="12"/>
    <n v="0"/>
    <n v="0"/>
    <n v="0"/>
    <n v="3328181.075"/>
    <n v="43842.6"/>
    <n v="0"/>
    <n v="0"/>
    <n v="863"/>
    <n v="3305041.925"/>
    <n v="171327.731092437"/>
    <n v="20"/>
    <n v="851"/>
    <n v="12"/>
    <n v="0"/>
    <n v="0"/>
    <n v="0"/>
    <n v="3281902.775"/>
    <n v="43842.6"/>
    <n v="0"/>
    <n v="0"/>
    <n v="851"/>
    <n v="3281902.775"/>
    <n v="171327.731092437"/>
    <n v="28"/>
    <n v="839"/>
    <n v="16.8"/>
    <n v="0"/>
    <n v="0"/>
    <m/>
    <n v="3065328.45"/>
    <n v="61379.64"/>
    <n v="0"/>
    <n v="0"/>
    <n v="839"/>
    <n v="3065328.45"/>
    <n v="239858.8235294118"/>
    <n v="50"/>
    <n v="822.2"/>
    <n v="30"/>
    <n v="0"/>
    <n v="0"/>
    <n v="0"/>
    <m/>
    <n v="3003948.81"/>
    <n v="109606.5"/>
    <n v="0"/>
    <n v="0"/>
    <n v="822.2"/>
    <n v="3003948.81"/>
    <n v="302268.9075630252"/>
    <n v="40"/>
    <n v="792.2"/>
    <n v="24"/>
    <n v="0"/>
    <n v="0"/>
    <n v="2894342.31"/>
    <n v="87685.2"/>
    <n v="0"/>
    <n v="0"/>
    <n v="792.2"/>
    <n v="2894342.31"/>
    <n v="253905.8823529412"/>
    <n v="84"/>
    <n v="768.2"/>
    <n v="50.4"/>
    <n v="0"/>
    <n v="0"/>
    <n v="2806657.11"/>
    <n v="184138.92"/>
    <n v="0"/>
    <n v="768.2"/>
    <n v="2806657.11"/>
    <n v="719576.4705882353"/>
    <n v="24"/>
    <n v="717.8000000000001"/>
    <n v="14.4"/>
    <n v="0"/>
    <m/>
    <n v="2622518.19"/>
    <n v="55533.95999999999"/>
    <n v="0"/>
    <n v="717.8000000000001"/>
    <n v="2622518.19"/>
    <n v="205593.2773109244"/>
  </r>
  <r>
    <m/>
    <x v="8"/>
    <x v="12"/>
    <x v="28"/>
    <s v="MTBOBMA450"/>
    <x v="671"/>
    <x v="507"/>
    <x v="0"/>
    <x v="2"/>
    <n v="0.6"/>
    <x v="402"/>
    <n v="899"/>
    <m/>
    <n v="0"/>
    <n v="3856.525"/>
    <n v="3467015.975"/>
    <n v="3.53"/>
    <n v="3856.52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58"/>
    <s v=""/>
    <n v="4"/>
    <s v=""/>
    <n v="0.0380952380952381"/>
    <n v="5"/>
    <s v=""/>
    <n v="0.3333333333333333"/>
    <n v="6"/>
    <s v=""/>
    <n v="0.24"/>
    <n v="5"/>
    <s v=""/>
    <n v="0.25"/>
    <n v="0"/>
    <n v="0"/>
    <n v="0"/>
    <n v="0"/>
    <n v="0"/>
    <n v="0"/>
    <n v="4080203.45"/>
    <n v="0"/>
    <n v="0"/>
    <n v="0"/>
    <n v="899"/>
    <n v="3467015.975"/>
    <n v="0"/>
    <n v="0"/>
    <n v="0"/>
    <n v="0"/>
    <n v="1880"/>
    <n v="1880"/>
    <n v="0"/>
    <n v="4095629.55"/>
    <n v="0"/>
    <n v="0"/>
    <n v="0"/>
    <n v="899"/>
    <n v="3467015.975"/>
    <n v="0"/>
    <n v="1481"/>
    <n v="1957"/>
    <n v="1058"/>
    <n v="0"/>
    <n v="0"/>
    <n v="4128511.5"/>
    <n v="7547219.424999999"/>
    <n v="4080203.45"/>
    <n v="0"/>
    <n v="899"/>
    <n v="3467015.975"/>
    <n v="15105394.95798319"/>
    <n v="105"/>
    <n v="822"/>
    <n v="4"/>
    <n v="0"/>
    <n v="0"/>
    <n v="3003218.1"/>
    <n v="15426.1"/>
    <n v="0"/>
    <n v="0"/>
    <n v="899"/>
    <n v="3467015.975"/>
    <n v="57109.243697479"/>
    <n v="15"/>
    <n v="904"/>
    <n v="9"/>
    <m/>
    <n v="0"/>
    <n v="0"/>
    <n v="3486298.6"/>
    <n v="32881.95"/>
    <n v="0"/>
    <n v="0"/>
    <n v="899"/>
    <n v="3467015.975"/>
    <n v="128495.7983193277"/>
    <n v="25"/>
    <n v="905"/>
    <n v="6"/>
    <m/>
    <n v="0"/>
    <n v="0"/>
    <n v="3490155.125"/>
    <n v="21921.3"/>
    <n v="0"/>
    <n v="0"/>
    <n v="905"/>
    <n v="3467015.975"/>
    <n v="85663.8655462185"/>
    <n v="20"/>
    <n v="904"/>
    <n v="12"/>
    <n v="0"/>
    <n v="0"/>
    <n v="0"/>
    <n v="3486298.6"/>
    <n v="43842.6"/>
    <n v="0"/>
    <n v="0"/>
    <n v="904"/>
    <n v="3467015.975"/>
    <n v="171327.731092437"/>
    <n v="20"/>
    <n v="892"/>
    <n v="12"/>
    <n v="0"/>
    <n v="0"/>
    <n v="0"/>
    <n v="3440020.3"/>
    <n v="43842.6"/>
    <n v="0"/>
    <n v="0"/>
    <n v="892"/>
    <n v="3440020.3"/>
    <n v="171327.731092437"/>
    <n v="28"/>
    <n v="880"/>
    <n v="16.8"/>
    <n v="0"/>
    <n v="0"/>
    <m/>
    <n v="3215124"/>
    <n v="61379.64"/>
    <n v="0"/>
    <n v="0"/>
    <n v="880"/>
    <n v="3215124"/>
    <n v="239858.8235294118"/>
    <n v="50"/>
    <n v="863.2"/>
    <n v="30"/>
    <n v="0"/>
    <n v="0"/>
    <n v="0"/>
    <m/>
    <n v="3153744.36"/>
    <n v="109606.5"/>
    <n v="0"/>
    <n v="0"/>
    <n v="863.2"/>
    <n v="3153744.36"/>
    <n v="302268.9075630252"/>
    <n v="40"/>
    <n v="833.2"/>
    <n v="24"/>
    <n v="0"/>
    <n v="0"/>
    <n v="3044137.86"/>
    <n v="87685.2"/>
    <n v="0"/>
    <n v="0"/>
    <n v="833.2"/>
    <n v="3044137.86"/>
    <n v="253905.8823529412"/>
    <n v="84"/>
    <n v="809.2"/>
    <n v="50.4"/>
    <n v="0"/>
    <n v="0"/>
    <n v="2956452.66"/>
    <n v="184138.92"/>
    <n v="0"/>
    <n v="809.2"/>
    <n v="2956452.66"/>
    <n v="719576.4705882353"/>
    <n v="24"/>
    <n v="758.8000000000001"/>
    <n v="14.4"/>
    <n v="0"/>
    <m/>
    <n v="2772313.74"/>
    <n v="55533.95999999999"/>
    <n v="0"/>
    <n v="758.8000000000001"/>
    <n v="2772313.74"/>
    <n v="205593.2773109244"/>
  </r>
  <r>
    <m/>
    <x v="8"/>
    <x v="12"/>
    <x v="28"/>
    <s v="MTBOBBA450"/>
    <x v="672"/>
    <x v="508"/>
    <x v="0"/>
    <x v="2"/>
    <n v="0.7"/>
    <x v="403"/>
    <n v="835"/>
    <m/>
    <n v="0"/>
    <n v="3856.525"/>
    <n v="3220198.375"/>
    <n v="3.53"/>
    <n v="3856.52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65"/>
    <s v=""/>
    <n v="11"/>
    <s v=""/>
    <n v="0.1047619047619048"/>
    <n v="13"/>
    <s v=""/>
    <n v="0.8666666666666667"/>
    <n v="19"/>
    <s v=""/>
    <n v="0.76"/>
    <n v="15"/>
    <s v=""/>
    <n v="0.75"/>
    <n v="0"/>
    <n v="0"/>
    <n v="0"/>
    <n v="0"/>
    <n v="0"/>
    <n v="0"/>
    <n v="4107199.125"/>
    <n v="0"/>
    <n v="0"/>
    <n v="0"/>
    <n v="835"/>
    <n v="3220198.375"/>
    <n v="0"/>
    <n v="0"/>
    <n v="0"/>
    <n v="0"/>
    <n v="1880"/>
    <n v="1880"/>
    <n v="0"/>
    <n v="4149620.899999999"/>
    <n v="0"/>
    <n v="0"/>
    <n v="0"/>
    <n v="835"/>
    <n v="3220198.375"/>
    <n v="0"/>
    <n v="1481"/>
    <n v="1900"/>
    <n v="1065"/>
    <n v="0"/>
    <n v="0"/>
    <n v="4187983.174999999"/>
    <n v="7327397.499999999"/>
    <n v="4107199.125"/>
    <n v="0"/>
    <n v="835"/>
    <n v="3220198.375"/>
    <n v="15205336.13445378"/>
    <n v="105"/>
    <n v="816"/>
    <n v="11"/>
    <n v="0"/>
    <n v="0"/>
    <n v="2981296.8"/>
    <n v="42421.77499999999"/>
    <n v="0"/>
    <n v="0"/>
    <n v="835"/>
    <n v="3220198.375"/>
    <n v="157050.4201680672"/>
    <n v="15"/>
    <n v="848"/>
    <n v="10.5"/>
    <m/>
    <n v="0"/>
    <n v="0"/>
    <n v="3270333.2"/>
    <n v="38362.27499999999"/>
    <n v="0"/>
    <n v="0"/>
    <n v="835"/>
    <n v="3220198.375"/>
    <n v="149911.7647058824"/>
    <n v="25"/>
    <n v="854"/>
    <n v="19"/>
    <m/>
    <n v="0"/>
    <n v="0"/>
    <n v="3293472.35"/>
    <n v="69417.45"/>
    <n v="0"/>
    <n v="0"/>
    <n v="854"/>
    <n v="3220198.375"/>
    <n v="271268.9075630252"/>
    <n v="20"/>
    <n v="850"/>
    <n v="14"/>
    <n v="0"/>
    <n v="0"/>
    <n v="0"/>
    <n v="3278046.25"/>
    <n v="51149.7"/>
    <n v="0"/>
    <n v="0"/>
    <n v="850"/>
    <n v="3220198.375"/>
    <n v="199882.3529411765"/>
    <n v="20"/>
    <n v="836"/>
    <n v="14"/>
    <n v="0"/>
    <n v="0"/>
    <n v="0"/>
    <n v="3224054.9"/>
    <n v="51149.7"/>
    <n v="0"/>
    <n v="0"/>
    <n v="836"/>
    <n v="3224054.9"/>
    <n v="199882.3529411765"/>
    <n v="28"/>
    <n v="822"/>
    <n v="19.6"/>
    <n v="0"/>
    <n v="0"/>
    <m/>
    <n v="3003218.1"/>
    <n v="71609.57999999999"/>
    <n v="0"/>
    <n v="0"/>
    <n v="822"/>
    <n v="3003218.1"/>
    <n v="279835.294117647"/>
    <n v="50"/>
    <n v="802.4"/>
    <n v="35"/>
    <n v="0"/>
    <n v="0"/>
    <n v="0"/>
    <m/>
    <n v="2931608.52"/>
    <n v="127874.25"/>
    <n v="0"/>
    <n v="0"/>
    <n v="802.4"/>
    <n v="2931608.52"/>
    <n v="352647.0588235294"/>
    <n v="40"/>
    <n v="767.4"/>
    <n v="28"/>
    <n v="0"/>
    <n v="0"/>
    <n v="2803734.27"/>
    <n v="102299.4"/>
    <n v="0"/>
    <n v="0"/>
    <n v="767.4"/>
    <n v="2803734.27"/>
    <n v="296223.5294117647"/>
    <n v="84"/>
    <n v="739.4"/>
    <n v="58.8"/>
    <n v="0"/>
    <n v="0"/>
    <n v="2701434.87"/>
    <n v="214828.74"/>
    <n v="0"/>
    <n v="739.4"/>
    <n v="2701434.87"/>
    <n v="839505.8823529412"/>
    <n v="24"/>
    <n v="680.6"/>
    <n v="16.8"/>
    <n v="0"/>
    <m/>
    <n v="2486606.13"/>
    <n v="64789.61999999998"/>
    <n v="0"/>
    <n v="680.6"/>
    <n v="2486606.13"/>
    <n v="239858.8235294117"/>
  </r>
  <r>
    <m/>
    <x v="8"/>
    <x v="12"/>
    <x v="28"/>
    <s v="MTBOHWRA450"/>
    <x v="673"/>
    <x v="509"/>
    <x v="0"/>
    <x v="2"/>
    <n v="0.7"/>
    <x v="404"/>
    <n v="349"/>
    <m/>
    <n v="0"/>
    <n v="4009.475"/>
    <n v="1399306.775"/>
    <n v="3.67"/>
    <n v="4009.47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0"/>
    <s v=""/>
    <n v="9"/>
    <s v=""/>
    <n v="0.08571428571428572"/>
    <n v="6"/>
    <s v=""/>
    <n v="0.5"/>
    <n v="27"/>
    <s v=""/>
    <n v="1.08"/>
    <n v="9"/>
    <s v=""/>
    <n v="0.45"/>
    <n v="0"/>
    <n v="0"/>
    <n v="0"/>
    <n v="0"/>
    <n v="0"/>
    <n v="0"/>
    <n v="400947.5"/>
    <n v="0"/>
    <n v="0"/>
    <n v="0"/>
    <n v="349"/>
    <n v="1399306.775"/>
    <n v="0"/>
    <n v="0"/>
    <n v="0"/>
    <n v="0"/>
    <n v="500"/>
    <n v="500"/>
    <n v="0"/>
    <n v="437032.775"/>
    <n v="0"/>
    <n v="0"/>
    <n v="0"/>
    <n v="349"/>
    <n v="1399306.775"/>
    <n v="0"/>
    <n v="101"/>
    <n v="449"/>
    <n v="100"/>
    <n v="0"/>
    <n v="0"/>
    <n v="468939.755"/>
    <n v="1800254.275"/>
    <n v="400947.5"/>
    <n v="0"/>
    <n v="349"/>
    <n v="1399306.775"/>
    <n v="1427731.092436975"/>
    <n v="105"/>
    <n v="400"/>
    <n v="9"/>
    <n v="0"/>
    <n v="0"/>
    <n v="1519380"/>
    <n v="36085.275"/>
    <n v="0"/>
    <n v="0"/>
    <n v="349"/>
    <n v="1399306.775"/>
    <n v="128495.7983193277"/>
    <n v="12"/>
    <n v="355"/>
    <n v="8.399999999999999"/>
    <m/>
    <n v="0"/>
    <n v="0"/>
    <n v="1423363.625"/>
    <n v="31906.97999999999"/>
    <n v="0"/>
    <n v="0"/>
    <n v="349"/>
    <n v="1399306.775"/>
    <n v="119929.4117647059"/>
    <n v="25"/>
    <n v="376"/>
    <n v="27"/>
    <m/>
    <n v="0"/>
    <n v="0"/>
    <n v="1507562.6"/>
    <n v="102558.15"/>
    <n v="0"/>
    <n v="0"/>
    <n v="376"/>
    <n v="1399306.775"/>
    <n v="385487.3949579832"/>
    <n v="20"/>
    <n v="358"/>
    <n v="14"/>
    <n v="0"/>
    <n v="0"/>
    <n v="0"/>
    <n v="1435392.05"/>
    <n v="53178.3"/>
    <n v="0"/>
    <n v="0"/>
    <n v="358"/>
    <n v="1399306.775"/>
    <n v="199882.3529411765"/>
    <n v="20"/>
    <n v="344"/>
    <n v="14"/>
    <n v="0"/>
    <n v="0"/>
    <n v="0"/>
    <n v="1379259.4"/>
    <n v="53178.3"/>
    <n v="0"/>
    <n v="0"/>
    <n v="344"/>
    <n v="1379259.4"/>
    <n v="199882.3529411765"/>
    <n v="28"/>
    <n v="330"/>
    <n v="19.6"/>
    <n v="0"/>
    <n v="0"/>
    <m/>
    <n v="1253488.5"/>
    <n v="74449.62"/>
    <n v="0"/>
    <n v="0"/>
    <n v="330"/>
    <n v="1253488.5"/>
    <n v="279835.294117647"/>
    <n v="50"/>
    <n v="310.4"/>
    <n v="35"/>
    <n v="0"/>
    <n v="0"/>
    <n v="0"/>
    <m/>
    <n v="1179038.88"/>
    <n v="132945.75"/>
    <n v="0"/>
    <n v="0"/>
    <n v="310.4"/>
    <n v="1179038.88"/>
    <n v="352647.0588235294"/>
    <n v="40"/>
    <n v="275.4"/>
    <n v="28"/>
    <n v="0"/>
    <n v="0"/>
    <n v="1046093.13"/>
    <n v="106356.6"/>
    <n v="0"/>
    <n v="0"/>
    <n v="275.4"/>
    <n v="1046093.13"/>
    <n v="296223.5294117647"/>
    <n v="84"/>
    <n v="247.4"/>
    <n v="58.8"/>
    <n v="0"/>
    <n v="0"/>
    <n v="939736.5299999999"/>
    <n v="223348.86"/>
    <n v="0"/>
    <n v="247.4"/>
    <n v="939736.5299999999"/>
    <n v="839505.8823529412"/>
    <n v="24"/>
    <n v="188.6"/>
    <n v="16.8"/>
    <n v="0"/>
    <m/>
    <n v="716387.6699999998"/>
    <n v="67359.17999999999"/>
    <n v="0"/>
    <n v="188.6"/>
    <n v="716387.6699999998"/>
    <n v="239858.8235294117"/>
  </r>
  <r>
    <m/>
    <x v="8"/>
    <x v="12"/>
    <x v="28"/>
    <s v="MTBOHWCL450"/>
    <x v="674"/>
    <x v="510"/>
    <x v="0"/>
    <x v="2"/>
    <n v="0.5"/>
    <x v="405"/>
    <n v="390"/>
    <m/>
    <n v="0"/>
    <n v="4009.475"/>
    <n v="1563695.25"/>
    <n v="3.67"/>
    <n v="4009.47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3"/>
    <s v=""/>
    <n v="5"/>
    <s v=""/>
    <n v="0.04761904761904762"/>
    <n v="1"/>
    <s v=""/>
    <n v="0.08333333333333333"/>
    <n v="9"/>
    <s v=""/>
    <n v="0.36"/>
    <n v="1"/>
    <s v=""/>
    <n v="0.05"/>
    <n v="0"/>
    <n v="0"/>
    <n v="0"/>
    <n v="0"/>
    <n v="0"/>
    <n v="0"/>
    <n v="372881.175"/>
    <n v="0"/>
    <n v="0"/>
    <n v="0"/>
    <n v="390"/>
    <n v="1563695.25"/>
    <n v="0"/>
    <n v="0"/>
    <n v="0"/>
    <n v="0"/>
    <n v="500"/>
    <n v="500"/>
    <n v="0"/>
    <n v="392928.55"/>
    <n v="0"/>
    <n v="0"/>
    <n v="0"/>
    <n v="390"/>
    <n v="1563695.25"/>
    <n v="0"/>
    <n v="101"/>
    <n v="483"/>
    <n v="93"/>
    <n v="0"/>
    <n v="0"/>
    <n v="415719.25"/>
    <n v="1936576.425"/>
    <n v="372881.175"/>
    <n v="0"/>
    <n v="390"/>
    <n v="1563695.25"/>
    <n v="1327789.915966387"/>
    <n v="105"/>
    <n v="408"/>
    <n v="5"/>
    <n v="0"/>
    <n v="0"/>
    <n v="1549767.6"/>
    <n v="20047.375"/>
    <n v="0"/>
    <n v="0"/>
    <n v="390"/>
    <n v="1563695.25"/>
    <n v="71386.55462184874"/>
    <n v="12"/>
    <n v="391"/>
    <n v="6"/>
    <m/>
    <n v="0"/>
    <n v="0"/>
    <n v="1567704.725"/>
    <n v="22790.7"/>
    <n v="0"/>
    <n v="0"/>
    <n v="390"/>
    <n v="1563695.25"/>
    <n v="85663.8655462185"/>
    <n v="25"/>
    <n v="399"/>
    <n v="9"/>
    <m/>
    <n v="0"/>
    <n v="0"/>
    <n v="1599780.525"/>
    <n v="34186.05"/>
    <n v="0"/>
    <n v="0"/>
    <n v="399"/>
    <n v="1563695.25"/>
    <n v="128495.7983193277"/>
    <n v="20"/>
    <n v="391"/>
    <n v="10"/>
    <n v="0"/>
    <n v="0"/>
    <n v="0"/>
    <n v="1567704.725"/>
    <n v="37984.5"/>
    <n v="0"/>
    <n v="0"/>
    <n v="391"/>
    <n v="1563695.25"/>
    <n v="142773.1092436975"/>
    <n v="20"/>
    <n v="381"/>
    <n v="10"/>
    <n v="0"/>
    <n v="0"/>
    <n v="0"/>
    <n v="1527609.975"/>
    <n v="37984.5"/>
    <n v="0"/>
    <n v="0"/>
    <n v="381"/>
    <n v="1527609.975"/>
    <n v="142773.1092436975"/>
    <n v="28"/>
    <n v="371"/>
    <n v="14"/>
    <n v="0"/>
    <n v="0"/>
    <m/>
    <n v="1409224.95"/>
    <n v="53178.3"/>
    <n v="0"/>
    <n v="0"/>
    <n v="371"/>
    <n v="1409224.95"/>
    <n v="199882.3529411765"/>
    <n v="50"/>
    <n v="357"/>
    <n v="25"/>
    <n v="0"/>
    <n v="0"/>
    <n v="0"/>
    <m/>
    <n v="1356046.65"/>
    <n v="94961.25"/>
    <n v="0"/>
    <n v="0"/>
    <n v="357"/>
    <n v="1356046.65"/>
    <n v="251890.756302521"/>
    <n v="40"/>
    <n v="332"/>
    <n v="20"/>
    <n v="0"/>
    <n v="0"/>
    <n v="1261085.4"/>
    <n v="75969"/>
    <n v="0"/>
    <n v="0"/>
    <n v="332"/>
    <n v="1261085.4"/>
    <n v="211588.2352941177"/>
    <n v="84"/>
    <n v="312"/>
    <n v="42"/>
    <n v="0"/>
    <n v="0"/>
    <n v="1185116.4"/>
    <n v="159534.9"/>
    <n v="0"/>
    <n v="312"/>
    <n v="1185116.4"/>
    <n v="599647.0588235295"/>
    <n v="24"/>
    <n v="270"/>
    <n v="12"/>
    <n v="0"/>
    <m/>
    <n v="1025581.5"/>
    <n v="48113.7"/>
    <n v="0"/>
    <n v="270"/>
    <n v="1025581.5"/>
    <n v="171327.731092437"/>
  </r>
  <r>
    <m/>
    <x v="8"/>
    <x v="12"/>
    <x v="28"/>
    <s v="MTBOHWTR450"/>
    <x v="675"/>
    <x v="511"/>
    <x v="0"/>
    <x v="2"/>
    <n v="0.6"/>
    <x v="406"/>
    <n v="367"/>
    <m/>
    <n v="0"/>
    <n v="4009.475"/>
    <n v="1471477.325"/>
    <n v="3.67"/>
    <n v="4009.47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5"/>
    <s v=""/>
    <n v="6"/>
    <s v=""/>
    <n v="0.05714285714285714"/>
    <n v="6"/>
    <s v=""/>
    <n v="0.5"/>
    <n v="18"/>
    <s v=""/>
    <n v="0.72"/>
    <n v="11"/>
    <s v=""/>
    <n v="0.55"/>
    <n v="0"/>
    <n v="0"/>
    <n v="0"/>
    <n v="0"/>
    <n v="0"/>
    <n v="0"/>
    <n v="380900.125"/>
    <n v="0"/>
    <n v="0"/>
    <n v="0"/>
    <n v="367"/>
    <n v="1471477.325"/>
    <n v="0"/>
    <n v="0"/>
    <n v="0"/>
    <n v="0"/>
    <n v="500"/>
    <n v="500"/>
    <n v="0"/>
    <n v="404956.975"/>
    <n v="0"/>
    <n v="0"/>
    <n v="0"/>
    <n v="367"/>
    <n v="1471477.325"/>
    <n v="0"/>
    <n v="101"/>
    <n v="462"/>
    <n v="95"/>
    <n v="0"/>
    <n v="0"/>
    <n v="432305.8149999999"/>
    <n v="1852377.45"/>
    <n v="380900.125"/>
    <n v="0"/>
    <n v="367"/>
    <n v="1471477.325"/>
    <n v="1356344.537815126"/>
    <n v="105"/>
    <n v="406"/>
    <n v="6"/>
    <n v="0"/>
    <n v="0"/>
    <n v="1542170.7"/>
    <n v="24056.85"/>
    <n v="0"/>
    <n v="0"/>
    <n v="367"/>
    <n v="1471477.325"/>
    <n v="85663.8655462185"/>
    <n v="12"/>
    <n v="373"/>
    <n v="7.199999999999999"/>
    <m/>
    <n v="0"/>
    <n v="0"/>
    <n v="1495534.175"/>
    <n v="27348.84"/>
    <n v="0"/>
    <n v="0"/>
    <n v="367"/>
    <n v="1471477.325"/>
    <n v="102796.6386554622"/>
    <n v="25"/>
    <n v="385"/>
    <n v="18"/>
    <m/>
    <n v="0"/>
    <n v="0"/>
    <n v="1543647.875"/>
    <n v="68372.09999999999"/>
    <n v="0"/>
    <n v="0"/>
    <n v="385"/>
    <n v="1471477.325"/>
    <n v="256991.5966386555"/>
    <n v="20"/>
    <n v="378"/>
    <n v="12"/>
    <n v="0"/>
    <n v="0"/>
    <n v="0"/>
    <n v="1515581.55"/>
    <n v="45581.39999999999"/>
    <n v="0"/>
    <n v="0"/>
    <n v="378"/>
    <n v="1471477.325"/>
    <n v="171327.731092437"/>
    <n v="20"/>
    <n v="366"/>
    <n v="12"/>
    <n v="0"/>
    <n v="0"/>
    <n v="0"/>
    <n v="1467467.85"/>
    <n v="45581.39999999999"/>
    <n v="0"/>
    <n v="0"/>
    <n v="366"/>
    <n v="1467467.85"/>
    <n v="171327.731092437"/>
    <n v="28"/>
    <n v="354"/>
    <n v="16.8"/>
    <n v="0"/>
    <n v="0"/>
    <m/>
    <n v="1344651.3"/>
    <n v="63813.96"/>
    <n v="0"/>
    <n v="0"/>
    <n v="354"/>
    <n v="1344651.3"/>
    <n v="239858.8235294118"/>
    <n v="50"/>
    <n v="337.2"/>
    <n v="30"/>
    <n v="0"/>
    <n v="0"/>
    <n v="0"/>
    <m/>
    <n v="1280837.34"/>
    <n v="113953.5"/>
    <n v="0"/>
    <n v="0"/>
    <n v="337.2"/>
    <n v="1280837.34"/>
    <n v="302268.9075630252"/>
    <n v="40"/>
    <n v="307.2"/>
    <n v="24"/>
    <n v="0"/>
    <n v="0"/>
    <n v="1166883.84"/>
    <n v="91162.79999999999"/>
    <n v="0"/>
    <n v="0"/>
    <n v="307.2"/>
    <n v="1166883.84"/>
    <n v="253905.8823529412"/>
    <n v="84"/>
    <n v="283.2"/>
    <n v="50.4"/>
    <n v="0"/>
    <n v="0"/>
    <n v="1075721.04"/>
    <n v="191441.88"/>
    <n v="0"/>
    <n v="283.2"/>
    <n v="1075721.04"/>
    <n v="719576.4705882353"/>
    <n v="24"/>
    <n v="232.8"/>
    <n v="14.4"/>
    <n v="0"/>
    <m/>
    <n v="884279.1599999999"/>
    <n v="57736.44"/>
    <n v="0"/>
    <n v="232.8"/>
    <n v="884279.1599999999"/>
    <n v="205593.2773109244"/>
  </r>
  <r>
    <m/>
    <x v="8"/>
    <x v="12"/>
    <x v="28"/>
    <s v="MTVTUMBPR590"/>
    <x v="676"/>
    <x v="512"/>
    <x v="0"/>
    <x v="2"/>
    <n v="1"/>
    <x v="407"/>
    <n v="153"/>
    <m/>
    <n v="0"/>
    <n v="5014.575"/>
    <n v="767229.975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530"/>
    <s v=""/>
    <n v="81"/>
    <s v=""/>
    <n v="0.8100000000000001"/>
    <n v="69"/>
    <s v=""/>
    <n v="0.9857142857142858"/>
    <n v="100"/>
    <s v=""/>
    <n v="1.25"/>
    <n v="68"/>
    <s v=""/>
    <n v="0.5666666666666667"/>
    <n v="0"/>
    <n v="0"/>
    <n v="0"/>
    <n v="0"/>
    <n v="0"/>
    <n v="0"/>
    <n v="2657724.75"/>
    <n v="0"/>
    <n v="0"/>
    <n v="0"/>
    <n v="153"/>
    <n v="767229.975"/>
    <n v="0"/>
    <n v="0"/>
    <n v="0"/>
    <n v="0"/>
    <n v="1000"/>
    <n v="1000"/>
    <n v="0"/>
    <n v="3063905.325"/>
    <n v="0"/>
    <n v="0"/>
    <n v="0"/>
    <n v="153"/>
    <n v="767229.975"/>
    <n v="0"/>
    <n v="620"/>
    <n v="683"/>
    <n v="530"/>
    <n v="0"/>
    <n v="0"/>
    <n v="3396450.825"/>
    <n v="3424954.725"/>
    <n v="2657724.75"/>
    <n v="0"/>
    <n v="153"/>
    <n v="767229.975"/>
    <n v="9793865.546218488"/>
    <n v="100"/>
    <n v="453"/>
    <n v="81"/>
    <n v="0"/>
    <n v="0"/>
    <n v="2152044.45"/>
    <n v="406180.575"/>
    <n v="0"/>
    <n v="0"/>
    <n v="153"/>
    <n v="767229.975"/>
    <n v="1496798.319327731"/>
    <n v="70"/>
    <n v="222"/>
    <n v="70"/>
    <m/>
    <n v="0"/>
    <n v="0"/>
    <n v="1113235.65"/>
    <n v="332545.5"/>
    <n v="0"/>
    <n v="0"/>
    <n v="153"/>
    <n v="767229.975"/>
    <n v="1293529.411764706"/>
    <n v="80"/>
    <n v="253"/>
    <n v="100"/>
    <m/>
    <n v="0"/>
    <n v="0"/>
    <n v="1268687.475"/>
    <n v="475064.9999999999"/>
    <n v="0"/>
    <n v="0"/>
    <n v="253"/>
    <n v="767229.975"/>
    <n v="1847899.159663866"/>
    <n v="120"/>
    <n v="221"/>
    <n v="120"/>
    <n v="0"/>
    <n v="0"/>
    <n v="0"/>
    <n v="1108221.075"/>
    <n v="570078"/>
    <n v="0"/>
    <n v="0"/>
    <n v="221"/>
    <n v="767229.975"/>
    <n v="2217478.991596639"/>
    <n v="50"/>
    <n v="101"/>
    <n v="50"/>
    <n v="0"/>
    <n v="0"/>
    <n v="0"/>
    <n v="506472.075"/>
    <n v="237532.5"/>
    <n v="0"/>
    <n v="0"/>
    <n v="101"/>
    <n v="506472.075"/>
    <n v="923949.5798319329"/>
    <n v="60"/>
    <n v="51"/>
    <n v="60"/>
    <n v="0"/>
    <n v="0"/>
    <n v="0"/>
    <n v="242283.15"/>
    <n v="285039"/>
    <n v="0"/>
    <n v="0"/>
    <n v="51"/>
    <n v="242283.15"/>
    <n v="1108739.49579832"/>
    <n v="150"/>
    <n v="0"/>
    <n v="0"/>
    <n v="0"/>
    <n v="0"/>
    <n v="0"/>
    <m/>
    <n v="0"/>
    <n v="0"/>
    <n v="0"/>
    <n v="0"/>
    <n v="0"/>
    <n v="0"/>
    <n v="0"/>
    <n v="80"/>
    <n v="0"/>
    <n v="80"/>
    <n v="0"/>
    <n v="0"/>
    <n v="0"/>
    <n v="380052"/>
    <n v="0"/>
    <n v="0"/>
    <n v="0"/>
    <n v="0"/>
    <n v="1199294.117647059"/>
    <n v="200"/>
    <n v="0"/>
    <n v="200"/>
    <n v="0"/>
    <n v="0"/>
    <n v="0"/>
    <n v="950129.9999999999"/>
    <n v="0"/>
    <n v="0"/>
    <n v="0"/>
    <n v="3695798.319327732"/>
    <n v="48"/>
    <n v="0"/>
    <n v="48"/>
    <n v="0"/>
    <m/>
    <n v="0"/>
    <n v="240699.6"/>
    <n v="0"/>
    <n v="0"/>
    <n v="0"/>
    <n v="886991.5966386555"/>
  </r>
  <r>
    <m/>
    <x v="8"/>
    <x v="12"/>
    <x v="28"/>
    <s v="MTVTUMBLO590"/>
    <x v="677"/>
    <x v="513"/>
    <x v="0"/>
    <x v="2"/>
    <n v="0.6"/>
    <x v="408"/>
    <n v="461"/>
    <m/>
    <n v="0"/>
    <n v="5014.575"/>
    <n v="2311719.075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71"/>
    <s v=""/>
    <n v="14"/>
    <s v=""/>
    <n v="0.14"/>
    <n v="27"/>
    <s v=""/>
    <n v="1.35"/>
    <n v="25"/>
    <s v=""/>
    <n v="0.5555555555555556"/>
    <n v="26"/>
    <s v=""/>
    <n v="1.04"/>
    <n v="0"/>
    <n v="0"/>
    <n v="0"/>
    <n v="0"/>
    <n v="0"/>
    <n v="0"/>
    <n v="2361864.825"/>
    <n v="0"/>
    <n v="0"/>
    <n v="0"/>
    <n v="461"/>
    <n v="2311719.075"/>
    <n v="0"/>
    <n v="0"/>
    <n v="0"/>
    <n v="0"/>
    <n v="1000"/>
    <n v="1000"/>
    <n v="0"/>
    <n v="2432068.875"/>
    <n v="0"/>
    <n v="0"/>
    <n v="0"/>
    <n v="461"/>
    <n v="2311719.075"/>
    <n v="0"/>
    <n v="620"/>
    <n v="932"/>
    <n v="471"/>
    <n v="0"/>
    <n v="0"/>
    <n v="2489076.674999999"/>
    <n v="4673583.899999999"/>
    <n v="2361864.825"/>
    <n v="0"/>
    <n v="461"/>
    <n v="2311719.075"/>
    <n v="8703605.042016808"/>
    <n v="100"/>
    <n v="530"/>
    <n v="14"/>
    <n v="0"/>
    <n v="0"/>
    <n v="2517844.5"/>
    <n v="70204.05"/>
    <n v="0"/>
    <n v="0"/>
    <n v="461"/>
    <n v="2311719.075"/>
    <n v="258705.8823529412"/>
    <n v="20"/>
    <n v="488"/>
    <n v="12"/>
    <m/>
    <n v="0"/>
    <n v="0"/>
    <n v="2447112.6"/>
    <n v="57007.8"/>
    <n v="0"/>
    <n v="0"/>
    <n v="461"/>
    <n v="2311719.075"/>
    <n v="221747.8991596639"/>
    <n v="45"/>
    <n v="486"/>
    <n v="25"/>
    <m/>
    <n v="0"/>
    <n v="0"/>
    <n v="2437083.45"/>
    <n v="118766.25"/>
    <n v="0"/>
    <n v="0"/>
    <n v="486"/>
    <n v="2311719.075"/>
    <n v="461974.7899159665"/>
    <n v="25"/>
    <n v="487"/>
    <n v="15"/>
    <n v="0"/>
    <n v="0"/>
    <n v="0"/>
    <n v="2442098.025"/>
    <n v="71259.75"/>
    <n v="0"/>
    <n v="0"/>
    <n v="487"/>
    <n v="2311719.075"/>
    <n v="277184.8739495799"/>
    <n v="25"/>
    <n v="472"/>
    <n v="15"/>
    <n v="0"/>
    <n v="0"/>
    <n v="0"/>
    <n v="2366879.4"/>
    <n v="71259.75"/>
    <n v="0"/>
    <n v="0"/>
    <n v="472"/>
    <n v="2366879.4"/>
    <n v="277184.8739495799"/>
    <n v="26.6666666666667"/>
    <n v="457"/>
    <n v="16.00000000000002"/>
    <n v="0"/>
    <n v="0"/>
    <m/>
    <n v="2171047.05"/>
    <n v="76010.40000000008"/>
    <n v="0"/>
    <n v="0"/>
    <n v="457"/>
    <n v="2171047.05"/>
    <n v="295663.8655462189"/>
    <n v="50"/>
    <n v="441"/>
    <n v="30"/>
    <n v="0"/>
    <n v="0"/>
    <n v="0"/>
    <m/>
    <n v="2095036.65"/>
    <n v="142519.5"/>
    <n v="0"/>
    <n v="0"/>
    <n v="441"/>
    <n v="2095036.65"/>
    <n v="428319.3277310925"/>
    <n v="60"/>
    <n v="411"/>
    <n v="36"/>
    <n v="0"/>
    <n v="0"/>
    <n v="1952517.15"/>
    <n v="171023.4"/>
    <n v="0"/>
    <n v="0"/>
    <n v="411"/>
    <n v="1952517.15"/>
    <n v="539682.3529411765"/>
    <n v="80"/>
    <n v="375"/>
    <n v="48"/>
    <n v="0"/>
    <n v="0"/>
    <n v="1781493.75"/>
    <n v="228031.2"/>
    <n v="0"/>
    <n v="375"/>
    <n v="1781493.75"/>
    <n v="886991.5966386555"/>
    <n v="36"/>
    <n v="327"/>
    <n v="21.6"/>
    <n v="0"/>
    <m/>
    <n v="1553462.55"/>
    <n v="108314.82"/>
    <n v="0"/>
    <n v="327"/>
    <n v="1553462.55"/>
    <n v="399146.218487395"/>
  </r>
  <r>
    <m/>
    <x v="8"/>
    <x v="12"/>
    <x v="28"/>
    <s v="MTVTUMBDR590"/>
    <x v="678"/>
    <x v="514"/>
    <x v="0"/>
    <x v="2"/>
    <n v="0.5"/>
    <x v="409"/>
    <n v="444"/>
    <m/>
    <n v="0"/>
    <n v="5014.575"/>
    <n v="2226471.3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84"/>
    <s v=""/>
    <n v="12"/>
    <s v=""/>
    <n v="0.12"/>
    <n v="19"/>
    <s v=""/>
    <n v="0.95"/>
    <n v="21"/>
    <s v=""/>
    <n v="0.42"/>
    <n v="29"/>
    <s v=""/>
    <n v="1.16"/>
    <n v="0"/>
    <n v="0"/>
    <n v="0"/>
    <n v="0"/>
    <n v="0"/>
    <n v="0"/>
    <n v="2427054.3"/>
    <n v="0"/>
    <n v="0"/>
    <n v="0"/>
    <n v="444"/>
    <n v="2226471.3"/>
    <n v="0"/>
    <n v="0"/>
    <n v="0"/>
    <n v="0"/>
    <n v="1000"/>
    <n v="1000"/>
    <n v="0"/>
    <n v="2487229.2"/>
    <n v="0"/>
    <n v="0"/>
    <n v="0"/>
    <n v="444"/>
    <n v="2226471.3"/>
    <n v="0"/>
    <n v="620"/>
    <n v="928"/>
    <n v="484"/>
    <n v="0"/>
    <n v="0"/>
    <n v="2534735.7"/>
    <n v="4653525.6"/>
    <n v="2427054.3"/>
    <n v="0"/>
    <n v="444"/>
    <n v="2226471.3"/>
    <n v="8943831.93277311"/>
    <n v="100"/>
    <n v="516"/>
    <n v="12"/>
    <n v="0"/>
    <n v="0"/>
    <n v="2451335.4"/>
    <n v="60174.89999999999"/>
    <n v="0"/>
    <n v="0"/>
    <n v="444"/>
    <n v="2226471.3"/>
    <n v="221747.8991596639"/>
    <n v="20"/>
    <n v="463"/>
    <n v="10"/>
    <m/>
    <n v="0"/>
    <n v="0"/>
    <n v="2321748.225"/>
    <n v="47506.5"/>
    <n v="0"/>
    <n v="0"/>
    <n v="444"/>
    <n v="2226471.3"/>
    <n v="184789.9159663866"/>
    <n v="50"/>
    <n v="465"/>
    <n v="21"/>
    <m/>
    <n v="0"/>
    <n v="0"/>
    <n v="2331777.375"/>
    <n v="99763.64999999999"/>
    <n v="0"/>
    <n v="0"/>
    <n v="465"/>
    <n v="2226471.3"/>
    <n v="388058.8235294118"/>
    <n v="25"/>
    <n v="473"/>
    <n v="12.5"/>
    <n v="0"/>
    <n v="0"/>
    <n v="0"/>
    <n v="2371893.975"/>
    <n v="59383.12499999999"/>
    <n v="0"/>
    <n v="0"/>
    <n v="473"/>
    <n v="2226471.3"/>
    <n v="230987.3949579832"/>
    <n v="25"/>
    <n v="460.5"/>
    <n v="12.5"/>
    <n v="0"/>
    <n v="0"/>
    <n v="0"/>
    <n v="2309211.7875"/>
    <n v="59383.12499999999"/>
    <n v="0"/>
    <n v="0"/>
    <n v="460.5"/>
    <n v="2309211.7875"/>
    <n v="230987.3949579832"/>
    <n v="26.6666666666667"/>
    <n v="448"/>
    <n v="13.33333333333335"/>
    <n v="0"/>
    <n v="0"/>
    <m/>
    <n v="2128291.2"/>
    <n v="63342.00000000007"/>
    <n v="0"/>
    <n v="0"/>
    <n v="448"/>
    <n v="2128291.2"/>
    <n v="246386.5546218491"/>
    <n v="50"/>
    <n v="434.6666666666666"/>
    <n v="25"/>
    <n v="0"/>
    <n v="0"/>
    <n v="0"/>
    <m/>
    <n v="2064949.2"/>
    <n v="118766.25"/>
    <n v="0"/>
    <n v="0"/>
    <n v="434.6666666666666"/>
    <n v="2064949.2"/>
    <n v="356932.7731092437"/>
    <n v="60"/>
    <n v="409.6666666666666"/>
    <n v="30"/>
    <n v="0"/>
    <n v="0"/>
    <n v="1946182.95"/>
    <n v="142519.5"/>
    <n v="0"/>
    <n v="0"/>
    <n v="409.6666666666666"/>
    <n v="1946182.95"/>
    <n v="449735.2941176471"/>
    <n v="80"/>
    <n v="379.6666666666666"/>
    <n v="40"/>
    <n v="0"/>
    <n v="0"/>
    <n v="1803663.45"/>
    <n v="190026"/>
    <n v="0"/>
    <n v="379.6666666666666"/>
    <n v="1803663.45"/>
    <n v="739159.6638655463"/>
    <n v="36"/>
    <n v="339.6666666666666"/>
    <n v="18"/>
    <n v="0"/>
    <m/>
    <n v="1613637.45"/>
    <n v="90262.34999999999"/>
    <n v="0"/>
    <n v="339.6666666666666"/>
    <n v="1613637.45"/>
    <n v="332621.8487394959"/>
  </r>
  <r>
    <m/>
    <x v="8"/>
    <x v="12"/>
    <x v="28"/>
    <s v="MTVTUMBVI590"/>
    <x v="679"/>
    <x v="515"/>
    <x v="0"/>
    <x v="2"/>
    <n v="0.6"/>
    <x v="410"/>
    <n v="500"/>
    <m/>
    <n v="0"/>
    <n v="5014.575"/>
    <n v="2507287.5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61"/>
    <s v=""/>
    <n v="10"/>
    <s v=""/>
    <n v="0.1"/>
    <n v="7"/>
    <s v=""/>
    <n v="0.5833333333333334"/>
    <n v="17"/>
    <s v=""/>
    <n v="0.68"/>
    <n v="16"/>
    <s v=""/>
    <n v="0.8"/>
    <n v="0"/>
    <n v="0"/>
    <n v="0"/>
    <n v="0"/>
    <n v="0"/>
    <n v="0"/>
    <n v="2311719.075"/>
    <n v="0"/>
    <n v="0"/>
    <n v="0"/>
    <n v="500"/>
    <n v="2507287.5"/>
    <n v="0"/>
    <n v="0"/>
    <n v="0"/>
    <n v="0"/>
    <n v="1000"/>
    <n v="1000"/>
    <n v="0"/>
    <n v="2361864.825"/>
    <n v="0"/>
    <n v="0"/>
    <n v="0"/>
    <n v="500"/>
    <n v="2507287.5"/>
    <n v="0"/>
    <n v="620"/>
    <n v="961"/>
    <n v="461"/>
    <n v="0"/>
    <n v="0"/>
    <n v="2396069.505"/>
    <n v="4819006.575"/>
    <n v="2311719.075"/>
    <n v="0"/>
    <n v="500"/>
    <n v="2507287.5"/>
    <n v="8518815.126050422"/>
    <n v="100"/>
    <n v="530"/>
    <n v="10"/>
    <n v="0"/>
    <n v="0"/>
    <n v="2517844.5"/>
    <n v="50145.75"/>
    <n v="0"/>
    <n v="0"/>
    <n v="500"/>
    <n v="2507287.5"/>
    <n v="184789.9159663866"/>
    <n v="12"/>
    <n v="507"/>
    <n v="7.199999999999999"/>
    <m/>
    <n v="0"/>
    <n v="0"/>
    <n v="2542389.525"/>
    <n v="34204.67999999999"/>
    <n v="0"/>
    <n v="0"/>
    <n v="500"/>
    <n v="2507287.5"/>
    <n v="133048.7394957983"/>
    <n v="25"/>
    <n v="517"/>
    <n v="17"/>
    <m/>
    <n v="0"/>
    <n v="0"/>
    <n v="2592535.275"/>
    <n v="80761.04999999999"/>
    <n v="0"/>
    <n v="0"/>
    <n v="517"/>
    <n v="2507287.5"/>
    <n v="314142.8571428572"/>
    <n v="20"/>
    <n v="516"/>
    <n v="12"/>
    <n v="0"/>
    <n v="0"/>
    <n v="0"/>
    <n v="2587520.7"/>
    <n v="57007.8"/>
    <n v="0"/>
    <n v="0"/>
    <n v="516"/>
    <n v="2507287.5"/>
    <n v="221747.8991596639"/>
    <n v="20"/>
    <n v="504"/>
    <n v="12"/>
    <n v="0"/>
    <n v="0"/>
    <n v="0"/>
    <n v="2527345.8"/>
    <n v="57007.8"/>
    <n v="0"/>
    <n v="0"/>
    <n v="504"/>
    <n v="2527345.8"/>
    <n v="221747.8991596639"/>
    <n v="28"/>
    <n v="492"/>
    <n v="16.8"/>
    <n v="0"/>
    <n v="0"/>
    <m/>
    <n v="2337319.8"/>
    <n v="79810.92"/>
    <n v="0"/>
    <n v="0"/>
    <n v="492"/>
    <n v="2337319.8"/>
    <n v="310447.0588235295"/>
    <n v="50"/>
    <n v="475.2"/>
    <n v="30"/>
    <n v="0"/>
    <n v="0"/>
    <n v="0"/>
    <m/>
    <n v="2257508.88"/>
    <n v="142519.5"/>
    <n v="0"/>
    <n v="0"/>
    <n v="475.2"/>
    <n v="2257508.88"/>
    <n v="428319.3277310925"/>
    <n v="40"/>
    <n v="445.2"/>
    <n v="24"/>
    <n v="0"/>
    <n v="0"/>
    <n v="2114989.38"/>
    <n v="114015.6"/>
    <n v="0"/>
    <n v="0"/>
    <n v="445.2"/>
    <n v="2114989.38"/>
    <n v="359788.2352941177"/>
    <n v="80"/>
    <n v="421.2"/>
    <n v="48"/>
    <n v="0"/>
    <n v="0"/>
    <n v="2000973.78"/>
    <n v="228031.2"/>
    <n v="0"/>
    <n v="421.2"/>
    <n v="2000973.78"/>
    <n v="886991.5966386555"/>
    <n v="24"/>
    <n v="373.2"/>
    <n v="14.4"/>
    <n v="0"/>
    <m/>
    <n v="1772942.58"/>
    <n v="72209.87999999999"/>
    <n v="0"/>
    <n v="373.2"/>
    <n v="1772942.58"/>
    <n v="266097.4789915967"/>
  </r>
  <r>
    <m/>
    <x v="8"/>
    <x v="12"/>
    <x v="28"/>
    <s v="MTBOBSHI590"/>
    <x v="680"/>
    <x v="516"/>
    <x v="0"/>
    <x v="2"/>
    <n v="0.5"/>
    <x v="411"/>
    <n v="756"/>
    <m/>
    <n v="0"/>
    <n v="4577.575"/>
    <n v="3460646.7"/>
    <n v="4.19"/>
    <n v="4577.5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878"/>
    <s v=""/>
    <n v="1"/>
    <s v=""/>
    <n v="0.01052631578947368"/>
    <n v="3"/>
    <s v=""/>
    <n v="0.25"/>
    <n v="5"/>
    <s v=""/>
    <n v="0.2"/>
    <n v="2"/>
    <s v=""/>
    <n v="0.1"/>
    <n v="0"/>
    <n v="0"/>
    <n v="0"/>
    <n v="0"/>
    <n v="0"/>
    <n v="0"/>
    <n v="4019110.85"/>
    <n v="0"/>
    <n v="0"/>
    <n v="0"/>
    <n v="756"/>
    <n v="3460646.7"/>
    <n v="0"/>
    <n v="0"/>
    <n v="0"/>
    <n v="0"/>
    <n v="1580"/>
    <n v="1580"/>
    <n v="0"/>
    <n v="4023688.425"/>
    <n v="0"/>
    <n v="0"/>
    <n v="0"/>
    <n v="756"/>
    <n v="3460646.7"/>
    <n v="0"/>
    <n v="1219"/>
    <n v="1634"/>
    <n v="878"/>
    <n v="0"/>
    <n v="0"/>
    <n v="4049708.325"/>
    <n v="7479757.55"/>
    <n v="4019110.85"/>
    <n v="0"/>
    <n v="756"/>
    <n v="3460646.7"/>
    <n v="14748924.3697479"/>
    <n v="95"/>
    <n v="702"/>
    <n v="1"/>
    <n v="0"/>
    <n v="0"/>
    <n v="3044328.3"/>
    <n v="4577.575"/>
    <n v="0"/>
    <n v="0"/>
    <n v="756"/>
    <n v="3460646.7"/>
    <n v="16798.31932773109"/>
    <n v="12"/>
    <n v="759"/>
    <n v="6"/>
    <m/>
    <n v="0"/>
    <n v="0"/>
    <n v="3474379.425"/>
    <n v="26019.9"/>
    <n v="0"/>
    <n v="0"/>
    <n v="756"/>
    <n v="3460646.7"/>
    <n v="100789.9159663866"/>
    <n v="25"/>
    <n v="761"/>
    <n v="5"/>
    <m/>
    <n v="0"/>
    <n v="0"/>
    <n v="3483534.575"/>
    <n v="21683.25"/>
    <n v="0"/>
    <n v="0"/>
    <n v="761"/>
    <n v="3460646.7"/>
    <n v="83991.59663865546"/>
    <n v="20"/>
    <n v="758"/>
    <n v="10"/>
    <n v="0"/>
    <n v="0"/>
    <n v="0"/>
    <n v="3469801.85"/>
    <n v="43366.50000000001"/>
    <n v="0"/>
    <n v="0"/>
    <n v="758"/>
    <n v="3460646.7"/>
    <n v="167983.1932773109"/>
    <n v="20"/>
    <n v="748"/>
    <n v="10"/>
    <n v="0"/>
    <n v="0"/>
    <n v="0"/>
    <n v="3424026.1"/>
    <n v="43366.50000000001"/>
    <n v="0"/>
    <n v="0"/>
    <n v="748"/>
    <n v="3424026.1"/>
    <n v="167983.1932773109"/>
    <n v="28"/>
    <n v="738"/>
    <n v="14"/>
    <n v="0"/>
    <n v="0"/>
    <m/>
    <n v="3200447.7"/>
    <n v="60713.10000000001"/>
    <n v="0"/>
    <n v="0"/>
    <n v="738"/>
    <n v="3200447.7"/>
    <n v="235176.4705882353"/>
    <n v="50"/>
    <n v="724"/>
    <n v="25"/>
    <n v="0"/>
    <n v="0"/>
    <n v="0"/>
    <m/>
    <n v="3139734.600000001"/>
    <n v="108416.25"/>
    <n v="0"/>
    <n v="0"/>
    <n v="724"/>
    <n v="3139734.600000001"/>
    <n v="314915.9663865546"/>
    <n v="40"/>
    <n v="699"/>
    <n v="20"/>
    <n v="0"/>
    <n v="0"/>
    <n v="3031318.350000001"/>
    <n v="86733.00000000001"/>
    <n v="0"/>
    <n v="0"/>
    <n v="699"/>
    <n v="3031318.350000001"/>
    <n v="264529.4117647059"/>
    <n v="76"/>
    <n v="679"/>
    <n v="38"/>
    <n v="0"/>
    <n v="0"/>
    <n v="2944585.350000001"/>
    <n v="164792.7"/>
    <n v="0"/>
    <n v="679"/>
    <n v="2944585.350000001"/>
    <n v="638336.1344537815"/>
    <n v="24"/>
    <n v="641"/>
    <n v="12"/>
    <n v="0"/>
    <m/>
    <n v="2779792.65"/>
    <n v="54930.89999999999"/>
    <n v="0"/>
    <n v="641"/>
    <n v="2779792.65"/>
    <n v="201579.8319327731"/>
  </r>
  <r>
    <m/>
    <x v="8"/>
    <x v="12"/>
    <x v="28"/>
    <s v="MTBOBINS590"/>
    <x v="681"/>
    <x v="517"/>
    <x v="0"/>
    <x v="2"/>
    <n v="0.6"/>
    <x v="412"/>
    <n v="687"/>
    <m/>
    <n v="0"/>
    <n v="4577.575"/>
    <n v="3144794.025"/>
    <n v="4.19"/>
    <n v="4577.5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892"/>
    <s v=""/>
    <n v="8"/>
    <s v=""/>
    <n v="0.08421052631578947"/>
    <n v="13"/>
    <s v=""/>
    <n v="0.65"/>
    <n v="22"/>
    <s v=""/>
    <n v="0.4888888888888889"/>
    <n v="16"/>
    <s v=""/>
    <n v="0.64"/>
    <n v="0"/>
    <n v="0"/>
    <n v="0"/>
    <n v="0"/>
    <n v="0"/>
    <n v="0"/>
    <n v="4083196.9"/>
    <n v="0"/>
    <n v="0"/>
    <n v="0"/>
    <n v="687"/>
    <n v="3144794.025"/>
    <n v="0"/>
    <n v="0"/>
    <n v="0"/>
    <n v="0"/>
    <n v="1580"/>
    <n v="1580"/>
    <n v="0"/>
    <n v="4119817.5"/>
    <n v="0"/>
    <n v="0"/>
    <n v="0"/>
    <n v="687"/>
    <n v="3144794.025"/>
    <n v="0"/>
    <n v="1219"/>
    <n v="1579"/>
    <n v="892"/>
    <n v="0"/>
    <n v="0"/>
    <n v="4171857.3"/>
    <n v="7227990.925"/>
    <n v="4083196.9"/>
    <n v="0"/>
    <n v="687"/>
    <n v="3144794.025"/>
    <n v="14984100.84033613"/>
    <n v="95"/>
    <n v="687"/>
    <n v="8"/>
    <n v="0"/>
    <n v="0"/>
    <n v="2979278.55"/>
    <n v="36620.6"/>
    <n v="0"/>
    <n v="0"/>
    <n v="687"/>
    <n v="3144794.025"/>
    <n v="134386.5546218487"/>
    <n v="20"/>
    <n v="700"/>
    <n v="12"/>
    <m/>
    <n v="0"/>
    <n v="0"/>
    <n v="3204302.5"/>
    <n v="52039.8"/>
    <n v="0"/>
    <n v="0"/>
    <n v="687"/>
    <n v="3144794.025"/>
    <n v="201579.8319327731"/>
    <n v="45"/>
    <n v="709"/>
    <n v="22"/>
    <m/>
    <n v="0"/>
    <n v="0"/>
    <n v="3245500.675"/>
    <n v="95406.30000000002"/>
    <n v="0"/>
    <n v="0"/>
    <n v="709"/>
    <n v="3144794.025"/>
    <n v="369563.025210084"/>
    <n v="25"/>
    <n v="703"/>
    <n v="15"/>
    <n v="0"/>
    <n v="0"/>
    <n v="0"/>
    <n v="3218035.225"/>
    <n v="65049.75000000001"/>
    <n v="0"/>
    <n v="0"/>
    <n v="703"/>
    <n v="3144794.025"/>
    <n v="251974.7899159664"/>
    <n v="25"/>
    <n v="688"/>
    <n v="15"/>
    <n v="0"/>
    <n v="0"/>
    <n v="0"/>
    <n v="3149371.6"/>
    <n v="65049.75000000001"/>
    <n v="0"/>
    <n v="0"/>
    <n v="688"/>
    <n v="3149371.6"/>
    <n v="251974.7899159664"/>
    <n v="26.6666666666667"/>
    <n v="673"/>
    <n v="16.00000000000002"/>
    <n v="0"/>
    <n v="0"/>
    <m/>
    <n v="2918565.45"/>
    <n v="69386.40000000008"/>
    <n v="0"/>
    <n v="0"/>
    <n v="673"/>
    <n v="2918565.45"/>
    <n v="268773.1092436978"/>
    <n v="50"/>
    <n v="657"/>
    <n v="30"/>
    <n v="0"/>
    <n v="0"/>
    <n v="0"/>
    <m/>
    <n v="2849179.05"/>
    <n v="130099.5"/>
    <n v="0"/>
    <n v="0"/>
    <n v="657"/>
    <n v="2849179.05"/>
    <n v="377899.1596638656"/>
    <n v="60"/>
    <n v="627"/>
    <n v="36"/>
    <n v="0"/>
    <n v="0"/>
    <n v="2719079.55"/>
    <n v="156119.4"/>
    <n v="0"/>
    <n v="0"/>
    <n v="627"/>
    <n v="2719079.55"/>
    <n v="476152.9411764707"/>
    <n v="80"/>
    <n v="591"/>
    <n v="48"/>
    <n v="0"/>
    <n v="0"/>
    <n v="2562960.15"/>
    <n v="208159.2"/>
    <n v="0"/>
    <n v="591"/>
    <n v="2562960.15"/>
    <n v="806319.3277310925"/>
    <n v="36"/>
    <n v="543"/>
    <n v="21.6"/>
    <n v="0"/>
    <m/>
    <n v="2354800.95"/>
    <n v="98875.61999999998"/>
    <n v="0"/>
    <n v="543"/>
    <n v="2354800.95"/>
    <n v="362843.6974789916"/>
  </r>
  <r>
    <m/>
    <x v="8"/>
    <x v="12"/>
    <x v="28"/>
    <s v="MTBOHWFA590"/>
    <x v="682"/>
    <x v="518"/>
    <x v="0"/>
    <x v="2"/>
    <n v="0.5"/>
    <x v="413"/>
    <n v="374"/>
    <m/>
    <n v="0"/>
    <n v="4752.375"/>
    <n v="1777388.25"/>
    <n v="4.35"/>
    <n v="4752.3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24"/>
    <s v=""/>
    <n v="0"/>
    <s v=""/>
    <n v="0"/>
    <n v="0"/>
    <s v=""/>
    <n v="0"/>
    <n v="1"/>
    <s v=""/>
    <n v="0.04"/>
    <n v="0"/>
    <s v=""/>
    <n v="0"/>
    <n v="0"/>
    <n v="0"/>
    <n v="0"/>
    <n v="0"/>
    <n v="0"/>
    <n v="0"/>
    <n v="589294.5"/>
    <n v="0"/>
    <n v="0"/>
    <n v="0"/>
    <n v="374"/>
    <n v="1777388.25"/>
    <n v="0"/>
    <n v="0"/>
    <n v="0"/>
    <n v="0"/>
    <n v="500"/>
    <n v="500"/>
    <n v="0"/>
    <n v="589294.5"/>
    <n v="0"/>
    <n v="0"/>
    <n v="0"/>
    <n v="374"/>
    <n v="1777388.25"/>
    <n v="0"/>
    <n v="139"/>
    <n v="498"/>
    <n v="124"/>
    <n v="0"/>
    <n v="0"/>
    <n v="616308"/>
    <n v="2366682.75"/>
    <n v="589294.5"/>
    <n v="0"/>
    <n v="374"/>
    <n v="1777388.25"/>
    <n v="2082991.596638656"/>
    <n v="95"/>
    <n v="376"/>
    <n v="0"/>
    <n v="0"/>
    <n v="0"/>
    <n v="1692846"/>
    <n v="0"/>
    <n v="0"/>
    <n v="0"/>
    <n v="374"/>
    <n v="1777388.25"/>
    <n v="0"/>
    <n v="12"/>
    <n v="374"/>
    <n v="6"/>
    <m/>
    <n v="0"/>
    <n v="0"/>
    <n v="1777388.25"/>
    <n v="27013.49999999999"/>
    <n v="0"/>
    <n v="0"/>
    <n v="374"/>
    <n v="1777388.25"/>
    <n v="100789.9159663866"/>
    <n v="25"/>
    <n v="375"/>
    <n v="1"/>
    <m/>
    <n v="0"/>
    <n v="0"/>
    <n v="1782140.625"/>
    <n v="4502.249999999999"/>
    <n v="0"/>
    <n v="0"/>
    <n v="375"/>
    <n v="1777388.25"/>
    <n v="16798.31932773109"/>
    <n v="20"/>
    <n v="374"/>
    <n v="10"/>
    <n v="0"/>
    <n v="0"/>
    <n v="0"/>
    <n v="1777388.25"/>
    <n v="45022.49999999999"/>
    <n v="0"/>
    <n v="0"/>
    <n v="374"/>
    <n v="1777388.25"/>
    <n v="167983.1932773109"/>
    <n v="20"/>
    <n v="364"/>
    <n v="10"/>
    <n v="0"/>
    <n v="0"/>
    <n v="0"/>
    <n v="1729864.5"/>
    <n v="45022.49999999999"/>
    <n v="0"/>
    <n v="0"/>
    <n v="364"/>
    <n v="1729864.5"/>
    <n v="167983.1932773109"/>
    <n v="28"/>
    <n v="354"/>
    <n v="14"/>
    <n v="0"/>
    <n v="0"/>
    <m/>
    <n v="1593796.5"/>
    <n v="63031.49999999999"/>
    <n v="0"/>
    <n v="0"/>
    <n v="354"/>
    <n v="1593796.5"/>
    <n v="235176.4705882353"/>
    <n v="50"/>
    <n v="340"/>
    <n v="25"/>
    <n v="0"/>
    <n v="0"/>
    <n v="0"/>
    <m/>
    <n v="1530765"/>
    <n v="112556.25"/>
    <n v="0"/>
    <n v="0"/>
    <n v="340"/>
    <n v="1530765"/>
    <n v="314915.9663865546"/>
    <n v="40"/>
    <n v="315"/>
    <n v="20"/>
    <n v="0"/>
    <n v="0"/>
    <n v="1418208.75"/>
    <n v="90044.99999999999"/>
    <n v="0"/>
    <n v="0"/>
    <n v="315"/>
    <n v="1418208.75"/>
    <n v="264529.4117647059"/>
    <n v="76"/>
    <n v="295"/>
    <n v="38"/>
    <n v="0"/>
    <n v="0"/>
    <n v="1328163.75"/>
    <n v="171085.5"/>
    <n v="0"/>
    <n v="295"/>
    <n v="1328163.75"/>
    <n v="638336.1344537815"/>
    <n v="24"/>
    <n v="257"/>
    <n v="12"/>
    <n v="0"/>
    <m/>
    <n v="1157078.25"/>
    <n v="57028.5"/>
    <n v="0"/>
    <n v="257"/>
    <n v="1157078.25"/>
    <n v="201579.8319327731"/>
  </r>
  <r>
    <m/>
    <x v="8"/>
    <x v="12"/>
    <x v="28"/>
    <s v="MTBOHWCOM590"/>
    <x v="683"/>
    <x v="519"/>
    <x v="0"/>
    <x v="2"/>
    <n v="0.5"/>
    <x v="414"/>
    <n v="366"/>
    <m/>
    <n v="0"/>
    <n v="4752.375"/>
    <n v="1739369.25"/>
    <n v="4.35"/>
    <n v="4752.3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24"/>
    <s v=""/>
    <n v="3"/>
    <s v=""/>
    <n v="0.03157894736842105"/>
    <n v="1"/>
    <s v=""/>
    <n v="0.08333333333333333"/>
    <n v="9"/>
    <s v=""/>
    <n v="0.36"/>
    <n v="1"/>
    <s v=""/>
    <n v="0.05"/>
    <n v="0"/>
    <n v="0"/>
    <n v="0"/>
    <n v="0"/>
    <n v="0"/>
    <n v="0"/>
    <n v="589294.5"/>
    <n v="0"/>
    <n v="0"/>
    <n v="0"/>
    <n v="366"/>
    <n v="1739369.25"/>
    <n v="0"/>
    <n v="0"/>
    <n v="0"/>
    <n v="0"/>
    <n v="500"/>
    <n v="500"/>
    <n v="0"/>
    <n v="603551.625"/>
    <n v="0"/>
    <n v="0"/>
    <n v="0"/>
    <n v="366"/>
    <n v="1739369.25"/>
    <n v="0"/>
    <n v="139"/>
    <n v="490"/>
    <n v="124"/>
    <n v="0"/>
    <n v="0"/>
    <n v="630565.125"/>
    <n v="2328663.75"/>
    <n v="589294.5"/>
    <n v="0"/>
    <n v="366"/>
    <n v="1739369.25"/>
    <n v="2082991.596638656"/>
    <n v="95"/>
    <n v="376"/>
    <n v="3"/>
    <n v="0"/>
    <n v="0"/>
    <n v="1692846"/>
    <n v="14257.125"/>
    <n v="0"/>
    <n v="0"/>
    <n v="366"/>
    <n v="1739369.25"/>
    <n v="50394.95798319328"/>
    <n v="12"/>
    <n v="367"/>
    <n v="6"/>
    <m/>
    <n v="0"/>
    <n v="0"/>
    <n v="1744121.625"/>
    <n v="27013.49999999999"/>
    <n v="0"/>
    <n v="0"/>
    <n v="366"/>
    <n v="1739369.25"/>
    <n v="100789.9159663866"/>
    <n v="25"/>
    <n v="375"/>
    <n v="9"/>
    <m/>
    <n v="0"/>
    <n v="0"/>
    <n v="1782140.625"/>
    <n v="40520.24999999999"/>
    <n v="0"/>
    <n v="0"/>
    <n v="375"/>
    <n v="1739369.25"/>
    <n v="151184.8739495798"/>
    <n v="20"/>
    <n v="367"/>
    <n v="10"/>
    <n v="0"/>
    <n v="0"/>
    <n v="0"/>
    <n v="1744121.625"/>
    <n v="45022.49999999999"/>
    <n v="0"/>
    <n v="0"/>
    <n v="367"/>
    <n v="1739369.25"/>
    <n v="167983.1932773109"/>
    <n v="20"/>
    <n v="357"/>
    <n v="10"/>
    <n v="0"/>
    <n v="0"/>
    <n v="0"/>
    <n v="1696597.875"/>
    <n v="45022.49999999999"/>
    <n v="0"/>
    <n v="0"/>
    <n v="357"/>
    <n v="1696597.875"/>
    <n v="167983.1932773109"/>
    <n v="28"/>
    <n v="347"/>
    <n v="14"/>
    <n v="0"/>
    <n v="0"/>
    <m/>
    <n v="1562280.75"/>
    <n v="63031.49999999999"/>
    <n v="0"/>
    <n v="0"/>
    <n v="347"/>
    <n v="1562280.75"/>
    <n v="235176.4705882353"/>
    <n v="50"/>
    <n v="333"/>
    <n v="25"/>
    <n v="0"/>
    <n v="0"/>
    <n v="0"/>
    <m/>
    <n v="1499249.25"/>
    <n v="112556.25"/>
    <n v="0"/>
    <n v="0"/>
    <n v="333"/>
    <n v="1499249.25"/>
    <n v="314915.9663865546"/>
    <n v="40"/>
    <n v="308"/>
    <n v="20"/>
    <n v="0"/>
    <n v="0"/>
    <n v="1386693"/>
    <n v="90044.99999999999"/>
    <n v="0"/>
    <n v="0"/>
    <n v="308"/>
    <n v="1386693"/>
    <n v="264529.4117647059"/>
    <n v="76"/>
    <n v="288"/>
    <n v="38"/>
    <n v="0"/>
    <n v="0"/>
    <n v="1296648"/>
    <n v="171085.5"/>
    <n v="0"/>
    <n v="288"/>
    <n v="1296648"/>
    <n v="638336.1344537815"/>
    <n v="24"/>
    <n v="250"/>
    <n v="12"/>
    <n v="0"/>
    <m/>
    <n v="1125562.5"/>
    <n v="57028.5"/>
    <n v="0"/>
    <n v="250"/>
    <n v="1125562.5"/>
    <n v="201579.8319327731"/>
  </r>
  <r>
    <m/>
    <x v="8"/>
    <x v="36"/>
    <x v="46"/>
    <s v="MTTCBFRI450"/>
    <x v="684"/>
    <x v="520"/>
    <x v="0"/>
    <x v="2"/>
    <n v="0.6"/>
    <x v="415"/>
    <n v="195"/>
    <m/>
    <n v="0"/>
    <n v="5080.125"/>
    <n v="990624.375"/>
    <n v="4.65"/>
    <n v="5080.12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214"/>
    <s v=""/>
    <n v="33"/>
    <s v=""/>
    <n v="0.4125"/>
    <n v="17"/>
    <s v=""/>
    <n v="0.68"/>
    <n v="18"/>
    <s v=""/>
    <n v="0.5142857142857142"/>
    <n v="16"/>
    <s v=""/>
    <n v="0.64"/>
    <n v="0"/>
    <n v="0"/>
    <n v="0"/>
    <n v="0"/>
    <n v="0"/>
    <n v="0"/>
    <n v="1087146.75"/>
    <n v="0"/>
    <n v="0"/>
    <n v="0"/>
    <n v="195"/>
    <n v="990624.375"/>
    <n v="0"/>
    <n v="0"/>
    <n v="0"/>
    <n v="0"/>
    <n v="500"/>
    <n v="500"/>
    <n v="0"/>
    <n v="1254790.875"/>
    <n v="0"/>
    <n v="0"/>
    <n v="0"/>
    <n v="195"/>
    <n v="990624.375"/>
    <n v="0"/>
    <n v="196"/>
    <n v="409"/>
    <n v="214"/>
    <n v="0"/>
    <n v="0"/>
    <n v="1326982.125"/>
    <n v="2077771.125"/>
    <n v="1087146.75"/>
    <n v="0"/>
    <n v="195"/>
    <n v="990624.375"/>
    <n v="3954504.201680673"/>
    <n v="80"/>
    <n v="286"/>
    <n v="33"/>
    <n v="0"/>
    <n v="0"/>
    <n v="1376446.5"/>
    <n v="167644.125"/>
    <n v="0"/>
    <n v="0"/>
    <n v="195"/>
    <n v="990624.375"/>
    <n v="609806.7226890757"/>
    <n v="25"/>
    <n v="212"/>
    <n v="15"/>
    <m/>
    <n v="0"/>
    <n v="0"/>
    <n v="1076986.5"/>
    <n v="72191.25"/>
    <n v="0"/>
    <n v="0"/>
    <n v="195"/>
    <n v="990624.375"/>
    <n v="277184.8739495799"/>
    <n v="35"/>
    <n v="213"/>
    <n v="18"/>
    <m/>
    <n v="0"/>
    <n v="0"/>
    <n v="1082066.625"/>
    <n v="86629.5"/>
    <n v="0"/>
    <n v="0"/>
    <n v="213"/>
    <n v="990624.375"/>
    <n v="332621.8487394959"/>
    <n v="25"/>
    <n v="211"/>
    <n v="15"/>
    <n v="0"/>
    <n v="0"/>
    <n v="0"/>
    <n v="1071906.375"/>
    <n v="72191.25"/>
    <n v="0"/>
    <n v="0"/>
    <n v="211"/>
    <n v="990624.375"/>
    <n v="277184.8739495799"/>
    <n v="25"/>
    <n v="196"/>
    <n v="15"/>
    <n v="0"/>
    <n v="0"/>
    <n v="0"/>
    <n v="995704.5"/>
    <n v="72191.25"/>
    <n v="0"/>
    <n v="0"/>
    <n v="196"/>
    <n v="995704.5"/>
    <n v="277184.8739495799"/>
    <n v="20"/>
    <n v="181"/>
    <n v="12"/>
    <n v="0"/>
    <n v="0"/>
    <m/>
    <n v="871107.75"/>
    <n v="57753"/>
    <n v="0"/>
    <n v="0"/>
    <n v="181"/>
    <n v="871107.75"/>
    <n v="221747.8991596639"/>
    <n v="25"/>
    <n v="169"/>
    <n v="15"/>
    <n v="0"/>
    <n v="0"/>
    <n v="0"/>
    <m/>
    <n v="813354.75"/>
    <n v="72191.25"/>
    <n v="0"/>
    <n v="0"/>
    <n v="169"/>
    <n v="813354.75"/>
    <n v="214159.6638655462"/>
    <n v="20"/>
    <n v="154"/>
    <n v="12"/>
    <n v="0"/>
    <n v="0"/>
    <n v="741163.5"/>
    <n v="57753"/>
    <n v="0"/>
    <n v="0"/>
    <n v="154"/>
    <n v="741163.5"/>
    <n v="179894.1176470589"/>
    <n v="30"/>
    <n v="142"/>
    <n v="18"/>
    <n v="0"/>
    <n v="0"/>
    <n v="683410.5"/>
    <n v="86629.5"/>
    <n v="0"/>
    <n v="142"/>
    <n v="683410.5"/>
    <n v="332621.8487394959"/>
    <n v="12"/>
    <n v="124"/>
    <n v="7.199999999999999"/>
    <n v="0"/>
    <m/>
    <n v="596781"/>
    <n v="36576.89999999999"/>
    <n v="0"/>
    <n v="124"/>
    <n v="596781"/>
    <n v="133048.7394957983"/>
  </r>
  <r>
    <m/>
    <x v="8"/>
    <x v="36"/>
    <x v="46"/>
    <s v="MTTCBFUN450"/>
    <x v="685"/>
    <x v="521"/>
    <x v="0"/>
    <x v="2"/>
    <n v="0.6"/>
    <x v="416"/>
    <n v="241"/>
    <m/>
    <n v="0"/>
    <n v="5080.125"/>
    <n v="1224310.125"/>
    <n v="4.65"/>
    <n v="5080.12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7"/>
    <s v=""/>
    <n v="21"/>
    <s v=""/>
    <n v="0.2625"/>
    <n v="17"/>
    <s v=""/>
    <n v="0.85"/>
    <n v="16"/>
    <s v=""/>
    <n v="0.5333333333333333"/>
    <n v="13"/>
    <s v=""/>
    <n v="0.52"/>
    <n v="0"/>
    <n v="0"/>
    <n v="0"/>
    <n v="0"/>
    <n v="0"/>
    <n v="0"/>
    <n v="1000784.625"/>
    <n v="0"/>
    <n v="0"/>
    <n v="0"/>
    <n v="241"/>
    <n v="1224310.125"/>
    <n v="0"/>
    <n v="0"/>
    <n v="0"/>
    <n v="0"/>
    <n v="500"/>
    <n v="500"/>
    <n v="0"/>
    <n v="1107467.25"/>
    <n v="0"/>
    <n v="0"/>
    <n v="0"/>
    <n v="241"/>
    <n v="1224310.125"/>
    <n v="0"/>
    <n v="196"/>
    <n v="438"/>
    <n v="197"/>
    <n v="0"/>
    <n v="0"/>
    <n v="1165220.25"/>
    <n v="2225094.75"/>
    <n v="1000784.625"/>
    <n v="0"/>
    <n v="241"/>
    <n v="1224310.125"/>
    <n v="3640361.344537816"/>
    <n v="80"/>
    <n v="301"/>
    <n v="21"/>
    <n v="0"/>
    <n v="0"/>
    <n v="1448637.75"/>
    <n v="106682.625"/>
    <n v="0"/>
    <n v="0"/>
    <n v="241"/>
    <n v="1224310.125"/>
    <n v="388058.8235294118"/>
    <n v="20"/>
    <n v="258"/>
    <n v="12"/>
    <m/>
    <n v="0"/>
    <n v="0"/>
    <n v="1310672.25"/>
    <n v="57753"/>
    <n v="0"/>
    <n v="0"/>
    <n v="241"/>
    <n v="1224310.125"/>
    <n v="221747.8991596639"/>
    <n v="30"/>
    <n v="257"/>
    <n v="16"/>
    <m/>
    <n v="0"/>
    <n v="0"/>
    <n v="1305592.125"/>
    <n v="77004"/>
    <n v="0"/>
    <n v="0"/>
    <n v="257"/>
    <n v="1224310.125"/>
    <n v="295663.8655462185"/>
    <n v="25"/>
    <n v="254"/>
    <n v="15"/>
    <n v="0"/>
    <n v="0"/>
    <n v="0"/>
    <n v="1290351.75"/>
    <n v="72191.25"/>
    <n v="0"/>
    <n v="0"/>
    <n v="254"/>
    <n v="1224310.125"/>
    <n v="277184.8739495799"/>
    <n v="25"/>
    <n v="239"/>
    <n v="15"/>
    <n v="0"/>
    <n v="0"/>
    <n v="0"/>
    <n v="1214149.875"/>
    <n v="72191.25"/>
    <n v="0"/>
    <n v="0"/>
    <n v="239"/>
    <n v="1214149.875"/>
    <n v="277184.8739495799"/>
    <n v="20"/>
    <n v="224"/>
    <n v="12"/>
    <n v="0"/>
    <n v="0"/>
    <m/>
    <n v="1078056"/>
    <n v="57753"/>
    <n v="0"/>
    <n v="0"/>
    <n v="224"/>
    <n v="1078056"/>
    <n v="221747.8991596639"/>
    <n v="25"/>
    <n v="212"/>
    <n v="15"/>
    <n v="0"/>
    <n v="0"/>
    <n v="0"/>
    <m/>
    <n v="1020303"/>
    <n v="72191.25"/>
    <n v="0"/>
    <n v="0"/>
    <n v="212"/>
    <n v="1020303"/>
    <n v="214159.6638655462"/>
    <n v="20"/>
    <n v="197"/>
    <n v="12"/>
    <n v="0"/>
    <n v="0"/>
    <n v="948111.75"/>
    <n v="57753"/>
    <n v="0"/>
    <n v="0"/>
    <n v="197"/>
    <n v="948111.75"/>
    <n v="179894.1176470589"/>
    <n v="30"/>
    <n v="185"/>
    <n v="18"/>
    <n v="0"/>
    <n v="0"/>
    <n v="890358.75"/>
    <n v="86629.5"/>
    <n v="0"/>
    <n v="185"/>
    <n v="890358.75"/>
    <n v="332621.8487394959"/>
    <n v="12"/>
    <n v="167"/>
    <n v="7.199999999999999"/>
    <n v="0"/>
    <m/>
    <n v="803729.25"/>
    <n v="36576.89999999999"/>
    <n v="0"/>
    <n v="167"/>
    <n v="803729.25"/>
    <n v="133048.7394957983"/>
  </r>
  <r>
    <m/>
    <x v="8"/>
    <x v="36"/>
    <x v="46"/>
    <s v="MTTCHWTRU330"/>
    <x v="686"/>
    <x v="522"/>
    <x v="0"/>
    <x v="2"/>
    <n v="0.8"/>
    <x v="417"/>
    <n v="256"/>
    <m/>
    <n v="0"/>
    <n v="3889.3"/>
    <n v="995660.7999999999"/>
    <n v="3.56"/>
    <n v="3889.3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2"/>
    <s v=""/>
    <n v="14"/>
    <s v=""/>
    <n v="0.175"/>
    <n v="21"/>
    <s v=""/>
    <n v="1.75"/>
    <n v="11"/>
    <s v=""/>
    <n v="0.44"/>
    <n v="5"/>
    <s v=""/>
    <n v="0.25"/>
    <n v="0"/>
    <n v="0"/>
    <n v="0"/>
    <n v="0"/>
    <n v="0"/>
    <n v="0"/>
    <n v="746745.6"/>
    <n v="0"/>
    <n v="0"/>
    <n v="0"/>
    <n v="256"/>
    <n v="995660.7999999999"/>
    <n v="0"/>
    <n v="0"/>
    <n v="0"/>
    <n v="0"/>
    <n v="0"/>
    <n v="0"/>
    <n v="0"/>
    <n v="801195.7999999999"/>
    <n v="0"/>
    <n v="0"/>
    <n v="0"/>
    <n v="256"/>
    <n v="995660.7999999999"/>
    <n v="0"/>
    <n v="196"/>
    <n v="448"/>
    <n v="192"/>
    <n v="0"/>
    <n v="0"/>
    <n v="836567.96"/>
    <n v="1742406.4"/>
    <n v="746745.6"/>
    <n v="0"/>
    <n v="256"/>
    <n v="995660.7999999999"/>
    <n v="2741243.697478992"/>
    <n v="80"/>
    <n v="307"/>
    <n v="14"/>
    <n v="0"/>
    <n v="0"/>
    <n v="1131172.2"/>
    <n v="54450.2"/>
    <n v="0"/>
    <n v="0"/>
    <n v="256"/>
    <n v="995660.7999999999"/>
    <n v="199882.3529411765"/>
    <n v="12"/>
    <n v="277"/>
    <n v="9.600000000000001"/>
    <m/>
    <n v="0"/>
    <n v="0"/>
    <n v="1077336.1"/>
    <n v="35372.16"/>
    <n v="0"/>
    <n v="0"/>
    <n v="256"/>
    <n v="995660.7999999999"/>
    <n v="137062.1848739496"/>
    <n v="25"/>
    <n v="267"/>
    <n v="11"/>
    <m/>
    <n v="0"/>
    <n v="0"/>
    <n v="1038443.1"/>
    <n v="40530.6"/>
    <n v="0"/>
    <n v="0"/>
    <n v="267"/>
    <n v="995660.7999999999"/>
    <n v="157050.4201680672"/>
    <n v="20"/>
    <n v="261"/>
    <n v="16"/>
    <n v="0"/>
    <n v="0"/>
    <n v="0"/>
    <n v="1015107.3"/>
    <n v="58953.6"/>
    <n v="0"/>
    <n v="0"/>
    <n v="261"/>
    <n v="995660.7999999999"/>
    <n v="228436.974789916"/>
    <n v="20"/>
    <n v="245"/>
    <n v="16"/>
    <n v="0"/>
    <n v="0"/>
    <n v="0"/>
    <n v="952878.4999999999"/>
    <n v="58953.6"/>
    <n v="0"/>
    <n v="0"/>
    <n v="245"/>
    <n v="952878.4999999999"/>
    <n v="228436.974789916"/>
    <n v="28"/>
    <n v="229"/>
    <n v="22.4"/>
    <n v="0"/>
    <n v="0"/>
    <m/>
    <n v="843773.4"/>
    <n v="82535.04000000001"/>
    <n v="0"/>
    <n v="0"/>
    <n v="229"/>
    <n v="843773.4"/>
    <n v="319811.7647058824"/>
    <n v="50"/>
    <n v="206.6"/>
    <n v="40"/>
    <n v="0"/>
    <n v="0"/>
    <n v="0"/>
    <m/>
    <n v="761238.36"/>
    <n v="147384"/>
    <n v="0"/>
    <n v="0"/>
    <n v="206.6"/>
    <n v="761238.36"/>
    <n v="403025.2100840336"/>
    <n v="40"/>
    <n v="166.6"/>
    <n v="32"/>
    <n v="0"/>
    <n v="0"/>
    <n v="613854.36"/>
    <n v="117907.2"/>
    <n v="0"/>
    <n v="0"/>
    <n v="166.6"/>
    <n v="613854.36"/>
    <n v="338541.1764705883"/>
    <n v="76"/>
    <n v="134.6"/>
    <n v="60.8"/>
    <n v="0"/>
    <n v="0"/>
    <n v="495947.16"/>
    <n v="224023.68"/>
    <n v="0"/>
    <n v="134.6"/>
    <n v="495947.16"/>
    <n v="868060.5042016808"/>
    <n v="24"/>
    <n v="73.79999999999998"/>
    <n v="19.2"/>
    <n v="0"/>
    <m/>
    <n v="271923.4799999999"/>
    <n v="74674.56000000001"/>
    <n v="0"/>
    <n v="73.79999999999998"/>
    <n v="271923.4799999999"/>
    <n v="274124.3697478992"/>
  </r>
  <r>
    <m/>
    <x v="8"/>
    <x v="36"/>
    <x v="46"/>
    <s v="MTTCHWCLA330"/>
    <x v="687"/>
    <x v="523"/>
    <x v="0"/>
    <x v="2"/>
    <n v="0.6"/>
    <x v="418"/>
    <n v="246"/>
    <m/>
    <n v="0"/>
    <n v="3889.3"/>
    <n v="956767.7999999999"/>
    <n v="3.56"/>
    <n v="3889.3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2"/>
    <s v=""/>
    <n v="22"/>
    <s v=""/>
    <n v="0.275"/>
    <n v="14"/>
    <s v=""/>
    <n v="0.7"/>
    <n v="16"/>
    <s v=""/>
    <n v="0.3555555555555556"/>
    <n v="10"/>
    <s v=""/>
    <n v="0.4"/>
    <n v="0"/>
    <n v="0"/>
    <n v="0"/>
    <n v="0"/>
    <n v="0"/>
    <n v="0"/>
    <n v="746745.6"/>
    <n v="0"/>
    <n v="0"/>
    <n v="0"/>
    <n v="246"/>
    <n v="956767.7999999999"/>
    <n v="0"/>
    <n v="0"/>
    <n v="0"/>
    <n v="0"/>
    <n v="500"/>
    <n v="500"/>
    <n v="0"/>
    <n v="832310.2"/>
    <n v="0"/>
    <n v="0"/>
    <n v="0"/>
    <n v="246"/>
    <n v="956767.7999999999"/>
    <n v="0"/>
    <n v="196"/>
    <n v="438"/>
    <n v="192"/>
    <n v="0"/>
    <n v="0"/>
    <n v="876525.3999999999"/>
    <n v="1703513.4"/>
    <n v="746745.6"/>
    <n v="0"/>
    <n v="246"/>
    <n v="956767.7999999999"/>
    <n v="2741243.697478992"/>
    <n v="80"/>
    <n v="308"/>
    <n v="22"/>
    <n v="0"/>
    <n v="0"/>
    <n v="1134856.8"/>
    <n v="85564.59999999999"/>
    <n v="0"/>
    <n v="0"/>
    <n v="246"/>
    <n v="956767.7999999999"/>
    <n v="314100.8403361345"/>
    <n v="20"/>
    <n v="260"/>
    <n v="12"/>
    <m/>
    <n v="0"/>
    <n v="0"/>
    <n v="1011218"/>
    <n v="44215.2"/>
    <n v="0"/>
    <n v="0"/>
    <n v="246"/>
    <n v="956767.7999999999"/>
    <n v="171327.731092437"/>
    <n v="45"/>
    <n v="262"/>
    <n v="16"/>
    <m/>
    <n v="0"/>
    <n v="0"/>
    <n v="1018996.6"/>
    <n v="58953.6"/>
    <n v="0"/>
    <n v="0"/>
    <n v="262"/>
    <n v="956767.7999999999"/>
    <n v="228436.974789916"/>
    <n v="25"/>
    <n v="256"/>
    <n v="15"/>
    <n v="0"/>
    <n v="0"/>
    <n v="0"/>
    <n v="995660.7999999999"/>
    <n v="55269"/>
    <n v="0"/>
    <n v="0"/>
    <n v="256"/>
    <n v="956767.7999999999"/>
    <n v="214159.6638655462"/>
    <n v="25"/>
    <n v="241"/>
    <n v="15"/>
    <n v="0"/>
    <n v="0"/>
    <n v="0"/>
    <n v="937321.2999999999"/>
    <n v="55269"/>
    <n v="0"/>
    <n v="0"/>
    <n v="241"/>
    <n v="937321.2999999999"/>
    <n v="214159.6638655462"/>
    <n v="26.6666666666667"/>
    <n v="226"/>
    <n v="16.00000000000002"/>
    <n v="0"/>
    <n v="0"/>
    <m/>
    <n v="832719.6"/>
    <n v="58953.60000000006"/>
    <n v="0"/>
    <n v="0"/>
    <n v="226"/>
    <n v="832719.6"/>
    <n v="228436.9747899162"/>
    <n v="50"/>
    <n v="210"/>
    <n v="30"/>
    <n v="0"/>
    <n v="0"/>
    <n v="0"/>
    <m/>
    <n v="773765.9999999999"/>
    <n v="110538"/>
    <n v="0"/>
    <n v="0"/>
    <n v="210"/>
    <n v="773765.9999999999"/>
    <n v="302268.9075630252"/>
    <n v="60"/>
    <n v="180"/>
    <n v="36"/>
    <n v="0"/>
    <n v="0"/>
    <n v="663227.9999999999"/>
    <n v="132645.6"/>
    <n v="0"/>
    <n v="0"/>
    <n v="180"/>
    <n v="663227.9999999999"/>
    <n v="380858.8235294118"/>
    <n v="80"/>
    <n v="144"/>
    <n v="48"/>
    <n v="0"/>
    <n v="0"/>
    <n v="530582.3999999999"/>
    <n v="176860.8"/>
    <n v="0"/>
    <n v="144"/>
    <n v="530582.3999999999"/>
    <n v="685310.924369748"/>
    <n v="36"/>
    <n v="95.99999999999997"/>
    <n v="21.6"/>
    <n v="0"/>
    <m/>
    <n v="353721.5999999999"/>
    <n v="84008.87999999999"/>
    <n v="0"/>
    <n v="95.99999999999997"/>
    <n v="353721.5999999999"/>
    <n v="308389.9159663866"/>
  </r>
  <r>
    <m/>
    <x v="8"/>
    <x v="12"/>
    <x v="88"/>
    <s v="MTBOBPET420"/>
    <x v="688"/>
    <x v="524"/>
    <x v="0"/>
    <x v="2"/>
    <n v="0.5"/>
    <x v="419"/>
    <n v="384"/>
    <m/>
    <n v="0"/>
    <n v="2141.3"/>
    <n v="822259.2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6"/>
    <s v=""/>
    <n v="4"/>
    <s v=""/>
    <n v="0.03902439024390244"/>
    <n v="2"/>
    <s v=""/>
    <n v="0.1666666666666667"/>
    <n v="9"/>
    <s v=""/>
    <n v="0.36"/>
    <n v="8"/>
    <s v=""/>
    <n v="0.4"/>
    <n v="0"/>
    <n v="0"/>
    <n v="0"/>
    <n v="0"/>
    <n v="0"/>
    <n v="0"/>
    <n v="205564.8"/>
    <n v="0"/>
    <n v="0"/>
    <n v="0"/>
    <n v="384"/>
    <n v="822259.2"/>
    <n v="0"/>
    <n v="0"/>
    <n v="0"/>
    <n v="0"/>
    <n v="500"/>
    <n v="500"/>
    <n v="0"/>
    <n v="214130"/>
    <n v="0"/>
    <n v="0"/>
    <n v="0"/>
    <n v="384"/>
    <n v="822259.2"/>
    <n v="0"/>
    <n v="110.5"/>
    <n v="480"/>
    <n v="96"/>
    <n v="0"/>
    <n v="0"/>
    <n v="226301.6"/>
    <n v="1027824"/>
    <n v="205564.8"/>
    <n v="0"/>
    <n v="384"/>
    <n v="822259.2"/>
    <n v="805915.9663865545"/>
    <n v="102.5"/>
    <n v="404"/>
    <n v="4"/>
    <n v="0"/>
    <n v="0"/>
    <n v="819554.3999999999"/>
    <n v="8565.199999999999"/>
    <n v="0"/>
    <n v="0"/>
    <n v="384"/>
    <n v="822259.2"/>
    <n v="33579.83193277311"/>
    <n v="12"/>
    <n v="386"/>
    <n v="6"/>
    <m/>
    <n v="0"/>
    <n v="0"/>
    <n v="826541.7999999999"/>
    <n v="12171.6"/>
    <n v="0"/>
    <n v="0"/>
    <n v="384"/>
    <n v="822259.2"/>
    <n v="50369.74789915966"/>
    <n v="25"/>
    <n v="393"/>
    <n v="9"/>
    <m/>
    <n v="0"/>
    <n v="0"/>
    <n v="841530.8999999999"/>
    <n v="18257.4"/>
    <n v="0"/>
    <n v="0"/>
    <n v="393"/>
    <n v="822259.2"/>
    <n v="75554.62184873949"/>
    <n v="20"/>
    <n v="392"/>
    <n v="10"/>
    <n v="0"/>
    <n v="0"/>
    <n v="0"/>
    <n v="839389.5999999999"/>
    <n v="20286"/>
    <n v="0"/>
    <n v="0"/>
    <n v="392"/>
    <n v="822259.2"/>
    <n v="83949.57983193277"/>
    <n v="20"/>
    <n v="382"/>
    <n v="10"/>
    <n v="0"/>
    <n v="0"/>
    <n v="0"/>
    <n v="817976.5999999999"/>
    <n v="20286"/>
    <n v="0"/>
    <n v="0"/>
    <n v="382"/>
    <n v="817976.5999999999"/>
    <n v="83949.57983193277"/>
    <n v="28"/>
    <n v="372"/>
    <n v="14"/>
    <n v="0"/>
    <n v="0"/>
    <m/>
    <n v="754639.2"/>
    <n v="28400.4"/>
    <n v="0"/>
    <n v="0"/>
    <n v="372"/>
    <n v="754639.2"/>
    <n v="117529.4117647059"/>
    <n v="50"/>
    <n v="358"/>
    <n v="25"/>
    <n v="0"/>
    <n v="0"/>
    <n v="0"/>
    <m/>
    <n v="726238.7999999999"/>
    <n v="50715"/>
    <n v="0"/>
    <n v="0"/>
    <n v="358"/>
    <n v="726238.7999999999"/>
    <n v="167857.1428571429"/>
    <n v="40"/>
    <n v="333"/>
    <n v="20"/>
    <n v="0"/>
    <n v="0"/>
    <n v="675523.7999999999"/>
    <n v="40572"/>
    <n v="0"/>
    <n v="0"/>
    <n v="333"/>
    <n v="675523.7999999999"/>
    <n v="141000"/>
    <n v="76"/>
    <n v="313"/>
    <n v="38"/>
    <n v="0"/>
    <n v="0"/>
    <n v="634951.7999999999"/>
    <n v="77086.8"/>
    <n v="0"/>
    <n v="313"/>
    <n v="634951.7999999999"/>
    <n v="319008.4033613445"/>
    <n v="24"/>
    <n v="275"/>
    <n v="12"/>
    <n v="0"/>
    <m/>
    <n v="557865"/>
    <n v="25695.6"/>
    <n v="0"/>
    <n v="275"/>
    <n v="557865"/>
    <n v="100739.4957983193"/>
  </r>
  <r>
    <m/>
    <x v="8"/>
    <x v="12"/>
    <x v="88"/>
    <s v="MTBOBLOV420"/>
    <x v="689"/>
    <x v="525"/>
    <x v="0"/>
    <x v="2"/>
    <n v="0.5"/>
    <x v="420"/>
    <n v="339"/>
    <m/>
    <n v="0"/>
    <n v="2141.3"/>
    <n v="725900.7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7"/>
    <s v=""/>
    <n v="18"/>
    <s v=""/>
    <n v="0.175609756097561"/>
    <n v="11"/>
    <s v=""/>
    <n v="0.55"/>
    <n v="15"/>
    <s v=""/>
    <n v="0.3"/>
    <n v="20"/>
    <s v=""/>
    <n v="0.8"/>
    <n v="0"/>
    <n v="0"/>
    <n v="0"/>
    <n v="0"/>
    <n v="0"/>
    <n v="0"/>
    <n v="207706.1"/>
    <n v="0"/>
    <n v="0"/>
    <n v="0"/>
    <n v="339"/>
    <n v="725900.7"/>
    <n v="0"/>
    <n v="0"/>
    <n v="0"/>
    <n v="0"/>
    <n v="500"/>
    <n v="500"/>
    <n v="0"/>
    <n v="246249.5"/>
    <n v="0"/>
    <n v="0"/>
    <n v="0"/>
    <n v="339"/>
    <n v="725900.7"/>
    <n v="0"/>
    <n v="110.5"/>
    <n v="436"/>
    <n v="97"/>
    <n v="0"/>
    <n v="0"/>
    <n v="266535.5"/>
    <n v="933606.7999999999"/>
    <n v="207706.1"/>
    <n v="0"/>
    <n v="339"/>
    <n v="725900.7"/>
    <n v="814310.9243697479"/>
    <n v="102.5"/>
    <n v="404"/>
    <n v="18"/>
    <n v="0"/>
    <n v="0"/>
    <n v="819554.3999999999"/>
    <n v="38543.39999999999"/>
    <n v="0"/>
    <n v="0"/>
    <n v="339"/>
    <n v="725900.7"/>
    <n v="151109.243697479"/>
    <n v="20"/>
    <n v="350"/>
    <n v="10"/>
    <m/>
    <n v="0"/>
    <n v="0"/>
    <n v="749454.9999999999"/>
    <n v="20286"/>
    <n v="0"/>
    <n v="0"/>
    <n v="339"/>
    <n v="725900.7"/>
    <n v="83949.57983193277"/>
    <n v="50"/>
    <n v="354"/>
    <n v="15"/>
    <m/>
    <n v="0"/>
    <n v="0"/>
    <n v="758020.2"/>
    <n v="30429"/>
    <n v="0"/>
    <n v="0"/>
    <n v="354"/>
    <n v="725900.7"/>
    <n v="125924.3697478992"/>
    <n v="25"/>
    <n v="359"/>
    <n v="12.5"/>
    <n v="0"/>
    <n v="0"/>
    <n v="0"/>
    <n v="768726.7"/>
    <n v="25357.5"/>
    <n v="0"/>
    <n v="0"/>
    <n v="359"/>
    <n v="725900.7"/>
    <n v="104936.974789916"/>
    <n v="25"/>
    <n v="346.5"/>
    <n v="12.5"/>
    <n v="0"/>
    <n v="0"/>
    <n v="0"/>
    <n v="741960.45"/>
    <n v="25357.5"/>
    <n v="0"/>
    <n v="0"/>
    <n v="346.5"/>
    <n v="741960.45"/>
    <n v="104936.974789916"/>
    <n v="26.6666666666667"/>
    <n v="334"/>
    <n v="13.33333333333335"/>
    <n v="0"/>
    <n v="0"/>
    <m/>
    <n v="677552.4"/>
    <n v="27048.00000000003"/>
    <n v="0"/>
    <n v="0"/>
    <n v="334"/>
    <n v="677552.4"/>
    <n v="111932.7731092438"/>
    <n v="50"/>
    <n v="320.6666666666666"/>
    <n v="25"/>
    <n v="0"/>
    <n v="0"/>
    <n v="0"/>
    <m/>
    <n v="650504.3999999999"/>
    <n v="50715"/>
    <n v="0"/>
    <n v="0"/>
    <n v="320.6666666666666"/>
    <n v="650504.3999999999"/>
    <n v="167857.1428571429"/>
    <n v="60"/>
    <n v="295.6666666666666"/>
    <n v="30"/>
    <n v="0"/>
    <n v="0"/>
    <n v="599789.3999999999"/>
    <n v="60858"/>
    <n v="0"/>
    <n v="0"/>
    <n v="295.6666666666666"/>
    <n v="599789.3999999999"/>
    <n v="211500"/>
    <n v="80"/>
    <n v="265.6666666666666"/>
    <n v="40"/>
    <n v="0"/>
    <n v="0"/>
    <n v="538931.3999999999"/>
    <n v="81144"/>
    <n v="0"/>
    <n v="265.6666666666666"/>
    <n v="538931.3999999999"/>
    <n v="335798.3193277311"/>
    <n v="36"/>
    <n v="225.6666666666666"/>
    <n v="18"/>
    <n v="0"/>
    <m/>
    <n v="457787.3999999999"/>
    <n v="38543.39999999999"/>
    <n v="0"/>
    <n v="225.6666666666666"/>
    <n v="457787.3999999999"/>
    <n v="151109.243697479"/>
  </r>
  <r>
    <m/>
    <x v="8"/>
    <x v="12"/>
    <x v="88"/>
    <s v="MTBOHWMON420"/>
    <x v="690"/>
    <x v="526"/>
    <x v="0"/>
    <x v="2"/>
    <n v="0.5"/>
    <x v="421"/>
    <n v="297"/>
    <m/>
    <n v="0"/>
    <n v="2141.3"/>
    <n v="635966.1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6"/>
    <s v=""/>
    <n v="27"/>
    <s v=""/>
    <n v="0.2634146341463415"/>
    <n v="28"/>
    <s v=""/>
    <n v="1.4"/>
    <n v="28"/>
    <s v=""/>
    <n v="0.5600000000000001"/>
    <n v="15"/>
    <s v=""/>
    <n v="0.6"/>
    <n v="0"/>
    <n v="0"/>
    <n v="0"/>
    <n v="0"/>
    <n v="0"/>
    <n v="0"/>
    <n v="226977.8"/>
    <n v="0"/>
    <n v="0"/>
    <n v="0"/>
    <n v="297"/>
    <n v="635966.1"/>
    <n v="0"/>
    <n v="0"/>
    <n v="0"/>
    <n v="0"/>
    <n v="500"/>
    <n v="500"/>
    <n v="0"/>
    <n v="284792.9"/>
    <n v="0"/>
    <n v="0"/>
    <n v="0"/>
    <n v="297"/>
    <n v="635966.1"/>
    <n v="0"/>
    <n v="110.5"/>
    <n v="403"/>
    <n v="106"/>
    <n v="0"/>
    <n v="0"/>
    <n v="305078.9"/>
    <n v="862943.8999999999"/>
    <n v="226977.8"/>
    <n v="0"/>
    <n v="297"/>
    <n v="635966.1"/>
    <n v="889865.5462184873"/>
    <n v="102.5"/>
    <n v="395"/>
    <n v="27"/>
    <n v="0"/>
    <n v="0"/>
    <n v="801297"/>
    <n v="57815.09999999999"/>
    <n v="0"/>
    <n v="0"/>
    <n v="297"/>
    <n v="635966.1"/>
    <n v="226663.8655462185"/>
    <n v="20"/>
    <n v="325"/>
    <n v="10"/>
    <m/>
    <n v="0"/>
    <n v="0"/>
    <n v="695922.4999999999"/>
    <n v="20286"/>
    <n v="0"/>
    <n v="0"/>
    <n v="297"/>
    <n v="635966.1"/>
    <n v="83949.57983193277"/>
    <n v="50"/>
    <n v="325"/>
    <n v="28"/>
    <m/>
    <n v="0"/>
    <n v="0"/>
    <n v="695922.4999999999"/>
    <n v="56800.8"/>
    <n v="0"/>
    <n v="0"/>
    <n v="325"/>
    <n v="635966.1"/>
    <n v="235058.8235294117"/>
    <n v="25"/>
    <n v="312"/>
    <n v="12.5"/>
    <n v="0"/>
    <n v="0"/>
    <n v="0"/>
    <n v="668085.5999999999"/>
    <n v="25357.5"/>
    <n v="0"/>
    <n v="0"/>
    <n v="312"/>
    <n v="635966.1"/>
    <n v="104936.974789916"/>
    <n v="25"/>
    <n v="299.5"/>
    <n v="12.5"/>
    <n v="0"/>
    <n v="0"/>
    <n v="0"/>
    <n v="641319.3499999999"/>
    <n v="25357.5"/>
    <n v="0"/>
    <n v="0"/>
    <n v="299.5"/>
    <n v="641319.3499999999"/>
    <n v="104936.974789916"/>
    <n v="26.6666666666667"/>
    <n v="287"/>
    <n v="13.33333333333335"/>
    <n v="0"/>
    <n v="0"/>
    <m/>
    <n v="582208.2"/>
    <n v="27048.00000000003"/>
    <n v="0"/>
    <n v="0"/>
    <n v="287"/>
    <n v="582208.2"/>
    <n v="111932.7731092438"/>
    <n v="50"/>
    <n v="273.6666666666666"/>
    <n v="25"/>
    <n v="0"/>
    <n v="0"/>
    <n v="0"/>
    <m/>
    <n v="555160.2"/>
    <n v="50715"/>
    <n v="0"/>
    <n v="0"/>
    <n v="273.6666666666666"/>
    <n v="555160.2"/>
    <n v="167857.1428571429"/>
    <n v="60"/>
    <n v="248.6666666666666"/>
    <n v="30"/>
    <n v="0"/>
    <n v="0"/>
    <n v="504445.1999999999"/>
    <n v="60858"/>
    <n v="0"/>
    <n v="0"/>
    <n v="248.6666666666666"/>
    <n v="504445.1999999999"/>
    <n v="211500"/>
    <n v="80"/>
    <n v="218.6666666666666"/>
    <n v="40"/>
    <n v="0"/>
    <n v="0"/>
    <n v="443587.1999999999"/>
    <n v="81144"/>
    <n v="0"/>
    <n v="218.6666666666666"/>
    <n v="443587.1999999999"/>
    <n v="335798.3193277311"/>
    <n v="36"/>
    <n v="178.6666666666666"/>
    <n v="18"/>
    <n v="0"/>
    <m/>
    <n v="362443.1999999999"/>
    <n v="38543.39999999999"/>
    <n v="0"/>
    <n v="178.6666666666666"/>
    <n v="362443.1999999999"/>
    <n v="151109.243697479"/>
  </r>
  <r>
    <m/>
    <x v="8"/>
    <x v="12"/>
    <x v="88"/>
    <s v="MTBOHWRAC420"/>
    <x v="691"/>
    <x v="527"/>
    <x v="0"/>
    <x v="2"/>
    <n v="0.6"/>
    <x v="422"/>
    <n v="325"/>
    <m/>
    <n v="0"/>
    <n v="2141.3"/>
    <n v="695922.4999999999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5"/>
    <s v=""/>
    <n v="14"/>
    <s v=""/>
    <n v="0.1365853658536585"/>
    <n v="11"/>
    <s v=""/>
    <n v="0.55"/>
    <n v="27"/>
    <s v=""/>
    <n v="0.6"/>
    <n v="15"/>
    <s v=""/>
    <n v="0.6"/>
    <n v="0"/>
    <n v="0"/>
    <n v="0"/>
    <n v="0"/>
    <n v="0"/>
    <n v="0"/>
    <n v="224836.5"/>
    <n v="0"/>
    <n v="0"/>
    <n v="0"/>
    <n v="325"/>
    <n v="695922.4999999999"/>
    <n v="0"/>
    <n v="0"/>
    <n v="0"/>
    <n v="0"/>
    <n v="0"/>
    <n v="0"/>
    <n v="0"/>
    <n v="254814.7"/>
    <n v="0"/>
    <n v="0"/>
    <n v="0"/>
    <n v="325"/>
    <n v="695922.4999999999"/>
    <n v="0"/>
    <n v="110.5"/>
    <n v="430"/>
    <n v="105"/>
    <n v="0"/>
    <n v="0"/>
    <n v="279157.9"/>
    <n v="920758.9999999999"/>
    <n v="224836.5"/>
    <n v="0"/>
    <n v="325"/>
    <n v="695922.4999999999"/>
    <n v="881470.5882352941"/>
    <n v="102.5"/>
    <n v="395"/>
    <n v="14"/>
    <n v="0"/>
    <n v="0"/>
    <n v="801297"/>
    <n v="29978.2"/>
    <n v="0"/>
    <n v="0"/>
    <n v="325"/>
    <n v="695922.4999999999"/>
    <n v="117529.4117647059"/>
    <n v="20"/>
    <n v="336"/>
    <n v="12"/>
    <m/>
    <n v="0"/>
    <n v="0"/>
    <n v="719476.7999999999"/>
    <n v="24343.2"/>
    <n v="0"/>
    <n v="0"/>
    <n v="325"/>
    <n v="695922.4999999999"/>
    <n v="100739.4957983193"/>
    <n v="45"/>
    <n v="352"/>
    <n v="27"/>
    <m/>
    <n v="0"/>
    <n v="0"/>
    <n v="753737.5999999999"/>
    <n v="54772.2"/>
    <n v="0"/>
    <n v="0"/>
    <n v="352"/>
    <n v="695922.4999999999"/>
    <n v="226663.8655462185"/>
    <n v="25"/>
    <n v="340"/>
    <n v="15"/>
    <n v="0"/>
    <n v="0"/>
    <n v="0"/>
    <n v="728041.9999999999"/>
    <n v="30429"/>
    <n v="0"/>
    <n v="0"/>
    <n v="340"/>
    <n v="695922.4999999999"/>
    <n v="125924.3697478992"/>
    <n v="25"/>
    <n v="325"/>
    <n v="15"/>
    <n v="0"/>
    <n v="0"/>
    <n v="0"/>
    <n v="695922.4999999999"/>
    <n v="30429"/>
    <n v="0"/>
    <n v="0"/>
    <n v="325"/>
    <n v="695922.4999999999"/>
    <n v="125924.3697478992"/>
    <n v="26.6666666666667"/>
    <n v="310"/>
    <n v="16.00000000000002"/>
    <n v="0"/>
    <n v="0"/>
    <m/>
    <n v="628866"/>
    <n v="32457.60000000003"/>
    <n v="0"/>
    <n v="0"/>
    <n v="310"/>
    <n v="628866"/>
    <n v="134319.3277310926"/>
    <n v="50"/>
    <n v="294"/>
    <n v="30"/>
    <n v="0"/>
    <n v="0"/>
    <n v="0"/>
    <m/>
    <n v="596408.4"/>
    <n v="60858"/>
    <n v="0"/>
    <n v="0"/>
    <n v="294"/>
    <n v="596408.4"/>
    <n v="201428.5714285714"/>
    <n v="60"/>
    <n v="264"/>
    <n v="36"/>
    <n v="0"/>
    <n v="0"/>
    <n v="535550.4"/>
    <n v="73029.59999999999"/>
    <n v="0"/>
    <n v="0"/>
    <n v="264"/>
    <n v="535550.4"/>
    <n v="253800"/>
    <n v="80"/>
    <n v="228"/>
    <n v="48"/>
    <n v="0"/>
    <n v="0"/>
    <n v="462520.8"/>
    <n v="97372.79999999999"/>
    <n v="0"/>
    <n v="228"/>
    <n v="462520.8"/>
    <n v="402957.9831932773"/>
    <n v="36"/>
    <n v="180"/>
    <n v="21.6"/>
    <n v="0"/>
    <m/>
    <n v="365148"/>
    <n v="46252.07999999999"/>
    <n v="0"/>
    <n v="180"/>
    <n v="365148"/>
    <n v="181331.09243697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laDinámica10" cacheId="2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5:T15" firstHeaderRow="1" firstDataRow="2" firstDataCol="5" rowPageCount="3" colPageCount="1"/>
  <pivotFields count="275">
    <pivotField compact="0" outline="0" showAll="0"/>
    <pivotField axis="axisRow" compact="0" outline="0" showAll="0" defaultSubtotal="0">
      <items count="17">
        <item m="1" x="13"/>
        <item sd="0" x="1"/>
        <item n="Simplit" sd="0" x="2"/>
        <item sd="0" x="0"/>
        <item sd="0" x="3"/>
        <item sd="0" x="4"/>
        <item m="1" x="14"/>
        <item m="1" x="9"/>
        <item m="1" x="10"/>
        <item m="1" x="11"/>
        <item m="1" x="12"/>
        <item sd="0" x="5"/>
        <item sd="0" x="6"/>
        <item m="1" x="15"/>
        <item h="1" sd="0" x="7"/>
        <item m="1" x="16"/>
        <item sd="0" x="8"/>
      </items>
    </pivotField>
    <pivotField axis="axisRow" compact="0" outline="0" showAll="0" defaultSubtotal="0">
      <items count="68">
        <item sd="0" x="15"/>
        <item sd="0" x="0"/>
        <item x="25"/>
        <item sd="0" x="30"/>
        <item sd="0" x="24"/>
        <item sd="0" x="27"/>
        <item sd="0" x="10"/>
        <item sd="0" m="1" x="67"/>
        <item sd="0" x="8"/>
        <item sd="0" x="20"/>
        <item sd="0" x="29"/>
        <item sd="0" x="9"/>
        <item sd="0" x="21"/>
        <item sd="0" x="11"/>
        <item sd="0" x="34"/>
        <item sd="0" x="28"/>
        <item sd="0" x="26"/>
        <item sd="0" x="12"/>
        <item sd="0" x="35"/>
        <item sd="0" x="22"/>
        <item sd="0" x="31"/>
        <item sd="0" x="32"/>
        <item sd="0" x="33"/>
        <item sd="0" x="17"/>
        <item sd="0" x="4"/>
        <item sd="0" x="18"/>
        <item sd="0" x="19"/>
        <item sd="0" x="6"/>
        <item sd="0" x="1"/>
        <item sd="0" x="3"/>
        <item sd="0" x="14"/>
        <item sd="0" x="7"/>
        <item sd="0" x="5"/>
        <item sd="0" m="1" x="51"/>
        <item sd="0" m="1" x="37"/>
        <item sd="0" m="1" x="61"/>
        <item sd="0" m="1" x="60"/>
        <item sd="0" m="1" x="63"/>
        <item sd="0" m="1" x="46"/>
        <item sd="0" m="1" x="44"/>
        <item sd="0" m="1" x="56"/>
        <item sd="0" m="1" x="65"/>
        <item sd="0" m="1" x="45"/>
        <item sd="0" m="1" x="57"/>
        <item sd="0" m="1" x="47"/>
        <item sd="0" m="1" x="64"/>
        <item sd="0" m="1" x="62"/>
        <item sd="0" m="1" x="48"/>
        <item sd="0" m="1" x="58"/>
        <item sd="0" m="1" x="66"/>
        <item sd="0" m="1" x="53"/>
        <item sd="0" m="1" x="40"/>
        <item sd="0" m="1" x="54"/>
        <item sd="0" m="1" x="55"/>
        <item sd="0" m="1" x="42"/>
        <item sd="0" m="1" x="38"/>
        <item sd="0" m="1" x="39"/>
        <item sd="0" m="1" x="50"/>
        <item sd="0" m="1" x="43"/>
        <item sd="0" m="1" x="41"/>
        <item sd="0" m="1" x="59"/>
        <item sd="0" m="1" x="52"/>
        <item sd="0" m="1" x="49"/>
        <item sd="0" x="23"/>
        <item sd="0" x="16"/>
        <item sd="0" x="13"/>
        <item sd="0" x="2"/>
        <item x="36"/>
      </items>
    </pivotField>
    <pivotField axis="axisRow" compact="0" outline="0" showAll="0" defaultSubtotal="0">
      <items count="90">
        <item m="1" x="89"/>
        <item x="87"/>
        <item x="77"/>
        <item x="71"/>
        <item x="21"/>
        <item x="74"/>
        <item x="60"/>
        <item x="83"/>
        <item x="7"/>
        <item x="22"/>
        <item x="24"/>
        <item x="57"/>
        <item x="86"/>
        <item x="65"/>
        <item x="54"/>
        <item x="43"/>
        <item x="26"/>
        <item x="28"/>
        <item x="2"/>
        <item x="49"/>
        <item x="36"/>
        <item x="42"/>
        <item x="31"/>
        <item x="8"/>
        <item x="10"/>
        <item x="0"/>
        <item x="1"/>
        <item x="11"/>
        <item x="67"/>
        <item x="78"/>
        <item x="50"/>
        <item x="55"/>
        <item x="48"/>
        <item x="85"/>
        <item x="3"/>
        <item x="84"/>
        <item x="52"/>
        <item x="58"/>
        <item x="63"/>
        <item x="13"/>
        <item x="4"/>
        <item x="70"/>
        <item x="34"/>
        <item x="61"/>
        <item x="59"/>
        <item x="79"/>
        <item x="69"/>
        <item x="62"/>
        <item x="25"/>
        <item x="44"/>
        <item x="80"/>
        <item x="12"/>
        <item x="16"/>
        <item x="27"/>
        <item x="6"/>
        <item x="72"/>
        <item x="17"/>
        <item x="41"/>
        <item x="37"/>
        <item x="40"/>
        <item x="23"/>
        <item x="9"/>
        <item x="20"/>
        <item x="82"/>
        <item x="39"/>
        <item x="38"/>
        <item x="14"/>
        <item x="45"/>
        <item x="75"/>
        <item x="53"/>
        <item x="68"/>
        <item x="66"/>
        <item x="81"/>
        <item x="32"/>
        <item x="33"/>
        <item x="19"/>
        <item x="18"/>
        <item x="73"/>
        <item x="51"/>
        <item x="30"/>
        <item x="15"/>
        <item x="46"/>
        <item x="29"/>
        <item x="35"/>
        <item x="64"/>
        <item x="47"/>
        <item x="56"/>
        <item x="5"/>
        <item x="88"/>
        <item x="76"/>
      </items>
    </pivotField>
    <pivotField compact="0" outline="0" showAll="0"/>
    <pivotField axis="axisRow" compact="0" outline="0" showAll="0" defaultSubtotal="0">
      <items count="720">
        <item x="24"/>
        <item m="1" x="694"/>
        <item x="34"/>
        <item m="1" x="711"/>
        <item x="35"/>
        <item x="78"/>
        <item x="76"/>
        <item m="1" x="712"/>
        <item x="77"/>
        <item x="127"/>
        <item x="669"/>
        <item x="72"/>
        <item x="75"/>
        <item x="79"/>
        <item m="1" x="713"/>
        <item m="1" x="714"/>
        <item x="71"/>
        <item x="73"/>
        <item x="138"/>
        <item x="137"/>
        <item x="114"/>
        <item x="106"/>
        <item x="74"/>
        <item x="520"/>
        <item x="499"/>
        <item m="1" x="702"/>
        <item x="565"/>
        <item m="1" x="715"/>
        <item x="462"/>
        <item x="463"/>
        <item x="482"/>
        <item x="481"/>
        <item x="444"/>
        <item x="443"/>
        <item x="456"/>
        <item x="457"/>
        <item x="208"/>
        <item x="216"/>
        <item x="217"/>
        <item x="218"/>
        <item m="1" x="708"/>
        <item m="1" x="709"/>
        <item m="1" x="704"/>
        <item m="1" x="705"/>
        <item x="464"/>
        <item m="1" x="703"/>
        <item x="496"/>
        <item x="513"/>
        <item x="516"/>
        <item x="545"/>
        <item x="1"/>
        <item x="584"/>
        <item x="582"/>
        <item x="588"/>
        <item m="1" x="710"/>
        <item x="207"/>
        <item x="209"/>
        <item x="210"/>
        <item x="32"/>
        <item x="0"/>
        <item x="483"/>
        <item x="515"/>
        <item x="514"/>
        <item x="490"/>
        <item x="491"/>
        <item x="492"/>
        <item x="548"/>
        <item x="546"/>
        <item x="497"/>
        <item x="596"/>
        <item m="1" x="696"/>
        <item m="1" x="697"/>
        <item x="25"/>
        <item x="566"/>
        <item x="11"/>
        <item m="1" x="692"/>
        <item x="13"/>
        <item m="1" x="719"/>
        <item x="581"/>
        <item x="54"/>
        <item x="56"/>
        <item m="1" x="699"/>
        <item m="1" x="700"/>
        <item x="38"/>
        <item x="39"/>
        <item x="521"/>
        <item x="549"/>
        <item m="1" x="716"/>
        <item x="465"/>
        <item x="453"/>
        <item x="455"/>
        <item m="1" x="717"/>
        <item x="493"/>
        <item x="524"/>
        <item x="525"/>
        <item x="498"/>
        <item x="522"/>
        <item x="502"/>
        <item x="503"/>
        <item x="504"/>
        <item x="505"/>
        <item x="506"/>
        <item x="507"/>
        <item x="508"/>
        <item x="563"/>
        <item x="500"/>
        <item x="593"/>
        <item x="580"/>
        <item m="1" x="698"/>
        <item x="128"/>
        <item x="129"/>
        <item m="1" x="693"/>
        <item x="14"/>
        <item x="458"/>
        <item x="459"/>
        <item x="460"/>
        <item x="538"/>
        <item x="537"/>
        <item x="539"/>
        <item x="540"/>
        <item x="33"/>
        <item x="501"/>
        <item x="29"/>
        <item m="1" x="706"/>
        <item m="1" x="707"/>
        <item x="91"/>
        <item m="1" x="695"/>
        <item x="92"/>
        <item x="93"/>
        <item x="94"/>
        <item x="95"/>
        <item x="550"/>
        <item x="541"/>
        <item x="542"/>
        <item x="543"/>
        <item x="551"/>
        <item x="552"/>
        <item x="544"/>
        <item m="1" x="718"/>
        <item x="494"/>
        <item x="495"/>
        <item x="461"/>
        <item m="1" x="701"/>
        <item x="564"/>
        <item x="526"/>
        <item x="527"/>
        <item x="80"/>
        <item x="81"/>
        <item x="82"/>
        <item x="590"/>
        <item x="86"/>
        <item x="85"/>
        <item x="107"/>
        <item x="108"/>
        <item x="109"/>
        <item x="166"/>
        <item x="167"/>
        <item x="168"/>
        <item x="141"/>
        <item x="142"/>
        <item x="143"/>
        <item x="144"/>
        <item x="145"/>
        <item x="146"/>
        <item x="153"/>
        <item x="154"/>
        <item x="155"/>
        <item x="120"/>
        <item x="117"/>
        <item x="119"/>
        <item x="116"/>
        <item x="118"/>
        <item x="115"/>
        <item x="203"/>
        <item x="199"/>
        <item x="200"/>
        <item x="201"/>
        <item x="202"/>
        <item x="83"/>
        <item x="84"/>
        <item x="87"/>
        <item x="88"/>
        <item x="228"/>
        <item x="227"/>
        <item x="225"/>
        <item x="226"/>
        <item x="229"/>
        <item x="230"/>
        <item x="222"/>
        <item x="224"/>
        <item x="223"/>
        <item x="232"/>
        <item x="231"/>
        <item x="113"/>
        <item x="112"/>
        <item x="111"/>
        <item x="193"/>
        <item x="194"/>
        <item x="198"/>
        <item x="195"/>
        <item x="196"/>
        <item x="197"/>
        <item x="139"/>
        <item x="140"/>
        <item x="124"/>
        <item x="125"/>
        <item x="104"/>
        <item x="105"/>
        <item x="100"/>
        <item x="103"/>
        <item x="101"/>
        <item x="102"/>
        <item x="96"/>
        <item x="99"/>
        <item x="97"/>
        <item x="98"/>
        <item x="205"/>
        <item x="206"/>
        <item x="215"/>
        <item x="213"/>
        <item x="214"/>
        <item x="211"/>
        <item x="212"/>
        <item x="185"/>
        <item x="186"/>
        <item x="187"/>
        <item x="188"/>
        <item x="234"/>
        <item x="233"/>
        <item x="147"/>
        <item x="148"/>
        <item x="149"/>
        <item x="150"/>
        <item x="151"/>
        <item x="152"/>
        <item x="189"/>
        <item x="190"/>
        <item x="191"/>
        <item x="192"/>
        <item x="15"/>
        <item x="37"/>
        <item x="48"/>
        <item x="49"/>
        <item x="46"/>
        <item x="47"/>
        <item x="26"/>
        <item x="40"/>
        <item x="41"/>
        <item x="64"/>
        <item x="42"/>
        <item x="17"/>
        <item x="50"/>
        <item x="52"/>
        <item x="51"/>
        <item x="30"/>
        <item x="68"/>
        <item x="20"/>
        <item x="27"/>
        <item x="55"/>
        <item x="60"/>
        <item x="62"/>
        <item x="61"/>
        <item x="534"/>
        <item x="532"/>
        <item x="533"/>
        <item x="445"/>
        <item x="448"/>
        <item x="577"/>
        <item x="574"/>
        <item x="578"/>
        <item x="484"/>
        <item x="478"/>
        <item x="477"/>
        <item x="474"/>
        <item x="473"/>
        <item x="468"/>
        <item x="475"/>
        <item x="467"/>
        <item x="476"/>
        <item x="469"/>
        <item x="470"/>
        <item x="560"/>
        <item x="561"/>
        <item x="559"/>
        <item x="562"/>
        <item x="568"/>
        <item x="567"/>
        <item x="570"/>
        <item x="480"/>
        <item x="576"/>
        <item x="573"/>
        <item x="579"/>
        <item x="575"/>
        <item x="509"/>
        <item x="510"/>
        <item x="511"/>
        <item x="512"/>
        <item x="446"/>
        <item x="447"/>
        <item x="23"/>
        <item x="454"/>
        <item x="89"/>
        <item x="90"/>
        <item x="615"/>
        <item x="616"/>
        <item x="617"/>
        <item x="618"/>
        <item x="619"/>
        <item x="620"/>
        <item x="621"/>
        <item x="43"/>
        <item x="601"/>
        <item x="597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2"/>
        <item x="3"/>
        <item x="4"/>
        <item x="5"/>
        <item x="6"/>
        <item x="7"/>
        <item x="8"/>
        <item x="9"/>
        <item x="10"/>
        <item x="66"/>
        <item x="67"/>
        <item x="628"/>
        <item x="629"/>
        <item x="630"/>
        <item x="631"/>
        <item x="632"/>
        <item x="648"/>
        <item x="645"/>
        <item x="646"/>
        <item x="647"/>
        <item x="634"/>
        <item x="639"/>
        <item x="640"/>
        <item x="641"/>
        <item x="633"/>
        <item x="644"/>
        <item x="653"/>
        <item x="642"/>
        <item x="449"/>
        <item x="253"/>
        <item x="110"/>
        <item x="126"/>
        <item x="130"/>
        <item x="131"/>
        <item x="132"/>
        <item x="133"/>
        <item x="134"/>
        <item x="36"/>
        <item x="622"/>
        <item x="659"/>
        <item x="660"/>
        <item x="661"/>
        <item x="662"/>
        <item x="663"/>
        <item x="664"/>
        <item x="665"/>
        <item x="666"/>
        <item x="667"/>
        <item x="668"/>
        <item x="528"/>
        <item x="529"/>
        <item x="530"/>
        <item x="531"/>
        <item x="627"/>
        <item x="571"/>
        <item x="156"/>
        <item x="157"/>
        <item x="158"/>
        <item x="159"/>
        <item x="160"/>
        <item x="161"/>
        <item x="162"/>
        <item x="163"/>
        <item x="523"/>
        <item x="517"/>
        <item x="466"/>
        <item x="553"/>
        <item x="554"/>
        <item x="555"/>
        <item x="556"/>
        <item x="557"/>
        <item x="558"/>
        <item x="479"/>
        <item x="603"/>
        <item x="602"/>
        <item x="608"/>
        <item x="624"/>
        <item x="355"/>
        <item x="356"/>
        <item x="357"/>
        <item x="358"/>
        <item x="359"/>
        <item x="360"/>
        <item x="361"/>
        <item x="362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654"/>
        <item x="655"/>
        <item x="656"/>
        <item x="657"/>
        <item x="658"/>
        <item x="22"/>
        <item x="28"/>
        <item x="63"/>
        <item x="169"/>
        <item x="170"/>
        <item x="171"/>
        <item x="172"/>
        <item x="173"/>
        <item x="174"/>
        <item x="643"/>
        <item x="53"/>
        <item x="16"/>
        <item x="363"/>
        <item x="364"/>
        <item x="365"/>
        <item x="366"/>
        <item x="65"/>
        <item x="31"/>
        <item x="57"/>
        <item x="58"/>
        <item x="59"/>
        <item x="204"/>
        <item x="451"/>
        <item x="452"/>
        <item x="471"/>
        <item x="472"/>
        <item x="569"/>
        <item x="572"/>
        <item x="649"/>
        <item x="625"/>
        <item x="585"/>
        <item x="586"/>
        <item x="587"/>
        <item x="589"/>
        <item x="594"/>
        <item x="595"/>
        <item x="651"/>
        <item x="69"/>
        <item x="70"/>
        <item x="547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599"/>
        <item x="600"/>
        <item x="598"/>
        <item x="21"/>
        <item x="44"/>
        <item x="45"/>
        <item x="121"/>
        <item x="122"/>
        <item x="123"/>
        <item x="135"/>
        <item x="175"/>
        <item x="176"/>
        <item x="177"/>
        <item x="178"/>
        <item x="179"/>
        <item x="180"/>
        <item x="181"/>
        <item x="182"/>
        <item x="183"/>
        <item x="184"/>
        <item x="485"/>
        <item x="486"/>
        <item x="487"/>
        <item x="488"/>
        <item x="489"/>
        <item x="519"/>
        <item x="535"/>
        <item x="536"/>
        <item x="623"/>
        <item x="626"/>
        <item x="635"/>
        <item x="636"/>
        <item x="637"/>
        <item x="638"/>
        <item x="650"/>
        <item x="652"/>
        <item x="18"/>
        <item x="19"/>
        <item x="164"/>
        <item x="165"/>
        <item x="604"/>
        <item x="605"/>
        <item x="607"/>
        <item x="609"/>
        <item x="610"/>
        <item x="611"/>
        <item x="612"/>
        <item x="613"/>
        <item x="614"/>
        <item x="583"/>
        <item x="606"/>
        <item x="12"/>
        <item x="136"/>
        <item x="219"/>
        <item x="220"/>
        <item x="221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450"/>
        <item x="591"/>
        <item x="592"/>
        <item x="518"/>
      </items>
    </pivotField>
    <pivotField axis="axisRow" compact="0" outline="0" multipleItemSelectionAllowed="1" showAll="0" defaultSubtotal="0">
      <items count="1239">
        <item m="1" x="674"/>
        <item m="1" x="722"/>
        <item m="1" x="717"/>
        <item m="1" x="716"/>
        <item m="1" x="715"/>
        <item m="1" x="714"/>
        <item m="1" x="718"/>
        <item m="1" x="725"/>
        <item m="1" x="724"/>
        <item m="1" x="726"/>
        <item m="1" x="727"/>
        <item m="1" x="721"/>
        <item m="1" x="720"/>
        <item m="1" x="746"/>
        <item m="1" x="747"/>
        <item m="1" x="748"/>
        <item m="1" x="745"/>
        <item m="1" x="1206"/>
        <item m="1" x="1160"/>
        <item m="1" x="1158"/>
        <item m="1" x="1159"/>
        <item x="291"/>
        <item x="290"/>
        <item m="1" x="1076"/>
        <item m="1" x="1077"/>
        <item m="1" x="1079"/>
        <item m="1" x="818"/>
        <item m="1" x="817"/>
        <item m="1" x="819"/>
        <item m="1" x="820"/>
        <item m="1" x="821"/>
        <item m="1" x="816"/>
        <item m="1" x="750"/>
        <item m="1" x="757"/>
        <item m="1" x="753"/>
        <item m="1" x="755"/>
        <item m="1" x="754"/>
        <item m="1" x="756"/>
        <item m="1" x="758"/>
        <item m="1" x="752"/>
        <item m="1" x="751"/>
        <item m="1" x="782"/>
        <item m="1" x="781"/>
        <item m="1" x="783"/>
        <item m="1" x="788"/>
        <item m="1" x="789"/>
        <item m="1" x="790"/>
        <item m="1" x="792"/>
        <item m="1" x="794"/>
        <item m="1" x="791"/>
        <item m="1" x="795"/>
        <item m="1" x="793"/>
        <item m="1" x="803"/>
        <item m="1" x="806"/>
        <item m="1" x="804"/>
        <item m="1" x="808"/>
        <item m="1" x="807"/>
        <item m="1" x="809"/>
        <item m="1" x="805"/>
        <item m="1" x="785"/>
        <item m="1" x="787"/>
        <item m="1" x="784"/>
        <item m="1" x="786"/>
        <item m="1" x="1111"/>
        <item m="1" x="1112"/>
        <item m="1" x="1113"/>
        <item m="1" x="1114"/>
        <item m="1" x="846"/>
        <item m="1" x="845"/>
        <item m="1" x="844"/>
        <item m="1" x="675"/>
        <item m="1" x="1110"/>
        <item m="1" x="680"/>
        <item m="1" x="681"/>
        <item m="1" x="1209"/>
        <item m="1" x="1134"/>
        <item m="1" x="1131"/>
        <item m="1" x="1133"/>
        <item m="1" x="1130"/>
        <item m="1" x="1132"/>
        <item m="1" x="1129"/>
        <item m="1" x="658"/>
        <item m="1" x="868"/>
        <item m="1" x="869"/>
        <item m="1" x="870"/>
        <item m="1" x="867"/>
        <item m="1" x="871"/>
        <item m="1" x="1093"/>
        <item m="1" x="1164"/>
        <item m="1" x="1162"/>
        <item m="1" x="1163"/>
        <item m="1" x="1161"/>
        <item m="1" x="1184"/>
        <item m="1" x="1185"/>
        <item m="1" x="1183"/>
        <item m="1" x="676"/>
        <item m="1" x="1146"/>
        <item m="1" x="1187"/>
        <item m="1" x="1186"/>
        <item m="1" x="1203"/>
        <item m="1" x="1204"/>
        <item m="1" x="1202"/>
        <item m="1" x="689"/>
        <item m="1" x="688"/>
        <item x="400"/>
        <item m="1" x="802"/>
        <item m="1" x="799"/>
        <item m="1" x="798"/>
        <item m="1" x="801"/>
        <item m="1" x="800"/>
        <item m="1" x="878"/>
        <item m="1" x="880"/>
        <item m="1" x="879"/>
        <item m="1" x="875"/>
        <item m="1" x="877"/>
        <item m="1" x="876"/>
        <item m="1" x="882"/>
        <item m="1" x="883"/>
        <item m="1" x="881"/>
        <item m="1" x="872"/>
        <item m="1" x="874"/>
        <item m="1" x="873"/>
        <item m="1" x="885"/>
        <item m="1" x="884"/>
        <item m="1" x="656"/>
        <item m="1" x="657"/>
        <item m="1" x="1188"/>
        <item m="1" x="1192"/>
        <item m="1" x="1191"/>
        <item m="1" x="1190"/>
        <item m="1" x="669"/>
        <item m="1" x="710"/>
        <item m="1" x="760"/>
        <item m="1" x="759"/>
        <item m="1" x="761"/>
        <item m="1" x="1081"/>
        <item m="1" x="1082"/>
        <item x="301"/>
        <item m="1" x="838"/>
        <item m="1" x="834"/>
        <item m="1" x="837"/>
        <item m="1" x="836"/>
        <item m="1" x="839"/>
        <item m="1" x="835"/>
        <item x="124"/>
        <item m="1" x="682"/>
        <item m="1" x="683"/>
        <item m="1" x="685"/>
        <item m="1" x="684"/>
        <item m="1" x="686"/>
        <item m="1" x="776"/>
        <item m="1" x="777"/>
        <item m="1" x="775"/>
        <item m="1" x="779"/>
        <item m="1" x="780"/>
        <item m="1" x="773"/>
        <item m="1" x="774"/>
        <item m="1" x="765"/>
        <item m="1" x="778"/>
        <item m="1" x="766"/>
        <item m="1" x="767"/>
        <item m="1" x="1147"/>
        <item m="1" x="762"/>
        <item m="1" x="1108"/>
        <item m="1" x="1109"/>
        <item m="1" x="1143"/>
        <item m="1" x="1140"/>
        <item m="1" x="1141"/>
        <item m="1" x="1142"/>
        <item sd="0" m="1" x="1125"/>
        <item x="91"/>
        <item m="1" x="734"/>
        <item m="1" x="743"/>
        <item m="1" x="744"/>
        <item m="1" x="739"/>
        <item m="1" x="742"/>
        <item m="1" x="740"/>
        <item m="1" x="741"/>
        <item m="1" x="735"/>
        <item m="1" x="738"/>
        <item m="1" x="736"/>
        <item m="1" x="737"/>
        <item m="1" x="732"/>
        <item m="1" x="730"/>
        <item m="1" x="731"/>
        <item m="1" x="733"/>
        <item m="1" x="1092"/>
        <item m="1" x="678"/>
        <item m="1" x="677"/>
        <item x="73"/>
        <item m="1" x="712"/>
        <item m="1" x="711"/>
        <item m="1" x="655"/>
        <item m="1" x="693"/>
        <item m="1" x="695"/>
        <item m="1" x="694"/>
        <item x="211"/>
        <item x="213"/>
        <item x="212"/>
        <item m="1" x="1084"/>
        <item m="1" x="1083"/>
        <item m="1" x="1085"/>
        <item x="505"/>
        <item m="1" x="1153"/>
        <item m="1" x="1152"/>
        <item m="1" x="1149"/>
        <item m="1" x="1151"/>
        <item m="1" x="1150"/>
        <item m="1" x="1208"/>
        <item m="1" x="1097"/>
        <item m="1" x="1189"/>
        <item m="1" x="1169"/>
        <item m="1" x="1200"/>
        <item m="1" x="1115"/>
        <item m="1" x="1173"/>
        <item m="1" x="1174"/>
        <item m="1" x="1170"/>
        <item m="1" x="1172"/>
        <item m="1" x="1124"/>
        <item m="1" x="1123"/>
        <item m="1" x="1201"/>
        <item m="1" x="1198"/>
        <item m="1" x="1195"/>
        <item m="1" x="1197"/>
        <item m="1" x="1194"/>
        <item m="1" x="1127"/>
        <item m="1" x="1199"/>
        <item m="1" x="1196"/>
        <item m="1" x="1168"/>
        <item m="1" x="1176"/>
        <item m="1" x="1167"/>
        <item m="1" x="1165"/>
        <item m="1" x="1166"/>
        <item m="1" x="1175"/>
        <item m="1" x="1126"/>
        <item m="1" x="1102"/>
        <item m="1" x="1103"/>
        <item m="1" x="1106"/>
        <item m="1" x="1105"/>
        <item x="322"/>
        <item m="1" x="1104"/>
        <item m="1" x="1128"/>
        <item m="1" x="1099"/>
        <item m="1" x="1098"/>
        <item m="1" x="1096"/>
        <item m="1" x="1145"/>
        <item m="1" x="1090"/>
        <item m="1" x="1091"/>
        <item m="1" x="713"/>
        <item m="1" x="672"/>
        <item m="1" x="673"/>
        <item m="1" x="851"/>
        <item m="1" x="852"/>
        <item m="1" x="853"/>
        <item m="1" x="847"/>
        <item m="1" x="849"/>
        <item m="1" x="850"/>
        <item m="1" x="848"/>
        <item m="1" x="865"/>
        <item m="1" x="866"/>
        <item m="1" x="858"/>
        <item m="1" x="854"/>
        <item m="1" x="856"/>
        <item m="1" x="857"/>
        <item x="203"/>
        <item m="1" x="859"/>
        <item m="1" x="862"/>
        <item m="1" x="864"/>
        <item m="1" x="863"/>
        <item m="1" x="855"/>
        <item m="1" x="860"/>
        <item m="1" x="861"/>
        <item m="1" x="645"/>
        <item m="1" x="644"/>
        <item m="1" x="709"/>
        <item m="1" x="1094"/>
        <item m="1" x="796"/>
        <item m="1" x="797"/>
        <item m="1" x="843"/>
        <item m="1" x="841"/>
        <item m="1" x="840"/>
        <item m="1" x="842"/>
        <item m="1" x="1117"/>
        <item m="1" x="1116"/>
        <item m="1" x="703"/>
        <item m="1" x="697"/>
        <item m="1" x="705"/>
        <item m="1" x="699"/>
        <item m="1" x="704"/>
        <item m="1" x="698"/>
        <item m="1" x="826"/>
        <item m="1" x="823"/>
        <item m="1" x="825"/>
        <item m="1" x="824"/>
        <item m="1" x="827"/>
        <item m="1" x="1089"/>
        <item m="1" x="1088"/>
        <item m="1" x="1087"/>
        <item m="1" x="1086"/>
        <item m="1" x="1119"/>
        <item m="1" x="1118"/>
        <item m="1" x="828"/>
        <item m="1" x="887"/>
        <item m="1" x="886"/>
        <item m="1" x="1205"/>
        <item m="1" x="539"/>
        <item m="1" x="1135"/>
        <item m="1" x="1136"/>
        <item m="1" x="1137"/>
        <item m="1" x="1138"/>
        <item m="1" x="1139"/>
        <item m="1" x="833"/>
        <item m="1" x="829"/>
        <item m="1" x="831"/>
        <item m="1" x="830"/>
        <item m="1" x="832"/>
        <item m="1" x="1121"/>
        <item m="1" x="1122"/>
        <item m="1" x="1120"/>
        <item m="1" x="668"/>
        <item m="1" x="540"/>
        <item m="1" x="719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7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664"/>
        <item m="1" x="670"/>
        <item m="1" x="661"/>
        <item m="1" x="984"/>
        <item m="1" x="985"/>
        <item m="1" x="986"/>
        <item m="1" x="920"/>
        <item m="1" x="921"/>
        <item m="1" x="922"/>
        <item m="1" x="923"/>
        <item x="453"/>
        <item x="454"/>
        <item m="1" x="1215"/>
        <item m="1" x="1216"/>
        <item x="456"/>
        <item x="457"/>
        <item x="458"/>
        <item m="1" x="666"/>
        <item m="1" x="671"/>
        <item m="1" x="72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707"/>
        <item m="1" x="1238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90"/>
        <item m="1" x="691"/>
        <item m="1" x="687"/>
        <item x="66"/>
        <item x="67"/>
        <item x="465"/>
        <item x="466"/>
        <item x="467"/>
        <item m="1" x="1220"/>
        <item x="468"/>
        <item x="469"/>
        <item m="1" x="1221"/>
        <item x="484"/>
        <item m="1" x="1223"/>
        <item m="1" x="1224"/>
        <item x="483"/>
        <item x="471"/>
        <item x="476"/>
        <item x="477"/>
        <item x="478"/>
        <item x="470"/>
        <item x="481"/>
        <item m="1" x="1226"/>
        <item x="479"/>
        <item m="1" x="749"/>
        <item m="1" x="764"/>
        <item m="1" x="768"/>
        <item m="1" x="769"/>
        <item m="1" x="770"/>
        <item m="1" x="771"/>
        <item m="1" x="772"/>
        <item m="1" x="679"/>
        <item m="1" x="1217"/>
        <item m="1" x="1232"/>
        <item x="496"/>
        <item m="1" x="1233"/>
        <item x="498"/>
        <item x="499"/>
        <item x="500"/>
        <item x="501"/>
        <item x="502"/>
        <item m="1" x="1234"/>
        <item x="504"/>
        <item m="1" x="706"/>
        <item m="1" x="728"/>
        <item m="1" x="729"/>
        <item m="1" x="1154"/>
        <item m="1" x="1155"/>
        <item m="1" x="1156"/>
        <item m="1" x="1157"/>
        <item m="1" x="1219"/>
        <item m="1" x="1193"/>
        <item m="1" x="810"/>
        <item m="1" x="811"/>
        <item m="1" x="812"/>
        <item m="1" x="813"/>
        <item m="1" x="814"/>
        <item m="1" x="1235"/>
        <item m="1" x="1236"/>
        <item m="1" x="1237"/>
        <item m="1" x="1148"/>
        <item m="1" x="1144"/>
        <item m="1" x="1095"/>
        <item m="1" x="1177"/>
        <item m="1" x="1178"/>
        <item m="1" x="1179"/>
        <item m="1" x="1180"/>
        <item m="1" x="1181"/>
        <item m="1" x="1182"/>
        <item m="1" x="1107"/>
        <item m="1" x="1213"/>
        <item m="1" x="1218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x="223"/>
        <item x="224"/>
        <item x="225"/>
        <item x="226"/>
        <item x="227"/>
        <item m="1" x="88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m="1" x="1227"/>
        <item m="1" x="1228"/>
        <item m="1" x="1229"/>
        <item m="1" x="1230"/>
        <item m="1" x="1231"/>
        <item m="1" x="1212"/>
        <item m="1" x="639"/>
        <item m="1" x="1078"/>
        <item m="1" x="1222"/>
        <item m="1" x="626"/>
        <item m="1" x="627"/>
        <item m="1" x="822"/>
        <item m="1" x="629"/>
        <item m="1" x="630"/>
        <item m="1" x="631"/>
        <item m="1" x="696"/>
        <item m="1" x="763"/>
        <item m="1" x="659"/>
        <item m="1" x="660"/>
        <item m="1" x="1210"/>
        <item m="1" x="1211"/>
        <item m="1" x="708"/>
        <item x="69"/>
        <item x="70"/>
        <item x="435"/>
        <item x="436"/>
        <item x="407"/>
        <item m="1" x="559"/>
        <item m="1" x="692"/>
        <item m="1" x="667"/>
        <item m="1" x="700"/>
        <item m="1" x="701"/>
        <item m="1" x="702"/>
        <item x="20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98"/>
        <item x="299"/>
        <item m="1" x="1100"/>
        <item m="1" x="1101"/>
        <item x="410"/>
        <item m="1" x="1225"/>
        <item m="1" x="1214"/>
        <item x="462"/>
        <item m="1" x="554"/>
        <item m="1" x="537"/>
        <item m="1" x="541"/>
        <item m="1" x="542"/>
        <item m="1" x="528"/>
        <item m="1" x="543"/>
        <item m="1" x="1207"/>
        <item m="1" x="634"/>
        <item m="1" x="547"/>
        <item m="1" x="1171"/>
        <item x="423"/>
        <item x="424"/>
        <item x="42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m="1" x="665"/>
        <item m="1" x="566"/>
        <item m="1" x="567"/>
        <item x="119"/>
        <item x="120"/>
        <item x="121"/>
        <item m="1" x="529"/>
        <item x="172"/>
        <item x="173"/>
        <item x="174"/>
        <item x="175"/>
        <item x="176"/>
        <item x="177"/>
        <item x="178"/>
        <item x="179"/>
        <item x="180"/>
        <item x="181"/>
        <item m="1" x="530"/>
        <item m="1" x="531"/>
        <item m="1" x="532"/>
        <item x="332"/>
        <item x="333"/>
        <item x="334"/>
        <item x="335"/>
        <item x="336"/>
        <item x="359"/>
        <item x="373"/>
        <item x="374"/>
        <item m="1" x="632"/>
        <item m="1" x="635"/>
        <item m="1" x="636"/>
        <item x="431"/>
        <item x="433"/>
        <item m="1" x="640"/>
        <item m="1" x="641"/>
        <item m="1" x="642"/>
        <item m="1" x="643"/>
        <item m="1" x="545"/>
        <item x="448"/>
        <item x="449"/>
        <item x="450"/>
        <item x="451"/>
        <item m="1" x="546"/>
        <item x="460"/>
        <item x="463"/>
        <item x="472"/>
        <item x="473"/>
        <item x="474"/>
        <item x="475"/>
        <item x="486"/>
        <item x="488"/>
        <item x="487"/>
        <item m="1" x="662"/>
        <item m="1" x="663"/>
        <item x="432"/>
        <item m="1" x="623"/>
        <item m="1" x="624"/>
        <item m="1" x="625"/>
        <item x="161"/>
        <item m="1" x="815"/>
        <item m="1" x="1080"/>
        <item m="1" x="533"/>
        <item m="1" x="549"/>
        <item m="1" x="550"/>
        <item m="1" x="551"/>
        <item m="1" x="552"/>
        <item m="1" x="553"/>
        <item x="8"/>
        <item x="9"/>
        <item x="10"/>
        <item x="11"/>
        <item x="13"/>
        <item x="14"/>
        <item m="1" x="555"/>
        <item m="1" x="556"/>
        <item x="17"/>
        <item x="18"/>
        <item x="19"/>
        <item x="20"/>
        <item x="21"/>
        <item x="22"/>
        <item m="1" x="557"/>
        <item m="1" x="558"/>
        <item x="26"/>
        <item x="27"/>
        <item x="28"/>
        <item x="29"/>
        <item x="30"/>
        <item x="32"/>
        <item x="33"/>
        <item m="1" x="560"/>
        <item m="1" x="561"/>
        <item x="36"/>
        <item x="37"/>
        <item m="1" x="562"/>
        <item m="1" x="563"/>
        <item m="1" x="564"/>
        <item m="1" x="565"/>
        <item x="43"/>
        <item m="1" x="568"/>
        <item m="1" x="569"/>
        <item m="1" x="570"/>
        <item x="49"/>
        <item x="50"/>
        <item x="51"/>
        <item x="52"/>
        <item x="54"/>
        <item x="55"/>
        <item x="56"/>
        <item x="57"/>
        <item x="58"/>
        <item x="59"/>
        <item m="1" x="571"/>
        <item m="1" x="572"/>
        <item m="1" x="573"/>
        <item m="1" x="574"/>
        <item x="64"/>
        <item m="1" x="575"/>
        <item m="1" x="576"/>
        <item x="71"/>
        <item x="72"/>
        <item x="74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x="85"/>
        <item x="86"/>
        <item m="1" x="586"/>
        <item m="1" x="587"/>
        <item m="1" x="588"/>
        <item m="1" x="589"/>
        <item m="1" x="590"/>
        <item m="1" x="591"/>
        <item x="106"/>
        <item x="107"/>
        <item x="108"/>
        <item x="112"/>
        <item m="1" x="592"/>
        <item m="1" x="593"/>
        <item m="1" x="594"/>
        <item m="1" x="595"/>
        <item m="1" x="596"/>
        <item x="122"/>
        <item x="123"/>
        <item x="125"/>
        <item x="12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x="144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x="162"/>
        <item x="163"/>
        <item x="164"/>
        <item x="165"/>
        <item m="1" x="628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2"/>
        <item x="204"/>
        <item x="205"/>
        <item x="206"/>
        <item x="207"/>
        <item x="208"/>
        <item x="209"/>
        <item x="210"/>
        <item x="217"/>
        <item x="218"/>
        <item x="219"/>
        <item x="220"/>
        <item x="221"/>
        <item x="222"/>
        <item x="228"/>
        <item x="241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2"/>
        <item x="293"/>
        <item x="294"/>
        <item x="295"/>
        <item x="296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5"/>
        <item x="326"/>
        <item x="327"/>
        <item x="328"/>
        <item x="329"/>
        <item x="330"/>
        <item x="331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1"/>
        <item x="402"/>
        <item x="403"/>
        <item x="404"/>
        <item x="405"/>
        <item x="406"/>
        <item x="408"/>
        <item x="409"/>
        <item x="411"/>
        <item x="412"/>
        <item x="413"/>
        <item x="414"/>
        <item x="415"/>
        <item x="416"/>
        <item x="417"/>
        <item x="418"/>
        <item x="419"/>
        <item x="420"/>
        <item x="422"/>
        <item m="1" x="633"/>
        <item x="428"/>
        <item x="434"/>
        <item m="1" x="637"/>
        <item x="438"/>
        <item m="1" x="638"/>
        <item x="440"/>
        <item x="446"/>
        <item x="455"/>
        <item x="459"/>
        <item x="461"/>
        <item x="464"/>
        <item x="480"/>
        <item x="482"/>
        <item x="485"/>
        <item x="489"/>
        <item x="490"/>
        <item x="491"/>
        <item x="492"/>
        <item x="493"/>
        <item x="494"/>
        <item x="495"/>
        <item x="497"/>
        <item x="503"/>
        <item x="0"/>
        <item x="1"/>
        <item x="2"/>
        <item x="3"/>
        <item x="4"/>
        <item x="5"/>
        <item x="6"/>
        <item x="7"/>
        <item m="1" x="536"/>
        <item x="15"/>
        <item x="16"/>
        <item x="24"/>
        <item x="25"/>
        <item x="31"/>
        <item x="34"/>
        <item x="35"/>
        <item x="38"/>
        <item x="39"/>
        <item x="40"/>
        <item x="41"/>
        <item x="42"/>
        <item x="44"/>
        <item x="45"/>
        <item x="46"/>
        <item x="47"/>
        <item x="48"/>
        <item x="60"/>
        <item x="61"/>
        <item x="62"/>
        <item x="63"/>
        <item x="65"/>
        <item x="68"/>
        <item x="75"/>
        <item x="76"/>
        <item x="77"/>
        <item x="78"/>
        <item x="79"/>
        <item x="80"/>
        <item x="81"/>
        <item x="82"/>
        <item x="83"/>
        <item x="84"/>
        <item x="87"/>
        <item x="88"/>
        <item x="89"/>
        <item x="90"/>
        <item x="92"/>
        <item m="1" x="548"/>
        <item x="95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18"/>
        <item x="115"/>
        <item x="117"/>
        <item m="1" x="538"/>
        <item x="116"/>
        <item x="113"/>
        <item x="110"/>
        <item x="111"/>
        <item x="109"/>
        <item x="127"/>
        <item x="128"/>
        <item x="129"/>
        <item x="130"/>
        <item x="131"/>
        <item x="134"/>
        <item x="135"/>
        <item x="136"/>
        <item x="137"/>
        <item x="138"/>
        <item x="139"/>
        <item x="140"/>
        <item x="141"/>
        <item x="142"/>
        <item x="143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6"/>
        <item x="167"/>
        <item x="168"/>
        <item x="169"/>
        <item x="170"/>
        <item x="171"/>
        <item x="421"/>
        <item x="426"/>
        <item x="427"/>
        <item m="1" x="534"/>
        <item m="1" x="535"/>
        <item x="437"/>
        <item x="439"/>
        <item x="441"/>
        <item x="442"/>
        <item x="443"/>
        <item m="1" x="544"/>
        <item x="445"/>
        <item x="93"/>
        <item x="444"/>
        <item x="447"/>
        <item x="452"/>
        <item x="23"/>
        <item x="53"/>
        <item x="114"/>
        <item x="12"/>
        <item x="132"/>
        <item x="133"/>
        <item x="214"/>
        <item x="215"/>
        <item x="216"/>
        <item x="297"/>
        <item x="429"/>
        <item x="430"/>
        <item x="358"/>
      </items>
    </pivotField>
    <pivotField axis="axisPage" compact="0" outline="0" multipleItemSelectionAllowed="1" showAll="0">
      <items count="4">
        <item x="0"/>
        <item h="1" m="1" x="2"/>
        <item h="1" x="1"/>
        <item t="default"/>
      </items>
    </pivotField>
    <pivotField axis="axisPage" compact="0" outline="0" showAll="0">
      <items count="10">
        <item x="3"/>
        <item x="4"/>
        <item x="0"/>
        <item x="1"/>
        <item x="2"/>
        <item x="6"/>
        <item x="5"/>
        <item x="8"/>
        <item x="7"/>
        <item t="default"/>
      </items>
    </pivotField>
    <pivotField compact="0" outline="0" showAll="0"/>
    <pivotField axis="axisPage" compact="0" outline="0" showAll="0">
      <items count="424">
        <item x="353"/>
        <item x="260"/>
        <item x="382"/>
        <item x="39"/>
        <item x="259"/>
        <item x="258"/>
        <item x="355"/>
        <item x="349"/>
        <item x="41"/>
        <item x="15"/>
        <item x="364"/>
        <item x="271"/>
        <item x="26"/>
        <item x="113"/>
        <item x="47"/>
        <item x="152"/>
        <item x="273"/>
        <item x="257"/>
        <item x="367"/>
        <item x="386"/>
        <item x="37"/>
        <item x="363"/>
        <item x="42"/>
        <item x="18"/>
        <item x="272"/>
        <item x="154"/>
        <item x="267"/>
        <item x="313"/>
        <item x="38"/>
        <item x="387"/>
        <item x="329"/>
        <item x="373"/>
        <item x="372"/>
        <item x="155"/>
        <item x="291"/>
        <item x="400"/>
        <item x="23"/>
        <item x="385"/>
        <item x="28"/>
        <item x="319"/>
        <item x="58"/>
        <item x="323"/>
        <item x="52"/>
        <item x="289"/>
        <item x="376"/>
        <item x="314"/>
        <item x="48"/>
        <item x="51"/>
        <item x="375"/>
        <item x="283"/>
        <item x="97"/>
        <item x="379"/>
        <item x="380"/>
        <item x="91"/>
        <item x="350"/>
        <item x="68"/>
        <item x="25"/>
        <item x="315"/>
        <item x="31"/>
        <item x="277"/>
        <item x="88"/>
        <item x="75"/>
        <item x="310"/>
        <item x="321"/>
        <item x="316"/>
        <item x="278"/>
        <item x="43"/>
        <item x="17"/>
        <item x="293"/>
        <item x="16"/>
        <item x="104"/>
        <item x="11"/>
        <item x="108"/>
        <item x="365"/>
        <item x="95"/>
        <item x="22"/>
        <item x="308"/>
        <item x="381"/>
        <item x="92"/>
        <item x="36"/>
        <item x="59"/>
        <item x="266"/>
        <item x="320"/>
        <item x="377"/>
        <item x="76"/>
        <item x="57"/>
        <item x="362"/>
        <item x="53"/>
        <item x="13"/>
        <item x="279"/>
        <item x="72"/>
        <item x="21"/>
        <item x="274"/>
        <item x="328"/>
        <item x="105"/>
        <item x="54"/>
        <item x="74"/>
        <item x="281"/>
        <item x="378"/>
        <item x="27"/>
        <item x="129"/>
        <item x="32"/>
        <item x="397"/>
        <item x="69"/>
        <item x="322"/>
        <item x="292"/>
        <item x="35"/>
        <item x="348"/>
        <item x="352"/>
        <item x="73"/>
        <item x="126"/>
        <item x="317"/>
        <item x="65"/>
        <item x="82"/>
        <item x="354"/>
        <item x="80"/>
        <item x="78"/>
        <item x="136"/>
        <item x="407"/>
        <item x="107"/>
        <item x="61"/>
        <item x="269"/>
        <item x="396"/>
        <item x="110"/>
        <item x="343"/>
        <item x="49"/>
        <item x="263"/>
        <item x="64"/>
        <item x="318"/>
        <item x="102"/>
        <item x="94"/>
        <item x="264"/>
        <item x="371"/>
        <item x="340"/>
        <item x="33"/>
        <item x="106"/>
        <item x="389"/>
        <item x="342"/>
        <item x="309"/>
        <item x="270"/>
        <item x="100"/>
        <item x="109"/>
        <item x="71"/>
        <item x="133"/>
        <item x="112"/>
        <item x="124"/>
        <item x="262"/>
        <item x="127"/>
        <item x="119"/>
        <item x="115"/>
        <item x="130"/>
        <item x="96"/>
        <item x="34"/>
        <item x="339"/>
        <item x="77"/>
        <item x="306"/>
        <item x="282"/>
        <item x="99"/>
        <item x="290"/>
        <item x="121"/>
        <item x="134"/>
        <item x="90"/>
        <item x="388"/>
        <item x="131"/>
        <item x="114"/>
        <item x="261"/>
        <item x="79"/>
        <item x="122"/>
        <item x="280"/>
        <item x="351"/>
        <item x="327"/>
        <item x="368"/>
        <item x="117"/>
        <item x="305"/>
        <item x="98"/>
        <item x="268"/>
        <item x="50"/>
        <item x="330"/>
        <item x="14"/>
        <item x="395"/>
        <item x="19"/>
        <item x="344"/>
        <item x="135"/>
        <item x="116"/>
        <item x="93"/>
        <item x="125"/>
        <item x="63"/>
        <item x="70"/>
        <item x="415"/>
        <item x="137"/>
        <item x="87"/>
        <item x="85"/>
        <item x="276"/>
        <item x="40"/>
        <item x="86"/>
        <item x="331"/>
        <item x="120"/>
        <item x="302"/>
        <item x="66"/>
        <item x="138"/>
        <item x="24"/>
        <item x="10"/>
        <item x="393"/>
        <item x="332"/>
        <item x="62"/>
        <item x="357"/>
        <item x="128"/>
        <item x="30"/>
        <item x="29"/>
        <item x="81"/>
        <item x="284"/>
        <item x="311"/>
        <item x="123"/>
        <item x="303"/>
        <item x="103"/>
        <item x="325"/>
        <item x="324"/>
        <item x="366"/>
        <item x="359"/>
        <item x="84"/>
        <item x="356"/>
        <item x="89"/>
        <item x="301"/>
        <item x="139"/>
        <item x="55"/>
        <item x="83"/>
        <item x="142"/>
        <item x="326"/>
        <item x="361"/>
        <item x="265"/>
        <item x="358"/>
        <item x="409"/>
        <item x="360"/>
        <item x="147"/>
        <item x="0"/>
        <item x="312"/>
        <item x="288"/>
        <item x="140"/>
        <item x="144"/>
        <item x="416"/>
        <item x="307"/>
        <item x="341"/>
        <item x="4"/>
        <item x="175"/>
        <item x="9"/>
        <item x="390"/>
        <item x="345"/>
        <item x="8"/>
        <item x="285"/>
        <item x="408"/>
        <item x="336"/>
        <item x="412"/>
        <item x="410"/>
        <item x="338"/>
        <item x="149"/>
        <item x="176"/>
        <item x="174"/>
        <item x="7"/>
        <item x="394"/>
        <item x="56"/>
        <item x="300"/>
        <item x="173"/>
        <item x="145"/>
        <item x="5"/>
        <item x="417"/>
        <item x="401"/>
        <item x="418"/>
        <item x="337"/>
        <item x="346"/>
        <item x="383"/>
        <item x="347"/>
        <item x="333"/>
        <item x="146"/>
        <item x="20"/>
        <item x="12"/>
        <item x="67"/>
        <item x="179"/>
        <item x="247"/>
        <item x="180"/>
        <item x="295"/>
        <item x="169"/>
        <item x="118"/>
        <item x="404"/>
        <item x="60"/>
        <item x="143"/>
        <item x="203"/>
        <item x="215"/>
        <item x="200"/>
        <item x="421"/>
        <item x="245"/>
        <item x="190"/>
        <item x="132"/>
        <item x="226"/>
        <item x="240"/>
        <item x="170"/>
        <item x="255"/>
        <item x="211"/>
        <item x="402"/>
        <item x="181"/>
        <item x="172"/>
        <item x="210"/>
        <item x="208"/>
        <item x="158"/>
        <item x="195"/>
        <item x="199"/>
        <item x="168"/>
        <item x="216"/>
        <item x="405"/>
        <item x="299"/>
        <item x="157"/>
        <item x="184"/>
        <item x="220"/>
        <item x="374"/>
        <item x="253"/>
        <item x="398"/>
        <item x="212"/>
        <item x="298"/>
        <item x="186"/>
        <item x="217"/>
        <item x="420"/>
        <item x="249"/>
        <item x="206"/>
        <item x="222"/>
        <item x="164"/>
        <item x="197"/>
        <item x="185"/>
        <item x="205"/>
        <item x="182"/>
        <item x="161"/>
        <item x="223"/>
        <item x="156"/>
        <item x="171"/>
        <item x="218"/>
        <item x="2"/>
        <item x="246"/>
        <item x="196"/>
        <item x="411"/>
        <item x="252"/>
        <item x="198"/>
        <item x="406"/>
        <item x="419"/>
        <item x="241"/>
        <item x="235"/>
        <item x="178"/>
        <item x="189"/>
        <item x="163"/>
        <item x="243"/>
        <item x="167"/>
        <item x="1"/>
        <item x="188"/>
        <item x="414"/>
        <item x="248"/>
        <item x="159"/>
        <item x="46"/>
        <item x="204"/>
        <item x="294"/>
        <item x="275"/>
        <item x="296"/>
        <item x="191"/>
        <item x="44"/>
        <item x="422"/>
        <item x="335"/>
        <item x="239"/>
        <item x="6"/>
        <item x="192"/>
        <item x="304"/>
        <item x="187"/>
        <item x="286"/>
        <item x="207"/>
        <item x="287"/>
        <item x="384"/>
        <item x="403"/>
        <item x="183"/>
        <item x="219"/>
        <item x="297"/>
        <item x="369"/>
        <item x="141"/>
        <item x="3"/>
        <item x="162"/>
        <item x="151"/>
        <item x="165"/>
        <item x="194"/>
        <item x="45"/>
        <item x="101"/>
        <item x="111"/>
        <item x="148"/>
        <item x="150"/>
        <item x="153"/>
        <item x="160"/>
        <item x="166"/>
        <item x="177"/>
        <item x="193"/>
        <item x="201"/>
        <item x="202"/>
        <item x="209"/>
        <item x="213"/>
        <item x="214"/>
        <item x="221"/>
        <item x="224"/>
        <item x="225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42"/>
        <item x="244"/>
        <item x="250"/>
        <item x="251"/>
        <item x="254"/>
        <item x="256"/>
        <item x="334"/>
        <item x="370"/>
        <item x="391"/>
        <item x="392"/>
        <item x="399"/>
        <item x="41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41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5">
    <field x="1"/>
    <field x="2"/>
    <field x="3"/>
    <field x="5"/>
    <field x="6"/>
  </rowFields>
  <rowItems count="9">
    <i>
      <x v="1"/>
    </i>
    <i>
      <x v="2"/>
    </i>
    <i>
      <x v="3"/>
    </i>
    <i>
      <x v="4"/>
    </i>
    <i>
      <x v="5"/>
    </i>
    <i>
      <x v="11"/>
    </i>
    <i>
      <x v="12"/>
    </i>
    <i>
      <x v="16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3">
    <pageField fld="7" hier="-1"/>
    <pageField fld="8" hier="-1"/>
    <pageField fld="10" hier="-1"/>
  </pageFields>
  <dataFields count="15">
    <dataField name=" Stock HOY" fld="11" baseField="1" baseItem="4" numFmtId="3"/>
    <dataField name=" Transito JUL 26" fld="146" baseField="1" baseItem="1" numFmtId="3"/>
    <dataField name=" Stock + Pedido Unid JUL26" fld="152" baseField="1" baseItem="1" numFmtId="3"/>
    <dataField name="  Venta PPTO JUL26" fld="144" baseField="1" baseItem="1" numFmtId="3"/>
    <dataField name=" Cobert. JUL 26 Unid" fld="271" baseField="1" baseItem="1" numFmtId="4"/>
    <dataField name=" Stock Inicial AGO26" fld="156" baseField="1" baseItem="1" numFmtId="3"/>
    <dataField name=" Transito AGO 26" fld="159" baseField="1" baseItem="1" numFmtId="3"/>
    <dataField name=" Stock + Pedido Unid AGO26" fld="165" baseField="1" baseItem="1" numFmtId="3"/>
    <dataField name="  Venta PPTO AGO26" fld="157" baseField="1" baseItem="1" numFmtId="3"/>
    <dataField name=" Cobert. AGO 26 Unid" fld="272" baseField="1" baseItem="1" numFmtId="4"/>
    <dataField name=" Stock Inicial SEP26" fld="169" baseField="1" baseItem="1" numFmtId="3"/>
    <dataField name=" Transito SEP 26" fld="172" baseField="1" baseItem="1" numFmtId="3"/>
    <dataField name=" Stock + Pedido Unid SEP26" fld="178" baseField="1" baseItem="1" numFmtId="3"/>
    <dataField name="  Venta PPTO SEP26" fld="170" baseField="1" baseItem="1" numFmtId="3"/>
    <dataField name=" Cobert. SEP 26 Unid" fld="273" baseField="1" baseItem="1" numFmtId="4"/>
  </dataFields>
  <formats count="18">
    <format dxfId="17">
      <pivotArea outline="0" fieldPosition="0">
        <references count="1">
          <reference field="4294967294" count="1">
            <x v="0"/>
          </reference>
        </references>
      </pivotArea>
    </format>
    <format dxfId="16">
      <pivotArea dataOnly="0" outline="0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dataOnly="0" outline="0" fieldPosition="0">
        <references count="1">
          <reference field="4294967294" count="1">
            <x v="0"/>
          </reference>
        </references>
      </pivotArea>
    </format>
    <format dxfId="13">
      <pivotArea outline="0" fieldPosition="0">
        <references count="1">
          <reference field="4294967294" count="1">
            <x v="1"/>
          </reference>
        </references>
      </pivotArea>
    </format>
    <format dxfId="12">
      <pivotArea outline="0" fieldPosition="0">
        <references count="1">
          <reference field="4294967294" count="1">
            <x v="2"/>
          </reference>
        </references>
      </pivotArea>
    </format>
    <format dxfId="11">
      <pivotArea outline="0" fieldPosition="0">
        <references count="1">
          <reference field="4294967294" count="1">
            <x v="3"/>
          </reference>
        </references>
      </pivotArea>
    </format>
    <format dxfId="10">
      <pivotArea outline="0" fieldPosition="0">
        <references count="1">
          <reference field="4294967294" count="1">
            <x v="5"/>
          </reference>
        </references>
      </pivotArea>
    </format>
    <format dxfId="9">
      <pivotArea outline="0" fieldPosition="0">
        <references count="1">
          <reference field="4294967294" count="1">
            <x v="6"/>
          </reference>
        </references>
      </pivotArea>
    </format>
    <format dxfId="8">
      <pivotArea outline="0" fieldPosition="0">
        <references count="1">
          <reference field="4294967294" count="1">
            <x v="7"/>
          </reference>
        </references>
      </pivotArea>
    </format>
    <format dxfId="7">
      <pivotArea outline="0" fieldPosition="0">
        <references count="1">
          <reference field="4294967294" count="1">
            <x v="8"/>
          </reference>
        </references>
      </pivotArea>
    </format>
    <format dxfId="6">
      <pivotArea outline="0" fieldPosition="0">
        <references count="1">
          <reference field="4294967294" count="1">
            <x v="10"/>
          </reference>
        </references>
      </pivotArea>
    </format>
    <format dxfId="5">
      <pivotArea outline="0" fieldPosition="0">
        <references count="1">
          <reference field="4294967294" count="1">
            <x v="11"/>
          </reference>
        </references>
      </pivotArea>
    </format>
    <format dxfId="4">
      <pivotArea outline="0" fieldPosition="0">
        <references count="1">
          <reference field="4294967294" count="1">
            <x v="12"/>
          </reference>
        </references>
      </pivotArea>
    </format>
    <format dxfId="3">
      <pivotArea outline="0" fieldPosition="0">
        <references count="1">
          <reference field="4294967294" count="1">
            <x v="13"/>
          </reference>
        </references>
      </pivotArea>
    </format>
    <format dxfId="2">
      <pivotArea outline="0" fieldPosition="0">
        <references count="1">
          <reference field="4294967294" count="1">
            <x v="4"/>
          </reference>
        </references>
      </pivotArea>
    </format>
    <format dxfId="1">
      <pivotArea outline="0" fieldPosition="0">
        <references count="1">
          <reference field="4294967294" count="1">
            <x v="9"/>
          </reference>
        </references>
      </pivotArea>
    </format>
    <format dxfId="0">
      <pivotArea outline="0" fieldPosition="0">
        <references count="1">
          <reference field="4294967294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workbookViewId="0">
      <pane xSplit="1" ySplit="3" topLeftCell="B7" activePane="bottomRight" state="frozen"/>
      <selection pane="topRight"/>
      <selection pane="bottomLeft"/>
      <selection pane="bottomRight" activeCell="H17" sqref="H17"/>
    </sheetView>
  </sheetViews>
  <sheetFormatPr baseColWidth="10" defaultColWidth="8.88671875" defaultRowHeight="14.4" x14ac:dyDescent="0.3"/>
  <cols>
    <col min="1" max="1" width="22" style="160" customWidth="1"/>
    <col min="2" max="7" width="15" style="160" customWidth="1"/>
    <col min="8" max="11" width="8.88671875" style="160" customWidth="1"/>
    <col min="12" max="16384" width="8.88671875" style="160"/>
  </cols>
  <sheetData>
    <row r="1" spans="1:7" ht="25.95" customHeight="1" x14ac:dyDescent="0.3">
      <c r="A1" s="173" t="s">
        <v>583</v>
      </c>
      <c r="B1" s="174"/>
      <c r="C1" s="174"/>
      <c r="D1" s="174"/>
      <c r="E1" s="174"/>
      <c r="F1" s="174"/>
      <c r="G1" s="174"/>
    </row>
    <row r="2" spans="1:7" ht="18" customHeight="1" x14ac:dyDescent="0.3">
      <c r="A2" s="177" t="s">
        <v>584</v>
      </c>
      <c r="B2" s="174"/>
      <c r="C2" s="174"/>
      <c r="D2" s="174"/>
      <c r="E2" s="174"/>
      <c r="F2" s="174"/>
      <c r="G2" s="174"/>
    </row>
    <row r="3" spans="1:7" ht="25.95" customHeight="1" x14ac:dyDescent="0.3">
      <c r="A3" s="175" t="s">
        <v>585</v>
      </c>
      <c r="B3" s="174"/>
      <c r="C3" s="174"/>
      <c r="D3" s="174"/>
      <c r="E3" s="174"/>
      <c r="F3" s="174"/>
      <c r="G3" s="174"/>
    </row>
    <row r="4" spans="1:7" ht="22.05" customHeight="1" x14ac:dyDescent="0.3">
      <c r="A4" s="22" t="s">
        <v>586</v>
      </c>
      <c r="B4" s="23" t="s">
        <v>587</v>
      </c>
      <c r="C4" s="23" t="s">
        <v>588</v>
      </c>
      <c r="D4" s="24" t="s">
        <v>589</v>
      </c>
      <c r="E4" s="25" t="s">
        <v>590</v>
      </c>
      <c r="F4" s="25" t="s">
        <v>591</v>
      </c>
      <c r="G4" s="26" t="s">
        <v>592</v>
      </c>
    </row>
    <row r="5" spans="1:7" ht="16.05" customHeight="1" x14ac:dyDescent="0.3">
      <c r="A5" s="9" t="s">
        <v>593</v>
      </c>
      <c r="B5" s="10">
        <v>115916305.4165616</v>
      </c>
      <c r="C5" s="10">
        <v>115916305.4165616</v>
      </c>
      <c r="D5" s="11">
        <v>124697698.3193277</v>
      </c>
      <c r="E5" s="27">
        <v>8781392.9027661383</v>
      </c>
      <c r="F5" s="36">
        <v>1.0757563215218859</v>
      </c>
      <c r="G5" s="29">
        <v>1.0757563215218859</v>
      </c>
    </row>
    <row r="6" spans="1:7" ht="16.05" customHeight="1" x14ac:dyDescent="0.3">
      <c r="A6" s="9" t="s">
        <v>594</v>
      </c>
      <c r="B6" s="10">
        <v>86090966.491178811</v>
      </c>
      <c r="C6" s="10">
        <v>86090966.491178811</v>
      </c>
      <c r="D6" s="11">
        <v>92640384.033613443</v>
      </c>
      <c r="E6" s="27">
        <v>6549417.5424346328</v>
      </c>
      <c r="F6" s="36">
        <v>1.076075549031102</v>
      </c>
      <c r="G6" s="29">
        <v>1.076075549031102</v>
      </c>
    </row>
    <row r="7" spans="1:7" ht="16.05" customHeight="1" x14ac:dyDescent="0.3">
      <c r="A7" s="9" t="s">
        <v>595</v>
      </c>
      <c r="B7" s="10">
        <v>192881079.04619879</v>
      </c>
      <c r="C7" s="10">
        <v>192881079.04619879</v>
      </c>
      <c r="D7" s="11">
        <v>162681326.89075631</v>
      </c>
      <c r="E7" s="27">
        <v>-30199752.15544248</v>
      </c>
      <c r="F7" s="37">
        <v>0.84342812522212696</v>
      </c>
      <c r="G7" s="29">
        <v>0.84342812522212696</v>
      </c>
    </row>
    <row r="8" spans="1:7" ht="16.05" customHeight="1" x14ac:dyDescent="0.3">
      <c r="A8" s="9" t="s">
        <v>596</v>
      </c>
      <c r="B8" s="10">
        <v>20670638.049603321</v>
      </c>
      <c r="C8" s="10">
        <v>20670638.049603321</v>
      </c>
      <c r="D8" s="11">
        <v>26693401.680672269</v>
      </c>
      <c r="E8" s="27">
        <v>6022763.6310689487</v>
      </c>
      <c r="F8" s="28">
        <v>1.291368056303638</v>
      </c>
      <c r="G8" s="29">
        <v>1.291368056303638</v>
      </c>
    </row>
    <row r="9" spans="1:7" ht="16.05" customHeight="1" x14ac:dyDescent="0.3">
      <c r="A9" s="9" t="s">
        <v>597</v>
      </c>
      <c r="B9" s="10">
        <v>24690624.69800644</v>
      </c>
      <c r="C9" s="10">
        <v>24690624.69800644</v>
      </c>
      <c r="D9" s="11">
        <v>72580098.319327742</v>
      </c>
      <c r="E9" s="27">
        <v>47889473.621321313</v>
      </c>
      <c r="F9" s="28">
        <v>2.939581286705474</v>
      </c>
      <c r="G9" s="29">
        <v>2.939581286705474</v>
      </c>
    </row>
    <row r="10" spans="1:7" ht="16.05" customHeight="1" x14ac:dyDescent="0.3">
      <c r="A10" s="9" t="s">
        <v>598</v>
      </c>
      <c r="B10" s="10">
        <v>25562804.591623541</v>
      </c>
      <c r="C10" s="10">
        <v>25562804.591623541</v>
      </c>
      <c r="D10" s="11">
        <v>32747897.478991602</v>
      </c>
      <c r="E10" s="27">
        <v>7185092.8873680569</v>
      </c>
      <c r="F10" s="28">
        <v>1.2810760791764799</v>
      </c>
      <c r="G10" s="29">
        <v>1.2810760791764799</v>
      </c>
    </row>
    <row r="11" spans="1:7" ht="16.05" customHeight="1" x14ac:dyDescent="0.3">
      <c r="A11" s="9" t="s">
        <v>599</v>
      </c>
      <c r="B11" s="10">
        <v>8028453.9441583203</v>
      </c>
      <c r="C11" s="10">
        <v>8028453.9441583203</v>
      </c>
      <c r="D11" s="11">
        <v>4089185.7142857141</v>
      </c>
      <c r="E11" s="27">
        <v>-3939268.2298726062</v>
      </c>
      <c r="F11" s="30">
        <v>0.50933663476528945</v>
      </c>
      <c r="G11" s="29">
        <v>0.50933663476528945</v>
      </c>
    </row>
    <row r="12" spans="1:7" ht="16.05" customHeight="1" x14ac:dyDescent="0.3">
      <c r="A12" s="9" t="s">
        <v>600</v>
      </c>
      <c r="B12" s="10">
        <v>6000000</v>
      </c>
      <c r="C12" s="10">
        <v>6000000</v>
      </c>
      <c r="D12" s="11">
        <v>411315.12605041999</v>
      </c>
      <c r="E12" s="27">
        <v>-5588684.8739495799</v>
      </c>
      <c r="F12" s="30">
        <v>6.8552521008403325E-2</v>
      </c>
      <c r="G12" s="29">
        <v>6.8552521008403325E-2</v>
      </c>
    </row>
    <row r="13" spans="1:7" ht="19.95" customHeight="1" x14ac:dyDescent="0.3">
      <c r="A13" s="16" t="s">
        <v>581</v>
      </c>
      <c r="B13" s="13">
        <v>481040872.23733091</v>
      </c>
      <c r="C13" s="13">
        <v>481040872.23733091</v>
      </c>
      <c r="D13" s="14">
        <v>516541307.56302518</v>
      </c>
      <c r="E13" s="31">
        <v>35500435.325694323</v>
      </c>
      <c r="F13" s="36">
        <v>1.073799207873088</v>
      </c>
      <c r="G13" s="32">
        <v>1.073799207873088</v>
      </c>
    </row>
    <row r="15" spans="1:7" ht="25.95" customHeight="1" x14ac:dyDescent="0.3">
      <c r="A15" s="176" t="s">
        <v>601</v>
      </c>
      <c r="B15" s="174"/>
      <c r="C15" s="174"/>
      <c r="D15" s="174"/>
      <c r="E15" s="174"/>
      <c r="F15" s="174"/>
      <c r="G15" s="174"/>
    </row>
    <row r="16" spans="1:7" ht="22.05" customHeight="1" x14ac:dyDescent="0.3">
      <c r="A16" s="33" t="s">
        <v>586</v>
      </c>
      <c r="B16" s="23" t="s">
        <v>587</v>
      </c>
      <c r="C16" s="23" t="s">
        <v>588</v>
      </c>
      <c r="D16" s="24" t="s">
        <v>589</v>
      </c>
      <c r="E16" s="25" t="s">
        <v>590</v>
      </c>
      <c r="F16" s="25" t="s">
        <v>591</v>
      </c>
      <c r="G16" s="26" t="s">
        <v>592</v>
      </c>
    </row>
    <row r="17" spans="1:7" ht="16.05" customHeight="1" x14ac:dyDescent="0.3">
      <c r="A17" s="21" t="s">
        <v>593</v>
      </c>
      <c r="B17" s="10">
        <v>59250236.432499997</v>
      </c>
      <c r="C17" s="10">
        <v>59250236.432499997</v>
      </c>
      <c r="D17" s="11">
        <v>61147506.455825731</v>
      </c>
      <c r="E17" s="27">
        <v>1897270.0233257341</v>
      </c>
      <c r="F17" s="36">
        <v>1.032021307214313</v>
      </c>
      <c r="G17" s="29">
        <v>1.032021307214313</v>
      </c>
    </row>
    <row r="18" spans="1:7" ht="16.05" customHeight="1" x14ac:dyDescent="0.3">
      <c r="A18" s="21" t="s">
        <v>594</v>
      </c>
      <c r="B18" s="10">
        <v>42747745.310999997</v>
      </c>
      <c r="C18" s="10">
        <v>42747745.310999997</v>
      </c>
      <c r="D18" s="11">
        <v>44177280.376171403</v>
      </c>
      <c r="E18" s="27">
        <v>1429535.065171398</v>
      </c>
      <c r="F18" s="36">
        <v>1.033441180459254</v>
      </c>
      <c r="G18" s="29">
        <v>1.033441180459254</v>
      </c>
    </row>
    <row r="19" spans="1:7" ht="16.05" customHeight="1" x14ac:dyDescent="0.3">
      <c r="A19" s="21" t="s">
        <v>595</v>
      </c>
      <c r="B19" s="10">
        <v>106006303.5924</v>
      </c>
      <c r="C19" s="10">
        <v>106006303.5924</v>
      </c>
      <c r="D19" s="11">
        <v>89562800.484622076</v>
      </c>
      <c r="E19" s="27">
        <v>-16443503.10777792</v>
      </c>
      <c r="F19" s="37">
        <v>0.8448818367348786</v>
      </c>
      <c r="G19" s="29">
        <v>0.8448818367348786</v>
      </c>
    </row>
    <row r="20" spans="1:7" ht="16.05" customHeight="1" x14ac:dyDescent="0.3">
      <c r="A20" s="21" t="s">
        <v>596</v>
      </c>
      <c r="B20" s="10">
        <v>11368850.927300001</v>
      </c>
      <c r="C20" s="10">
        <v>11368850.927300001</v>
      </c>
      <c r="D20" s="11">
        <v>12878100.445754889</v>
      </c>
      <c r="E20" s="27">
        <v>1509249.518454887</v>
      </c>
      <c r="F20" s="28">
        <v>1.1327530396964509</v>
      </c>
      <c r="G20" s="29">
        <v>1.1327530396964509</v>
      </c>
    </row>
    <row r="21" spans="1:7" ht="16.05" customHeight="1" x14ac:dyDescent="0.3">
      <c r="A21" s="21" t="s">
        <v>597</v>
      </c>
      <c r="B21" s="10">
        <v>14085545.777799999</v>
      </c>
      <c r="C21" s="10">
        <v>14085545.777799999</v>
      </c>
      <c r="D21" s="11">
        <v>42373363.03608638</v>
      </c>
      <c r="E21" s="27">
        <v>28287817.258286379</v>
      </c>
      <c r="F21" s="28">
        <v>3.0082869137289912</v>
      </c>
      <c r="G21" s="29">
        <v>3.0082869137289912</v>
      </c>
    </row>
    <row r="22" spans="1:7" ht="16.05" customHeight="1" x14ac:dyDescent="0.3">
      <c r="A22" s="21" t="s">
        <v>598</v>
      </c>
      <c r="B22" s="10">
        <v>10282328.975199999</v>
      </c>
      <c r="C22" s="10">
        <v>10282328.975199999</v>
      </c>
      <c r="D22" s="11">
        <v>20400113.969101399</v>
      </c>
      <c r="E22" s="27">
        <v>10117784.9939014</v>
      </c>
      <c r="F22" s="28">
        <v>1.9839974015910731</v>
      </c>
      <c r="G22" s="29">
        <v>1.9839974015910731</v>
      </c>
    </row>
    <row r="23" spans="1:7" ht="16.05" customHeight="1" x14ac:dyDescent="0.3">
      <c r="A23" s="21" t="s">
        <v>599</v>
      </c>
      <c r="B23" s="10">
        <v>2689532.0712930369</v>
      </c>
      <c r="C23" s="10">
        <v>2689532.0712930369</v>
      </c>
      <c r="D23" s="11">
        <v>2619326</v>
      </c>
      <c r="E23" s="27">
        <v>-70206.071293036919</v>
      </c>
      <c r="F23" s="36">
        <v>0.97389654801205472</v>
      </c>
      <c r="G23" s="29">
        <v>0.97389654801205472</v>
      </c>
    </row>
    <row r="24" spans="1:7" ht="16.05" customHeight="1" x14ac:dyDescent="0.3">
      <c r="A24" s="21" t="s">
        <v>600</v>
      </c>
      <c r="B24" s="10">
        <v>3000000</v>
      </c>
      <c r="C24" s="10">
        <v>3000000</v>
      </c>
      <c r="D24" s="11">
        <v>190399</v>
      </c>
      <c r="E24" s="27">
        <v>-2809601</v>
      </c>
      <c r="F24" s="30">
        <v>6.3466333333333333E-2</v>
      </c>
      <c r="G24" s="29">
        <v>6.3466333333333333E-2</v>
      </c>
    </row>
    <row r="25" spans="1:7" ht="19.95" customHeight="1" x14ac:dyDescent="0.3">
      <c r="A25" s="16" t="s">
        <v>581</v>
      </c>
      <c r="B25" s="13">
        <v>249430543.087493</v>
      </c>
      <c r="C25" s="13">
        <v>249430543.087493</v>
      </c>
      <c r="D25" s="14">
        <v>273348889.76856142</v>
      </c>
      <c r="E25" s="31">
        <v>23918346.68106842</v>
      </c>
      <c r="F25" s="36">
        <v>1.095891811744476</v>
      </c>
      <c r="G25" s="32">
        <v>1.095891811744476</v>
      </c>
    </row>
    <row r="27" spans="1:7" ht="25.95" customHeight="1" x14ac:dyDescent="0.3">
      <c r="A27" s="175" t="s">
        <v>602</v>
      </c>
      <c r="B27" s="174"/>
      <c r="C27" s="174"/>
      <c r="D27" s="174"/>
      <c r="E27" s="174"/>
      <c r="F27" s="174"/>
      <c r="G27" s="174"/>
    </row>
    <row r="28" spans="1:7" ht="22.05" customHeight="1" x14ac:dyDescent="0.3">
      <c r="A28" s="22" t="s">
        <v>603</v>
      </c>
      <c r="B28" s="23" t="s">
        <v>587</v>
      </c>
      <c r="C28" s="23" t="s">
        <v>588</v>
      </c>
      <c r="D28" s="24" t="s">
        <v>589</v>
      </c>
      <c r="E28" s="25" t="s">
        <v>590</v>
      </c>
      <c r="F28" s="25" t="s">
        <v>591</v>
      </c>
      <c r="G28" s="26" t="s">
        <v>592</v>
      </c>
    </row>
    <row r="29" spans="1:7" ht="16.05" customHeight="1" x14ac:dyDescent="0.3">
      <c r="A29" s="9" t="s">
        <v>604</v>
      </c>
      <c r="B29" s="10">
        <v>0</v>
      </c>
      <c r="C29" s="10">
        <v>0</v>
      </c>
      <c r="D29" s="11">
        <v>393471.42857142899</v>
      </c>
      <c r="E29" s="27">
        <v>393471.42857142899</v>
      </c>
      <c r="F29" s="34" t="s">
        <v>185</v>
      </c>
      <c r="G29" s="35" t="s">
        <v>185</v>
      </c>
    </row>
    <row r="30" spans="1:7" ht="16.05" customHeight="1" x14ac:dyDescent="0.3">
      <c r="A30" s="9" t="s">
        <v>605</v>
      </c>
      <c r="B30" s="10">
        <v>26000000</v>
      </c>
      <c r="C30" s="10">
        <v>26000000</v>
      </c>
      <c r="D30" s="11">
        <v>34816709.243697479</v>
      </c>
      <c r="E30" s="27">
        <v>8816709.2436974794</v>
      </c>
      <c r="F30" s="28">
        <v>1.339104201680672</v>
      </c>
      <c r="G30" s="29">
        <v>1.339104201680672</v>
      </c>
    </row>
    <row r="31" spans="1:7" ht="16.05" customHeight="1" x14ac:dyDescent="0.3">
      <c r="A31" s="9" t="s">
        <v>606</v>
      </c>
      <c r="B31" s="10">
        <v>20000000</v>
      </c>
      <c r="C31" s="10">
        <v>20000000</v>
      </c>
      <c r="D31" s="11">
        <v>24940802.52100841</v>
      </c>
      <c r="E31" s="27">
        <v>4940802.5210084058</v>
      </c>
      <c r="F31" s="36">
        <v>1.24704012605042</v>
      </c>
      <c r="G31" s="29">
        <v>1.24704012605042</v>
      </c>
    </row>
    <row r="32" spans="1:7" ht="16.05" customHeight="1" x14ac:dyDescent="0.3">
      <c r="A32" s="9" t="s">
        <v>607</v>
      </c>
      <c r="B32" s="10">
        <v>22413612.3011062</v>
      </c>
      <c r="C32" s="10">
        <v>22413612.3011062</v>
      </c>
      <c r="D32" s="11">
        <v>53851637.815126047</v>
      </c>
      <c r="E32" s="27">
        <v>31438025.514019851</v>
      </c>
      <c r="F32" s="28">
        <v>2.4026309142711582</v>
      </c>
      <c r="G32" s="29">
        <v>2.4026309142711582</v>
      </c>
    </row>
    <row r="33" spans="1:7" ht="16.05" customHeight="1" x14ac:dyDescent="0.3">
      <c r="A33" s="9" t="s">
        <v>608</v>
      </c>
      <c r="B33" s="10">
        <v>375592372.43622458</v>
      </c>
      <c r="C33" s="10">
        <v>375592372.43622458</v>
      </c>
      <c r="D33" s="11">
        <v>367287437.81512612</v>
      </c>
      <c r="E33" s="27">
        <v>-8304934.6210985184</v>
      </c>
      <c r="F33" s="37">
        <v>0.97788843642582568</v>
      </c>
      <c r="G33" s="29">
        <v>0.97788843642582568</v>
      </c>
    </row>
    <row r="34" spans="1:7" ht="16.05" customHeight="1" x14ac:dyDescent="0.3">
      <c r="A34" s="9" t="s">
        <v>609</v>
      </c>
      <c r="B34" s="10">
        <v>37034887.5</v>
      </c>
      <c r="C34" s="10">
        <v>37034887.5</v>
      </c>
      <c r="D34" s="11">
        <v>35086092.436974794</v>
      </c>
      <c r="E34" s="27">
        <v>-1948795.0630252061</v>
      </c>
      <c r="F34" s="37">
        <v>0.94737947933485134</v>
      </c>
      <c r="G34" s="29">
        <v>0.94737947933485134</v>
      </c>
    </row>
    <row r="35" spans="1:7" ht="16.05" customHeight="1" x14ac:dyDescent="0.3">
      <c r="A35" s="9" t="s">
        <v>610</v>
      </c>
      <c r="B35" s="10">
        <v>0</v>
      </c>
      <c r="C35" s="10">
        <v>0</v>
      </c>
      <c r="D35" s="11">
        <v>0</v>
      </c>
      <c r="E35" s="27">
        <v>0</v>
      </c>
      <c r="F35" s="34" t="s">
        <v>185</v>
      </c>
      <c r="G35" s="35" t="s">
        <v>185</v>
      </c>
    </row>
    <row r="36" spans="1:7" ht="19.95" customHeight="1" x14ac:dyDescent="0.3">
      <c r="A36" s="16" t="s">
        <v>581</v>
      </c>
      <c r="B36" s="13">
        <v>481040872.23733091</v>
      </c>
      <c r="C36" s="13">
        <v>481040872.23733091</v>
      </c>
      <c r="D36" s="14">
        <v>516376151.26050419</v>
      </c>
      <c r="E36" s="31">
        <v>35335279.023173332</v>
      </c>
      <c r="F36" s="36">
        <v>1.073455876750822</v>
      </c>
      <c r="G36" s="32">
        <v>1.073455876750822</v>
      </c>
    </row>
    <row r="38" spans="1:7" ht="25.95" customHeight="1" x14ac:dyDescent="0.3">
      <c r="A38" s="176" t="s">
        <v>611</v>
      </c>
      <c r="B38" s="174"/>
      <c r="C38" s="174"/>
      <c r="D38" s="174"/>
      <c r="E38" s="174"/>
      <c r="F38" s="174"/>
      <c r="G38" s="174"/>
    </row>
    <row r="39" spans="1:7" ht="22.05" customHeight="1" x14ac:dyDescent="0.3">
      <c r="A39" s="33" t="s">
        <v>603</v>
      </c>
      <c r="B39" s="23" t="s">
        <v>587</v>
      </c>
      <c r="C39" s="23" t="s">
        <v>588</v>
      </c>
      <c r="D39" s="24" t="s">
        <v>589</v>
      </c>
      <c r="E39" s="25" t="s">
        <v>590</v>
      </c>
      <c r="F39" s="25" t="s">
        <v>591</v>
      </c>
      <c r="G39" s="26" t="s">
        <v>592</v>
      </c>
    </row>
    <row r="40" spans="1:7" ht="16.05" customHeight="1" x14ac:dyDescent="0.3">
      <c r="A40" s="21" t="s">
        <v>604</v>
      </c>
      <c r="B40" s="10">
        <v>0</v>
      </c>
      <c r="C40" s="10">
        <v>0</v>
      </c>
      <c r="D40" s="11">
        <v>419553.04088902002</v>
      </c>
      <c r="E40" s="27">
        <v>419553.04088902002</v>
      </c>
      <c r="F40" s="34" t="s">
        <v>185</v>
      </c>
      <c r="G40" s="35" t="s">
        <v>185</v>
      </c>
    </row>
    <row r="41" spans="1:7" ht="16.05" customHeight="1" x14ac:dyDescent="0.3">
      <c r="A41" s="21" t="s">
        <v>605</v>
      </c>
      <c r="B41" s="10">
        <v>10192000</v>
      </c>
      <c r="C41" s="10">
        <v>10192000</v>
      </c>
      <c r="D41" s="11">
        <v>15455540.86966208</v>
      </c>
      <c r="E41" s="27">
        <v>5263540.8696620762</v>
      </c>
      <c r="F41" s="28">
        <v>1.516438468373438</v>
      </c>
      <c r="G41" s="29">
        <v>1.516438468373438</v>
      </c>
    </row>
    <row r="42" spans="1:7" ht="16.05" customHeight="1" x14ac:dyDescent="0.3">
      <c r="A42" s="21" t="s">
        <v>606</v>
      </c>
      <c r="B42" s="10">
        <v>6940000</v>
      </c>
      <c r="C42" s="10">
        <v>6940000</v>
      </c>
      <c r="D42" s="11">
        <v>6780319.6305861771</v>
      </c>
      <c r="E42" s="27">
        <v>-159680.36941382289</v>
      </c>
      <c r="F42" s="37">
        <v>0.97699130123720135</v>
      </c>
      <c r="G42" s="29">
        <v>0.97699130123720135</v>
      </c>
    </row>
    <row r="43" spans="1:7" ht="16.05" customHeight="1" x14ac:dyDescent="0.3">
      <c r="A43" s="21" t="s">
        <v>607</v>
      </c>
      <c r="B43" s="10">
        <v>12217660.065300001</v>
      </c>
      <c r="C43" s="10">
        <v>12217660.065300001</v>
      </c>
      <c r="D43" s="11">
        <v>30849191.361155909</v>
      </c>
      <c r="E43" s="27">
        <v>18631531.29585591</v>
      </c>
      <c r="F43" s="28">
        <v>2.5249672356470509</v>
      </c>
      <c r="G43" s="29">
        <v>2.5249672356470509</v>
      </c>
    </row>
    <row r="44" spans="1:7" ht="16.05" customHeight="1" x14ac:dyDescent="0.3">
      <c r="A44" s="21" t="s">
        <v>608</v>
      </c>
      <c r="B44" s="10">
        <v>200301311.19959301</v>
      </c>
      <c r="C44" s="10">
        <v>200301311.19959301</v>
      </c>
      <c r="D44" s="11">
        <v>202264611.60823771</v>
      </c>
      <c r="E44" s="27">
        <v>1963300.408644706</v>
      </c>
      <c r="F44" s="36">
        <v>1.009801735180297</v>
      </c>
      <c r="G44" s="29">
        <v>1.009801735180297</v>
      </c>
    </row>
    <row r="45" spans="1:7" ht="16.05" customHeight="1" x14ac:dyDescent="0.3">
      <c r="A45" s="21" t="s">
        <v>609</v>
      </c>
      <c r="B45" s="10">
        <v>20139571.8226</v>
      </c>
      <c r="C45" s="10">
        <v>20139571.8226</v>
      </c>
      <c r="D45" s="11">
        <v>17595145.258030601</v>
      </c>
      <c r="E45" s="27">
        <v>-2544426.5645693992</v>
      </c>
      <c r="F45" s="37">
        <v>0.87366034457027919</v>
      </c>
      <c r="G45" s="29">
        <v>0.87366034457027919</v>
      </c>
    </row>
    <row r="46" spans="1:7" ht="16.05" customHeight="1" x14ac:dyDescent="0.3">
      <c r="A46" s="21" t="s">
        <v>610</v>
      </c>
      <c r="B46" s="10">
        <v>0</v>
      </c>
      <c r="C46" s="10">
        <v>0</v>
      </c>
      <c r="D46" s="11">
        <v>0</v>
      </c>
      <c r="E46" s="27">
        <v>0</v>
      </c>
      <c r="F46" s="34" t="s">
        <v>185</v>
      </c>
      <c r="G46" s="35" t="s">
        <v>185</v>
      </c>
    </row>
    <row r="47" spans="1:7" ht="19.95" customHeight="1" x14ac:dyDescent="0.3">
      <c r="A47" s="16" t="s">
        <v>581</v>
      </c>
      <c r="B47" s="13">
        <v>249790543.087493</v>
      </c>
      <c r="C47" s="13">
        <v>249790543.087493</v>
      </c>
      <c r="D47" s="14">
        <v>273364361.76856142</v>
      </c>
      <c r="E47" s="31">
        <v>23573818.68106842</v>
      </c>
      <c r="F47" s="36">
        <v>1.094374344159263</v>
      </c>
      <c r="G47" s="32">
        <v>1.094374344159263</v>
      </c>
    </row>
  </sheetData>
  <mergeCells count="6">
    <mergeCell ref="A1:G1"/>
    <mergeCell ref="A27:G27"/>
    <mergeCell ref="A3:G3"/>
    <mergeCell ref="A38:G38"/>
    <mergeCell ref="A2:G2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9"/>
  <sheetViews>
    <sheetView workbookViewId="0">
      <pane xSplit="1" ySplit="4" topLeftCell="E5" activePane="bottomRight" state="frozen"/>
      <selection pane="topRight"/>
      <selection pane="bottomLeft"/>
      <selection pane="bottomRight" activeCell="T15" sqref="T15"/>
    </sheetView>
  </sheetViews>
  <sheetFormatPr baseColWidth="10" defaultColWidth="8.88671875" defaultRowHeight="14.4" x14ac:dyDescent="0.3"/>
  <cols>
    <col min="1" max="1" width="20" style="160" customWidth="1"/>
    <col min="2" max="3" width="13" style="160" customWidth="1"/>
    <col min="4" max="4" width="7.44140625" style="160" customWidth="1"/>
    <col min="5" max="6" width="13" style="160" customWidth="1"/>
    <col min="7" max="7" width="7.44140625" style="160" customWidth="1"/>
    <col min="8" max="9" width="13" style="160" customWidth="1"/>
    <col min="10" max="10" width="7.44140625" style="160" customWidth="1"/>
    <col min="11" max="12" width="13" style="160" customWidth="1"/>
    <col min="13" max="13" width="7.44140625" style="160" customWidth="1"/>
    <col min="14" max="15" width="13" style="160" customWidth="1"/>
    <col min="16" max="16" width="7.44140625" style="160" customWidth="1"/>
    <col min="17" max="18" width="13" style="160" customWidth="1"/>
    <col min="19" max="19" width="7.44140625" style="160" customWidth="1"/>
    <col min="20" max="21" width="13" style="160" customWidth="1"/>
    <col min="22" max="22" width="7.44140625" style="160" customWidth="1"/>
    <col min="23" max="24" width="13" style="160" customWidth="1"/>
    <col min="25" max="25" width="7.44140625" style="160" customWidth="1"/>
    <col min="26" max="29" width="8.88671875" style="160" customWidth="1"/>
    <col min="30" max="16384" width="8.88671875" style="160"/>
  </cols>
  <sheetData>
    <row r="1" spans="1:25" ht="25.95" customHeight="1" x14ac:dyDescent="0.3">
      <c r="A1" s="173" t="s">
        <v>612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</row>
    <row r="2" spans="1:25" ht="16.05" customHeight="1" x14ac:dyDescent="0.3">
      <c r="A2" s="177" t="s">
        <v>613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</row>
    <row r="3" spans="1:25" ht="25.95" customHeight="1" x14ac:dyDescent="0.3">
      <c r="A3" s="175" t="s">
        <v>585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</row>
    <row r="4" spans="1:25" ht="13.95" customHeight="1" x14ac:dyDescent="0.3">
      <c r="A4" s="177" t="s">
        <v>614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</row>
    <row r="5" spans="1:25" ht="19.95" customHeight="1" x14ac:dyDescent="0.3">
      <c r="A5" s="1" t="s">
        <v>586</v>
      </c>
      <c r="B5" s="178" t="s">
        <v>615</v>
      </c>
      <c r="C5" s="179"/>
      <c r="D5" s="180"/>
      <c r="E5" s="178" t="s">
        <v>616</v>
      </c>
      <c r="F5" s="179"/>
      <c r="G5" s="180"/>
      <c r="H5" s="178" t="s">
        <v>617</v>
      </c>
      <c r="I5" s="179"/>
      <c r="J5" s="180"/>
      <c r="K5" s="178" t="s">
        <v>618</v>
      </c>
      <c r="L5" s="179"/>
      <c r="M5" s="180"/>
      <c r="N5" s="178" t="s">
        <v>619</v>
      </c>
      <c r="O5" s="179"/>
      <c r="P5" s="180"/>
      <c r="Q5" s="178" t="s">
        <v>620</v>
      </c>
      <c r="R5" s="179"/>
      <c r="S5" s="180"/>
      <c r="T5" s="178" t="s">
        <v>621</v>
      </c>
      <c r="U5" s="179"/>
      <c r="V5" s="180"/>
      <c r="W5" s="182" t="s">
        <v>622</v>
      </c>
      <c r="X5" s="179"/>
      <c r="Y5" s="180"/>
    </row>
    <row r="6" spans="1:25" ht="18" customHeight="1" x14ac:dyDescent="0.3">
      <c r="A6" s="2"/>
      <c r="B6" s="3" t="s">
        <v>623</v>
      </c>
      <c r="C6" s="4" t="s">
        <v>624</v>
      </c>
      <c r="D6" s="5" t="s">
        <v>625</v>
      </c>
      <c r="E6" s="3" t="s">
        <v>623</v>
      </c>
      <c r="F6" s="4" t="s">
        <v>624</v>
      </c>
      <c r="G6" s="5" t="s">
        <v>625</v>
      </c>
      <c r="H6" s="3" t="s">
        <v>623</v>
      </c>
      <c r="I6" s="4" t="s">
        <v>624</v>
      </c>
      <c r="J6" s="5" t="s">
        <v>625</v>
      </c>
      <c r="K6" s="3" t="s">
        <v>623</v>
      </c>
      <c r="L6" s="4" t="s">
        <v>624</v>
      </c>
      <c r="M6" s="5" t="s">
        <v>625</v>
      </c>
      <c r="N6" s="3" t="s">
        <v>623</v>
      </c>
      <c r="O6" s="4" t="s">
        <v>624</v>
      </c>
      <c r="P6" s="5" t="s">
        <v>625</v>
      </c>
      <c r="Q6" s="3" t="s">
        <v>623</v>
      </c>
      <c r="R6" s="4" t="s">
        <v>624</v>
      </c>
      <c r="S6" s="5" t="s">
        <v>625</v>
      </c>
      <c r="T6" s="3" t="s">
        <v>623</v>
      </c>
      <c r="U6" s="4" t="s">
        <v>624</v>
      </c>
      <c r="V6" s="5" t="s">
        <v>625</v>
      </c>
      <c r="W6" s="6" t="s">
        <v>623</v>
      </c>
      <c r="X6" s="7" t="s">
        <v>624</v>
      </c>
      <c r="Y6" s="8" t="s">
        <v>625</v>
      </c>
    </row>
    <row r="7" spans="1:25" ht="16.05" customHeight="1" x14ac:dyDescent="0.3">
      <c r="A7" s="9" t="s">
        <v>593</v>
      </c>
      <c r="B7" s="10">
        <v>87809057.555528745</v>
      </c>
      <c r="C7" s="11">
        <v>52891566.915457591</v>
      </c>
      <c r="D7" s="12">
        <f t="shared" ref="D7:D15" si="0">IF(B7&lt;&gt;0,C7/B7-1,"")</f>
        <v>-0.39765249294459182</v>
      </c>
      <c r="E7" s="10">
        <v>117841980.22172651</v>
      </c>
      <c r="F7" s="11">
        <v>66010402.887834817</v>
      </c>
      <c r="G7" s="12">
        <f t="shared" ref="G7:G15" si="1">IF(E7&lt;&gt;0,F7/E7-1,"")</f>
        <v>-0.43983966695372545</v>
      </c>
      <c r="H7" s="10">
        <v>119239817.0410714</v>
      </c>
      <c r="I7" s="11">
        <v>121976787.5081038</v>
      </c>
      <c r="J7" s="12">
        <f t="shared" ref="J7:J15" si="2">IF(H7&lt;&gt;0,I7/H7-1,"")</f>
        <v>2.2953494352391246E-2</v>
      </c>
      <c r="K7" s="10">
        <v>98041148.156365678</v>
      </c>
      <c r="L7" s="11">
        <v>106691105.5863068</v>
      </c>
      <c r="M7" s="12">
        <f t="shared" ref="M7:M15" si="3">IF(K7&lt;&gt;0,L7/K7-1,"")</f>
        <v>8.8227826709508905E-2</v>
      </c>
      <c r="N7" s="10">
        <v>132226402.9667538</v>
      </c>
      <c r="O7" s="11">
        <v>88746713.445378155</v>
      </c>
      <c r="P7" s="12">
        <f t="shared" ref="P7:P15" si="4">IF(N7&lt;&gt;0,O7/N7-1,"")</f>
        <v>-0.32882759075211254</v>
      </c>
      <c r="Q7" s="10">
        <v>169700632.88840511</v>
      </c>
      <c r="R7" s="11">
        <v>180680933.6134454</v>
      </c>
      <c r="S7" s="12">
        <f t="shared" ref="S7:S15" si="5">IF(Q7&lt;&gt;0,R7/Q7-1,"")</f>
        <v>6.4703946815925617E-2</v>
      </c>
      <c r="T7" s="10">
        <v>115916305.4165616</v>
      </c>
      <c r="U7" s="11">
        <v>124697698.3193277</v>
      </c>
      <c r="V7" s="12">
        <f t="shared" ref="V7:V15" si="6">IF(T7&lt;&gt;0,U7/T7-1,"")</f>
        <v>7.5756321521885273E-2</v>
      </c>
      <c r="W7" s="13">
        <f t="shared" ref="W7:X14" si="7">B7+E7+H7+K7+N7+Q7+T7</f>
        <v>840775344.24641287</v>
      </c>
      <c r="X7" s="14">
        <f t="shared" si="7"/>
        <v>741695208.27585423</v>
      </c>
      <c r="Y7" s="15">
        <f t="shared" ref="Y7:Y15" si="8">IF(W7&lt;&gt;0,X7/W7-1,"")</f>
        <v>-0.11784376962119913</v>
      </c>
    </row>
    <row r="8" spans="1:25" ht="16.05" customHeight="1" x14ac:dyDescent="0.3">
      <c r="A8" s="9" t="s">
        <v>594</v>
      </c>
      <c r="B8" s="10">
        <v>122753611.4869757</v>
      </c>
      <c r="C8" s="11">
        <v>122162034.416032</v>
      </c>
      <c r="D8" s="12">
        <f t="shared" si="0"/>
        <v>-4.8192233513754124E-3</v>
      </c>
      <c r="E8" s="10">
        <v>103363078.1238147</v>
      </c>
      <c r="F8" s="11">
        <v>80150512.539493337</v>
      </c>
      <c r="G8" s="12">
        <f t="shared" si="1"/>
        <v>-0.22457308746664761</v>
      </c>
      <c r="H8" s="10">
        <v>149465838.40696341</v>
      </c>
      <c r="I8" s="11">
        <v>124646327.8058733</v>
      </c>
      <c r="J8" s="12">
        <f t="shared" si="2"/>
        <v>-0.16605473776229662</v>
      </c>
      <c r="K8" s="10">
        <v>112923698.18048801</v>
      </c>
      <c r="L8" s="11">
        <v>66563517.829446226</v>
      </c>
      <c r="M8" s="12">
        <f t="shared" si="3"/>
        <v>-0.41054429759237476</v>
      </c>
      <c r="N8" s="10">
        <v>95772368.937458754</v>
      </c>
      <c r="O8" s="11">
        <v>80956123.092830881</v>
      </c>
      <c r="P8" s="12">
        <f t="shared" si="4"/>
        <v>-0.15470271863383867</v>
      </c>
      <c r="Q8" s="10">
        <v>166563195.19136319</v>
      </c>
      <c r="R8" s="11">
        <v>94223894.117647067</v>
      </c>
      <c r="S8" s="12">
        <f t="shared" si="5"/>
        <v>-0.43430543578733616</v>
      </c>
      <c r="T8" s="10">
        <v>86090966.491178811</v>
      </c>
      <c r="U8" s="11">
        <v>92640384.033613443</v>
      </c>
      <c r="V8" s="12">
        <f t="shared" si="6"/>
        <v>7.607554903110203E-2</v>
      </c>
      <c r="W8" s="13">
        <f t="shared" si="7"/>
        <v>836932756.81824255</v>
      </c>
      <c r="X8" s="14">
        <f t="shared" si="7"/>
        <v>661342793.83493626</v>
      </c>
      <c r="Y8" s="15">
        <f t="shared" si="8"/>
        <v>-0.20980175713380433</v>
      </c>
    </row>
    <row r="9" spans="1:25" ht="16.05" customHeight="1" x14ac:dyDescent="0.3">
      <c r="A9" s="9" t="s">
        <v>595</v>
      </c>
      <c r="B9" s="10">
        <v>157298003.49100029</v>
      </c>
      <c r="C9" s="11">
        <v>102593523.7355978</v>
      </c>
      <c r="D9" s="12">
        <f t="shared" si="0"/>
        <v>-0.34777605908095566</v>
      </c>
      <c r="E9" s="10">
        <v>147813308.22037649</v>
      </c>
      <c r="F9" s="11">
        <v>116908627.8273126</v>
      </c>
      <c r="G9" s="12">
        <f t="shared" si="1"/>
        <v>-0.2090791469668466</v>
      </c>
      <c r="H9" s="10">
        <v>191209779.59242639</v>
      </c>
      <c r="I9" s="11">
        <v>211155821.85366341</v>
      </c>
      <c r="J9" s="12">
        <f t="shared" si="2"/>
        <v>0.10431496915980487</v>
      </c>
      <c r="K9" s="10">
        <v>171390617.3628433</v>
      </c>
      <c r="L9" s="11">
        <v>169774779.55188909</v>
      </c>
      <c r="M9" s="12">
        <f t="shared" si="3"/>
        <v>-9.4278078684634226E-3</v>
      </c>
      <c r="N9" s="10">
        <v>175670263.0053488</v>
      </c>
      <c r="O9" s="11">
        <v>187673075.12473741</v>
      </c>
      <c r="P9" s="12">
        <f t="shared" si="4"/>
        <v>6.8325804914535437E-2</v>
      </c>
      <c r="Q9" s="10">
        <v>328214204.47168428</v>
      </c>
      <c r="R9" s="11">
        <v>310061945.92436981</v>
      </c>
      <c r="S9" s="12">
        <f t="shared" si="5"/>
        <v>-5.5306133311730288E-2</v>
      </c>
      <c r="T9" s="10">
        <v>192881079.04619879</v>
      </c>
      <c r="U9" s="11">
        <v>162681326.89075631</v>
      </c>
      <c r="V9" s="12">
        <f t="shared" si="6"/>
        <v>-0.15657187477787304</v>
      </c>
      <c r="W9" s="13">
        <f t="shared" si="7"/>
        <v>1364477255.1898785</v>
      </c>
      <c r="X9" s="14">
        <f t="shared" si="7"/>
        <v>1260849100.9083264</v>
      </c>
      <c r="Y9" s="15">
        <f t="shared" si="8"/>
        <v>-7.5947146709405056E-2</v>
      </c>
    </row>
    <row r="10" spans="1:25" ht="16.05" customHeight="1" x14ac:dyDescent="0.3">
      <c r="A10" s="9" t="s">
        <v>596</v>
      </c>
      <c r="B10" s="10">
        <v>23805429.4219824</v>
      </c>
      <c r="C10" s="11">
        <v>38298103.857011557</v>
      </c>
      <c r="D10" s="12">
        <f t="shared" si="0"/>
        <v>0.60879701761003879</v>
      </c>
      <c r="E10" s="10">
        <v>13087833.768873541</v>
      </c>
      <c r="F10" s="11">
        <v>22720944.141855959</v>
      </c>
      <c r="G10" s="12">
        <f t="shared" si="1"/>
        <v>0.73603550771653259</v>
      </c>
      <c r="H10" s="10">
        <v>17541914.815021001</v>
      </c>
      <c r="I10" s="11">
        <v>9837540.7809217442</v>
      </c>
      <c r="J10" s="12">
        <f t="shared" si="2"/>
        <v>-0.43919800747761373</v>
      </c>
      <c r="K10" s="10">
        <v>17871600.603387699</v>
      </c>
      <c r="L10" s="11">
        <v>25145736.465992648</v>
      </c>
      <c r="M10" s="12">
        <f t="shared" si="3"/>
        <v>0.40702206948526376</v>
      </c>
      <c r="N10" s="10">
        <v>17662120.41594312</v>
      </c>
      <c r="O10" s="11">
        <v>11477913.445378151</v>
      </c>
      <c r="P10" s="12">
        <f t="shared" si="4"/>
        <v>-0.35013955430757071</v>
      </c>
      <c r="Q10" s="10">
        <v>22700627.54665463</v>
      </c>
      <c r="R10" s="11">
        <v>12574397.4789916</v>
      </c>
      <c r="S10" s="12">
        <f t="shared" si="5"/>
        <v>-0.44607709839084708</v>
      </c>
      <c r="T10" s="10">
        <v>20670638.049603321</v>
      </c>
      <c r="U10" s="11">
        <v>26693401.680672269</v>
      </c>
      <c r="V10" s="12">
        <f t="shared" si="6"/>
        <v>0.29136805630363827</v>
      </c>
      <c r="W10" s="13">
        <f t="shared" si="7"/>
        <v>133340164.62146571</v>
      </c>
      <c r="X10" s="14">
        <f t="shared" si="7"/>
        <v>146748037.85082391</v>
      </c>
      <c r="Y10" s="15">
        <f t="shared" si="8"/>
        <v>0.10055389737534304</v>
      </c>
    </row>
    <row r="11" spans="1:25" ht="16.05" customHeight="1" x14ac:dyDescent="0.3">
      <c r="A11" s="9" t="s">
        <v>597</v>
      </c>
      <c r="B11" s="10">
        <v>14897323.51997483</v>
      </c>
      <c r="C11" s="11">
        <v>4534038.5857077213</v>
      </c>
      <c r="D11" s="12">
        <f t="shared" si="0"/>
        <v>-0.69564743763345604</v>
      </c>
      <c r="E11" s="10">
        <v>13144614.996873541</v>
      </c>
      <c r="F11" s="11">
        <v>8278443.7073266804</v>
      </c>
      <c r="G11" s="12">
        <f t="shared" si="1"/>
        <v>-0.37020264881887255</v>
      </c>
      <c r="H11" s="10">
        <v>16497312.2227626</v>
      </c>
      <c r="I11" s="11">
        <v>24951092.963005509</v>
      </c>
      <c r="J11" s="12">
        <f t="shared" si="2"/>
        <v>0.51243382110320868</v>
      </c>
      <c r="K11" s="10">
        <v>15178751.091121029</v>
      </c>
      <c r="L11" s="11">
        <v>29874546.238182779</v>
      </c>
      <c r="M11" s="12">
        <f t="shared" si="3"/>
        <v>0.96818210265390081</v>
      </c>
      <c r="N11" s="10">
        <v>18900588.36677938</v>
      </c>
      <c r="O11" s="11">
        <v>39713901.680672273</v>
      </c>
      <c r="P11" s="12">
        <f t="shared" si="4"/>
        <v>1.1011992277698304</v>
      </c>
      <c r="Q11" s="10">
        <v>37513192.32923194</v>
      </c>
      <c r="R11" s="11">
        <v>57672134.453781523</v>
      </c>
      <c r="S11" s="12">
        <f t="shared" si="5"/>
        <v>0.53738274118678087</v>
      </c>
      <c r="T11" s="10">
        <v>24690624.69800644</v>
      </c>
      <c r="U11" s="11">
        <v>72580098.319327742</v>
      </c>
      <c r="V11" s="12">
        <f t="shared" si="6"/>
        <v>1.9395812867054745</v>
      </c>
      <c r="W11" s="13">
        <f t="shared" si="7"/>
        <v>140822407.22474977</v>
      </c>
      <c r="X11" s="14">
        <f t="shared" si="7"/>
        <v>237604255.94800422</v>
      </c>
      <c r="Y11" s="15">
        <f t="shared" si="8"/>
        <v>0.68726171232673594</v>
      </c>
    </row>
    <row r="12" spans="1:25" ht="16.05" customHeight="1" x14ac:dyDescent="0.3">
      <c r="A12" s="9" t="s">
        <v>598</v>
      </c>
      <c r="B12" s="10">
        <v>42779727.409474298</v>
      </c>
      <c r="C12" s="11">
        <v>39509310.329765029</v>
      </c>
      <c r="D12" s="12">
        <f t="shared" si="0"/>
        <v>-7.6447824185644109E-2</v>
      </c>
      <c r="E12" s="10">
        <v>51409120.062413737</v>
      </c>
      <c r="F12" s="11">
        <v>39445806.600920103</v>
      </c>
      <c r="G12" s="12">
        <f t="shared" si="1"/>
        <v>-0.23270799902759387</v>
      </c>
      <c r="H12" s="10">
        <v>39961773.384841867</v>
      </c>
      <c r="I12" s="11">
        <v>41524274.871991269</v>
      </c>
      <c r="J12" s="12">
        <f t="shared" si="2"/>
        <v>3.9099903602928698E-2</v>
      </c>
      <c r="K12" s="10">
        <v>38889103.623881549</v>
      </c>
      <c r="L12" s="11">
        <v>42750028.863252923</v>
      </c>
      <c r="M12" s="12">
        <f t="shared" si="3"/>
        <v>9.9280386524527753E-2</v>
      </c>
      <c r="N12" s="10">
        <v>22190484.376411729</v>
      </c>
      <c r="O12" s="11">
        <v>42509583.193277307</v>
      </c>
      <c r="P12" s="12">
        <f t="shared" si="4"/>
        <v>0.91566720546508606</v>
      </c>
      <c r="Q12" s="10">
        <v>62083808.717193291</v>
      </c>
      <c r="R12" s="11">
        <v>52872178.15126051</v>
      </c>
      <c r="S12" s="12">
        <f t="shared" si="5"/>
        <v>-0.14837412130905137</v>
      </c>
      <c r="T12" s="10">
        <v>25562804.591623541</v>
      </c>
      <c r="U12" s="11">
        <v>32747897.478991602</v>
      </c>
      <c r="V12" s="12">
        <f t="shared" si="6"/>
        <v>0.28107607917647992</v>
      </c>
      <c r="W12" s="13">
        <f t="shared" si="7"/>
        <v>282876822.16584003</v>
      </c>
      <c r="X12" s="14">
        <f t="shared" si="7"/>
        <v>291359079.48945874</v>
      </c>
      <c r="Y12" s="15">
        <f t="shared" si="8"/>
        <v>2.9985692212866732E-2</v>
      </c>
    </row>
    <row r="13" spans="1:25" ht="16.05" customHeight="1" x14ac:dyDescent="0.3">
      <c r="A13" s="9" t="s">
        <v>599</v>
      </c>
      <c r="B13" s="10">
        <v>0</v>
      </c>
      <c r="C13" s="11">
        <v>0</v>
      </c>
      <c r="D13" s="12" t="str">
        <f t="shared" si="0"/>
        <v/>
      </c>
      <c r="E13" s="10">
        <v>0</v>
      </c>
      <c r="F13" s="11">
        <v>0</v>
      </c>
      <c r="G13" s="12" t="str">
        <f t="shared" si="1"/>
        <v/>
      </c>
      <c r="H13" s="10">
        <v>70353275.99999997</v>
      </c>
      <c r="I13" s="11">
        <v>74476557.168912485</v>
      </c>
      <c r="J13" s="12">
        <f t="shared" si="2"/>
        <v>5.8608232670110727E-2</v>
      </c>
      <c r="K13" s="10">
        <v>10267459.2348029</v>
      </c>
      <c r="L13" s="11">
        <v>4285631.0214515496</v>
      </c>
      <c r="M13" s="12">
        <f t="shared" si="3"/>
        <v>-0.58260062947950741</v>
      </c>
      <c r="N13" s="10">
        <v>11693035.78441086</v>
      </c>
      <c r="O13" s="11">
        <v>3609473.9495798321</v>
      </c>
      <c r="P13" s="12">
        <f t="shared" si="4"/>
        <v>-0.69131421333782472</v>
      </c>
      <c r="Q13" s="10">
        <v>17909842.1324986</v>
      </c>
      <c r="R13" s="11">
        <v>4459058.7310924381</v>
      </c>
      <c r="S13" s="12">
        <f t="shared" si="5"/>
        <v>-0.751027468689901</v>
      </c>
      <c r="T13" s="10">
        <v>8028453.9441583203</v>
      </c>
      <c r="U13" s="11">
        <v>4089185.7142857141</v>
      </c>
      <c r="V13" s="12">
        <f t="shared" si="6"/>
        <v>-0.49066336523471055</v>
      </c>
      <c r="W13" s="13">
        <f t="shared" si="7"/>
        <v>118252067.09587064</v>
      </c>
      <c r="X13" s="14">
        <f t="shared" si="7"/>
        <v>90919906.585322022</v>
      </c>
      <c r="Y13" s="15">
        <f t="shared" si="8"/>
        <v>-0.23113473769883097</v>
      </c>
    </row>
    <row r="14" spans="1:25" ht="16.05" customHeight="1" x14ac:dyDescent="0.3">
      <c r="A14" s="9" t="s">
        <v>600</v>
      </c>
      <c r="B14" s="10">
        <v>0</v>
      </c>
      <c r="C14" s="11">
        <v>0</v>
      </c>
      <c r="D14" s="12" t="str">
        <f t="shared" si="0"/>
        <v/>
      </c>
      <c r="E14" s="10">
        <v>0</v>
      </c>
      <c r="F14" s="11">
        <v>0</v>
      </c>
      <c r="G14" s="12" t="str">
        <f t="shared" si="1"/>
        <v/>
      </c>
      <c r="H14" s="10">
        <v>4500000</v>
      </c>
      <c r="I14" s="11">
        <v>0</v>
      </c>
      <c r="J14" s="12">
        <f t="shared" si="2"/>
        <v>-1</v>
      </c>
      <c r="K14" s="10">
        <v>5000000</v>
      </c>
      <c r="L14" s="11">
        <v>0</v>
      </c>
      <c r="M14" s="12">
        <f t="shared" si="3"/>
        <v>-1</v>
      </c>
      <c r="N14" s="10">
        <v>5000000</v>
      </c>
      <c r="O14" s="11">
        <v>0</v>
      </c>
      <c r="P14" s="12">
        <f t="shared" si="4"/>
        <v>-1</v>
      </c>
      <c r="Q14" s="10">
        <v>15000000</v>
      </c>
      <c r="R14" s="11">
        <v>0</v>
      </c>
      <c r="S14" s="12">
        <f t="shared" si="5"/>
        <v>-1</v>
      </c>
      <c r="T14" s="10">
        <v>6000000</v>
      </c>
      <c r="U14" s="11">
        <v>411315.12605041999</v>
      </c>
      <c r="V14" s="12">
        <f t="shared" si="6"/>
        <v>-0.93144747899159663</v>
      </c>
      <c r="W14" s="13">
        <f t="shared" si="7"/>
        <v>35500000</v>
      </c>
      <c r="X14" s="14">
        <f t="shared" si="7"/>
        <v>411315.12605041999</v>
      </c>
      <c r="Y14" s="15">
        <f t="shared" si="8"/>
        <v>-0.98841365842111495</v>
      </c>
    </row>
    <row r="15" spans="1:25" ht="19.95" customHeight="1" x14ac:dyDescent="0.3">
      <c r="A15" s="16" t="s">
        <v>581</v>
      </c>
      <c r="B15" s="13">
        <f>SUM(B7:B14)</f>
        <v>449343152.88493627</v>
      </c>
      <c r="C15" s="14">
        <f>SUM(C7:C14)</f>
        <v>359988577.83957171</v>
      </c>
      <c r="D15" s="15">
        <f t="shared" si="0"/>
        <v>-0.1988559845002148</v>
      </c>
      <c r="E15" s="13">
        <f>SUM(E7:E14)</f>
        <v>446659935.39407855</v>
      </c>
      <c r="F15" s="14">
        <f>SUM(F7:F14)</f>
        <v>333514737.7047435</v>
      </c>
      <c r="G15" s="15">
        <f t="shared" si="1"/>
        <v>-0.25331396152535923</v>
      </c>
      <c r="H15" s="13">
        <f>SUM(H7:H14)</f>
        <v>608769711.46308661</v>
      </c>
      <c r="I15" s="14">
        <f>SUM(I7:I14)</f>
        <v>608568402.95247161</v>
      </c>
      <c r="J15" s="15">
        <f t="shared" si="2"/>
        <v>-3.3068089102394893E-4</v>
      </c>
      <c r="K15" s="13">
        <f>SUM(K7:K14)</f>
        <v>469562378.25289017</v>
      </c>
      <c r="L15" s="14">
        <f>SUM(L7:L14)</f>
        <v>445085345.55652195</v>
      </c>
      <c r="M15" s="15">
        <f t="shared" si="3"/>
        <v>-5.2127329253762622E-2</v>
      </c>
      <c r="N15" s="13">
        <f>SUM(N7:N14)</f>
        <v>479115263.85310644</v>
      </c>
      <c r="O15" s="14">
        <f>SUM(O7:O14)</f>
        <v>454686783.93185401</v>
      </c>
      <c r="P15" s="15">
        <f t="shared" si="4"/>
        <v>-5.0986645102465422E-2</v>
      </c>
      <c r="Q15" s="13">
        <f>SUM(Q7:Q14)</f>
        <v>819685503.27703106</v>
      </c>
      <c r="R15" s="14">
        <f>SUM(R7:R14)</f>
        <v>712544542.47058833</v>
      </c>
      <c r="S15" s="15">
        <f t="shared" si="5"/>
        <v>-0.13070983978379824</v>
      </c>
      <c r="T15" s="13">
        <f>SUM(T7:T14)</f>
        <v>479840872.23733085</v>
      </c>
      <c r="U15" s="14">
        <f>SUM(U7:U14)</f>
        <v>516541307.5630253</v>
      </c>
      <c r="V15" s="15">
        <f t="shared" si="6"/>
        <v>7.6484596142410988E-2</v>
      </c>
      <c r="W15" s="17">
        <f>SUM(W7:W14)</f>
        <v>3752976817.3624597</v>
      </c>
      <c r="X15" s="18">
        <f>SUM(X7:X14)</f>
        <v>3430929698.0187759</v>
      </c>
      <c r="Y15" s="15">
        <f t="shared" si="8"/>
        <v>-8.5811113421695451E-2</v>
      </c>
    </row>
    <row r="17" spans="1:25" ht="25.95" customHeight="1" x14ac:dyDescent="0.3">
      <c r="A17" s="176" t="s">
        <v>626</v>
      </c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</row>
    <row r="18" spans="1:25" ht="13.95" customHeight="1" x14ac:dyDescent="0.3">
      <c r="A18" s="177" t="s">
        <v>627</v>
      </c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</row>
    <row r="19" spans="1:25" ht="19.95" customHeight="1" x14ac:dyDescent="0.3">
      <c r="A19" s="19" t="s">
        <v>586</v>
      </c>
      <c r="B19" s="181" t="s">
        <v>615</v>
      </c>
      <c r="C19" s="179"/>
      <c r="D19" s="180"/>
      <c r="E19" s="181" t="s">
        <v>616</v>
      </c>
      <c r="F19" s="179"/>
      <c r="G19" s="180"/>
      <c r="H19" s="181" t="s">
        <v>617</v>
      </c>
      <c r="I19" s="179"/>
      <c r="J19" s="180"/>
      <c r="K19" s="181" t="s">
        <v>618</v>
      </c>
      <c r="L19" s="179"/>
      <c r="M19" s="180"/>
      <c r="N19" s="181" t="s">
        <v>619</v>
      </c>
      <c r="O19" s="179"/>
      <c r="P19" s="180"/>
      <c r="Q19" s="181" t="s">
        <v>620</v>
      </c>
      <c r="R19" s="179"/>
      <c r="S19" s="180"/>
      <c r="T19" s="181" t="s">
        <v>621</v>
      </c>
      <c r="U19" s="179"/>
      <c r="V19" s="180"/>
      <c r="W19" s="182" t="s">
        <v>622</v>
      </c>
      <c r="X19" s="179"/>
      <c r="Y19" s="180"/>
    </row>
    <row r="20" spans="1:25" ht="18" customHeight="1" x14ac:dyDescent="0.3">
      <c r="A20" s="20"/>
      <c r="B20" s="3" t="s">
        <v>623</v>
      </c>
      <c r="C20" s="4" t="s">
        <v>624</v>
      </c>
      <c r="D20" s="5" t="s">
        <v>625</v>
      </c>
      <c r="E20" s="3" t="s">
        <v>623</v>
      </c>
      <c r="F20" s="4" t="s">
        <v>624</v>
      </c>
      <c r="G20" s="5" t="s">
        <v>625</v>
      </c>
      <c r="H20" s="3" t="s">
        <v>623</v>
      </c>
      <c r="I20" s="4" t="s">
        <v>624</v>
      </c>
      <c r="J20" s="5" t="s">
        <v>625</v>
      </c>
      <c r="K20" s="3" t="s">
        <v>623</v>
      </c>
      <c r="L20" s="4" t="s">
        <v>624</v>
      </c>
      <c r="M20" s="5" t="s">
        <v>625</v>
      </c>
      <c r="N20" s="3" t="s">
        <v>623</v>
      </c>
      <c r="O20" s="4" t="s">
        <v>624</v>
      </c>
      <c r="P20" s="5" t="s">
        <v>625</v>
      </c>
      <c r="Q20" s="3" t="s">
        <v>623</v>
      </c>
      <c r="R20" s="4" t="s">
        <v>624</v>
      </c>
      <c r="S20" s="5" t="s">
        <v>625</v>
      </c>
      <c r="T20" s="3" t="s">
        <v>623</v>
      </c>
      <c r="U20" s="4" t="s">
        <v>624</v>
      </c>
      <c r="V20" s="5" t="s">
        <v>625</v>
      </c>
      <c r="W20" s="6" t="s">
        <v>623</v>
      </c>
      <c r="X20" s="7" t="s">
        <v>624</v>
      </c>
      <c r="Y20" s="8" t="s">
        <v>625</v>
      </c>
    </row>
    <row r="21" spans="1:25" ht="16.05" customHeight="1" x14ac:dyDescent="0.3">
      <c r="A21" s="21" t="s">
        <v>593</v>
      </c>
      <c r="B21" s="10">
        <v>43665625.744702727</v>
      </c>
      <c r="C21" s="11">
        <v>28986701.368591309</v>
      </c>
      <c r="D21" s="12">
        <f t="shared" ref="D21:D29" si="9">IF(B21&lt;&gt;0,C21/B21-1,"")</f>
        <v>-0.33616658700676438</v>
      </c>
      <c r="E21" s="10">
        <v>59036520.223600522</v>
      </c>
      <c r="F21" s="11">
        <v>34525445.932922363</v>
      </c>
      <c r="G21" s="12">
        <f t="shared" ref="G21:G29" si="10">IF(E21&lt;&gt;0,F21/E21-1,"")</f>
        <v>-0.41518494311389942</v>
      </c>
      <c r="H21" s="10">
        <v>58329348.668764271</v>
      </c>
      <c r="I21" s="11">
        <v>63033325.988982588</v>
      </c>
      <c r="J21" s="12">
        <f t="shared" ref="J21:J29" si="11">IF(H21&lt;&gt;0,I21/H21-1,"")</f>
        <v>8.0645119953779432E-2</v>
      </c>
      <c r="K21" s="10">
        <v>48888284.916426487</v>
      </c>
      <c r="L21" s="11">
        <v>57424030.092683554</v>
      </c>
      <c r="M21" s="12">
        <f t="shared" ref="M21:M29" si="12">IF(K21&lt;&gt;0,L21/K21-1,"")</f>
        <v>0.17459694466371123</v>
      </c>
      <c r="N21" s="10">
        <v>65830037.690764427</v>
      </c>
      <c r="O21" s="11">
        <v>47589335.495220669</v>
      </c>
      <c r="P21" s="12">
        <f t="shared" ref="P21:P29" si="13">IF(N21&lt;&gt;0,O21/N21-1,"")</f>
        <v>-0.27708782852638136</v>
      </c>
      <c r="Q21" s="10">
        <v>80380283.867174432</v>
      </c>
      <c r="R21" s="11">
        <v>87472673.892811939</v>
      </c>
      <c r="S21" s="12">
        <f t="shared" ref="S21:S29" si="14">IF(Q21&lt;&gt;0,R21/Q21-1,"")</f>
        <v>8.8235443872746622E-2</v>
      </c>
      <c r="T21" s="10">
        <v>59250236.432499997</v>
      </c>
      <c r="U21" s="11">
        <v>61147506.455825731</v>
      </c>
      <c r="V21" s="12">
        <f t="shared" ref="V21:V29" si="15">IF(T21&lt;&gt;0,U21/T21-1,"")</f>
        <v>3.2021307214312511E-2</v>
      </c>
      <c r="W21" s="13">
        <f t="shared" ref="W21:X28" si="16">B21+E21+H21+K21+N21+Q21+T21</f>
        <v>415380337.54393286</v>
      </c>
      <c r="X21" s="14">
        <f t="shared" si="16"/>
        <v>380179019.22703815</v>
      </c>
      <c r="Y21" s="15">
        <f t="shared" ref="Y21:Y29" si="17">IF(W21&lt;&gt;0,X21/W21-1,"")</f>
        <v>-8.4744787211242567E-2</v>
      </c>
    </row>
    <row r="22" spans="1:25" ht="16.05" customHeight="1" x14ac:dyDescent="0.3">
      <c r="A22" s="21" t="s">
        <v>594</v>
      </c>
      <c r="B22" s="10">
        <v>55493541.858357623</v>
      </c>
      <c r="C22" s="11">
        <v>58753189.13962388</v>
      </c>
      <c r="D22" s="12">
        <f t="shared" si="9"/>
        <v>5.8739218512781521E-2</v>
      </c>
      <c r="E22" s="10">
        <v>46980337.110255517</v>
      </c>
      <c r="F22" s="11">
        <v>41594713.591395907</v>
      </c>
      <c r="G22" s="12">
        <f t="shared" si="10"/>
        <v>-0.11463569335870005</v>
      </c>
      <c r="H22" s="10">
        <v>66837875.026021123</v>
      </c>
      <c r="I22" s="11">
        <v>63512163.88640736</v>
      </c>
      <c r="J22" s="12">
        <f t="shared" si="11"/>
        <v>-4.9757882612500914E-2</v>
      </c>
      <c r="K22" s="10">
        <v>50669999.881744891</v>
      </c>
      <c r="L22" s="11">
        <v>36902611.644615948</v>
      </c>
      <c r="M22" s="12">
        <f t="shared" si="12"/>
        <v>-0.27170689301874229</v>
      </c>
      <c r="N22" s="10">
        <v>43648193.606858969</v>
      </c>
      <c r="O22" s="11">
        <v>41692771.791119844</v>
      </c>
      <c r="P22" s="12">
        <f t="shared" si="13"/>
        <v>-4.4799604614836674E-2</v>
      </c>
      <c r="Q22" s="10">
        <v>74719601.70288758</v>
      </c>
      <c r="R22" s="11">
        <v>44448209.134812668</v>
      </c>
      <c r="S22" s="12">
        <f t="shared" si="14"/>
        <v>-0.40513321642753164</v>
      </c>
      <c r="T22" s="10">
        <v>42747745.310999997</v>
      </c>
      <c r="U22" s="11">
        <v>44177280.376171403</v>
      </c>
      <c r="V22" s="12">
        <f t="shared" si="15"/>
        <v>3.3441180459254705E-2</v>
      </c>
      <c r="W22" s="13">
        <f t="shared" si="16"/>
        <v>381097294.49712569</v>
      </c>
      <c r="X22" s="14">
        <f t="shared" si="16"/>
        <v>331080939.56414706</v>
      </c>
      <c r="Y22" s="15">
        <f t="shared" si="17"/>
        <v>-0.13124300711443615</v>
      </c>
    </row>
    <row r="23" spans="1:25" ht="16.05" customHeight="1" x14ac:dyDescent="0.3">
      <c r="A23" s="21" t="s">
        <v>595</v>
      </c>
      <c r="B23" s="10">
        <v>83501884.786259562</v>
      </c>
      <c r="C23" s="11">
        <v>60020308.597232208</v>
      </c>
      <c r="D23" s="12">
        <f t="shared" si="9"/>
        <v>-0.28121013374887682</v>
      </c>
      <c r="E23" s="10">
        <v>78327310.081533328</v>
      </c>
      <c r="F23" s="11">
        <v>68108812.032873213</v>
      </c>
      <c r="G23" s="12">
        <f t="shared" si="10"/>
        <v>-0.13045894258367052</v>
      </c>
      <c r="H23" s="10">
        <v>101245018.7341221</v>
      </c>
      <c r="I23" s="11">
        <v>118266789.0499682</v>
      </c>
      <c r="J23" s="12">
        <f t="shared" si="11"/>
        <v>0.16812452137074207</v>
      </c>
      <c r="K23" s="10">
        <v>90290148.7840074</v>
      </c>
      <c r="L23" s="11">
        <v>96599925.159428924</v>
      </c>
      <c r="M23" s="12">
        <f t="shared" si="12"/>
        <v>6.9883331242656554E-2</v>
      </c>
      <c r="N23" s="10">
        <v>90897103.18070437</v>
      </c>
      <c r="O23" s="11">
        <v>103411716.2906695</v>
      </c>
      <c r="P23" s="12">
        <f t="shared" si="13"/>
        <v>0.13767889923935139</v>
      </c>
      <c r="Q23" s="10">
        <v>162545731.30115199</v>
      </c>
      <c r="R23" s="11">
        <v>164332988.08469951</v>
      </c>
      <c r="S23" s="12">
        <f t="shared" si="14"/>
        <v>1.0995408918098359E-2</v>
      </c>
      <c r="T23" s="10">
        <v>106006303.5924</v>
      </c>
      <c r="U23" s="11">
        <v>89562800.484622076</v>
      </c>
      <c r="V23" s="12">
        <f t="shared" si="15"/>
        <v>-0.1551181632651214</v>
      </c>
      <c r="W23" s="13">
        <f t="shared" si="16"/>
        <v>712813500.46017873</v>
      </c>
      <c r="X23" s="14">
        <f t="shared" si="16"/>
        <v>700303339.69949377</v>
      </c>
      <c r="Y23" s="15">
        <f t="shared" si="17"/>
        <v>-1.7550398179339566E-2</v>
      </c>
    </row>
    <row r="24" spans="1:25" ht="16.05" customHeight="1" x14ac:dyDescent="0.3">
      <c r="A24" s="21" t="s">
        <v>596</v>
      </c>
      <c r="B24" s="10">
        <v>11430905.82666285</v>
      </c>
      <c r="C24" s="11">
        <v>20570291.574707031</v>
      </c>
      <c r="D24" s="12">
        <f t="shared" si="9"/>
        <v>0.79953294048896417</v>
      </c>
      <c r="E24" s="10">
        <v>6805673.5598142389</v>
      </c>
      <c r="F24" s="11">
        <v>12972964.45806885</v>
      </c>
      <c r="G24" s="12">
        <f t="shared" si="10"/>
        <v>0.90619845986602776</v>
      </c>
      <c r="H24" s="10">
        <v>9121795.7038109228</v>
      </c>
      <c r="I24" s="11">
        <v>5789459.3828125</v>
      </c>
      <c r="J24" s="12">
        <f t="shared" si="11"/>
        <v>-0.36531582477847346</v>
      </c>
      <c r="K24" s="10">
        <v>8977259.8228389379</v>
      </c>
      <c r="L24" s="11">
        <v>13937330.31494141</v>
      </c>
      <c r="M24" s="12">
        <f t="shared" si="12"/>
        <v>0.55251497561467655</v>
      </c>
      <c r="N24" s="10">
        <v>8868330.1253677532</v>
      </c>
      <c r="O24" s="11">
        <v>7549513</v>
      </c>
      <c r="P24" s="12">
        <f t="shared" si="13"/>
        <v>-0.14871087416956796</v>
      </c>
      <c r="Q24" s="10">
        <v>11350313.77332731</v>
      </c>
      <c r="R24" s="11">
        <v>7068231.4857121538</v>
      </c>
      <c r="S24" s="12">
        <f t="shared" si="14"/>
        <v>-0.37726554288550529</v>
      </c>
      <c r="T24" s="10">
        <v>11368850.927300001</v>
      </c>
      <c r="U24" s="11">
        <v>12878100.445754889</v>
      </c>
      <c r="V24" s="12">
        <f t="shared" si="15"/>
        <v>0.13275303969645091</v>
      </c>
      <c r="W24" s="13">
        <f t="shared" si="16"/>
        <v>67923129.739122018</v>
      </c>
      <c r="X24" s="14">
        <f t="shared" si="16"/>
        <v>80765890.661996827</v>
      </c>
      <c r="Y24" s="15">
        <f t="shared" si="17"/>
        <v>0.18907787335773629</v>
      </c>
    </row>
    <row r="25" spans="1:25" ht="16.05" customHeight="1" x14ac:dyDescent="0.3">
      <c r="A25" s="21" t="s">
        <v>597</v>
      </c>
      <c r="B25" s="10">
        <v>8180552.6577843064</v>
      </c>
      <c r="C25" s="11">
        <v>2627406.1056213379</v>
      </c>
      <c r="D25" s="12">
        <f t="shared" si="9"/>
        <v>-0.67882290897288011</v>
      </c>
      <c r="E25" s="10">
        <v>7218106.0605604453</v>
      </c>
      <c r="F25" s="11">
        <v>4931356.6474609384</v>
      </c>
      <c r="G25" s="12">
        <f t="shared" si="10"/>
        <v>-0.31680739987934636</v>
      </c>
      <c r="H25" s="10">
        <v>9044305.2780891787</v>
      </c>
      <c r="I25" s="11">
        <v>14868851.398681641</v>
      </c>
      <c r="J25" s="12">
        <f t="shared" si="11"/>
        <v>0.64400149502948145</v>
      </c>
      <c r="K25" s="10">
        <v>8333192.928564569</v>
      </c>
      <c r="L25" s="11">
        <v>17988915.697937012</v>
      </c>
      <c r="M25" s="12">
        <f t="shared" si="12"/>
        <v>1.1587062548707467</v>
      </c>
      <c r="N25" s="10">
        <v>10381195.761248659</v>
      </c>
      <c r="O25" s="11">
        <v>24451876.331837609</v>
      </c>
      <c r="P25" s="12">
        <f t="shared" si="13"/>
        <v>1.3554007548063534</v>
      </c>
      <c r="Q25" s="10">
        <v>18345660.257471651</v>
      </c>
      <c r="R25" s="11">
        <v>31779115.987197932</v>
      </c>
      <c r="S25" s="12">
        <f t="shared" si="14"/>
        <v>0.73224160598173227</v>
      </c>
      <c r="T25" s="10">
        <v>14085545.777799999</v>
      </c>
      <c r="U25" s="11">
        <v>42373363.03608638</v>
      </c>
      <c r="V25" s="12">
        <f t="shared" si="15"/>
        <v>2.0082869137289912</v>
      </c>
      <c r="W25" s="13">
        <f t="shared" si="16"/>
        <v>75588558.7215188</v>
      </c>
      <c r="X25" s="14">
        <f t="shared" si="16"/>
        <v>139020885.20482284</v>
      </c>
      <c r="Y25" s="15">
        <f t="shared" si="17"/>
        <v>0.83917893866715465</v>
      </c>
    </row>
    <row r="26" spans="1:25" ht="16.05" customHeight="1" x14ac:dyDescent="0.3">
      <c r="A26" s="21" t="s">
        <v>598</v>
      </c>
      <c r="B26" s="10">
        <v>16857014.356712859</v>
      </c>
      <c r="C26" s="11">
        <v>23924082.529513411</v>
      </c>
      <c r="D26" s="12">
        <f t="shared" si="9"/>
        <v>0.41923605350589743</v>
      </c>
      <c r="E26" s="10">
        <v>20759541.074605148</v>
      </c>
      <c r="F26" s="11">
        <v>23778753.006336208</v>
      </c>
      <c r="G26" s="12">
        <f t="shared" si="10"/>
        <v>0.14543731582893327</v>
      </c>
      <c r="H26" s="10">
        <v>15578113.439795701</v>
      </c>
      <c r="I26" s="11">
        <v>28006182.211569101</v>
      </c>
      <c r="J26" s="12">
        <f t="shared" si="11"/>
        <v>0.79779036272933879</v>
      </c>
      <c r="K26" s="10">
        <v>15472086.48967558</v>
      </c>
      <c r="L26" s="11">
        <v>26763000.852149699</v>
      </c>
      <c r="M26" s="12">
        <f t="shared" si="12"/>
        <v>0.72976029251183872</v>
      </c>
      <c r="N26" s="10">
        <v>8321431.641154401</v>
      </c>
      <c r="O26" s="11">
        <v>21600552.728178609</v>
      </c>
      <c r="P26" s="12">
        <f t="shared" si="13"/>
        <v>1.5957736192112786</v>
      </c>
      <c r="Q26" s="10">
        <v>23063574.751429722</v>
      </c>
      <c r="R26" s="11">
        <v>34854968.119784243</v>
      </c>
      <c r="S26" s="12">
        <f t="shared" si="14"/>
        <v>0.51125610385369979</v>
      </c>
      <c r="T26" s="10">
        <v>10282328.975199999</v>
      </c>
      <c r="U26" s="11">
        <v>20400113.969101399</v>
      </c>
      <c r="V26" s="12">
        <f t="shared" si="15"/>
        <v>0.98399740159107307</v>
      </c>
      <c r="W26" s="13">
        <f t="shared" si="16"/>
        <v>110334090.7285734</v>
      </c>
      <c r="X26" s="14">
        <f t="shared" si="16"/>
        <v>179327653.41663265</v>
      </c>
      <c r="Y26" s="15">
        <f t="shared" si="17"/>
        <v>0.62531500674425633</v>
      </c>
    </row>
    <row r="27" spans="1:25" ht="16.05" customHeight="1" x14ac:dyDescent="0.3">
      <c r="A27" s="21" t="s">
        <v>599</v>
      </c>
      <c r="B27" s="10">
        <v>0</v>
      </c>
      <c r="C27" s="11">
        <v>0</v>
      </c>
      <c r="D27" s="12" t="str">
        <f t="shared" si="9"/>
        <v/>
      </c>
      <c r="E27" s="10">
        <v>0</v>
      </c>
      <c r="F27" s="11">
        <v>0</v>
      </c>
      <c r="G27" s="12" t="str">
        <f t="shared" si="10"/>
        <v/>
      </c>
      <c r="H27" s="10">
        <v>23568347.45999999</v>
      </c>
      <c r="I27" s="11">
        <v>41951309</v>
      </c>
      <c r="J27" s="12">
        <f t="shared" si="11"/>
        <v>0.77998517168840231</v>
      </c>
      <c r="K27" s="10">
        <v>3439598.8436589721</v>
      </c>
      <c r="L27" s="11">
        <v>3093650.0334472661</v>
      </c>
      <c r="M27" s="12">
        <f t="shared" si="12"/>
        <v>-0.10057824354996381</v>
      </c>
      <c r="N27" s="10">
        <v>3917166.9877776378</v>
      </c>
      <c r="O27" s="11">
        <v>2506603</v>
      </c>
      <c r="P27" s="12">
        <f t="shared" si="13"/>
        <v>-0.36009799739936688</v>
      </c>
      <c r="Q27" s="10">
        <v>5999797.1143870316</v>
      </c>
      <c r="R27" s="11">
        <v>2874931</v>
      </c>
      <c r="S27" s="12">
        <f t="shared" si="14"/>
        <v>-0.52082863050383055</v>
      </c>
      <c r="T27" s="10">
        <v>2689532.0712930369</v>
      </c>
      <c r="U27" s="11">
        <v>2619326</v>
      </c>
      <c r="V27" s="12">
        <f t="shared" si="15"/>
        <v>-2.6103451987945281E-2</v>
      </c>
      <c r="W27" s="13">
        <f t="shared" si="16"/>
        <v>39614442.477116667</v>
      </c>
      <c r="X27" s="14">
        <f t="shared" si="16"/>
        <v>53045819.033447266</v>
      </c>
      <c r="Y27" s="15">
        <f t="shared" si="17"/>
        <v>0.33905252015320553</v>
      </c>
    </row>
    <row r="28" spans="1:25" ht="16.05" customHeight="1" x14ac:dyDescent="0.3">
      <c r="A28" s="21" t="s">
        <v>600</v>
      </c>
      <c r="B28" s="10">
        <v>0</v>
      </c>
      <c r="C28" s="11">
        <v>0</v>
      </c>
      <c r="D28" s="12" t="str">
        <f t="shared" si="9"/>
        <v/>
      </c>
      <c r="E28" s="10">
        <v>0</v>
      </c>
      <c r="F28" s="11">
        <v>0</v>
      </c>
      <c r="G28" s="12" t="str">
        <f t="shared" si="10"/>
        <v/>
      </c>
      <c r="H28" s="10">
        <v>2250000</v>
      </c>
      <c r="I28" s="11">
        <v>0</v>
      </c>
      <c r="J28" s="12">
        <f t="shared" si="11"/>
        <v>-1</v>
      </c>
      <c r="K28" s="10">
        <v>2500000</v>
      </c>
      <c r="L28" s="11">
        <v>0</v>
      </c>
      <c r="M28" s="12">
        <f t="shared" si="12"/>
        <v>-1</v>
      </c>
      <c r="N28" s="10">
        <v>2500000</v>
      </c>
      <c r="O28" s="11">
        <v>0</v>
      </c>
      <c r="P28" s="12">
        <f t="shared" si="13"/>
        <v>-1</v>
      </c>
      <c r="Q28" s="10">
        <v>7500000</v>
      </c>
      <c r="R28" s="11">
        <v>0</v>
      </c>
      <c r="S28" s="12">
        <f t="shared" si="14"/>
        <v>-1</v>
      </c>
      <c r="T28" s="10">
        <v>3000000</v>
      </c>
      <c r="U28" s="11">
        <v>190399</v>
      </c>
      <c r="V28" s="12">
        <f t="shared" si="15"/>
        <v>-0.93653366666666671</v>
      </c>
      <c r="W28" s="13">
        <f t="shared" si="16"/>
        <v>17750000</v>
      </c>
      <c r="X28" s="14">
        <f t="shared" si="16"/>
        <v>190399</v>
      </c>
      <c r="Y28" s="15">
        <f t="shared" si="17"/>
        <v>-0.98927329577464784</v>
      </c>
    </row>
    <row r="29" spans="1:25" ht="19.95" customHeight="1" x14ac:dyDescent="0.3">
      <c r="A29" s="16" t="s">
        <v>581</v>
      </c>
      <c r="B29" s="13">
        <f>SUM(B21:B28)</f>
        <v>219129525.2304799</v>
      </c>
      <c r="C29" s="14">
        <f>SUM(C21:C28)</f>
        <v>194881979.3152892</v>
      </c>
      <c r="D29" s="15">
        <f t="shared" si="9"/>
        <v>-0.11065394263820538</v>
      </c>
      <c r="E29" s="13">
        <f>SUM(E21:E28)</f>
        <v>219127488.11036918</v>
      </c>
      <c r="F29" s="14">
        <f>SUM(F21:F28)</f>
        <v>185912045.66905749</v>
      </c>
      <c r="G29" s="15">
        <f t="shared" si="10"/>
        <v>-0.15158044628605372</v>
      </c>
      <c r="H29" s="13">
        <f>SUM(H21:H28)</f>
        <v>285974804.31060326</v>
      </c>
      <c r="I29" s="14">
        <f>SUM(I21:I28)</f>
        <v>335428080.91842139</v>
      </c>
      <c r="J29" s="15">
        <f t="shared" si="11"/>
        <v>0.17292878904851317</v>
      </c>
      <c r="K29" s="13">
        <f>SUM(K21:K28)</f>
        <v>228570571.66691685</v>
      </c>
      <c r="L29" s="14">
        <f>SUM(L21:L28)</f>
        <v>252709463.7952038</v>
      </c>
      <c r="M29" s="15">
        <f t="shared" si="12"/>
        <v>0.10560804898131515</v>
      </c>
      <c r="N29" s="13">
        <f>SUM(N21:N28)</f>
        <v>234363458.99387622</v>
      </c>
      <c r="O29" s="14">
        <f>SUM(O21:O28)</f>
        <v>248802368.63702625</v>
      </c>
      <c r="P29" s="15">
        <f t="shared" si="13"/>
        <v>6.1609048207158068E-2</v>
      </c>
      <c r="Q29" s="13">
        <f>SUM(Q21:Q28)</f>
        <v>383904962.76782972</v>
      </c>
      <c r="R29" s="14">
        <f>SUM(R21:R28)</f>
        <v>372831117.70501846</v>
      </c>
      <c r="S29" s="15">
        <f t="shared" si="14"/>
        <v>-2.8845277182593443E-2</v>
      </c>
      <c r="T29" s="13">
        <f>SUM(T21:T28)</f>
        <v>249430543.08749303</v>
      </c>
      <c r="U29" s="14">
        <f>SUM(U21:U28)</f>
        <v>273348889.76756191</v>
      </c>
      <c r="V29" s="15">
        <f t="shared" si="15"/>
        <v>9.5891811740469235E-2</v>
      </c>
      <c r="W29" s="17">
        <f>SUM(W21:W28)</f>
        <v>1820501354.167568</v>
      </c>
      <c r="X29" s="18">
        <f>SUM(X21:X28)</f>
        <v>1863913945.8075783</v>
      </c>
      <c r="Y29" s="15">
        <f t="shared" si="17"/>
        <v>2.38465033495463E-2</v>
      </c>
    </row>
  </sheetData>
  <mergeCells count="22">
    <mergeCell ref="A1:Y1"/>
    <mergeCell ref="T5:V5"/>
    <mergeCell ref="E5:G5"/>
    <mergeCell ref="K5:M5"/>
    <mergeCell ref="W5:Y5"/>
    <mergeCell ref="A3:Y3"/>
    <mergeCell ref="A2:Y2"/>
    <mergeCell ref="Q5:S5"/>
    <mergeCell ref="E19:G19"/>
    <mergeCell ref="Q19:S19"/>
    <mergeCell ref="N5:P5"/>
    <mergeCell ref="A17:Y17"/>
    <mergeCell ref="A4:Y4"/>
    <mergeCell ref="B19:D19"/>
    <mergeCell ref="N19:P19"/>
    <mergeCell ref="H19:J19"/>
    <mergeCell ref="K19:M19"/>
    <mergeCell ref="B5:D5"/>
    <mergeCell ref="T19:V19"/>
    <mergeCell ref="H5:J5"/>
    <mergeCell ref="W19:Y19"/>
    <mergeCell ref="A18:Y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8"/>
  <sheetViews>
    <sheetView workbookViewId="0">
      <pane xSplit="1" ySplit="5" topLeftCell="B6" activePane="bottomRight" state="frozen"/>
      <selection pane="topRight"/>
      <selection pane="bottomLeft"/>
      <selection pane="bottomRight" sqref="A1:Y1"/>
    </sheetView>
  </sheetViews>
  <sheetFormatPr baseColWidth="10" defaultColWidth="8.88671875" defaultRowHeight="14.4" x14ac:dyDescent="0.3"/>
  <cols>
    <col min="1" max="1" width="22" style="160" customWidth="1"/>
    <col min="2" max="3" width="13" style="160" customWidth="1"/>
    <col min="4" max="4" width="7.44140625" style="160" customWidth="1"/>
    <col min="5" max="6" width="13" style="160" customWidth="1"/>
    <col min="7" max="7" width="7.44140625" style="160" customWidth="1"/>
    <col min="8" max="9" width="13" style="160" customWidth="1"/>
    <col min="10" max="10" width="7.44140625" style="160" customWidth="1"/>
    <col min="11" max="12" width="13" style="160" customWidth="1"/>
    <col min="13" max="13" width="7.44140625" style="160" customWidth="1"/>
    <col min="14" max="15" width="13" style="160" customWidth="1"/>
    <col min="16" max="16" width="7.44140625" style="160" customWidth="1"/>
    <col min="17" max="18" width="13" style="160" customWidth="1"/>
    <col min="19" max="19" width="7.44140625" style="160" customWidth="1"/>
    <col min="20" max="21" width="13" style="160" customWidth="1"/>
    <col min="22" max="22" width="7.44140625" style="160" customWidth="1"/>
    <col min="23" max="24" width="13" style="160" customWidth="1"/>
    <col min="25" max="25" width="7.44140625" style="160" customWidth="1"/>
    <col min="26" max="29" width="8.88671875" style="160" customWidth="1"/>
    <col min="30" max="16384" width="8.88671875" style="160"/>
  </cols>
  <sheetData>
    <row r="1" spans="1:25" ht="25.95" customHeight="1" x14ac:dyDescent="0.3">
      <c r="A1" s="173" t="s">
        <v>628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</row>
    <row r="2" spans="1:25" ht="13.95" customHeight="1" x14ac:dyDescent="0.3">
      <c r="A2" s="177" t="s">
        <v>613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</row>
    <row r="3" spans="1:25" ht="22.05" customHeight="1" x14ac:dyDescent="0.3">
      <c r="A3" s="183" t="s">
        <v>629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</row>
    <row r="4" spans="1:25" ht="25.95" customHeight="1" x14ac:dyDescent="0.3">
      <c r="A4" s="175" t="s">
        <v>602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</row>
    <row r="5" spans="1:25" ht="13.95" customHeight="1" x14ac:dyDescent="0.3">
      <c r="A5" s="177" t="s">
        <v>630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</row>
    <row r="6" spans="1:25" ht="19.95" customHeight="1" x14ac:dyDescent="0.3">
      <c r="A6" s="1" t="s">
        <v>603</v>
      </c>
      <c r="B6" s="178" t="s">
        <v>615</v>
      </c>
      <c r="C6" s="179"/>
      <c r="D6" s="180"/>
      <c r="E6" s="178" t="s">
        <v>616</v>
      </c>
      <c r="F6" s="179"/>
      <c r="G6" s="180"/>
      <c r="H6" s="178" t="s">
        <v>617</v>
      </c>
      <c r="I6" s="179"/>
      <c r="J6" s="180"/>
      <c r="K6" s="178" t="s">
        <v>618</v>
      </c>
      <c r="L6" s="179"/>
      <c r="M6" s="180"/>
      <c r="N6" s="178" t="s">
        <v>619</v>
      </c>
      <c r="O6" s="179"/>
      <c r="P6" s="180"/>
      <c r="Q6" s="178" t="s">
        <v>620</v>
      </c>
      <c r="R6" s="179"/>
      <c r="S6" s="180"/>
      <c r="T6" s="178" t="s">
        <v>621</v>
      </c>
      <c r="U6" s="179"/>
      <c r="V6" s="180"/>
      <c r="W6" s="182" t="s">
        <v>622</v>
      </c>
      <c r="X6" s="179"/>
      <c r="Y6" s="180"/>
    </row>
    <row r="7" spans="1:25" ht="18" customHeight="1" x14ac:dyDescent="0.3">
      <c r="A7" s="2"/>
      <c r="B7" s="3" t="s">
        <v>623</v>
      </c>
      <c r="C7" s="4" t="s">
        <v>624</v>
      </c>
      <c r="D7" s="5" t="s">
        <v>625</v>
      </c>
      <c r="E7" s="3" t="s">
        <v>623</v>
      </c>
      <c r="F7" s="4" t="s">
        <v>624</v>
      </c>
      <c r="G7" s="5" t="s">
        <v>625</v>
      </c>
      <c r="H7" s="3" t="s">
        <v>623</v>
      </c>
      <c r="I7" s="4" t="s">
        <v>624</v>
      </c>
      <c r="J7" s="5" t="s">
        <v>625</v>
      </c>
      <c r="K7" s="3" t="s">
        <v>623</v>
      </c>
      <c r="L7" s="4" t="s">
        <v>624</v>
      </c>
      <c r="M7" s="5" t="s">
        <v>625</v>
      </c>
      <c r="N7" s="3" t="s">
        <v>623</v>
      </c>
      <c r="O7" s="4" t="s">
        <v>624</v>
      </c>
      <c r="P7" s="5" t="s">
        <v>625</v>
      </c>
      <c r="Q7" s="3" t="s">
        <v>623</v>
      </c>
      <c r="R7" s="4" t="s">
        <v>624</v>
      </c>
      <c r="S7" s="5" t="s">
        <v>625</v>
      </c>
      <c r="T7" s="3" t="s">
        <v>623</v>
      </c>
      <c r="U7" s="4" t="s">
        <v>624</v>
      </c>
      <c r="V7" s="5" t="s">
        <v>625</v>
      </c>
      <c r="W7" s="6" t="s">
        <v>623</v>
      </c>
      <c r="X7" s="7" t="s">
        <v>624</v>
      </c>
      <c r="Y7" s="8" t="s">
        <v>625</v>
      </c>
    </row>
    <row r="8" spans="1:25" ht="16.05" customHeight="1" x14ac:dyDescent="0.3">
      <c r="A8" s="9" t="s">
        <v>604</v>
      </c>
      <c r="B8" s="10">
        <v>19748280.682666671</v>
      </c>
      <c r="C8" s="11">
        <v>35851423.682050943</v>
      </c>
      <c r="D8" s="12">
        <f t="shared" ref="D8:D15" si="0">IF(B8&lt;&gt;0,C8/B8-1,"")</f>
        <v>0.81541999823398381</v>
      </c>
      <c r="E8" s="10">
        <v>19748280.682666671</v>
      </c>
      <c r="F8" s="11">
        <v>582382.00047597161</v>
      </c>
      <c r="G8" s="12">
        <f t="shared" ref="G8:G15" si="1">IF(E8&lt;&gt;0,F8/E8-1,"")</f>
        <v>-0.97050973652672778</v>
      </c>
      <c r="H8" s="10">
        <v>19748280.682666671</v>
      </c>
      <c r="I8" s="11">
        <v>136458.0004267332</v>
      </c>
      <c r="J8" s="12">
        <f t="shared" ref="J8:J15" si="2">IF(H8&lt;&gt;0,I8/H8-1,"")</f>
        <v>-0.99309013262372237</v>
      </c>
      <c r="K8" s="10">
        <v>19748280.682666671</v>
      </c>
      <c r="L8" s="11">
        <v>14549416.87319459</v>
      </c>
      <c r="M8" s="12">
        <f t="shared" ref="M8:M15" si="3">IF(K8&lt;&gt;0,L8/K8-1,"")</f>
        <v>-0.2632565281510908</v>
      </c>
      <c r="N8" s="10">
        <v>19748280.682666671</v>
      </c>
      <c r="O8" s="11">
        <v>3932511.7647058819</v>
      </c>
      <c r="P8" s="12">
        <f t="shared" ref="P8:P15" si="4">IF(N8&lt;&gt;0,O8/N8-1,"")</f>
        <v>-0.80086814503515236</v>
      </c>
      <c r="Q8" s="10">
        <v>19748280.682666671</v>
      </c>
      <c r="R8" s="11">
        <v>448669.74789915967</v>
      </c>
      <c r="S8" s="12">
        <f t="shared" ref="S8:S15" si="5">IF(Q8&lt;&gt;0,R8/Q8-1,"")</f>
        <v>-0.97728056659165463</v>
      </c>
      <c r="T8" s="10">
        <v>0</v>
      </c>
      <c r="U8" s="11">
        <v>393471.42857142899</v>
      </c>
      <c r="V8" s="12" t="str">
        <f t="shared" ref="V8:V15" si="6">IF(T8&lt;&gt;0,U8/T8-1,"")</f>
        <v/>
      </c>
      <c r="W8" s="13">
        <f t="shared" ref="W8:X14" si="7">B8+E8+H8+K8+N8+Q8+T8</f>
        <v>118489684.09600003</v>
      </c>
      <c r="X8" s="14">
        <f t="shared" si="7"/>
        <v>55894333.497324705</v>
      </c>
      <c r="Y8" s="15">
        <f t="shared" ref="Y8:Y15" si="8">IF(W8&lt;&gt;0,X8/W8-1,"")</f>
        <v>-0.52827679537031036</v>
      </c>
    </row>
    <row r="9" spans="1:25" ht="16.05" customHeight="1" x14ac:dyDescent="0.3">
      <c r="A9" s="9" t="s">
        <v>605</v>
      </c>
      <c r="B9" s="10">
        <v>62765484.5</v>
      </c>
      <c r="C9" s="11">
        <v>33201753.937844671</v>
      </c>
      <c r="D9" s="12">
        <f t="shared" si="0"/>
        <v>-0.47101891744586677</v>
      </c>
      <c r="E9" s="10">
        <v>66797727.391999997</v>
      </c>
      <c r="F9" s="11">
        <v>7080205.8897387087</v>
      </c>
      <c r="G9" s="12">
        <f t="shared" si="1"/>
        <v>-0.89400528781183253</v>
      </c>
      <c r="H9" s="10">
        <v>138183134.47999999</v>
      </c>
      <c r="I9" s="11">
        <v>118232515.4169676</v>
      </c>
      <c r="J9" s="12">
        <f t="shared" si="2"/>
        <v>-0.14437810473838941</v>
      </c>
      <c r="K9" s="10">
        <v>52451359.185000002</v>
      </c>
      <c r="L9" s="11">
        <v>8927802.0407284014</v>
      </c>
      <c r="M9" s="12">
        <f t="shared" si="3"/>
        <v>-0.82978892864836251</v>
      </c>
      <c r="N9" s="10">
        <v>73515940.912499994</v>
      </c>
      <c r="O9" s="11">
        <v>48652887.394957989</v>
      </c>
      <c r="P9" s="12">
        <f t="shared" si="4"/>
        <v>-0.33819948719876225</v>
      </c>
      <c r="Q9" s="10">
        <v>60514201.887999997</v>
      </c>
      <c r="R9" s="11">
        <v>4169427.7310924339</v>
      </c>
      <c r="S9" s="12">
        <f t="shared" si="5"/>
        <v>-0.9311000128728586</v>
      </c>
      <c r="T9" s="10">
        <v>26000000</v>
      </c>
      <c r="U9" s="11">
        <v>34816709.243697479</v>
      </c>
      <c r="V9" s="12">
        <f t="shared" si="6"/>
        <v>0.33910420168067223</v>
      </c>
      <c r="W9" s="13">
        <f t="shared" si="7"/>
        <v>480227848.35749996</v>
      </c>
      <c r="X9" s="14">
        <f t="shared" si="7"/>
        <v>255081301.65502727</v>
      </c>
      <c r="Y9" s="15">
        <f t="shared" si="8"/>
        <v>-0.46883275818453785</v>
      </c>
    </row>
    <row r="10" spans="1:25" ht="16.05" customHeight="1" x14ac:dyDescent="0.3">
      <c r="A10" s="9" t="s">
        <v>606</v>
      </c>
      <c r="B10" s="10">
        <v>13000000</v>
      </c>
      <c r="C10" s="11">
        <v>15894490.108816961</v>
      </c>
      <c r="D10" s="12">
        <f t="shared" si="0"/>
        <v>0.22265308529361238</v>
      </c>
      <c r="E10" s="10">
        <v>20000000</v>
      </c>
      <c r="F10" s="11">
        <v>14490573.057338171</v>
      </c>
      <c r="G10" s="12">
        <f t="shared" si="1"/>
        <v>-0.27547134713309152</v>
      </c>
      <c r="H10" s="10">
        <v>25000000</v>
      </c>
      <c r="I10" s="11">
        <v>18819282.488757219</v>
      </c>
      <c r="J10" s="12">
        <f t="shared" si="2"/>
        <v>-0.24722870044971124</v>
      </c>
      <c r="K10" s="10">
        <v>22000000</v>
      </c>
      <c r="L10" s="11">
        <v>19789401.31220457</v>
      </c>
      <c r="M10" s="12">
        <f t="shared" si="3"/>
        <v>-0.10048175853615593</v>
      </c>
      <c r="N10" s="10">
        <v>20000000</v>
      </c>
      <c r="O10" s="11">
        <v>29447439.059217442</v>
      </c>
      <c r="P10" s="12">
        <f t="shared" si="4"/>
        <v>0.47237195296087209</v>
      </c>
      <c r="Q10" s="10">
        <v>23000000</v>
      </c>
      <c r="R10" s="11">
        <v>31695274.789915971</v>
      </c>
      <c r="S10" s="12">
        <f t="shared" si="5"/>
        <v>0.37805542564852046</v>
      </c>
      <c r="T10" s="10">
        <v>20000000</v>
      </c>
      <c r="U10" s="11">
        <v>24940802.52100841</v>
      </c>
      <c r="V10" s="12">
        <f t="shared" si="6"/>
        <v>0.24704012605042047</v>
      </c>
      <c r="W10" s="13">
        <f t="shared" si="7"/>
        <v>143000000</v>
      </c>
      <c r="X10" s="14">
        <f t="shared" si="7"/>
        <v>155077263.33725873</v>
      </c>
      <c r="Y10" s="15">
        <f t="shared" si="8"/>
        <v>8.4456386973837283E-2</v>
      </c>
    </row>
    <row r="11" spans="1:25" ht="16.05" customHeight="1" x14ac:dyDescent="0.3">
      <c r="A11" s="9" t="s">
        <v>607</v>
      </c>
      <c r="B11" s="10">
        <v>62000000</v>
      </c>
      <c r="C11" s="11">
        <v>20775297.586085219</v>
      </c>
      <c r="D11" s="12">
        <f t="shared" si="0"/>
        <v>-0.66491455506314168</v>
      </c>
      <c r="E11" s="10">
        <v>60000000</v>
      </c>
      <c r="F11" s="11">
        <v>34440146.685842313</v>
      </c>
      <c r="G11" s="12">
        <f t="shared" si="1"/>
        <v>-0.4259975552359615</v>
      </c>
      <c r="H11" s="10">
        <v>72000000</v>
      </c>
      <c r="I11" s="11">
        <v>65346852.94733128</v>
      </c>
      <c r="J11" s="12">
        <f t="shared" si="2"/>
        <v>-9.2404820175954416E-2</v>
      </c>
      <c r="K11" s="10">
        <v>58600000</v>
      </c>
      <c r="L11" s="11">
        <v>38602261.684488252</v>
      </c>
      <c r="M11" s="12">
        <f t="shared" si="3"/>
        <v>-0.34125833302921071</v>
      </c>
      <c r="N11" s="10">
        <v>50740000</v>
      </c>
      <c r="O11" s="11">
        <v>33135567.226890761</v>
      </c>
      <c r="P11" s="12">
        <f t="shared" si="4"/>
        <v>-0.34695374010857782</v>
      </c>
      <c r="Q11" s="10">
        <v>95000000</v>
      </c>
      <c r="R11" s="11">
        <v>58669495.798319332</v>
      </c>
      <c r="S11" s="12">
        <f t="shared" si="5"/>
        <v>-0.38242636001769126</v>
      </c>
      <c r="T11" s="10">
        <v>22413612.3011062</v>
      </c>
      <c r="U11" s="11">
        <v>53851637.815126047</v>
      </c>
      <c r="V11" s="12">
        <f t="shared" si="6"/>
        <v>1.4026309142711573</v>
      </c>
      <c r="W11" s="13">
        <f t="shared" si="7"/>
        <v>420753612.30110621</v>
      </c>
      <c r="X11" s="14">
        <f t="shared" si="7"/>
        <v>304821259.74408323</v>
      </c>
      <c r="Y11" s="15">
        <f t="shared" si="8"/>
        <v>-0.27553501424025251</v>
      </c>
    </row>
    <row r="12" spans="1:25" ht="16.05" customHeight="1" x14ac:dyDescent="0.3">
      <c r="A12" s="9" t="s">
        <v>608</v>
      </c>
      <c r="B12" s="10">
        <v>260171192.19764781</v>
      </c>
      <c r="C12" s="11">
        <v>256761421.26947051</v>
      </c>
      <c r="D12" s="12">
        <f t="shared" si="0"/>
        <v>-1.3105874249086491E-2</v>
      </c>
      <c r="E12" s="10">
        <v>252733458.01941201</v>
      </c>
      <c r="F12" s="11">
        <v>252562166.74562979</v>
      </c>
      <c r="G12" s="12">
        <f t="shared" si="1"/>
        <v>-6.7775463970842775E-4</v>
      </c>
      <c r="H12" s="10">
        <v>306644222.24999988</v>
      </c>
      <c r="I12" s="11">
        <v>357008006.2351371</v>
      </c>
      <c r="J12" s="12">
        <f t="shared" si="2"/>
        <v>0.16424175096335847</v>
      </c>
      <c r="K12" s="10">
        <v>280282309.50522351</v>
      </c>
      <c r="L12" s="11">
        <v>325594460.47495031</v>
      </c>
      <c r="M12" s="12">
        <f t="shared" si="3"/>
        <v>0.16166611103538919</v>
      </c>
      <c r="N12" s="10">
        <v>280991441.05793983</v>
      </c>
      <c r="O12" s="11">
        <v>299348917.1415441</v>
      </c>
      <c r="P12" s="12">
        <f t="shared" si="4"/>
        <v>6.5331086293902496E-2</v>
      </c>
      <c r="Q12" s="10">
        <v>533293061.07636428</v>
      </c>
      <c r="R12" s="11">
        <v>559504351.71428585</v>
      </c>
      <c r="S12" s="12">
        <f t="shared" si="5"/>
        <v>4.9149881277319452E-2</v>
      </c>
      <c r="T12" s="10">
        <v>375592372.43622458</v>
      </c>
      <c r="U12" s="11">
        <v>367287437.81512612</v>
      </c>
      <c r="V12" s="12">
        <f t="shared" si="6"/>
        <v>-2.2111563574174098E-2</v>
      </c>
      <c r="W12" s="13">
        <f t="shared" si="7"/>
        <v>2289708056.5428119</v>
      </c>
      <c r="X12" s="14">
        <f t="shared" si="7"/>
        <v>2418066761.3961439</v>
      </c>
      <c r="Y12" s="15">
        <f t="shared" si="8"/>
        <v>5.6058982928652634E-2</v>
      </c>
    </row>
    <row r="13" spans="1:25" ht="16.05" customHeight="1" x14ac:dyDescent="0.3">
      <c r="A13" s="9" t="s">
        <v>609</v>
      </c>
      <c r="B13" s="10">
        <v>32438195.50462186</v>
      </c>
      <c r="C13" s="11">
        <v>26839256.93169602</v>
      </c>
      <c r="D13" s="12">
        <f t="shared" si="0"/>
        <v>-0.17260326864137965</v>
      </c>
      <c r="E13" s="10">
        <v>28580469.300000001</v>
      </c>
      <c r="F13" s="11">
        <v>24813045.956036221</v>
      </c>
      <c r="G13" s="12">
        <f t="shared" si="1"/>
        <v>-0.13181810642849656</v>
      </c>
      <c r="H13" s="10">
        <v>48694074.050420158</v>
      </c>
      <c r="I13" s="11">
        <v>49486765.268329017</v>
      </c>
      <c r="J13" s="12">
        <f t="shared" si="2"/>
        <v>1.6279007936121026E-2</v>
      </c>
      <c r="K13" s="10">
        <v>37800428.880000003</v>
      </c>
      <c r="L13" s="11">
        <v>38836083.11429064</v>
      </c>
      <c r="M13" s="12">
        <f t="shared" si="3"/>
        <v>2.7397949308416436E-2</v>
      </c>
      <c r="N13" s="10">
        <v>35319601.200000003</v>
      </c>
      <c r="O13" s="11">
        <v>41046689.075630262</v>
      </c>
      <c r="P13" s="12">
        <f t="shared" si="4"/>
        <v>0.16215041169916322</v>
      </c>
      <c r="Q13" s="10">
        <v>89509959.629999995</v>
      </c>
      <c r="R13" s="11">
        <v>57514117.64705883</v>
      </c>
      <c r="S13" s="12">
        <f t="shared" si="5"/>
        <v>-0.35745566320440503</v>
      </c>
      <c r="T13" s="10">
        <v>37034887.5</v>
      </c>
      <c r="U13" s="11">
        <v>35086092.436974794</v>
      </c>
      <c r="V13" s="12">
        <f t="shared" si="6"/>
        <v>-5.2620520665148662E-2</v>
      </c>
      <c r="W13" s="13">
        <f t="shared" si="7"/>
        <v>309377616.06504202</v>
      </c>
      <c r="X13" s="14">
        <f t="shared" si="7"/>
        <v>273622050.4300158</v>
      </c>
      <c r="Y13" s="15">
        <f t="shared" si="8"/>
        <v>-0.11557256820903661</v>
      </c>
    </row>
    <row r="14" spans="1:25" ht="16.05" customHeight="1" x14ac:dyDescent="0.3">
      <c r="A14" s="9" t="s">
        <v>610</v>
      </c>
      <c r="B14" s="10">
        <v>0</v>
      </c>
      <c r="C14" s="11">
        <v>0</v>
      </c>
      <c r="D14" s="12" t="str">
        <f t="shared" si="0"/>
        <v/>
      </c>
      <c r="E14" s="10">
        <v>0</v>
      </c>
      <c r="F14" s="11">
        <v>0</v>
      </c>
      <c r="G14" s="12" t="str">
        <f t="shared" si="1"/>
        <v/>
      </c>
      <c r="H14" s="10">
        <v>0</v>
      </c>
      <c r="I14" s="11">
        <v>0</v>
      </c>
      <c r="J14" s="12" t="str">
        <f t="shared" si="2"/>
        <v/>
      </c>
      <c r="K14" s="10">
        <v>0</v>
      </c>
      <c r="L14" s="11">
        <v>0</v>
      </c>
      <c r="M14" s="12" t="str">
        <f t="shared" si="3"/>
        <v/>
      </c>
      <c r="N14" s="10">
        <v>0</v>
      </c>
      <c r="O14" s="11">
        <v>0</v>
      </c>
      <c r="P14" s="12" t="str">
        <f t="shared" si="4"/>
        <v/>
      </c>
      <c r="Q14" s="10">
        <v>0</v>
      </c>
      <c r="R14" s="11">
        <v>0</v>
      </c>
      <c r="S14" s="12" t="str">
        <f t="shared" si="5"/>
        <v/>
      </c>
      <c r="T14" s="10">
        <v>0</v>
      </c>
      <c r="U14" s="11">
        <v>0</v>
      </c>
      <c r="V14" s="12" t="str">
        <f t="shared" si="6"/>
        <v/>
      </c>
      <c r="W14" s="13">
        <f t="shared" si="7"/>
        <v>0</v>
      </c>
      <c r="X14" s="14">
        <f t="shared" si="7"/>
        <v>0</v>
      </c>
      <c r="Y14" s="15" t="str">
        <f t="shared" si="8"/>
        <v/>
      </c>
    </row>
    <row r="15" spans="1:25" ht="19.95" customHeight="1" x14ac:dyDescent="0.3">
      <c r="A15" s="16" t="s">
        <v>581</v>
      </c>
      <c r="B15" s="13">
        <f>SUM(B8:B14)</f>
        <v>450123152.88493633</v>
      </c>
      <c r="C15" s="14">
        <f>SUM(C8:C14)</f>
        <v>389323643.51596433</v>
      </c>
      <c r="D15" s="15">
        <f t="shared" si="0"/>
        <v>-0.13507305496128075</v>
      </c>
      <c r="E15" s="13">
        <f>SUM(E8:E14)</f>
        <v>447859935.39407867</v>
      </c>
      <c r="F15" s="14">
        <f>SUM(F8:F14)</f>
        <v>333968520.33506119</v>
      </c>
      <c r="G15" s="15">
        <f t="shared" si="1"/>
        <v>-0.25430141447861976</v>
      </c>
      <c r="H15" s="13">
        <f>SUM(H8:H14)</f>
        <v>610269711.46308672</v>
      </c>
      <c r="I15" s="14">
        <f>SUM(I8:I14)</f>
        <v>609029880.35694897</v>
      </c>
      <c r="J15" s="15">
        <f t="shared" si="2"/>
        <v>-2.0316117330571037E-3</v>
      </c>
      <c r="K15" s="13">
        <f>SUM(K8:K14)</f>
        <v>470882378.25289017</v>
      </c>
      <c r="L15" s="14">
        <f>SUM(L8:L14)</f>
        <v>446299425.49985677</v>
      </c>
      <c r="M15" s="15">
        <f t="shared" si="3"/>
        <v>-5.2206142952818224E-2</v>
      </c>
      <c r="N15" s="13">
        <f>SUM(N8:N14)</f>
        <v>480315263.8531065</v>
      </c>
      <c r="O15" s="14">
        <f>SUM(O8:O14)</f>
        <v>455564011.6629464</v>
      </c>
      <c r="P15" s="15">
        <f t="shared" si="4"/>
        <v>-5.153126301172406E-2</v>
      </c>
      <c r="Q15" s="13">
        <f>SUM(Q8:Q14)</f>
        <v>821065503.27703094</v>
      </c>
      <c r="R15" s="14">
        <f>SUM(R8:R14)</f>
        <v>712001337.42857158</v>
      </c>
      <c r="S15" s="15">
        <f t="shared" si="5"/>
        <v>-0.13283247854545488</v>
      </c>
      <c r="T15" s="13">
        <f>SUM(T8:T14)</f>
        <v>481040872.23733079</v>
      </c>
      <c r="U15" s="14">
        <f>SUM(U8:U14)</f>
        <v>516376151.26050425</v>
      </c>
      <c r="V15" s="15">
        <f t="shared" si="6"/>
        <v>7.3455876750822435E-2</v>
      </c>
      <c r="W15" s="17">
        <f>SUM(W8:W14)</f>
        <v>3761556817.3624601</v>
      </c>
      <c r="X15" s="18">
        <f>SUM(X8:X14)</f>
        <v>3462562970.0598536</v>
      </c>
      <c r="Y15" s="15">
        <f t="shared" si="8"/>
        <v>-7.9486728984797361E-2</v>
      </c>
    </row>
    <row r="17" spans="1:25" ht="25.95" customHeight="1" x14ac:dyDescent="0.3">
      <c r="A17" s="176" t="s">
        <v>631</v>
      </c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</row>
    <row r="18" spans="1:25" ht="13.95" customHeight="1" x14ac:dyDescent="0.3">
      <c r="A18" s="177" t="s">
        <v>632</v>
      </c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</row>
    <row r="19" spans="1:25" ht="19.95" customHeight="1" x14ac:dyDescent="0.3">
      <c r="A19" s="19" t="s">
        <v>603</v>
      </c>
      <c r="B19" s="181" t="s">
        <v>615</v>
      </c>
      <c r="C19" s="179"/>
      <c r="D19" s="180"/>
      <c r="E19" s="181" t="s">
        <v>616</v>
      </c>
      <c r="F19" s="179"/>
      <c r="G19" s="180"/>
      <c r="H19" s="181" t="s">
        <v>617</v>
      </c>
      <c r="I19" s="179"/>
      <c r="J19" s="180"/>
      <c r="K19" s="181" t="s">
        <v>618</v>
      </c>
      <c r="L19" s="179"/>
      <c r="M19" s="180"/>
      <c r="N19" s="181" t="s">
        <v>619</v>
      </c>
      <c r="O19" s="179"/>
      <c r="P19" s="180"/>
      <c r="Q19" s="181" t="s">
        <v>620</v>
      </c>
      <c r="R19" s="179"/>
      <c r="S19" s="180"/>
      <c r="T19" s="181" t="s">
        <v>621</v>
      </c>
      <c r="U19" s="179"/>
      <c r="V19" s="180"/>
      <c r="W19" s="182" t="s">
        <v>622</v>
      </c>
      <c r="X19" s="179"/>
      <c r="Y19" s="180"/>
    </row>
    <row r="20" spans="1:25" ht="18" customHeight="1" x14ac:dyDescent="0.3">
      <c r="A20" s="20"/>
      <c r="B20" s="3" t="s">
        <v>623</v>
      </c>
      <c r="C20" s="4" t="s">
        <v>624</v>
      </c>
      <c r="D20" s="5" t="s">
        <v>625</v>
      </c>
      <c r="E20" s="3" t="s">
        <v>623</v>
      </c>
      <c r="F20" s="4" t="s">
        <v>624</v>
      </c>
      <c r="G20" s="5" t="s">
        <v>625</v>
      </c>
      <c r="H20" s="3" t="s">
        <v>623</v>
      </c>
      <c r="I20" s="4" t="s">
        <v>624</v>
      </c>
      <c r="J20" s="5" t="s">
        <v>625</v>
      </c>
      <c r="K20" s="3" t="s">
        <v>623</v>
      </c>
      <c r="L20" s="4" t="s">
        <v>624</v>
      </c>
      <c r="M20" s="5" t="s">
        <v>625</v>
      </c>
      <c r="N20" s="3" t="s">
        <v>623</v>
      </c>
      <c r="O20" s="4" t="s">
        <v>624</v>
      </c>
      <c r="P20" s="5" t="s">
        <v>625</v>
      </c>
      <c r="Q20" s="3" t="s">
        <v>623</v>
      </c>
      <c r="R20" s="4" t="s">
        <v>624</v>
      </c>
      <c r="S20" s="5" t="s">
        <v>625</v>
      </c>
      <c r="T20" s="3" t="s">
        <v>623</v>
      </c>
      <c r="U20" s="4" t="s">
        <v>624</v>
      </c>
      <c r="V20" s="5" t="s">
        <v>625</v>
      </c>
      <c r="W20" s="6" t="s">
        <v>623</v>
      </c>
      <c r="X20" s="7" t="s">
        <v>624</v>
      </c>
      <c r="Y20" s="8" t="s">
        <v>625</v>
      </c>
    </row>
    <row r="21" spans="1:25" ht="16.05" customHeight="1" x14ac:dyDescent="0.3">
      <c r="A21" s="21" t="s">
        <v>604</v>
      </c>
      <c r="B21" s="10">
        <v>8086920.9395520017</v>
      </c>
      <c r="C21" s="11">
        <v>20252359.181884769</v>
      </c>
      <c r="D21" s="12">
        <f t="shared" ref="D21:D28" si="9">IF(B21&lt;&gt;0,C21/B21-1,"")</f>
        <v>1.5043350038001866</v>
      </c>
      <c r="E21" s="10">
        <v>8886726.3072000016</v>
      </c>
      <c r="F21" s="11">
        <v>215671.4201660156</v>
      </c>
      <c r="G21" s="12">
        <f t="shared" ref="G21:G28" si="10">IF(E21&lt;&gt;0,F21/E21-1,"")</f>
        <v>-0.97573106083043437</v>
      </c>
      <c r="H21" s="10">
        <v>7820319.150336002</v>
      </c>
      <c r="I21" s="11">
        <v>56960.564208984382</v>
      </c>
      <c r="J21" s="12">
        <f t="shared" ref="J21:J28" si="11">IF(H21&lt;&gt;0,I21/H21-1,"")</f>
        <v>-0.99271633764377287</v>
      </c>
      <c r="K21" s="10">
        <v>8175788.2026240015</v>
      </c>
      <c r="L21" s="11">
        <v>6284614.2045898438</v>
      </c>
      <c r="M21" s="12">
        <f t="shared" ref="M21:M28" si="12">IF(K21&lt;&gt;0,L21/K21-1,"")</f>
        <v>-0.23131396645367963</v>
      </c>
      <c r="N21" s="10">
        <v>7109381.0457600011</v>
      </c>
      <c r="O21" s="11">
        <v>-956644</v>
      </c>
      <c r="P21" s="12">
        <f t="shared" ref="P21:P28" si="13">IF(N21&lt;&gt;0,O21/N21-1,"")</f>
        <v>-1.1345607998562037</v>
      </c>
      <c r="Q21" s="10">
        <v>8708991.7810560018</v>
      </c>
      <c r="R21" s="11">
        <v>162242</v>
      </c>
      <c r="S21" s="12">
        <f t="shared" ref="S21:S28" si="14">IF(Q21&lt;&gt;0,R21/Q21-1,"")</f>
        <v>-0.98137074829340032</v>
      </c>
      <c r="T21" s="10">
        <v>0</v>
      </c>
      <c r="U21" s="11">
        <v>419553.04088902002</v>
      </c>
      <c r="V21" s="12" t="str">
        <f t="shared" ref="V21:V28" si="15">IF(T21&lt;&gt;0,U21/T21-1,"")</f>
        <v/>
      </c>
      <c r="W21" s="13">
        <f t="shared" ref="W21:X27" si="16">B21+E21+H21+K21+N21+Q21+T21</f>
        <v>48788127.426528007</v>
      </c>
      <c r="X21" s="14">
        <f t="shared" si="16"/>
        <v>26434756.411738634</v>
      </c>
      <c r="Y21" s="15">
        <f t="shared" ref="Y21:Y28" si="17">IF(W21&lt;&gt;0,X21/W21-1,"")</f>
        <v>-0.45817235040332727</v>
      </c>
    </row>
    <row r="22" spans="1:25" ht="16.05" customHeight="1" x14ac:dyDescent="0.3">
      <c r="A22" s="21" t="s">
        <v>605</v>
      </c>
      <c r="B22" s="10">
        <v>24950884.109999999</v>
      </c>
      <c r="C22" s="11">
        <v>15782766.619628901</v>
      </c>
      <c r="D22" s="12">
        <f t="shared" si="9"/>
        <v>-0.36744659828292947</v>
      </c>
      <c r="E22" s="10">
        <v>28995482.741119999</v>
      </c>
      <c r="F22" s="11">
        <v>3045060.7954101558</v>
      </c>
      <c r="G22" s="12">
        <f t="shared" si="10"/>
        <v>-0.89498154513938144</v>
      </c>
      <c r="H22" s="10">
        <v>50503693.682399988</v>
      </c>
      <c r="I22" s="11">
        <v>60202449.837646477</v>
      </c>
      <c r="J22" s="12">
        <f t="shared" si="11"/>
        <v>0.19204053105973928</v>
      </c>
      <c r="K22" s="10">
        <v>20791516.4903</v>
      </c>
      <c r="L22" s="11">
        <v>4222338.5048828116</v>
      </c>
      <c r="M22" s="12">
        <f t="shared" si="12"/>
        <v>-0.79692012812760982</v>
      </c>
      <c r="N22" s="10">
        <v>32844023.179499999</v>
      </c>
      <c r="O22" s="11">
        <v>21085389.152132548</v>
      </c>
      <c r="P22" s="12">
        <f t="shared" si="13"/>
        <v>-0.3580144236016356</v>
      </c>
      <c r="Q22" s="10">
        <v>24051307.791200001</v>
      </c>
      <c r="R22" s="11">
        <v>1750315.3162844051</v>
      </c>
      <c r="S22" s="12">
        <f t="shared" si="14"/>
        <v>-0.92722577368849701</v>
      </c>
      <c r="T22" s="10">
        <v>10192000</v>
      </c>
      <c r="U22" s="11">
        <v>15455540.86966208</v>
      </c>
      <c r="V22" s="12">
        <f t="shared" si="15"/>
        <v>0.51643846837343799</v>
      </c>
      <c r="W22" s="13">
        <f t="shared" si="16"/>
        <v>192328907.99451998</v>
      </c>
      <c r="X22" s="14">
        <f t="shared" si="16"/>
        <v>121543861.09564738</v>
      </c>
      <c r="Y22" s="15">
        <f t="shared" si="17"/>
        <v>-0.36804164094192993</v>
      </c>
    </row>
    <row r="23" spans="1:25" ht="16.05" customHeight="1" x14ac:dyDescent="0.3">
      <c r="A23" s="21" t="s">
        <v>606</v>
      </c>
      <c r="B23" s="10">
        <v>4511000</v>
      </c>
      <c r="C23" s="11">
        <v>6825396.7120420951</v>
      </c>
      <c r="D23" s="12">
        <f t="shared" si="9"/>
        <v>0.51305624297098107</v>
      </c>
      <c r="E23" s="10">
        <v>6940000</v>
      </c>
      <c r="F23" s="11">
        <v>5641795.5491447449</v>
      </c>
      <c r="G23" s="12">
        <f t="shared" si="10"/>
        <v>-0.1870611600655987</v>
      </c>
      <c r="H23" s="10">
        <v>8675000</v>
      </c>
      <c r="I23" s="11">
        <v>7476689.6438084394</v>
      </c>
      <c r="J23" s="12">
        <f t="shared" si="11"/>
        <v>-0.13813375863879662</v>
      </c>
      <c r="K23" s="10">
        <v>7634000</v>
      </c>
      <c r="L23" s="11">
        <v>8078300.2874145508</v>
      </c>
      <c r="M23" s="12">
        <f t="shared" si="12"/>
        <v>5.8200194840784647E-2</v>
      </c>
      <c r="N23" s="10">
        <v>6940000</v>
      </c>
      <c r="O23" s="11">
        <v>8229278.5011137119</v>
      </c>
      <c r="P23" s="12">
        <f t="shared" si="13"/>
        <v>0.18577500016047721</v>
      </c>
      <c r="Q23" s="10">
        <v>7981000</v>
      </c>
      <c r="R23" s="11">
        <v>9937373.2201250009</v>
      </c>
      <c r="S23" s="12">
        <f t="shared" si="14"/>
        <v>0.24512883349517622</v>
      </c>
      <c r="T23" s="10">
        <v>6940000</v>
      </c>
      <c r="U23" s="11">
        <v>6780319.6305861771</v>
      </c>
      <c r="V23" s="12">
        <f t="shared" si="15"/>
        <v>-2.3008698762798652E-2</v>
      </c>
      <c r="W23" s="13">
        <f t="shared" si="16"/>
        <v>49621000</v>
      </c>
      <c r="X23" s="14">
        <f t="shared" si="16"/>
        <v>52969153.544234723</v>
      </c>
      <c r="Y23" s="15">
        <f t="shared" si="17"/>
        <v>6.7474527805459816E-2</v>
      </c>
    </row>
    <row r="24" spans="1:25" ht="16.05" customHeight="1" x14ac:dyDescent="0.3">
      <c r="A24" s="21" t="s">
        <v>607</v>
      </c>
      <c r="B24" s="10">
        <v>31809100</v>
      </c>
      <c r="C24" s="11">
        <v>12359359.950275419</v>
      </c>
      <c r="D24" s="12">
        <f t="shared" si="9"/>
        <v>-0.61145207031084126</v>
      </c>
      <c r="E24" s="10">
        <v>30576000</v>
      </c>
      <c r="F24" s="11">
        <v>18296607.709980011</v>
      </c>
      <c r="G24" s="12">
        <f t="shared" si="10"/>
        <v>-0.40160231194466212</v>
      </c>
      <c r="H24" s="10">
        <v>36918000</v>
      </c>
      <c r="I24" s="11">
        <v>36895123.816454202</v>
      </c>
      <c r="J24" s="12">
        <f t="shared" si="11"/>
        <v>-6.1964850603490884E-4</v>
      </c>
      <c r="K24" s="10">
        <v>30064730</v>
      </c>
      <c r="L24" s="11">
        <v>22208271.11181068</v>
      </c>
      <c r="M24" s="12">
        <f t="shared" si="12"/>
        <v>-0.26131812553079037</v>
      </c>
      <c r="N24" s="10">
        <v>26032157</v>
      </c>
      <c r="O24" s="11">
        <v>20363369.308357731</v>
      </c>
      <c r="P24" s="12">
        <f t="shared" si="13"/>
        <v>-0.21776096739283912</v>
      </c>
      <c r="Q24" s="10">
        <v>45410000</v>
      </c>
      <c r="R24" s="11">
        <v>32041021.831224859</v>
      </c>
      <c r="S24" s="12">
        <f t="shared" si="14"/>
        <v>-0.29440603762993045</v>
      </c>
      <c r="T24" s="10">
        <v>12217660.065300001</v>
      </c>
      <c r="U24" s="11">
        <v>30849191.361155909</v>
      </c>
      <c r="V24" s="12">
        <f t="shared" si="15"/>
        <v>1.5249672356470509</v>
      </c>
      <c r="W24" s="13">
        <f t="shared" si="16"/>
        <v>213027647.06529999</v>
      </c>
      <c r="X24" s="14">
        <f t="shared" si="16"/>
        <v>173012945.08925882</v>
      </c>
      <c r="Y24" s="15">
        <f t="shared" si="17"/>
        <v>-0.18783806950548232</v>
      </c>
    </row>
    <row r="25" spans="1:25" ht="16.05" customHeight="1" x14ac:dyDescent="0.3">
      <c r="A25" s="21" t="s">
        <v>608</v>
      </c>
      <c r="B25" s="10">
        <v>133149111.88695119</v>
      </c>
      <c r="C25" s="11">
        <v>142110958.58845431</v>
      </c>
      <c r="D25" s="12">
        <f t="shared" si="9"/>
        <v>6.7306845494486511E-2</v>
      </c>
      <c r="E25" s="10">
        <v>129273163.7769292</v>
      </c>
      <c r="F25" s="11">
        <v>144977245.82498169</v>
      </c>
      <c r="G25" s="12">
        <f t="shared" si="10"/>
        <v>0.12147983068745116</v>
      </c>
      <c r="H25" s="10">
        <v>157182003.5642437</v>
      </c>
      <c r="I25" s="11">
        <v>203931329.54249409</v>
      </c>
      <c r="J25" s="12">
        <f t="shared" si="11"/>
        <v>0.29742161900323993</v>
      </c>
      <c r="K25" s="10">
        <v>142415621.36166891</v>
      </c>
      <c r="L25" s="11">
        <v>191015695.58581629</v>
      </c>
      <c r="M25" s="12">
        <f t="shared" si="12"/>
        <v>0.34125522017508159</v>
      </c>
      <c r="N25" s="10">
        <v>143218021.55735621</v>
      </c>
      <c r="O25" s="11">
        <v>176593972.75322729</v>
      </c>
      <c r="P25" s="12">
        <f t="shared" si="13"/>
        <v>0.23304295669595332</v>
      </c>
      <c r="Q25" s="10">
        <v>256160639.1412147</v>
      </c>
      <c r="R25" s="11">
        <v>299271332.6574797</v>
      </c>
      <c r="S25" s="12">
        <f t="shared" si="14"/>
        <v>0.16829554166008776</v>
      </c>
      <c r="T25" s="10">
        <v>200301311.19959301</v>
      </c>
      <c r="U25" s="11">
        <v>202264611.60823771</v>
      </c>
      <c r="V25" s="12">
        <f t="shared" si="15"/>
        <v>9.8017351802972552E-3</v>
      </c>
      <c r="W25" s="13">
        <f t="shared" si="16"/>
        <v>1161699872.487957</v>
      </c>
      <c r="X25" s="14">
        <f t="shared" si="16"/>
        <v>1360165146.5606911</v>
      </c>
      <c r="Y25" s="15">
        <f t="shared" si="17"/>
        <v>0.17084040273473611</v>
      </c>
    </row>
    <row r="26" spans="1:25" ht="16.05" customHeight="1" x14ac:dyDescent="0.3">
      <c r="A26" s="21" t="s">
        <v>609</v>
      </c>
      <c r="B26" s="10">
        <v>16856508.29397675</v>
      </c>
      <c r="C26" s="11">
        <v>15036822.804443359</v>
      </c>
      <c r="D26" s="12">
        <f t="shared" si="9"/>
        <v>-0.1079515079753266</v>
      </c>
      <c r="E26" s="10">
        <v>14816115.285119999</v>
      </c>
      <c r="F26" s="11">
        <v>13994477.35681152</v>
      </c>
      <c r="G26" s="12">
        <f t="shared" si="10"/>
        <v>-5.545569216336077E-2</v>
      </c>
      <c r="H26" s="10">
        <v>25325787.91362353</v>
      </c>
      <c r="I26" s="11">
        <v>27520066.167480469</v>
      </c>
      <c r="J26" s="12">
        <f t="shared" si="11"/>
        <v>8.6642052809601466E-2</v>
      </c>
      <c r="K26" s="10">
        <v>19884915.612323999</v>
      </c>
      <c r="L26" s="11">
        <v>21748770.83603153</v>
      </c>
      <c r="M26" s="12">
        <f t="shared" si="12"/>
        <v>9.3732116346139982E-2</v>
      </c>
      <c r="N26" s="10">
        <v>18579876.211259998</v>
      </c>
      <c r="O26" s="11">
        <v>22688967.92219514</v>
      </c>
      <c r="P26" s="12">
        <f t="shared" si="13"/>
        <v>0.22115818556664557</v>
      </c>
      <c r="Q26" s="10">
        <v>42007024.054358996</v>
      </c>
      <c r="R26" s="11">
        <v>29690924.679905351</v>
      </c>
      <c r="S26" s="12">
        <f t="shared" si="14"/>
        <v>-0.29319142814106647</v>
      </c>
      <c r="T26" s="10">
        <v>20139571.8226</v>
      </c>
      <c r="U26" s="11">
        <v>17595145.258030601</v>
      </c>
      <c r="V26" s="12">
        <f t="shared" si="15"/>
        <v>-0.12633965542972081</v>
      </c>
      <c r="W26" s="13">
        <f t="shared" si="16"/>
        <v>157609799.19326326</v>
      </c>
      <c r="X26" s="14">
        <f t="shared" si="16"/>
        <v>148275175.02489796</v>
      </c>
      <c r="Y26" s="15">
        <f t="shared" si="17"/>
        <v>-5.9226166241853173E-2</v>
      </c>
    </row>
    <row r="27" spans="1:25" ht="16.05" customHeight="1" x14ac:dyDescent="0.3">
      <c r="A27" s="21" t="s">
        <v>610</v>
      </c>
      <c r="B27" s="10">
        <v>0</v>
      </c>
      <c r="C27" s="11">
        <v>0</v>
      </c>
      <c r="D27" s="12" t="str">
        <f t="shared" si="9"/>
        <v/>
      </c>
      <c r="E27" s="10">
        <v>0</v>
      </c>
      <c r="F27" s="11">
        <v>0</v>
      </c>
      <c r="G27" s="12" t="str">
        <f t="shared" si="10"/>
        <v/>
      </c>
      <c r="H27" s="10">
        <v>0</v>
      </c>
      <c r="I27" s="11">
        <v>0</v>
      </c>
      <c r="J27" s="12" t="str">
        <f t="shared" si="11"/>
        <v/>
      </c>
      <c r="K27" s="10">
        <v>0</v>
      </c>
      <c r="L27" s="11">
        <v>0</v>
      </c>
      <c r="M27" s="12" t="str">
        <f t="shared" si="12"/>
        <v/>
      </c>
      <c r="N27" s="10">
        <v>0</v>
      </c>
      <c r="O27" s="11">
        <v>0</v>
      </c>
      <c r="P27" s="12" t="str">
        <f t="shared" si="13"/>
        <v/>
      </c>
      <c r="Q27" s="10">
        <v>0</v>
      </c>
      <c r="R27" s="11">
        <v>0</v>
      </c>
      <c r="S27" s="12" t="str">
        <f t="shared" si="14"/>
        <v/>
      </c>
      <c r="T27" s="10">
        <v>0</v>
      </c>
      <c r="U27" s="11">
        <v>0</v>
      </c>
      <c r="V27" s="12" t="str">
        <f t="shared" si="15"/>
        <v/>
      </c>
      <c r="W27" s="13">
        <f t="shared" si="16"/>
        <v>0</v>
      </c>
      <c r="X27" s="14">
        <f t="shared" si="16"/>
        <v>0</v>
      </c>
      <c r="Y27" s="15" t="str">
        <f t="shared" si="17"/>
        <v/>
      </c>
    </row>
    <row r="28" spans="1:25" ht="19.95" customHeight="1" x14ac:dyDescent="0.3">
      <c r="A28" s="16" t="s">
        <v>581</v>
      </c>
      <c r="B28" s="13">
        <f>SUM(B21:B27)</f>
        <v>219363525.23047993</v>
      </c>
      <c r="C28" s="14">
        <f>SUM(C21:C27)</f>
        <v>212367663.85672885</v>
      </c>
      <c r="D28" s="15">
        <f t="shared" si="9"/>
        <v>-3.1891634520372913E-2</v>
      </c>
      <c r="E28" s="13">
        <f>SUM(E21:E27)</f>
        <v>219487488.11036921</v>
      </c>
      <c r="F28" s="14">
        <f>SUM(F21:F27)</f>
        <v>186170858.65649414</v>
      </c>
      <c r="G28" s="15">
        <f t="shared" si="10"/>
        <v>-0.15179284131732285</v>
      </c>
      <c r="H28" s="13">
        <f>SUM(H21:H27)</f>
        <v>286424804.3106032</v>
      </c>
      <c r="I28" s="14">
        <f>SUM(I21:I27)</f>
        <v>336082619.57209265</v>
      </c>
      <c r="J28" s="15">
        <f t="shared" si="11"/>
        <v>0.1733712112713528</v>
      </c>
      <c r="K28" s="13">
        <f>SUM(K21:K27)</f>
        <v>228966571.66691691</v>
      </c>
      <c r="L28" s="14">
        <f>SUM(L21:L27)</f>
        <v>253557990.53054571</v>
      </c>
      <c r="M28" s="15">
        <f t="shared" si="12"/>
        <v>0.10740178657783517</v>
      </c>
      <c r="N28" s="13">
        <f>SUM(N21:N27)</f>
        <v>234723458.99387619</v>
      </c>
      <c r="O28" s="14">
        <f>SUM(O21:O27)</f>
        <v>248004333.63702643</v>
      </c>
      <c r="P28" s="15">
        <f t="shared" si="13"/>
        <v>5.6580942953370128E-2</v>
      </c>
      <c r="Q28" s="13">
        <f>SUM(Q21:Q27)</f>
        <v>384318962.76782972</v>
      </c>
      <c r="R28" s="14">
        <f>SUM(R21:R27)</f>
        <v>372853209.7050193</v>
      </c>
      <c r="S28" s="15">
        <f t="shared" si="14"/>
        <v>-2.9833950893901062E-2</v>
      </c>
      <c r="T28" s="13">
        <f>SUM(T21:T27)</f>
        <v>249790543.087493</v>
      </c>
      <c r="U28" s="14">
        <f>SUM(U21:U27)</f>
        <v>273364361.76856148</v>
      </c>
      <c r="V28" s="15">
        <f t="shared" si="15"/>
        <v>9.4374344159263712E-2</v>
      </c>
      <c r="W28" s="17">
        <f>SUM(W21:W27)</f>
        <v>1823075354.1675682</v>
      </c>
      <c r="X28" s="18">
        <f>SUM(X21:X27)</f>
        <v>1882401037.7264688</v>
      </c>
      <c r="Y28" s="15">
        <f t="shared" si="17"/>
        <v>3.2541542193130768E-2</v>
      </c>
    </row>
  </sheetData>
  <mergeCells count="23">
    <mergeCell ref="K6:M6"/>
    <mergeCell ref="W19:Y19"/>
    <mergeCell ref="A1:Y1"/>
    <mergeCell ref="W6:Y6"/>
    <mergeCell ref="A18:Y18"/>
    <mergeCell ref="A3:Y3"/>
    <mergeCell ref="H6:J6"/>
    <mergeCell ref="A2:Y2"/>
    <mergeCell ref="E19:G19"/>
    <mergeCell ref="Q19:S19"/>
    <mergeCell ref="A5:Y5"/>
    <mergeCell ref="A17:Y17"/>
    <mergeCell ref="A4:Y4"/>
    <mergeCell ref="E6:G6"/>
    <mergeCell ref="Q6:S6"/>
    <mergeCell ref="B19:D19"/>
    <mergeCell ref="N19:P19"/>
    <mergeCell ref="H19:J19"/>
    <mergeCell ref="B6:D6"/>
    <mergeCell ref="N6:P6"/>
    <mergeCell ref="T6:V6"/>
    <mergeCell ref="K19:M19"/>
    <mergeCell ref="T19:V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"/>
  <sheetViews>
    <sheetView workbookViewId="0">
      <pane xSplit="1" ySplit="4" topLeftCell="B5" activePane="bottomRight" state="frozen"/>
      <selection pane="topRight"/>
      <selection pane="bottomLeft"/>
      <selection pane="bottomRight" activeCell="P19" sqref="P19"/>
    </sheetView>
  </sheetViews>
  <sheetFormatPr baseColWidth="10" defaultColWidth="8.88671875" defaultRowHeight="14.4" x14ac:dyDescent="0.3"/>
  <cols>
    <col min="1" max="1" width="18" customWidth="1"/>
    <col min="2" max="2" width="13" customWidth="1"/>
    <col min="3" max="3" width="9" customWidth="1"/>
    <col min="4" max="5" width="11" customWidth="1"/>
    <col min="6" max="6" width="12" customWidth="1"/>
    <col min="7" max="7" width="11" customWidth="1"/>
    <col min="8" max="8" width="9" customWidth="1"/>
    <col min="9" max="10" width="11" customWidth="1"/>
    <col min="11" max="11" width="12" customWidth="1"/>
    <col min="12" max="12" width="11" customWidth="1"/>
    <col min="13" max="13" width="9" customWidth="1"/>
    <col min="14" max="15" width="11" customWidth="1"/>
    <col min="16" max="16" width="12" customWidth="1"/>
    <col min="17" max="17" width="11" customWidth="1"/>
    <col min="18" max="18" width="9" customWidth="1"/>
  </cols>
  <sheetData>
    <row r="1" spans="1:18" ht="28.05" customHeight="1" x14ac:dyDescent="0.3">
      <c r="A1" s="190" t="s">
        <v>633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</row>
    <row r="2" spans="1:18" ht="19.95" customHeight="1" x14ac:dyDescent="0.3">
      <c r="A2" s="38"/>
      <c r="B2" s="184" t="s">
        <v>634</v>
      </c>
      <c r="C2" s="185"/>
      <c r="D2" s="187" t="s">
        <v>635</v>
      </c>
      <c r="E2" s="172"/>
      <c r="F2" s="172"/>
      <c r="G2" s="172"/>
      <c r="H2" s="185"/>
      <c r="I2" s="188" t="s">
        <v>636</v>
      </c>
      <c r="J2" s="172"/>
      <c r="K2" s="172"/>
      <c r="L2" s="172"/>
      <c r="M2" s="185"/>
      <c r="N2" s="189" t="s">
        <v>637</v>
      </c>
      <c r="O2" s="172"/>
      <c r="P2" s="172"/>
      <c r="Q2" s="172"/>
      <c r="R2" s="185"/>
    </row>
    <row r="3" spans="1:18" ht="36" customHeight="1" x14ac:dyDescent="0.3">
      <c r="A3" s="39" t="s">
        <v>638</v>
      </c>
      <c r="B3" s="39" t="s">
        <v>639</v>
      </c>
      <c r="C3" s="39" t="s">
        <v>640</v>
      </c>
      <c r="D3" s="40" t="s">
        <v>641</v>
      </c>
      <c r="E3" s="40" t="s">
        <v>642</v>
      </c>
      <c r="F3" s="40" t="s">
        <v>643</v>
      </c>
      <c r="G3" s="40" t="s">
        <v>644</v>
      </c>
      <c r="H3" s="40" t="s">
        <v>645</v>
      </c>
      <c r="I3" s="41" t="s">
        <v>641</v>
      </c>
      <c r="J3" s="41" t="s">
        <v>642</v>
      </c>
      <c r="K3" s="41" t="s">
        <v>643</v>
      </c>
      <c r="L3" s="41" t="s">
        <v>644</v>
      </c>
      <c r="M3" s="41" t="s">
        <v>645</v>
      </c>
      <c r="N3" s="42" t="s">
        <v>641</v>
      </c>
      <c r="O3" s="42" t="s">
        <v>642</v>
      </c>
      <c r="P3" s="42" t="s">
        <v>643</v>
      </c>
      <c r="Q3" s="42" t="s">
        <v>644</v>
      </c>
      <c r="R3" s="42" t="s">
        <v>645</v>
      </c>
    </row>
    <row r="4" spans="1:18" ht="16.05" customHeight="1" x14ac:dyDescent="0.3">
      <c r="A4" s="43" t="s">
        <v>594</v>
      </c>
      <c r="B4" s="44">
        <v>293552269</v>
      </c>
      <c r="C4" s="45">
        <v>5.0777590000000004</v>
      </c>
      <c r="D4" s="44">
        <v>293552269</v>
      </c>
      <c r="E4" s="44">
        <v>39012255</v>
      </c>
      <c r="F4" s="44">
        <v>332564524</v>
      </c>
      <c r="G4" s="44">
        <v>60498868.454999998</v>
      </c>
      <c r="H4" s="45">
        <v>5.7525779999999997</v>
      </c>
      <c r="I4" s="44">
        <v>285650488.35000002</v>
      </c>
      <c r="J4" s="44">
        <v>118009006.17</v>
      </c>
      <c r="K4" s="44">
        <v>403659494.51999998</v>
      </c>
      <c r="L4" s="44">
        <v>54625093.380000003</v>
      </c>
      <c r="M4" s="47">
        <v>7.2321369999999998</v>
      </c>
      <c r="N4" s="44">
        <v>386050734.19</v>
      </c>
      <c r="O4" s="44">
        <v>74813940</v>
      </c>
      <c r="P4" s="44">
        <v>460864674.19</v>
      </c>
      <c r="Q4" s="44">
        <v>58310202.600000001</v>
      </c>
      <c r="R4" s="45">
        <v>6.659573</v>
      </c>
    </row>
    <row r="5" spans="1:18" ht="16.05" customHeight="1" x14ac:dyDescent="0.3">
      <c r="A5" s="48" t="s">
        <v>595</v>
      </c>
      <c r="B5" s="49">
        <v>238809005</v>
      </c>
      <c r="C5" s="50">
        <v>2.499673</v>
      </c>
      <c r="D5" s="49">
        <v>238809005</v>
      </c>
      <c r="E5" s="49">
        <v>28893060</v>
      </c>
      <c r="F5" s="49">
        <v>267702065</v>
      </c>
      <c r="G5" s="49">
        <v>90854348.265000001</v>
      </c>
      <c r="H5" s="50">
        <v>2.8021039999999999</v>
      </c>
      <c r="I5" s="49">
        <v>168519001.18000001</v>
      </c>
      <c r="J5" s="49">
        <v>100394761.95</v>
      </c>
      <c r="K5" s="49">
        <v>268913763.13999999</v>
      </c>
      <c r="L5" s="49">
        <v>80445328.430000007</v>
      </c>
      <c r="M5" s="50">
        <v>2.7618520000000002</v>
      </c>
      <c r="N5" s="49">
        <v>269253683.00999999</v>
      </c>
      <c r="O5" s="49">
        <v>167625143.09999999</v>
      </c>
      <c r="P5" s="49">
        <v>436878826.11000001</v>
      </c>
      <c r="Q5" s="49">
        <v>115308635.84999999</v>
      </c>
      <c r="R5" s="50">
        <v>3.9412319999999998</v>
      </c>
    </row>
    <row r="6" spans="1:18" ht="16.05" customHeight="1" x14ac:dyDescent="0.3">
      <c r="A6" s="43" t="s">
        <v>646</v>
      </c>
      <c r="B6" s="44">
        <v>140495597</v>
      </c>
      <c r="C6" s="50">
        <v>2.7659349999999998</v>
      </c>
      <c r="D6" s="44">
        <v>140495597</v>
      </c>
      <c r="E6" s="44">
        <v>7600005</v>
      </c>
      <c r="F6" s="44">
        <v>148095602</v>
      </c>
      <c r="G6" s="44">
        <v>52697376.899999999</v>
      </c>
      <c r="H6" s="50">
        <v>2.9155570000000002</v>
      </c>
      <c r="I6" s="44">
        <v>99595348.650000006</v>
      </c>
      <c r="J6" s="44">
        <v>66454541.219999999</v>
      </c>
      <c r="K6" s="44">
        <v>166049889.87</v>
      </c>
      <c r="L6" s="44">
        <v>38555395.649999999</v>
      </c>
      <c r="M6" s="50">
        <v>2.9362400000000002</v>
      </c>
      <c r="N6" s="44">
        <v>134126360.22</v>
      </c>
      <c r="O6" s="44">
        <v>115085790</v>
      </c>
      <c r="P6" s="44">
        <v>249212150.22</v>
      </c>
      <c r="Q6" s="44">
        <v>61132130.100000001</v>
      </c>
      <c r="R6" s="50">
        <v>3.2544740000000001</v>
      </c>
    </row>
    <row r="7" spans="1:18" ht="16.05" customHeight="1" x14ac:dyDescent="0.3">
      <c r="A7" s="48" t="s">
        <v>647</v>
      </c>
      <c r="B7" s="49">
        <v>21439705</v>
      </c>
      <c r="C7" s="51">
        <v>1.2131240000000001</v>
      </c>
      <c r="D7" s="49">
        <v>21439705</v>
      </c>
      <c r="E7" s="49">
        <v>19949625</v>
      </c>
      <c r="F7" s="49">
        <v>41389330</v>
      </c>
      <c r="G7" s="49">
        <v>11300906.25</v>
      </c>
      <c r="H7" s="50">
        <v>2.3419340000000002</v>
      </c>
      <c r="I7" s="49">
        <v>30398208.75</v>
      </c>
      <c r="J7" s="49">
        <v>19385550</v>
      </c>
      <c r="K7" s="49">
        <v>49783758.75</v>
      </c>
      <c r="L7" s="49">
        <v>16222288.130000001</v>
      </c>
      <c r="M7" s="51">
        <v>2.1292399999999998</v>
      </c>
      <c r="N7" s="49">
        <v>85798882.989999995</v>
      </c>
      <c r="O7" s="49">
        <v>57823888.420000002</v>
      </c>
      <c r="P7" s="49">
        <v>143622771.41</v>
      </c>
      <c r="Q7" s="49">
        <v>25496226.32</v>
      </c>
      <c r="R7" s="51">
        <v>4.4703150000000003</v>
      </c>
    </row>
    <row r="8" spans="1:18" ht="16.05" customHeight="1" x14ac:dyDescent="0.3">
      <c r="A8" s="43" t="s">
        <v>648</v>
      </c>
      <c r="B8" s="44">
        <v>15499590</v>
      </c>
      <c r="C8" s="50">
        <v>2.8168229999999999</v>
      </c>
      <c r="D8" s="44">
        <v>15499590</v>
      </c>
      <c r="E8" s="44">
        <v>0</v>
      </c>
      <c r="F8" s="44">
        <v>15499590</v>
      </c>
      <c r="G8" s="44">
        <v>5411497.5</v>
      </c>
      <c r="H8" s="50">
        <v>2.8168229999999999</v>
      </c>
      <c r="I8" s="44">
        <v>12754822.5</v>
      </c>
      <c r="J8" s="44">
        <v>2458125</v>
      </c>
      <c r="K8" s="44">
        <v>15212947.5</v>
      </c>
      <c r="L8" s="44">
        <v>4852908</v>
      </c>
      <c r="M8" s="50">
        <v>2.5430220000000001</v>
      </c>
      <c r="N8" s="44">
        <v>11148192</v>
      </c>
      <c r="O8" s="44">
        <v>7245000</v>
      </c>
      <c r="P8" s="44">
        <v>18393192</v>
      </c>
      <c r="Q8" s="44">
        <v>6243120</v>
      </c>
      <c r="R8" s="50">
        <v>2.570011</v>
      </c>
    </row>
    <row r="9" spans="1:18" ht="16.05" customHeight="1" x14ac:dyDescent="0.3">
      <c r="A9" s="48" t="s">
        <v>649</v>
      </c>
      <c r="B9" s="49">
        <v>22482025</v>
      </c>
      <c r="C9" s="50">
        <v>2.1450369999999999</v>
      </c>
      <c r="D9" s="49">
        <v>22482025</v>
      </c>
      <c r="E9" s="49">
        <v>0</v>
      </c>
      <c r="F9" s="49">
        <v>22482025</v>
      </c>
      <c r="G9" s="49">
        <v>15547221.449999999</v>
      </c>
      <c r="H9" s="50">
        <v>2.1450369999999999</v>
      </c>
      <c r="I9" s="49">
        <v>10737597.15</v>
      </c>
      <c r="J9" s="49">
        <v>0</v>
      </c>
      <c r="K9" s="49">
        <v>10737597.15</v>
      </c>
      <c r="L9" s="49">
        <v>6377761.0800000001</v>
      </c>
      <c r="M9" s="50">
        <v>0.93451300000000004</v>
      </c>
      <c r="N9" s="49">
        <v>15809119.92</v>
      </c>
      <c r="O9" s="49">
        <v>41877807.75</v>
      </c>
      <c r="P9" s="49">
        <v>57686927.670000002</v>
      </c>
      <c r="Q9" s="49">
        <v>9517860</v>
      </c>
      <c r="R9" s="51">
        <v>2.9811540000000001</v>
      </c>
    </row>
    <row r="10" spans="1:18" ht="16.05" customHeight="1" x14ac:dyDescent="0.3">
      <c r="A10" s="43" t="s">
        <v>650</v>
      </c>
      <c r="B10" s="44">
        <v>4774856</v>
      </c>
      <c r="C10" s="46">
        <v>0.45184999999999997</v>
      </c>
      <c r="D10" s="44">
        <v>4774856</v>
      </c>
      <c r="E10" s="44">
        <v>0</v>
      </c>
      <c r="F10" s="44">
        <v>4774856</v>
      </c>
      <c r="G10" s="44">
        <v>7001775</v>
      </c>
      <c r="H10" s="46">
        <v>0.45184999999999997</v>
      </c>
      <c r="I10" s="44">
        <v>978075</v>
      </c>
      <c r="J10" s="44">
        <v>2173500</v>
      </c>
      <c r="K10" s="44">
        <v>3151575</v>
      </c>
      <c r="L10" s="44">
        <v>7001775</v>
      </c>
      <c r="M10" s="46">
        <v>0.235712</v>
      </c>
      <c r="N10" s="44">
        <v>79450740</v>
      </c>
      <c r="O10" s="44">
        <v>97387290</v>
      </c>
      <c r="P10" s="44">
        <v>176838030</v>
      </c>
      <c r="Q10" s="44">
        <v>17698500</v>
      </c>
      <c r="R10" s="46">
        <v>8.5966290000000001</v>
      </c>
    </row>
    <row r="11" spans="1:18" ht="16.05" customHeight="1" x14ac:dyDescent="0.3">
      <c r="A11" s="48" t="s">
        <v>651</v>
      </c>
      <c r="B11" s="49">
        <v>34193728</v>
      </c>
      <c r="C11" s="50">
        <v>1.929716</v>
      </c>
      <c r="D11" s="49">
        <v>34193728</v>
      </c>
      <c r="E11" s="49">
        <v>0</v>
      </c>
      <c r="F11" s="49">
        <v>34193728</v>
      </c>
      <c r="G11" s="49">
        <v>48264818.625</v>
      </c>
      <c r="H11" s="50">
        <v>1.929716</v>
      </c>
      <c r="I11" s="49">
        <v>35510389.43</v>
      </c>
      <c r="J11" s="49">
        <v>49944442.5</v>
      </c>
      <c r="K11" s="49">
        <v>85454831.920000002</v>
      </c>
      <c r="L11" s="49">
        <v>1970253.6</v>
      </c>
      <c r="M11" s="50">
        <v>32.596716000000001</v>
      </c>
      <c r="N11" s="49">
        <v>83484578.329999998</v>
      </c>
      <c r="O11" s="49">
        <v>0</v>
      </c>
      <c r="P11" s="49">
        <v>83484578.329999998</v>
      </c>
      <c r="Q11" s="49">
        <v>2923616.25</v>
      </c>
      <c r="R11" s="45">
        <v>21.874265999999999</v>
      </c>
    </row>
    <row r="12" spans="1:18" ht="16.05" customHeight="1" x14ac:dyDescent="0.3">
      <c r="A12" s="167" t="s">
        <v>600</v>
      </c>
      <c r="B12" s="168">
        <v>11095361</v>
      </c>
      <c r="C12" s="169">
        <v>2.9570020000000001</v>
      </c>
      <c r="D12" s="168">
        <v>11095361</v>
      </c>
      <c r="E12" s="168">
        <v>0</v>
      </c>
      <c r="F12" s="168">
        <v>11095361</v>
      </c>
      <c r="G12" s="168">
        <v>3521070</v>
      </c>
      <c r="H12" s="50">
        <v>2.9570020000000001</v>
      </c>
      <c r="I12" s="168">
        <v>7142607.4500000002</v>
      </c>
      <c r="J12" s="168">
        <v>0</v>
      </c>
      <c r="K12" s="168">
        <v>7142607.4500000002</v>
      </c>
      <c r="L12" s="168">
        <v>2445187.5</v>
      </c>
      <c r="M12" s="51">
        <v>1.8473809999999999</v>
      </c>
      <c r="N12" s="168">
        <v>5842109.25</v>
      </c>
      <c r="O12" s="168">
        <v>0</v>
      </c>
      <c r="P12" s="168">
        <v>5842109.25</v>
      </c>
      <c r="Q12" s="168">
        <v>5290443.9000000004</v>
      </c>
      <c r="R12" s="46">
        <v>0.79432499999999995</v>
      </c>
    </row>
    <row r="13" spans="1:18" ht="16.05" customHeight="1" x14ac:dyDescent="0.3">
      <c r="A13" s="52" t="s">
        <v>652</v>
      </c>
      <c r="B13" s="53">
        <v>782342136</v>
      </c>
      <c r="C13" s="54">
        <v>2.8993009999999999</v>
      </c>
      <c r="D13" s="53">
        <v>782342136</v>
      </c>
      <c r="E13" s="53">
        <v>95454945</v>
      </c>
      <c r="F13" s="53">
        <v>877797081</v>
      </c>
      <c r="G13" s="53">
        <v>295097882.44499999</v>
      </c>
      <c r="H13" s="54">
        <v>3.25305</v>
      </c>
      <c r="I13" s="53">
        <v>651286538.46000004</v>
      </c>
      <c r="J13" s="53">
        <v>358819926.83999997</v>
      </c>
      <c r="K13" s="53">
        <v>1010106465.3</v>
      </c>
      <c r="L13" s="53">
        <v>212495990.75999999</v>
      </c>
      <c r="M13" s="54">
        <v>3.7349730000000001</v>
      </c>
      <c r="N13" s="53">
        <v>1070964399.92</v>
      </c>
      <c r="O13" s="53">
        <v>561858859.26999998</v>
      </c>
      <c r="P13" s="53">
        <v>1632823259.1900001</v>
      </c>
      <c r="Q13" s="53">
        <v>301920735.01999998</v>
      </c>
      <c r="R13" s="54">
        <v>4.7054830000000001</v>
      </c>
    </row>
    <row r="14" spans="1:18" ht="16.05" customHeight="1" x14ac:dyDescent="0.3">
      <c r="A14" s="52" t="s">
        <v>653</v>
      </c>
      <c r="B14" s="53">
        <v>92131996</v>
      </c>
      <c r="C14" s="54">
        <v>6.6429912524440722</v>
      </c>
      <c r="D14" s="53">
        <v>92131996</v>
      </c>
      <c r="E14" s="53">
        <v>0</v>
      </c>
      <c r="F14" s="53">
        <v>92131996</v>
      </c>
      <c r="G14" s="53">
        <v>13869052.735257329</v>
      </c>
      <c r="H14" s="54">
        <v>0</v>
      </c>
      <c r="I14" s="53">
        <v>0</v>
      </c>
      <c r="J14" s="53">
        <v>0</v>
      </c>
      <c r="K14" s="53">
        <v>0</v>
      </c>
      <c r="L14" s="53">
        <v>0</v>
      </c>
      <c r="M14" s="54">
        <v>0</v>
      </c>
      <c r="N14" s="53">
        <v>0</v>
      </c>
      <c r="O14" s="53">
        <v>0</v>
      </c>
      <c r="P14" s="53">
        <v>0</v>
      </c>
      <c r="Q14" s="53">
        <v>0</v>
      </c>
      <c r="R14" s="54">
        <v>0</v>
      </c>
    </row>
    <row r="15" spans="1:18" ht="16.05" customHeight="1" x14ac:dyDescent="0.3">
      <c r="A15" s="52" t="s">
        <v>654</v>
      </c>
      <c r="B15" s="53">
        <v>874474132</v>
      </c>
      <c r="C15" s="54">
        <v>2.8302999999999998</v>
      </c>
      <c r="D15" s="53">
        <v>874474132</v>
      </c>
      <c r="E15" s="53">
        <v>95454945</v>
      </c>
      <c r="F15" s="53">
        <v>969929077</v>
      </c>
      <c r="G15" s="53">
        <v>308966935.18025732</v>
      </c>
      <c r="H15" s="54">
        <v>3.1393</v>
      </c>
      <c r="I15" s="53">
        <v>651286538.46000004</v>
      </c>
      <c r="J15" s="53">
        <v>358819926.83999997</v>
      </c>
      <c r="K15" s="53">
        <v>1010106465.3</v>
      </c>
      <c r="L15" s="53">
        <v>212495990.75999999</v>
      </c>
      <c r="M15" s="54">
        <v>3.7349730000000001</v>
      </c>
      <c r="N15" s="53">
        <v>1070964399.92</v>
      </c>
      <c r="O15" s="53">
        <v>561858859.26999998</v>
      </c>
      <c r="P15" s="53">
        <v>1632823259.1900001</v>
      </c>
      <c r="Q15" s="53">
        <v>301920735.01999998</v>
      </c>
      <c r="R15" s="54">
        <v>4.7054830000000001</v>
      </c>
    </row>
    <row r="16" spans="1:18" ht="13.95" customHeight="1" x14ac:dyDescent="0.3">
      <c r="A16" s="186" t="s">
        <v>655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</row>
  </sheetData>
  <autoFilter ref="A3:R11" xr:uid="{00000000-0009-0000-0000-000003000000}"/>
  <mergeCells count="6">
    <mergeCell ref="A1:R1"/>
    <mergeCell ref="B2:C2"/>
    <mergeCell ref="A16:R16"/>
    <mergeCell ref="D2:H2"/>
    <mergeCell ref="I2:M2"/>
    <mergeCell ref="N2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tabSelected="1" workbookViewId="0">
      <pane ySplit="2" topLeftCell="A3" activePane="bottomLeft" state="frozen"/>
      <selection pane="bottomLeft" activeCell="D19" sqref="D19"/>
    </sheetView>
  </sheetViews>
  <sheetFormatPr baseColWidth="10" defaultColWidth="8.88671875" defaultRowHeight="14.4" x14ac:dyDescent="0.3"/>
  <cols>
    <col min="1" max="1" width="20" customWidth="1"/>
    <col min="2" max="2" width="7" customWidth="1"/>
    <col min="3" max="4" width="10" customWidth="1"/>
    <col min="5" max="8" width="14" customWidth="1"/>
    <col min="9" max="9" width="22.33203125" bestFit="1" customWidth="1"/>
    <col min="10" max="10" width="35" customWidth="1"/>
  </cols>
  <sheetData>
    <row r="1" spans="1:10" ht="22.05" customHeight="1" x14ac:dyDescent="0.3">
      <c r="A1" s="170" t="s">
        <v>656</v>
      </c>
    </row>
    <row r="2" spans="1:10" ht="37.950000000000003" customHeight="1" x14ac:dyDescent="0.3">
      <c r="A2" s="39" t="s">
        <v>638</v>
      </c>
      <c r="B2" s="39" t="s">
        <v>657</v>
      </c>
      <c r="C2" s="39" t="s">
        <v>658</v>
      </c>
      <c r="D2" s="39" t="s">
        <v>659</v>
      </c>
      <c r="E2" s="39" t="s">
        <v>660</v>
      </c>
      <c r="F2" s="39" t="s">
        <v>661</v>
      </c>
      <c r="G2" s="39" t="s">
        <v>662</v>
      </c>
      <c r="H2" s="39" t="s">
        <v>663</v>
      </c>
      <c r="I2" s="39" t="s">
        <v>664</v>
      </c>
      <c r="J2" s="39"/>
    </row>
    <row r="3" spans="1:10" ht="15" customHeight="1" x14ac:dyDescent="0.3">
      <c r="A3" s="48" t="s">
        <v>649</v>
      </c>
      <c r="B3" s="55">
        <v>4</v>
      </c>
      <c r="C3" s="56">
        <v>0.3</v>
      </c>
      <c r="D3" s="57">
        <v>0</v>
      </c>
      <c r="E3" s="58">
        <v>52</v>
      </c>
      <c r="F3" s="58">
        <v>310</v>
      </c>
      <c r="G3" s="58">
        <v>1257403</v>
      </c>
      <c r="H3" s="58">
        <v>5556449.2000000002</v>
      </c>
      <c r="I3" s="59" t="s">
        <v>665</v>
      </c>
      <c r="J3" s="60"/>
    </row>
    <row r="4" spans="1:10" ht="15" customHeight="1" x14ac:dyDescent="0.3">
      <c r="A4" s="61" t="s">
        <v>648</v>
      </c>
      <c r="B4" s="62">
        <v>1</v>
      </c>
      <c r="C4" s="56">
        <v>0.23</v>
      </c>
      <c r="D4" s="63">
        <v>0</v>
      </c>
      <c r="E4" s="64">
        <v>32</v>
      </c>
      <c r="F4" s="64">
        <v>260</v>
      </c>
      <c r="G4" s="64">
        <v>364544</v>
      </c>
      <c r="H4" s="64">
        <v>2825550</v>
      </c>
      <c r="I4" s="64" t="s">
        <v>666</v>
      </c>
      <c r="J4" s="65"/>
    </row>
    <row r="5" spans="1:10" ht="15" customHeight="1" x14ac:dyDescent="0.3">
      <c r="A5" s="48" t="s">
        <v>646</v>
      </c>
      <c r="B5" s="55">
        <v>14</v>
      </c>
      <c r="C5" s="56">
        <v>0.32</v>
      </c>
      <c r="D5" s="57">
        <v>1</v>
      </c>
      <c r="E5" s="58">
        <v>278</v>
      </c>
      <c r="F5" s="58">
        <v>752</v>
      </c>
      <c r="G5" s="58">
        <v>3852725</v>
      </c>
      <c r="H5" s="58">
        <v>10966135.5</v>
      </c>
      <c r="I5" s="59" t="s">
        <v>667</v>
      </c>
      <c r="J5" s="60"/>
    </row>
    <row r="6" spans="1:10" ht="15" customHeight="1" x14ac:dyDescent="0.3">
      <c r="A6" s="61" t="s">
        <v>594</v>
      </c>
      <c r="B6" s="62">
        <v>24</v>
      </c>
      <c r="C6" s="56">
        <v>0.4</v>
      </c>
      <c r="D6" s="57">
        <v>3</v>
      </c>
      <c r="E6" s="64">
        <v>341</v>
      </c>
      <c r="F6" s="64">
        <v>598.1</v>
      </c>
      <c r="G6" s="64">
        <v>4213934</v>
      </c>
      <c r="H6" s="64">
        <v>7564176.4000000004</v>
      </c>
      <c r="I6" s="64" t="s">
        <v>668</v>
      </c>
      <c r="J6" s="65"/>
    </row>
    <row r="7" spans="1:10" ht="15" customHeight="1" x14ac:dyDescent="0.3">
      <c r="A7" s="48" t="s">
        <v>595</v>
      </c>
      <c r="B7" s="55">
        <v>17</v>
      </c>
      <c r="C7" s="56">
        <v>0.37</v>
      </c>
      <c r="D7" s="57">
        <v>1</v>
      </c>
      <c r="E7" s="58">
        <v>550</v>
      </c>
      <c r="F7" s="58">
        <v>1418.5</v>
      </c>
      <c r="G7" s="58">
        <v>2787427</v>
      </c>
      <c r="H7" s="58">
        <v>9056187.9000000004</v>
      </c>
      <c r="I7" s="59" t="s">
        <v>669</v>
      </c>
      <c r="J7" s="60"/>
    </row>
    <row r="8" spans="1:10" ht="15" customHeight="1" x14ac:dyDescent="0.3">
      <c r="A8" s="61" t="s">
        <v>650</v>
      </c>
      <c r="B8" s="62">
        <v>1</v>
      </c>
      <c r="C8" s="56">
        <v>0.14000000000000001</v>
      </c>
      <c r="D8" s="63">
        <v>0</v>
      </c>
      <c r="E8" s="64">
        <v>36</v>
      </c>
      <c r="F8" s="64">
        <v>116</v>
      </c>
      <c r="G8" s="64">
        <v>779724</v>
      </c>
      <c r="H8" s="64">
        <v>2881440</v>
      </c>
      <c r="I8" s="64" t="s">
        <v>670</v>
      </c>
      <c r="J8" s="65"/>
    </row>
    <row r="9" spans="1:10" ht="15" customHeight="1" x14ac:dyDescent="0.3">
      <c r="A9" s="48" t="s">
        <v>651</v>
      </c>
      <c r="B9" s="55">
        <v>0</v>
      </c>
      <c r="C9" s="66">
        <v>0</v>
      </c>
      <c r="D9" s="57">
        <v>0</v>
      </c>
      <c r="E9" s="58">
        <v>0</v>
      </c>
      <c r="F9" s="58">
        <v>0</v>
      </c>
      <c r="G9" s="58">
        <v>0</v>
      </c>
      <c r="H9" s="58">
        <v>0</v>
      </c>
      <c r="I9" s="58"/>
      <c r="J9" s="60"/>
    </row>
    <row r="10" spans="1:10" ht="15" customHeight="1" x14ac:dyDescent="0.3">
      <c r="A10" s="61" t="s">
        <v>647</v>
      </c>
      <c r="B10" s="62">
        <v>3</v>
      </c>
      <c r="C10" s="56">
        <v>0.11</v>
      </c>
      <c r="D10" s="57">
        <v>0</v>
      </c>
      <c r="E10" s="64">
        <v>87</v>
      </c>
      <c r="F10" s="64">
        <v>330</v>
      </c>
      <c r="G10" s="64">
        <v>456258</v>
      </c>
      <c r="H10" s="64">
        <v>1701540</v>
      </c>
      <c r="I10" s="64" t="s">
        <v>670</v>
      </c>
      <c r="J10" s="65"/>
    </row>
    <row r="11" spans="1:10" ht="18" customHeight="1" x14ac:dyDescent="0.3">
      <c r="A11" s="67" t="s">
        <v>581</v>
      </c>
      <c r="B11" s="68">
        <v>64</v>
      </c>
      <c r="C11" s="67"/>
      <c r="D11" s="67">
        <f>SUM(D3:D10)</f>
        <v>5</v>
      </c>
      <c r="E11" s="69">
        <v>1376</v>
      </c>
      <c r="F11" s="69">
        <v>3784.6</v>
      </c>
      <c r="G11" s="69">
        <v>13712015</v>
      </c>
      <c r="H11" s="69">
        <v>40551479.100000001</v>
      </c>
      <c r="I11" s="69"/>
      <c r="J11" s="67"/>
    </row>
  </sheetData>
  <autoFilter ref="A2:J1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22"/>
  <sheetViews>
    <sheetView topLeftCell="E1" workbookViewId="0">
      <pane ySplit="2" topLeftCell="A51" activePane="bottomLeft" state="frozen"/>
      <selection pane="bottomLeft" sqref="A1:S1"/>
    </sheetView>
  </sheetViews>
  <sheetFormatPr baseColWidth="10" defaultColWidth="8.88671875" defaultRowHeight="14.4" x14ac:dyDescent="0.3"/>
  <cols>
    <col min="1" max="1" width="15" customWidth="1"/>
    <col min="2" max="2" width="18" customWidth="1"/>
    <col min="3" max="4" width="16" customWidth="1"/>
    <col min="5" max="5" width="10" customWidth="1"/>
    <col min="6" max="6" width="16" customWidth="1"/>
    <col min="7" max="7" width="38" customWidth="1"/>
    <col min="8" max="8" width="9" customWidth="1"/>
    <col min="9" max="9" width="11" customWidth="1"/>
    <col min="10" max="10" width="12" customWidth="1"/>
    <col min="11" max="11" width="11" customWidth="1"/>
    <col min="12" max="12" width="12" customWidth="1"/>
    <col min="13" max="15" width="11" customWidth="1"/>
    <col min="16" max="16" width="13" customWidth="1"/>
    <col min="17" max="17" width="15" customWidth="1"/>
    <col min="18" max="18" width="13" customWidth="1"/>
    <col min="19" max="19" width="14" customWidth="1"/>
  </cols>
  <sheetData>
    <row r="1" spans="1:19" ht="22.05" customHeight="1" x14ac:dyDescent="0.3">
      <c r="A1" s="191" t="s">
        <v>671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</row>
    <row r="2" spans="1:19" ht="37.950000000000003" customHeight="1" x14ac:dyDescent="0.3">
      <c r="A2" s="39" t="s">
        <v>638</v>
      </c>
      <c r="B2" s="39" t="s">
        <v>672</v>
      </c>
      <c r="C2" s="39" t="s">
        <v>673</v>
      </c>
      <c r="D2" s="39" t="s">
        <v>674</v>
      </c>
      <c r="E2" s="39" t="s">
        <v>675</v>
      </c>
      <c r="F2" s="39" t="s">
        <v>676</v>
      </c>
      <c r="G2" s="39" t="s">
        <v>677</v>
      </c>
      <c r="H2" s="39" t="s">
        <v>678</v>
      </c>
      <c r="I2" s="39" t="s">
        <v>679</v>
      </c>
      <c r="J2" s="39" t="s">
        <v>680</v>
      </c>
      <c r="K2" s="39" t="s">
        <v>681</v>
      </c>
      <c r="L2" s="39" t="s">
        <v>682</v>
      </c>
      <c r="M2" s="39" t="s">
        <v>683</v>
      </c>
      <c r="N2" s="39" t="s">
        <v>684</v>
      </c>
      <c r="O2" s="39" t="s">
        <v>685</v>
      </c>
      <c r="P2" s="39" t="s">
        <v>686</v>
      </c>
      <c r="Q2" s="39" t="s">
        <v>687</v>
      </c>
      <c r="R2" s="39" t="s">
        <v>3</v>
      </c>
      <c r="S2" s="39" t="s">
        <v>688</v>
      </c>
    </row>
    <row r="3" spans="1:19" ht="15" customHeight="1" x14ac:dyDescent="0.3">
      <c r="A3" s="70" t="s">
        <v>594</v>
      </c>
      <c r="B3" s="70" t="s">
        <v>689</v>
      </c>
      <c r="C3" s="70" t="s">
        <v>690</v>
      </c>
      <c r="D3" s="70" t="s">
        <v>691</v>
      </c>
      <c r="E3" s="71">
        <v>186</v>
      </c>
      <c r="F3" s="71" t="s">
        <v>692</v>
      </c>
      <c r="G3" s="70" t="s">
        <v>693</v>
      </c>
      <c r="H3" s="72">
        <v>0</v>
      </c>
      <c r="I3" s="58">
        <v>5</v>
      </c>
      <c r="J3" s="58">
        <v>0</v>
      </c>
      <c r="K3" s="58">
        <v>151605</v>
      </c>
      <c r="L3" s="58">
        <v>0</v>
      </c>
      <c r="M3" s="73"/>
      <c r="N3" s="74"/>
      <c r="O3" s="74"/>
      <c r="P3" s="75" t="s">
        <v>670</v>
      </c>
      <c r="Q3" s="76"/>
      <c r="R3" s="76"/>
      <c r="S3" s="57"/>
    </row>
    <row r="4" spans="1:19" ht="15" customHeight="1" x14ac:dyDescent="0.3">
      <c r="A4" s="77" t="s">
        <v>594</v>
      </c>
      <c r="B4" s="77" t="s">
        <v>694</v>
      </c>
      <c r="C4" s="77" t="s">
        <v>695</v>
      </c>
      <c r="D4" s="77" t="s">
        <v>696</v>
      </c>
      <c r="E4" s="63">
        <v>0</v>
      </c>
      <c r="F4" s="63" t="s">
        <v>697</v>
      </c>
      <c r="G4" s="77" t="s">
        <v>698</v>
      </c>
      <c r="H4" s="78">
        <v>0</v>
      </c>
      <c r="I4" s="64">
        <v>0</v>
      </c>
      <c r="J4" s="64">
        <v>0</v>
      </c>
      <c r="K4" s="64">
        <v>0</v>
      </c>
      <c r="L4" s="64">
        <v>0</v>
      </c>
      <c r="M4" s="79"/>
      <c r="N4" s="74"/>
      <c r="O4" s="74"/>
      <c r="P4" s="75" t="s">
        <v>670</v>
      </c>
      <c r="Q4" s="76"/>
      <c r="R4" s="76"/>
      <c r="S4" s="57"/>
    </row>
    <row r="5" spans="1:19" ht="15" customHeight="1" x14ac:dyDescent="0.3">
      <c r="A5" s="70" t="s">
        <v>594</v>
      </c>
      <c r="B5" s="70" t="s">
        <v>699</v>
      </c>
      <c r="C5" s="70" t="s">
        <v>695</v>
      </c>
      <c r="D5" s="70" t="s">
        <v>696</v>
      </c>
      <c r="E5" s="71">
        <v>0</v>
      </c>
      <c r="F5" s="71" t="s">
        <v>700</v>
      </c>
      <c r="G5" s="70" t="s">
        <v>701</v>
      </c>
      <c r="H5" s="72">
        <v>0</v>
      </c>
      <c r="I5" s="58">
        <v>0</v>
      </c>
      <c r="J5" s="58">
        <v>0</v>
      </c>
      <c r="K5" s="58">
        <v>0</v>
      </c>
      <c r="L5" s="58">
        <v>0</v>
      </c>
      <c r="M5" s="74"/>
      <c r="N5" s="73">
        <v>500</v>
      </c>
      <c r="O5" s="73"/>
      <c r="P5" s="75" t="s">
        <v>197</v>
      </c>
      <c r="Q5" s="75"/>
      <c r="R5" s="75"/>
      <c r="S5" s="70"/>
    </row>
    <row r="6" spans="1:19" ht="15" customHeight="1" x14ac:dyDescent="0.3">
      <c r="A6" s="77" t="s">
        <v>594</v>
      </c>
      <c r="B6" s="77" t="s">
        <v>699</v>
      </c>
      <c r="C6" s="77" t="s">
        <v>695</v>
      </c>
      <c r="D6" s="77" t="s">
        <v>696</v>
      </c>
      <c r="E6" s="63">
        <v>0</v>
      </c>
      <c r="F6" s="63" t="s">
        <v>702</v>
      </c>
      <c r="G6" s="77" t="s">
        <v>703</v>
      </c>
      <c r="H6" s="80">
        <v>0</v>
      </c>
      <c r="I6" s="64">
        <v>0</v>
      </c>
      <c r="J6" s="64">
        <v>0</v>
      </c>
      <c r="K6" s="64">
        <v>0</v>
      </c>
      <c r="L6" s="64">
        <v>0</v>
      </c>
      <c r="M6" s="79"/>
      <c r="N6" s="79">
        <v>500</v>
      </c>
      <c r="O6" s="74"/>
      <c r="P6" s="75" t="s">
        <v>197</v>
      </c>
      <c r="Q6" s="76"/>
      <c r="R6" s="76"/>
      <c r="S6" s="81"/>
    </row>
    <row r="7" spans="1:19" ht="15" customHeight="1" x14ac:dyDescent="0.3">
      <c r="A7" s="70" t="s">
        <v>594</v>
      </c>
      <c r="B7" s="70" t="s">
        <v>699</v>
      </c>
      <c r="C7" s="70" t="s">
        <v>690</v>
      </c>
      <c r="D7" s="70" t="s">
        <v>704</v>
      </c>
      <c r="E7" s="71">
        <v>120</v>
      </c>
      <c r="F7" s="71" t="s">
        <v>705</v>
      </c>
      <c r="G7" s="70" t="s">
        <v>352</v>
      </c>
      <c r="H7" s="80">
        <v>4.8000000000000001E-2</v>
      </c>
      <c r="I7" s="58">
        <v>2</v>
      </c>
      <c r="J7" s="58">
        <v>30</v>
      </c>
      <c r="K7" s="58">
        <v>25250</v>
      </c>
      <c r="L7" s="58">
        <v>372600</v>
      </c>
      <c r="M7" s="73"/>
      <c r="N7" s="73">
        <v>300</v>
      </c>
      <c r="O7" s="73"/>
      <c r="P7" s="57" t="s">
        <v>197</v>
      </c>
      <c r="Q7" s="82" t="s">
        <v>334</v>
      </c>
      <c r="R7" s="82" t="s">
        <v>336</v>
      </c>
      <c r="S7" s="70"/>
    </row>
    <row r="8" spans="1:19" ht="15" customHeight="1" x14ac:dyDescent="0.3">
      <c r="A8" s="77" t="s">
        <v>594</v>
      </c>
      <c r="B8" s="77" t="s">
        <v>699</v>
      </c>
      <c r="C8" s="77" t="s">
        <v>690</v>
      </c>
      <c r="D8" s="77" t="s">
        <v>704</v>
      </c>
      <c r="E8" s="63">
        <v>0</v>
      </c>
      <c r="F8" s="63" t="s">
        <v>706</v>
      </c>
      <c r="G8" s="77" t="s">
        <v>356</v>
      </c>
      <c r="H8" s="80">
        <v>0.1</v>
      </c>
      <c r="I8" s="64">
        <v>9</v>
      </c>
      <c r="J8" s="64">
        <v>60</v>
      </c>
      <c r="K8" s="64">
        <v>164385</v>
      </c>
      <c r="L8" s="64">
        <v>1242000</v>
      </c>
      <c r="M8" s="79"/>
      <c r="N8" s="74">
        <v>300</v>
      </c>
      <c r="O8" s="79">
        <v>300</v>
      </c>
      <c r="P8" s="75" t="s">
        <v>197</v>
      </c>
      <c r="Q8" s="75" t="s">
        <v>334</v>
      </c>
      <c r="R8" s="75" t="s">
        <v>336</v>
      </c>
      <c r="S8" s="77"/>
    </row>
    <row r="9" spans="1:19" ht="15" customHeight="1" x14ac:dyDescent="0.3">
      <c r="A9" s="70" t="s">
        <v>594</v>
      </c>
      <c r="B9" s="70" t="s">
        <v>699</v>
      </c>
      <c r="C9" s="70" t="s">
        <v>695</v>
      </c>
      <c r="D9" s="70" t="s">
        <v>696</v>
      </c>
      <c r="E9" s="71">
        <v>187</v>
      </c>
      <c r="F9" s="71" t="s">
        <v>707</v>
      </c>
      <c r="G9" s="70" t="s">
        <v>708</v>
      </c>
      <c r="H9" s="72">
        <v>0.188</v>
      </c>
      <c r="I9" s="58">
        <v>5</v>
      </c>
      <c r="J9" s="58">
        <v>40</v>
      </c>
      <c r="K9" s="58">
        <v>26175</v>
      </c>
      <c r="L9" s="58">
        <v>213210</v>
      </c>
      <c r="M9" s="73"/>
      <c r="N9" s="74"/>
      <c r="O9" s="73">
        <v>500</v>
      </c>
      <c r="P9" s="75" t="s">
        <v>467</v>
      </c>
      <c r="Q9" s="75"/>
      <c r="R9" s="75"/>
      <c r="S9" s="70"/>
    </row>
    <row r="10" spans="1:19" ht="15" customHeight="1" x14ac:dyDescent="0.3">
      <c r="A10" s="77" t="s">
        <v>594</v>
      </c>
      <c r="B10" s="77" t="s">
        <v>699</v>
      </c>
      <c r="C10" s="77" t="s">
        <v>690</v>
      </c>
      <c r="D10" s="77" t="s">
        <v>704</v>
      </c>
      <c r="E10" s="63">
        <v>142</v>
      </c>
      <c r="F10" s="63" t="s">
        <v>709</v>
      </c>
      <c r="G10" s="77" t="s">
        <v>354</v>
      </c>
      <c r="H10" s="80">
        <v>0.23699999999999999</v>
      </c>
      <c r="I10" s="64">
        <v>9</v>
      </c>
      <c r="J10" s="64">
        <v>30</v>
      </c>
      <c r="K10" s="64">
        <v>115587</v>
      </c>
      <c r="L10" s="64">
        <v>388125</v>
      </c>
      <c r="M10" s="79"/>
      <c r="N10" s="79">
        <v>300</v>
      </c>
      <c r="O10" s="74"/>
      <c r="P10" s="75" t="s">
        <v>197</v>
      </c>
      <c r="Q10" s="76" t="s">
        <v>334</v>
      </c>
      <c r="R10" s="76" t="s">
        <v>336</v>
      </c>
      <c r="S10" s="57"/>
    </row>
    <row r="11" spans="1:19" ht="15" customHeight="1" x14ac:dyDescent="0.3">
      <c r="A11" s="70" t="s">
        <v>594</v>
      </c>
      <c r="B11" s="70" t="s">
        <v>699</v>
      </c>
      <c r="C11" s="70" t="s">
        <v>695</v>
      </c>
      <c r="D11" s="70" t="s">
        <v>696</v>
      </c>
      <c r="E11" s="71">
        <v>148</v>
      </c>
      <c r="F11" s="71" t="s">
        <v>710</v>
      </c>
      <c r="G11" s="70" t="s">
        <v>711</v>
      </c>
      <c r="H11" s="80">
        <v>0.26300000000000001</v>
      </c>
      <c r="I11" s="58">
        <v>7</v>
      </c>
      <c r="J11" s="58">
        <v>40</v>
      </c>
      <c r="K11" s="58">
        <v>37856</v>
      </c>
      <c r="L11" s="58">
        <v>213210</v>
      </c>
      <c r="M11" s="74"/>
      <c r="N11" s="73"/>
      <c r="O11" s="73">
        <v>500</v>
      </c>
      <c r="P11" s="75" t="s">
        <v>467</v>
      </c>
      <c r="Q11" s="75"/>
      <c r="R11" s="75"/>
      <c r="S11" s="70"/>
    </row>
    <row r="12" spans="1:19" ht="15" customHeight="1" x14ac:dyDescent="0.3">
      <c r="A12" s="77" t="s">
        <v>594</v>
      </c>
      <c r="B12" s="77" t="s">
        <v>699</v>
      </c>
      <c r="C12" s="77" t="s">
        <v>712</v>
      </c>
      <c r="D12" s="77" t="s">
        <v>713</v>
      </c>
      <c r="E12" s="63">
        <v>41</v>
      </c>
      <c r="F12" s="63" t="s">
        <v>714</v>
      </c>
      <c r="G12" s="77" t="s">
        <v>508</v>
      </c>
      <c r="H12" s="80">
        <v>0.29799999999999999</v>
      </c>
      <c r="I12" s="64">
        <v>13</v>
      </c>
      <c r="J12" s="64">
        <v>36</v>
      </c>
      <c r="K12" s="64">
        <v>345241</v>
      </c>
      <c r="L12" s="64">
        <v>987390</v>
      </c>
      <c r="M12" s="79"/>
      <c r="N12" s="79"/>
      <c r="O12" s="74"/>
      <c r="P12" s="75" t="s">
        <v>467</v>
      </c>
      <c r="Q12" s="76" t="s">
        <v>502</v>
      </c>
      <c r="R12" s="76" t="s">
        <v>504</v>
      </c>
      <c r="S12" s="57"/>
    </row>
    <row r="13" spans="1:19" ht="15" customHeight="1" x14ac:dyDescent="0.3">
      <c r="A13" s="70" t="s">
        <v>594</v>
      </c>
      <c r="B13" s="70" t="s">
        <v>715</v>
      </c>
      <c r="C13" s="70" t="s">
        <v>690</v>
      </c>
      <c r="D13" s="70" t="s">
        <v>704</v>
      </c>
      <c r="E13" s="71">
        <v>0</v>
      </c>
      <c r="F13" s="71" t="s">
        <v>716</v>
      </c>
      <c r="G13" s="70" t="s">
        <v>717</v>
      </c>
      <c r="H13" s="80">
        <v>0.3</v>
      </c>
      <c r="I13" s="58">
        <v>4</v>
      </c>
      <c r="J13" s="58">
        <v>0</v>
      </c>
      <c r="K13" s="58">
        <v>37632</v>
      </c>
      <c r="L13" s="58">
        <v>0</v>
      </c>
      <c r="M13" s="73"/>
      <c r="N13" s="73"/>
      <c r="O13" s="74"/>
      <c r="P13" s="75" t="s">
        <v>670</v>
      </c>
      <c r="Q13" s="76"/>
      <c r="R13" s="76"/>
      <c r="S13" s="57"/>
    </row>
    <row r="14" spans="1:19" ht="15" customHeight="1" x14ac:dyDescent="0.3">
      <c r="A14" s="77" t="s">
        <v>594</v>
      </c>
      <c r="B14" s="77" t="s">
        <v>699</v>
      </c>
      <c r="C14" s="77" t="s">
        <v>695</v>
      </c>
      <c r="D14" s="77" t="s">
        <v>696</v>
      </c>
      <c r="E14" s="63">
        <v>164</v>
      </c>
      <c r="F14" s="63" t="s">
        <v>718</v>
      </c>
      <c r="G14" s="77" t="s">
        <v>719</v>
      </c>
      <c r="H14" s="80">
        <v>0.39700000000000002</v>
      </c>
      <c r="I14" s="64">
        <v>8</v>
      </c>
      <c r="J14" s="64">
        <v>33</v>
      </c>
      <c r="K14" s="64">
        <v>28080</v>
      </c>
      <c r="L14" s="64">
        <v>126031.9</v>
      </c>
      <c r="M14" s="79"/>
      <c r="N14" s="74"/>
      <c r="O14" s="79"/>
      <c r="P14" s="75" t="s">
        <v>670</v>
      </c>
      <c r="Q14" s="75"/>
      <c r="R14" s="75"/>
      <c r="S14" s="77"/>
    </row>
    <row r="15" spans="1:19" ht="15" customHeight="1" x14ac:dyDescent="0.3">
      <c r="A15" s="70" t="s">
        <v>594</v>
      </c>
      <c r="B15" s="70" t="s">
        <v>689</v>
      </c>
      <c r="C15" s="70" t="s">
        <v>720</v>
      </c>
      <c r="D15" s="70" t="s">
        <v>721</v>
      </c>
      <c r="E15" s="71">
        <v>0</v>
      </c>
      <c r="F15" s="71" t="s">
        <v>722</v>
      </c>
      <c r="G15" s="70" t="s">
        <v>346</v>
      </c>
      <c r="H15" s="80">
        <v>0.42899999999999999</v>
      </c>
      <c r="I15" s="58">
        <v>4</v>
      </c>
      <c r="J15" s="58">
        <v>0</v>
      </c>
      <c r="K15" s="58">
        <v>23664</v>
      </c>
      <c r="L15" s="58">
        <v>0</v>
      </c>
      <c r="M15" s="73"/>
      <c r="N15" s="73">
        <v>300</v>
      </c>
      <c r="O15" s="74"/>
      <c r="P15" s="75" t="s">
        <v>197</v>
      </c>
      <c r="Q15" s="76" t="s">
        <v>334</v>
      </c>
      <c r="R15" s="76" t="s">
        <v>336</v>
      </c>
      <c r="S15" s="57"/>
    </row>
    <row r="16" spans="1:19" ht="15" customHeight="1" x14ac:dyDescent="0.3">
      <c r="A16" s="77" t="s">
        <v>594</v>
      </c>
      <c r="B16" s="77" t="s">
        <v>689</v>
      </c>
      <c r="C16" s="77" t="s">
        <v>720</v>
      </c>
      <c r="D16" s="77" t="s">
        <v>721</v>
      </c>
      <c r="E16" s="63">
        <v>192</v>
      </c>
      <c r="F16" s="63" t="s">
        <v>723</v>
      </c>
      <c r="G16" s="77" t="s">
        <v>724</v>
      </c>
      <c r="H16" s="80">
        <v>0.433</v>
      </c>
      <c r="I16" s="64">
        <v>6</v>
      </c>
      <c r="J16" s="64">
        <v>17.600000000000001</v>
      </c>
      <c r="K16" s="64">
        <v>65346</v>
      </c>
      <c r="L16" s="64">
        <v>191814.5</v>
      </c>
      <c r="M16" s="79"/>
      <c r="N16" s="74"/>
      <c r="O16" s="79"/>
      <c r="P16" s="75" t="s">
        <v>670</v>
      </c>
      <c r="Q16" s="75"/>
      <c r="R16" s="75"/>
      <c r="S16" s="77"/>
    </row>
    <row r="17" spans="1:19" ht="15" customHeight="1" x14ac:dyDescent="0.3">
      <c r="A17" s="70" t="s">
        <v>594</v>
      </c>
      <c r="B17" s="70" t="s">
        <v>689</v>
      </c>
      <c r="C17" s="70" t="s">
        <v>690</v>
      </c>
      <c r="D17" s="70" t="s">
        <v>725</v>
      </c>
      <c r="E17" s="71">
        <v>0</v>
      </c>
      <c r="F17" s="71" t="s">
        <v>726</v>
      </c>
      <c r="G17" s="70" t="s">
        <v>421</v>
      </c>
      <c r="H17" s="78">
        <v>0.51</v>
      </c>
      <c r="I17" s="58">
        <v>17</v>
      </c>
      <c r="J17" s="58">
        <v>25</v>
      </c>
      <c r="K17" s="58">
        <v>80427</v>
      </c>
      <c r="L17" s="58">
        <v>113850</v>
      </c>
      <c r="M17" s="73"/>
      <c r="N17" s="74">
        <v>300</v>
      </c>
      <c r="O17" s="73"/>
      <c r="P17" s="75" t="s">
        <v>197</v>
      </c>
      <c r="Q17" s="75" t="s">
        <v>419</v>
      </c>
      <c r="R17" s="75" t="s">
        <v>336</v>
      </c>
      <c r="S17" s="70"/>
    </row>
    <row r="18" spans="1:19" ht="15" customHeight="1" x14ac:dyDescent="0.3">
      <c r="A18" s="77" t="s">
        <v>594</v>
      </c>
      <c r="B18" s="77" t="s">
        <v>699</v>
      </c>
      <c r="C18" s="77" t="s">
        <v>690</v>
      </c>
      <c r="D18" s="77" t="s">
        <v>727</v>
      </c>
      <c r="E18" s="63">
        <v>75</v>
      </c>
      <c r="F18" s="63" t="s">
        <v>728</v>
      </c>
      <c r="G18" s="77" t="s">
        <v>362</v>
      </c>
      <c r="H18" s="72">
        <v>0.53300000000000003</v>
      </c>
      <c r="I18" s="64">
        <v>16</v>
      </c>
      <c r="J18" s="64">
        <v>20</v>
      </c>
      <c r="K18" s="64">
        <v>203920</v>
      </c>
      <c r="L18" s="64">
        <v>248400</v>
      </c>
      <c r="M18" s="79"/>
      <c r="N18" s="74">
        <v>300</v>
      </c>
      <c r="O18" s="79"/>
      <c r="P18" s="75" t="s">
        <v>197</v>
      </c>
      <c r="Q18" s="75" t="s">
        <v>334</v>
      </c>
      <c r="R18" s="75" t="s">
        <v>336</v>
      </c>
      <c r="S18" s="77"/>
    </row>
    <row r="19" spans="1:19" ht="15" customHeight="1" x14ac:dyDescent="0.3">
      <c r="A19" s="70" t="s">
        <v>594</v>
      </c>
      <c r="B19" s="70" t="s">
        <v>699</v>
      </c>
      <c r="C19" s="70" t="s">
        <v>690</v>
      </c>
      <c r="D19" s="70" t="s">
        <v>691</v>
      </c>
      <c r="E19" s="71">
        <v>0</v>
      </c>
      <c r="F19" s="71" t="s">
        <v>729</v>
      </c>
      <c r="G19" s="70" t="s">
        <v>364</v>
      </c>
      <c r="H19" s="72">
        <v>0.55600000000000005</v>
      </c>
      <c r="I19" s="58">
        <v>10</v>
      </c>
      <c r="J19" s="58">
        <v>4</v>
      </c>
      <c r="K19" s="58">
        <v>431720</v>
      </c>
      <c r="L19" s="58">
        <v>168705</v>
      </c>
      <c r="M19" s="74"/>
      <c r="N19" s="73">
        <v>200</v>
      </c>
      <c r="O19" s="73"/>
      <c r="P19" s="75" t="s">
        <v>197</v>
      </c>
      <c r="Q19" s="75" t="s">
        <v>334</v>
      </c>
      <c r="R19" s="75" t="s">
        <v>336</v>
      </c>
      <c r="S19" s="70"/>
    </row>
    <row r="20" spans="1:19" ht="15" customHeight="1" x14ac:dyDescent="0.3">
      <c r="A20" s="77" t="s">
        <v>594</v>
      </c>
      <c r="B20" s="77" t="s">
        <v>699</v>
      </c>
      <c r="C20" s="77" t="s">
        <v>690</v>
      </c>
      <c r="D20" s="77" t="s">
        <v>704</v>
      </c>
      <c r="E20" s="63">
        <v>0</v>
      </c>
      <c r="F20" s="63" t="s">
        <v>730</v>
      </c>
      <c r="G20" s="77" t="s">
        <v>731</v>
      </c>
      <c r="H20" s="72">
        <v>0.58299999999999996</v>
      </c>
      <c r="I20" s="64">
        <v>35</v>
      </c>
      <c r="J20" s="64">
        <v>42</v>
      </c>
      <c r="K20" s="64">
        <v>405615</v>
      </c>
      <c r="L20" s="64">
        <v>543375</v>
      </c>
      <c r="M20" s="74"/>
      <c r="N20" s="79"/>
      <c r="O20" s="79"/>
      <c r="P20" s="75" t="s">
        <v>670</v>
      </c>
      <c r="Q20" s="75"/>
      <c r="R20" s="75"/>
      <c r="S20" s="77"/>
    </row>
    <row r="21" spans="1:19" ht="15" customHeight="1" x14ac:dyDescent="0.3">
      <c r="A21" s="70" t="s">
        <v>594</v>
      </c>
      <c r="B21" s="70" t="s">
        <v>699</v>
      </c>
      <c r="C21" s="70" t="s">
        <v>690</v>
      </c>
      <c r="D21" s="70" t="s">
        <v>727</v>
      </c>
      <c r="E21" s="71">
        <v>141</v>
      </c>
      <c r="F21" s="71" t="s">
        <v>732</v>
      </c>
      <c r="G21" s="70" t="s">
        <v>359</v>
      </c>
      <c r="H21" s="80">
        <v>0.71399999999999997</v>
      </c>
      <c r="I21" s="58">
        <v>20</v>
      </c>
      <c r="J21" s="58">
        <v>24.5</v>
      </c>
      <c r="K21" s="58">
        <v>213980</v>
      </c>
      <c r="L21" s="58">
        <v>261943</v>
      </c>
      <c r="M21" s="73"/>
      <c r="N21" s="74">
        <v>300</v>
      </c>
      <c r="O21" s="73"/>
      <c r="P21" s="75" t="s">
        <v>197</v>
      </c>
      <c r="Q21" s="75" t="s">
        <v>334</v>
      </c>
      <c r="R21" s="75" t="s">
        <v>336</v>
      </c>
      <c r="S21" s="70"/>
    </row>
    <row r="22" spans="1:19" ht="15" customHeight="1" x14ac:dyDescent="0.3">
      <c r="A22" s="77" t="s">
        <v>594</v>
      </c>
      <c r="B22" s="77" t="s">
        <v>689</v>
      </c>
      <c r="C22" s="77" t="s">
        <v>690</v>
      </c>
      <c r="D22" s="77" t="s">
        <v>691</v>
      </c>
      <c r="E22" s="63">
        <v>79</v>
      </c>
      <c r="F22" s="63" t="s">
        <v>733</v>
      </c>
      <c r="G22" s="77" t="s">
        <v>734</v>
      </c>
      <c r="H22" s="80">
        <v>0.72</v>
      </c>
      <c r="I22" s="64">
        <v>12</v>
      </c>
      <c r="J22" s="64">
        <v>30</v>
      </c>
      <c r="K22" s="64">
        <v>437352</v>
      </c>
      <c r="L22" s="64">
        <v>1080540</v>
      </c>
      <c r="M22" s="79"/>
      <c r="N22" s="79"/>
      <c r="O22" s="74"/>
      <c r="P22" s="75" t="s">
        <v>670</v>
      </c>
      <c r="Q22" s="76"/>
      <c r="R22" s="76"/>
      <c r="S22" s="57"/>
    </row>
    <row r="23" spans="1:19" ht="15" customHeight="1" x14ac:dyDescent="0.3">
      <c r="A23" s="70" t="s">
        <v>594</v>
      </c>
      <c r="B23" s="70" t="s">
        <v>699</v>
      </c>
      <c r="C23" s="70" t="s">
        <v>720</v>
      </c>
      <c r="D23" s="70" t="s">
        <v>735</v>
      </c>
      <c r="E23" s="71">
        <v>104</v>
      </c>
      <c r="F23" s="71" t="s">
        <v>736</v>
      </c>
      <c r="G23" s="70" t="s">
        <v>737</v>
      </c>
      <c r="H23" s="78">
        <v>0.75</v>
      </c>
      <c r="I23" s="58">
        <v>18</v>
      </c>
      <c r="J23" s="58">
        <v>36</v>
      </c>
      <c r="K23" s="58">
        <v>170406</v>
      </c>
      <c r="L23" s="58">
        <v>305532</v>
      </c>
      <c r="M23" s="74"/>
      <c r="N23" s="73"/>
      <c r="O23" s="73"/>
      <c r="P23" s="75" t="s">
        <v>670</v>
      </c>
      <c r="Q23" s="75"/>
      <c r="R23" s="75"/>
      <c r="S23" s="70"/>
    </row>
    <row r="24" spans="1:19" ht="15" customHeight="1" x14ac:dyDescent="0.3">
      <c r="A24" s="77" t="s">
        <v>594</v>
      </c>
      <c r="B24" s="77" t="s">
        <v>689</v>
      </c>
      <c r="C24" s="77" t="s">
        <v>695</v>
      </c>
      <c r="D24" s="77" t="s">
        <v>696</v>
      </c>
      <c r="E24" s="63">
        <v>0</v>
      </c>
      <c r="F24" s="63" t="s">
        <v>738</v>
      </c>
      <c r="G24" s="77" t="s">
        <v>200</v>
      </c>
      <c r="H24" s="78">
        <v>0.77800000000000002</v>
      </c>
      <c r="I24" s="64">
        <v>35</v>
      </c>
      <c r="J24" s="64">
        <v>35</v>
      </c>
      <c r="K24" s="64">
        <v>112665</v>
      </c>
      <c r="L24" s="64">
        <v>101430</v>
      </c>
      <c r="M24" s="79"/>
      <c r="N24" s="74">
        <v>100</v>
      </c>
      <c r="O24" s="79">
        <v>200</v>
      </c>
      <c r="P24" s="75" t="s">
        <v>197</v>
      </c>
      <c r="Q24" s="75" t="s">
        <v>194</v>
      </c>
      <c r="R24" s="75" t="s">
        <v>196</v>
      </c>
      <c r="S24" s="77"/>
    </row>
    <row r="25" spans="1:19" ht="15" customHeight="1" x14ac:dyDescent="0.3">
      <c r="A25" s="70" t="s">
        <v>594</v>
      </c>
      <c r="B25" s="70" t="s">
        <v>699</v>
      </c>
      <c r="C25" s="70" t="s">
        <v>690</v>
      </c>
      <c r="D25" s="70" t="s">
        <v>704</v>
      </c>
      <c r="E25" s="71">
        <v>0</v>
      </c>
      <c r="F25" s="71" t="s">
        <v>739</v>
      </c>
      <c r="G25" s="70" t="s">
        <v>740</v>
      </c>
      <c r="H25" s="72">
        <v>0.84</v>
      </c>
      <c r="I25" s="58">
        <v>35</v>
      </c>
      <c r="J25" s="58">
        <v>35</v>
      </c>
      <c r="K25" s="58">
        <v>392735</v>
      </c>
      <c r="L25" s="58">
        <v>434700</v>
      </c>
      <c r="M25" s="73"/>
      <c r="N25" s="74"/>
      <c r="O25" s="73"/>
      <c r="P25" s="75" t="s">
        <v>670</v>
      </c>
      <c r="Q25" s="75"/>
      <c r="R25" s="75"/>
      <c r="S25" s="70"/>
    </row>
    <row r="26" spans="1:19" ht="15" customHeight="1" x14ac:dyDescent="0.3">
      <c r="A26" s="77" t="s">
        <v>594</v>
      </c>
      <c r="B26" s="77" t="s">
        <v>699</v>
      </c>
      <c r="C26" s="77" t="s">
        <v>690</v>
      </c>
      <c r="D26" s="77" t="s">
        <v>704</v>
      </c>
      <c r="E26" s="63">
        <v>0</v>
      </c>
      <c r="F26" s="63" t="s">
        <v>741</v>
      </c>
      <c r="G26" s="77" t="s">
        <v>247</v>
      </c>
      <c r="H26" s="80">
        <v>0.96399999999999997</v>
      </c>
      <c r="I26" s="64">
        <v>71</v>
      </c>
      <c r="J26" s="64">
        <v>60</v>
      </c>
      <c r="K26" s="64">
        <v>744293</v>
      </c>
      <c r="L26" s="64">
        <v>571320</v>
      </c>
      <c r="M26" s="79"/>
      <c r="N26" s="74">
        <v>150</v>
      </c>
      <c r="O26" s="79">
        <v>300</v>
      </c>
      <c r="P26" s="75" t="s">
        <v>197</v>
      </c>
      <c r="Q26" s="75" t="s">
        <v>194</v>
      </c>
      <c r="R26" s="75" t="s">
        <v>196</v>
      </c>
      <c r="S26" s="77"/>
    </row>
    <row r="27" spans="1:19" ht="15" customHeight="1" x14ac:dyDescent="0.3">
      <c r="A27" s="70" t="s">
        <v>595</v>
      </c>
      <c r="B27" s="70" t="s">
        <v>699</v>
      </c>
      <c r="C27" s="70" t="s">
        <v>742</v>
      </c>
      <c r="D27" s="70" t="s">
        <v>743</v>
      </c>
      <c r="E27" s="71">
        <v>0</v>
      </c>
      <c r="F27" s="71" t="s">
        <v>744</v>
      </c>
      <c r="G27" s="70" t="s">
        <v>745</v>
      </c>
      <c r="H27" s="72">
        <v>0</v>
      </c>
      <c r="I27" s="58">
        <v>0</v>
      </c>
      <c r="J27" s="58">
        <v>0</v>
      </c>
      <c r="K27" s="58">
        <v>0</v>
      </c>
      <c r="L27" s="58">
        <v>0</v>
      </c>
      <c r="M27" s="73"/>
      <c r="N27" s="73"/>
      <c r="O27" s="73"/>
      <c r="P27" s="57" t="s">
        <v>670</v>
      </c>
      <c r="Q27" s="82"/>
      <c r="R27" s="82"/>
      <c r="S27" s="70"/>
    </row>
    <row r="28" spans="1:19" ht="15" customHeight="1" x14ac:dyDescent="0.3">
      <c r="A28" s="77" t="s">
        <v>595</v>
      </c>
      <c r="B28" s="77" t="s">
        <v>699</v>
      </c>
      <c r="C28" s="77" t="s">
        <v>746</v>
      </c>
      <c r="D28" s="77" t="s">
        <v>747</v>
      </c>
      <c r="E28" s="63">
        <v>0</v>
      </c>
      <c r="F28" s="63" t="s">
        <v>748</v>
      </c>
      <c r="G28" s="77" t="s">
        <v>211</v>
      </c>
      <c r="H28" s="72">
        <v>6.5000000000000002E-2</v>
      </c>
      <c r="I28" s="64">
        <v>13</v>
      </c>
      <c r="J28" s="64">
        <v>200</v>
      </c>
      <c r="K28" s="64">
        <v>170924</v>
      </c>
      <c r="L28" s="64">
        <v>2970450</v>
      </c>
      <c r="M28" s="79"/>
      <c r="N28" s="74">
        <v>400</v>
      </c>
      <c r="O28" s="79">
        <v>400</v>
      </c>
      <c r="P28" s="75" t="s">
        <v>197</v>
      </c>
      <c r="Q28" s="75" t="s">
        <v>194</v>
      </c>
      <c r="R28" s="75" t="s">
        <v>196</v>
      </c>
      <c r="S28" s="77"/>
    </row>
    <row r="29" spans="1:19" ht="15" customHeight="1" x14ac:dyDescent="0.3">
      <c r="A29" s="70" t="s">
        <v>595</v>
      </c>
      <c r="B29" s="70" t="s">
        <v>689</v>
      </c>
      <c r="C29" s="70" t="s">
        <v>749</v>
      </c>
      <c r="D29" s="70" t="s">
        <v>750</v>
      </c>
      <c r="E29" s="71">
        <v>0</v>
      </c>
      <c r="F29" s="71" t="s">
        <v>751</v>
      </c>
      <c r="G29" s="70" t="s">
        <v>227</v>
      </c>
      <c r="H29" s="72">
        <v>8.8999999999999996E-2</v>
      </c>
      <c r="I29" s="58">
        <v>8</v>
      </c>
      <c r="J29" s="58">
        <v>90</v>
      </c>
      <c r="K29" s="58">
        <v>48136</v>
      </c>
      <c r="L29" s="58">
        <v>591502.5</v>
      </c>
      <c r="M29" s="73"/>
      <c r="N29" s="74">
        <v>100</v>
      </c>
      <c r="O29" s="73"/>
      <c r="P29" s="75" t="s">
        <v>197</v>
      </c>
      <c r="Q29" s="75" t="s">
        <v>194</v>
      </c>
      <c r="R29" s="75" t="s">
        <v>196</v>
      </c>
      <c r="S29" s="70"/>
    </row>
    <row r="30" spans="1:19" ht="15" customHeight="1" x14ac:dyDescent="0.3">
      <c r="A30" s="77" t="s">
        <v>595</v>
      </c>
      <c r="B30" s="77" t="s">
        <v>689</v>
      </c>
      <c r="C30" s="77" t="s">
        <v>742</v>
      </c>
      <c r="D30" s="77" t="s">
        <v>752</v>
      </c>
      <c r="E30" s="63">
        <v>0</v>
      </c>
      <c r="F30" s="63" t="s">
        <v>753</v>
      </c>
      <c r="G30" s="77" t="s">
        <v>293</v>
      </c>
      <c r="H30" s="72">
        <v>0.121</v>
      </c>
      <c r="I30" s="64">
        <v>11</v>
      </c>
      <c r="J30" s="64">
        <v>90</v>
      </c>
      <c r="K30" s="64">
        <v>32692</v>
      </c>
      <c r="L30" s="64">
        <v>321367.5</v>
      </c>
      <c r="M30" s="79"/>
      <c r="N30" s="74">
        <v>225</v>
      </c>
      <c r="O30" s="79"/>
      <c r="P30" s="75" t="s">
        <v>197</v>
      </c>
      <c r="Q30" s="76" t="s">
        <v>194</v>
      </c>
      <c r="R30" s="76" t="s">
        <v>196</v>
      </c>
      <c r="S30" s="57"/>
    </row>
    <row r="31" spans="1:19" ht="15" customHeight="1" x14ac:dyDescent="0.3">
      <c r="A31" s="70" t="s">
        <v>595</v>
      </c>
      <c r="B31" s="70" t="s">
        <v>689</v>
      </c>
      <c r="C31" s="70" t="s">
        <v>754</v>
      </c>
      <c r="D31" s="70" t="s">
        <v>755</v>
      </c>
      <c r="E31" s="71">
        <v>108</v>
      </c>
      <c r="F31" s="71" t="s">
        <v>756</v>
      </c>
      <c r="G31" s="70" t="s">
        <v>757</v>
      </c>
      <c r="H31" s="72">
        <v>0.16700000000000001</v>
      </c>
      <c r="I31" s="58">
        <v>8</v>
      </c>
      <c r="J31" s="58">
        <v>44</v>
      </c>
      <c r="K31" s="58">
        <v>58712</v>
      </c>
      <c r="L31" s="58">
        <v>322878.59999999998</v>
      </c>
      <c r="M31" s="73"/>
      <c r="N31" s="74"/>
      <c r="O31" s="73"/>
      <c r="P31" s="75" t="s">
        <v>670</v>
      </c>
      <c r="Q31" s="76"/>
      <c r="R31" s="76"/>
      <c r="S31" s="57"/>
    </row>
    <row r="32" spans="1:19" ht="15" customHeight="1" x14ac:dyDescent="0.3">
      <c r="A32" s="77" t="s">
        <v>595</v>
      </c>
      <c r="B32" s="77" t="s">
        <v>699</v>
      </c>
      <c r="C32" s="77" t="s">
        <v>754</v>
      </c>
      <c r="D32" s="77" t="s">
        <v>758</v>
      </c>
      <c r="E32" s="63">
        <v>0</v>
      </c>
      <c r="F32" s="63" t="s">
        <v>759</v>
      </c>
      <c r="G32" s="77" t="s">
        <v>206</v>
      </c>
      <c r="H32" s="80">
        <v>0.189</v>
      </c>
      <c r="I32" s="64">
        <v>24</v>
      </c>
      <c r="J32" s="64">
        <v>81</v>
      </c>
      <c r="K32" s="64">
        <v>76056</v>
      </c>
      <c r="L32" s="64">
        <v>310189.5</v>
      </c>
      <c r="M32" s="79"/>
      <c r="N32" s="79">
        <v>300</v>
      </c>
      <c r="O32" s="74"/>
      <c r="P32" s="75" t="s">
        <v>197</v>
      </c>
      <c r="Q32" s="76" t="s">
        <v>194</v>
      </c>
      <c r="R32" s="76" t="s">
        <v>196</v>
      </c>
      <c r="S32" s="81"/>
    </row>
    <row r="33" spans="1:19" ht="15" customHeight="1" x14ac:dyDescent="0.3">
      <c r="A33" s="70" t="s">
        <v>595</v>
      </c>
      <c r="B33" s="70" t="s">
        <v>715</v>
      </c>
      <c r="C33" s="70" t="s">
        <v>754</v>
      </c>
      <c r="D33" s="70" t="s">
        <v>758</v>
      </c>
      <c r="E33" s="71">
        <v>0</v>
      </c>
      <c r="F33" s="71" t="s">
        <v>760</v>
      </c>
      <c r="G33" s="70" t="s">
        <v>209</v>
      </c>
      <c r="H33" s="80">
        <v>0.191</v>
      </c>
      <c r="I33" s="58">
        <v>20</v>
      </c>
      <c r="J33" s="58">
        <v>71.5</v>
      </c>
      <c r="K33" s="58">
        <v>25040</v>
      </c>
      <c r="L33" s="58">
        <v>74002.5</v>
      </c>
      <c r="M33" s="73"/>
      <c r="N33" s="74">
        <v>300</v>
      </c>
      <c r="O33" s="73">
        <v>300</v>
      </c>
      <c r="P33" s="75" t="s">
        <v>197</v>
      </c>
      <c r="Q33" s="75" t="s">
        <v>194</v>
      </c>
      <c r="R33" s="75" t="s">
        <v>196</v>
      </c>
      <c r="S33" s="70"/>
    </row>
    <row r="34" spans="1:19" ht="15" customHeight="1" x14ac:dyDescent="0.3">
      <c r="A34" s="77" t="s">
        <v>595</v>
      </c>
      <c r="B34" s="77" t="s">
        <v>689</v>
      </c>
      <c r="C34" s="77" t="s">
        <v>742</v>
      </c>
      <c r="D34" s="77" t="s">
        <v>761</v>
      </c>
      <c r="E34" s="63">
        <v>195</v>
      </c>
      <c r="F34" s="63" t="s">
        <v>762</v>
      </c>
      <c r="G34" s="77" t="s">
        <v>367</v>
      </c>
      <c r="H34" s="80">
        <v>0.21199999999999999</v>
      </c>
      <c r="I34" s="64">
        <v>12</v>
      </c>
      <c r="J34" s="64">
        <v>60</v>
      </c>
      <c r="K34" s="64">
        <v>31644</v>
      </c>
      <c r="L34" s="64">
        <v>172017</v>
      </c>
      <c r="M34" s="79"/>
      <c r="N34" s="74">
        <v>204</v>
      </c>
      <c r="O34" s="79"/>
      <c r="P34" s="75" t="s">
        <v>197</v>
      </c>
      <c r="Q34" s="75" t="s">
        <v>334</v>
      </c>
      <c r="R34" s="75" t="s">
        <v>336</v>
      </c>
      <c r="S34" s="77"/>
    </row>
    <row r="35" spans="1:19" ht="15" customHeight="1" x14ac:dyDescent="0.3">
      <c r="A35" s="70" t="s">
        <v>595</v>
      </c>
      <c r="B35" s="70" t="s">
        <v>689</v>
      </c>
      <c r="C35" s="70" t="s">
        <v>763</v>
      </c>
      <c r="D35" s="70" t="s">
        <v>764</v>
      </c>
      <c r="E35" s="71">
        <v>0</v>
      </c>
      <c r="F35" s="71" t="s">
        <v>765</v>
      </c>
      <c r="G35" s="70" t="s">
        <v>349</v>
      </c>
      <c r="H35" s="80">
        <v>0.219</v>
      </c>
      <c r="I35" s="58">
        <v>20</v>
      </c>
      <c r="J35" s="58">
        <v>84</v>
      </c>
      <c r="K35" s="58">
        <v>213720</v>
      </c>
      <c r="L35" s="58">
        <v>1004157</v>
      </c>
      <c r="M35" s="73"/>
      <c r="N35" s="73">
        <v>400</v>
      </c>
      <c r="O35" s="74"/>
      <c r="P35" s="75" t="s">
        <v>197</v>
      </c>
      <c r="Q35" s="76" t="s">
        <v>334</v>
      </c>
      <c r="R35" s="76" t="s">
        <v>336</v>
      </c>
      <c r="S35" s="81"/>
    </row>
    <row r="36" spans="1:19" ht="15" customHeight="1" x14ac:dyDescent="0.3">
      <c r="A36" s="77" t="s">
        <v>595</v>
      </c>
      <c r="B36" s="77" t="s">
        <v>699</v>
      </c>
      <c r="C36" s="77" t="s">
        <v>754</v>
      </c>
      <c r="D36" s="77" t="s">
        <v>758</v>
      </c>
      <c r="E36" s="63">
        <v>0</v>
      </c>
      <c r="F36" s="63" t="s">
        <v>766</v>
      </c>
      <c r="G36" s="77" t="s">
        <v>203</v>
      </c>
      <c r="H36" s="80">
        <v>0.32200000000000001</v>
      </c>
      <c r="I36" s="64">
        <v>31</v>
      </c>
      <c r="J36" s="64">
        <v>88</v>
      </c>
      <c r="K36" s="64">
        <v>72075</v>
      </c>
      <c r="L36" s="64">
        <v>286902</v>
      </c>
      <c r="M36" s="79"/>
      <c r="N36" s="74">
        <v>300</v>
      </c>
      <c r="O36" s="79"/>
      <c r="P36" s="75" t="s">
        <v>197</v>
      </c>
      <c r="Q36" s="75" t="s">
        <v>194</v>
      </c>
      <c r="R36" s="75" t="s">
        <v>196</v>
      </c>
      <c r="S36" s="77"/>
    </row>
    <row r="37" spans="1:19" ht="15" customHeight="1" x14ac:dyDescent="0.3">
      <c r="A37" s="70" t="s">
        <v>595</v>
      </c>
      <c r="B37" s="70" t="s">
        <v>699</v>
      </c>
      <c r="C37" s="70" t="s">
        <v>742</v>
      </c>
      <c r="D37" s="70" t="s">
        <v>767</v>
      </c>
      <c r="E37" s="71">
        <v>82</v>
      </c>
      <c r="F37" s="71" t="s">
        <v>768</v>
      </c>
      <c r="G37" s="70" t="s">
        <v>428</v>
      </c>
      <c r="H37" s="78">
        <v>0.36399999999999999</v>
      </c>
      <c r="I37" s="58">
        <v>49</v>
      </c>
      <c r="J37" s="58">
        <v>104</v>
      </c>
      <c r="K37" s="58">
        <v>262444</v>
      </c>
      <c r="L37" s="58">
        <v>548964</v>
      </c>
      <c r="M37" s="73"/>
      <c r="N37" s="73">
        <v>300</v>
      </c>
      <c r="O37" s="74">
        <v>300</v>
      </c>
      <c r="P37" s="75" t="s">
        <v>197</v>
      </c>
      <c r="Q37" s="75" t="s">
        <v>419</v>
      </c>
      <c r="R37" s="75" t="s">
        <v>336</v>
      </c>
      <c r="S37" s="70"/>
    </row>
    <row r="38" spans="1:19" ht="15" customHeight="1" x14ac:dyDescent="0.3">
      <c r="A38" s="77" t="s">
        <v>595</v>
      </c>
      <c r="B38" s="77" t="s">
        <v>715</v>
      </c>
      <c r="C38" s="77" t="s">
        <v>754</v>
      </c>
      <c r="D38" s="77" t="s">
        <v>758</v>
      </c>
      <c r="E38" s="63">
        <v>276</v>
      </c>
      <c r="F38" s="63" t="s">
        <v>769</v>
      </c>
      <c r="G38" s="77" t="s">
        <v>770</v>
      </c>
      <c r="H38" s="80">
        <v>0.54500000000000004</v>
      </c>
      <c r="I38" s="64">
        <v>16</v>
      </c>
      <c r="J38" s="64">
        <v>48</v>
      </c>
      <c r="K38" s="64">
        <v>42368</v>
      </c>
      <c r="L38" s="64">
        <v>69552</v>
      </c>
      <c r="M38" s="79"/>
      <c r="N38" s="79"/>
      <c r="O38" s="79"/>
      <c r="P38" s="57" t="s">
        <v>670</v>
      </c>
      <c r="Q38" s="82"/>
      <c r="R38" s="82"/>
      <c r="S38" s="77"/>
    </row>
    <row r="39" spans="1:19" ht="15" customHeight="1" x14ac:dyDescent="0.3">
      <c r="A39" s="70" t="s">
        <v>595</v>
      </c>
      <c r="B39" s="70" t="s">
        <v>689</v>
      </c>
      <c r="C39" s="70" t="s">
        <v>771</v>
      </c>
      <c r="D39" s="70" t="s">
        <v>772</v>
      </c>
      <c r="E39" s="71">
        <v>69</v>
      </c>
      <c r="F39" s="71" t="s">
        <v>773</v>
      </c>
      <c r="G39" s="70" t="s">
        <v>774</v>
      </c>
      <c r="H39" s="78">
        <v>0.68700000000000006</v>
      </c>
      <c r="I39" s="58">
        <v>206</v>
      </c>
      <c r="J39" s="58">
        <v>300</v>
      </c>
      <c r="K39" s="58">
        <v>1341678</v>
      </c>
      <c r="L39" s="58">
        <v>1878525</v>
      </c>
      <c r="M39" s="73"/>
      <c r="N39" s="73"/>
      <c r="O39" s="73">
        <v>500</v>
      </c>
      <c r="P39" s="57" t="s">
        <v>467</v>
      </c>
      <c r="Q39" s="82"/>
      <c r="R39" s="82"/>
      <c r="S39" s="70"/>
    </row>
    <row r="40" spans="1:19" ht="15" customHeight="1" x14ac:dyDescent="0.3">
      <c r="A40" s="77" t="s">
        <v>595</v>
      </c>
      <c r="B40" s="77" t="s">
        <v>689</v>
      </c>
      <c r="C40" s="77" t="s">
        <v>742</v>
      </c>
      <c r="D40" s="77" t="s">
        <v>761</v>
      </c>
      <c r="E40" s="63">
        <v>0</v>
      </c>
      <c r="F40" s="63" t="s">
        <v>775</v>
      </c>
      <c r="G40" s="77" t="s">
        <v>371</v>
      </c>
      <c r="H40" s="72">
        <v>0.69599999999999995</v>
      </c>
      <c r="I40" s="64">
        <v>29</v>
      </c>
      <c r="J40" s="64">
        <v>35</v>
      </c>
      <c r="K40" s="64">
        <v>88421</v>
      </c>
      <c r="L40" s="64">
        <v>100343.2</v>
      </c>
      <c r="M40" s="79"/>
      <c r="N40" s="79">
        <v>200</v>
      </c>
      <c r="O40" s="74"/>
      <c r="P40" s="75" t="s">
        <v>197</v>
      </c>
      <c r="Q40" s="75" t="s">
        <v>334</v>
      </c>
      <c r="R40" s="75" t="s">
        <v>336</v>
      </c>
      <c r="S40" s="77"/>
    </row>
    <row r="41" spans="1:19" ht="15" customHeight="1" x14ac:dyDescent="0.3">
      <c r="A41" s="70" t="s">
        <v>595</v>
      </c>
      <c r="B41" s="70" t="s">
        <v>689</v>
      </c>
      <c r="C41" s="70" t="s">
        <v>763</v>
      </c>
      <c r="D41" s="70" t="s">
        <v>776</v>
      </c>
      <c r="E41" s="71">
        <v>225</v>
      </c>
      <c r="F41" s="71" t="s">
        <v>777</v>
      </c>
      <c r="G41" s="70" t="s">
        <v>778</v>
      </c>
      <c r="H41" s="72">
        <v>0.75700000000000001</v>
      </c>
      <c r="I41" s="58">
        <v>29</v>
      </c>
      <c r="J41" s="58">
        <v>35</v>
      </c>
      <c r="K41" s="58">
        <v>102660</v>
      </c>
      <c r="L41" s="58">
        <v>124976.2</v>
      </c>
      <c r="M41" s="73"/>
      <c r="N41" s="73"/>
      <c r="O41" s="74"/>
      <c r="P41" s="75" t="s">
        <v>670</v>
      </c>
      <c r="Q41" s="75"/>
      <c r="R41" s="75"/>
      <c r="S41" s="70"/>
    </row>
    <row r="42" spans="1:19" ht="15" customHeight="1" x14ac:dyDescent="0.3">
      <c r="A42" s="77" t="s">
        <v>595</v>
      </c>
      <c r="B42" s="77" t="s">
        <v>694</v>
      </c>
      <c r="C42" s="77" t="s">
        <v>754</v>
      </c>
      <c r="D42" s="77" t="s">
        <v>755</v>
      </c>
      <c r="E42" s="63">
        <v>0</v>
      </c>
      <c r="F42" s="63" t="s">
        <v>779</v>
      </c>
      <c r="G42" s="77" t="s">
        <v>780</v>
      </c>
      <c r="H42" s="72">
        <v>0.79400000000000004</v>
      </c>
      <c r="I42" s="64">
        <v>9</v>
      </c>
      <c r="J42" s="64">
        <v>8</v>
      </c>
      <c r="K42" s="64">
        <v>50427</v>
      </c>
      <c r="L42" s="64">
        <v>31960.799999999999</v>
      </c>
      <c r="M42" s="79"/>
      <c r="N42" s="79"/>
      <c r="O42" s="74"/>
      <c r="P42" s="75" t="s">
        <v>670</v>
      </c>
      <c r="Q42" s="75"/>
      <c r="R42" s="75"/>
      <c r="S42" s="77"/>
    </row>
    <row r="43" spans="1:19" ht="15" customHeight="1" x14ac:dyDescent="0.3">
      <c r="A43" s="70" t="s">
        <v>595</v>
      </c>
      <c r="B43" s="70" t="s">
        <v>689</v>
      </c>
      <c r="C43" s="70" t="s">
        <v>742</v>
      </c>
      <c r="D43" s="70" t="s">
        <v>752</v>
      </c>
      <c r="E43" s="71">
        <v>0</v>
      </c>
      <c r="F43" s="71" t="s">
        <v>781</v>
      </c>
      <c r="G43" s="70" t="s">
        <v>250</v>
      </c>
      <c r="H43" s="72">
        <v>0.92900000000000005</v>
      </c>
      <c r="I43" s="58">
        <v>65</v>
      </c>
      <c r="J43" s="58">
        <v>80</v>
      </c>
      <c r="K43" s="58">
        <v>170430</v>
      </c>
      <c r="L43" s="58">
        <v>248400</v>
      </c>
      <c r="M43" s="73"/>
      <c r="N43" s="73">
        <v>170</v>
      </c>
      <c r="O43" s="74"/>
      <c r="P43" s="75" t="s">
        <v>197</v>
      </c>
      <c r="Q43" s="75" t="s">
        <v>194</v>
      </c>
      <c r="R43" s="75" t="s">
        <v>196</v>
      </c>
      <c r="S43" s="70"/>
    </row>
    <row r="44" spans="1:19" ht="15" customHeight="1" x14ac:dyDescent="0.3">
      <c r="A44" s="77" t="s">
        <v>646</v>
      </c>
      <c r="B44" s="77"/>
      <c r="C44" s="77" t="s">
        <v>782</v>
      </c>
      <c r="D44" s="77" t="s">
        <v>783</v>
      </c>
      <c r="E44" s="63">
        <v>0</v>
      </c>
      <c r="F44" s="63" t="s">
        <v>784</v>
      </c>
      <c r="G44" s="77" t="s">
        <v>785</v>
      </c>
      <c r="H44" s="72">
        <v>0</v>
      </c>
      <c r="I44" s="64">
        <v>0</v>
      </c>
      <c r="J44" s="64">
        <v>0</v>
      </c>
      <c r="K44" s="64">
        <v>0</v>
      </c>
      <c r="L44" s="64">
        <v>0</v>
      </c>
      <c r="M44" s="79"/>
      <c r="N44" s="79"/>
      <c r="O44" s="74">
        <v>1000</v>
      </c>
      <c r="P44" s="75" t="s">
        <v>467</v>
      </c>
      <c r="Q44" s="75"/>
      <c r="R44" s="75"/>
      <c r="S44" s="77"/>
    </row>
    <row r="45" spans="1:19" ht="15" customHeight="1" x14ac:dyDescent="0.3">
      <c r="A45" s="70" t="s">
        <v>646</v>
      </c>
      <c r="B45" s="70" t="s">
        <v>689</v>
      </c>
      <c r="C45" s="70" t="s">
        <v>786</v>
      </c>
      <c r="D45" s="70" t="s">
        <v>787</v>
      </c>
      <c r="E45" s="71">
        <v>59</v>
      </c>
      <c r="F45" s="71" t="s">
        <v>788</v>
      </c>
      <c r="G45" s="70" t="s">
        <v>69</v>
      </c>
      <c r="H45" s="72">
        <v>0</v>
      </c>
      <c r="I45" s="58">
        <v>28</v>
      </c>
      <c r="J45" s="58">
        <v>0</v>
      </c>
      <c r="K45" s="58">
        <v>212856</v>
      </c>
      <c r="L45" s="58">
        <v>0</v>
      </c>
      <c r="M45" s="74">
        <v>300</v>
      </c>
      <c r="N45" s="73"/>
      <c r="O45" s="73"/>
      <c r="P45" s="75" t="s">
        <v>15</v>
      </c>
      <c r="Q45" s="76" t="s">
        <v>52</v>
      </c>
      <c r="R45" s="76" t="s">
        <v>54</v>
      </c>
      <c r="S45" s="57"/>
    </row>
    <row r="46" spans="1:19" ht="15" customHeight="1" x14ac:dyDescent="0.3">
      <c r="A46" s="77" t="s">
        <v>646</v>
      </c>
      <c r="B46" s="77" t="s">
        <v>715</v>
      </c>
      <c r="C46" s="77" t="s">
        <v>782</v>
      </c>
      <c r="D46" s="77" t="s">
        <v>783</v>
      </c>
      <c r="E46" s="63">
        <v>0</v>
      </c>
      <c r="F46" s="63" t="s">
        <v>789</v>
      </c>
      <c r="G46" s="77" t="s">
        <v>217</v>
      </c>
      <c r="H46" s="72">
        <v>0.17299999999999999</v>
      </c>
      <c r="I46" s="64">
        <v>9</v>
      </c>
      <c r="J46" s="64">
        <v>70</v>
      </c>
      <c r="K46" s="64">
        <v>53577</v>
      </c>
      <c r="L46" s="64">
        <v>507150</v>
      </c>
      <c r="M46" s="74"/>
      <c r="N46" s="79">
        <v>86</v>
      </c>
      <c r="O46" s="79">
        <v>150</v>
      </c>
      <c r="P46" s="75" t="s">
        <v>197</v>
      </c>
      <c r="Q46" s="76" t="s">
        <v>194</v>
      </c>
      <c r="R46" s="76" t="s">
        <v>196</v>
      </c>
      <c r="S46" s="57"/>
    </row>
    <row r="47" spans="1:19" ht="15" customHeight="1" x14ac:dyDescent="0.3">
      <c r="A47" s="70" t="s">
        <v>646</v>
      </c>
      <c r="B47" s="70" t="s">
        <v>699</v>
      </c>
      <c r="C47" s="70" t="s">
        <v>790</v>
      </c>
      <c r="D47" s="70" t="s">
        <v>791</v>
      </c>
      <c r="E47" s="71">
        <v>196</v>
      </c>
      <c r="F47" s="71" t="s">
        <v>792</v>
      </c>
      <c r="G47" s="70" t="s">
        <v>377</v>
      </c>
      <c r="H47" s="72">
        <v>0.19600000000000001</v>
      </c>
      <c r="I47" s="58">
        <v>21</v>
      </c>
      <c r="J47" s="58">
        <v>51</v>
      </c>
      <c r="K47" s="58">
        <v>780948</v>
      </c>
      <c r="L47" s="58">
        <v>2005830</v>
      </c>
      <c r="M47" s="74"/>
      <c r="N47" s="73">
        <v>510</v>
      </c>
      <c r="O47" s="73"/>
      <c r="P47" s="75" t="s">
        <v>197</v>
      </c>
      <c r="Q47" s="76" t="s">
        <v>334</v>
      </c>
      <c r="R47" s="76" t="s">
        <v>336</v>
      </c>
      <c r="S47" s="57"/>
    </row>
    <row r="48" spans="1:19" ht="15" customHeight="1" x14ac:dyDescent="0.3">
      <c r="A48" s="77" t="s">
        <v>646</v>
      </c>
      <c r="B48" s="77" t="s">
        <v>694</v>
      </c>
      <c r="C48" s="77" t="s">
        <v>793</v>
      </c>
      <c r="D48" s="77" t="s">
        <v>794</v>
      </c>
      <c r="E48" s="63">
        <v>252</v>
      </c>
      <c r="F48" s="63" t="s">
        <v>795</v>
      </c>
      <c r="G48" s="77" t="s">
        <v>796</v>
      </c>
      <c r="H48" s="72">
        <v>0.22500000000000001</v>
      </c>
      <c r="I48" s="64">
        <v>3</v>
      </c>
      <c r="J48" s="64">
        <v>25</v>
      </c>
      <c r="K48" s="64">
        <v>2520</v>
      </c>
      <c r="L48" s="64">
        <v>20700</v>
      </c>
      <c r="M48" s="74"/>
      <c r="N48" s="79"/>
      <c r="O48" s="79">
        <v>100</v>
      </c>
      <c r="P48" s="75" t="s">
        <v>467</v>
      </c>
      <c r="Q48" s="76"/>
      <c r="R48" s="76"/>
      <c r="S48" s="57"/>
    </row>
    <row r="49" spans="1:19" ht="15" customHeight="1" x14ac:dyDescent="0.3">
      <c r="A49" s="70" t="s">
        <v>646</v>
      </c>
      <c r="B49" s="70" t="s">
        <v>699</v>
      </c>
      <c r="C49" s="70" t="s">
        <v>782</v>
      </c>
      <c r="D49" s="70" t="s">
        <v>783</v>
      </c>
      <c r="E49" s="71">
        <v>0</v>
      </c>
      <c r="F49" s="71" t="s">
        <v>797</v>
      </c>
      <c r="G49" s="70" t="s">
        <v>424</v>
      </c>
      <c r="H49" s="72">
        <v>0.22500000000000001</v>
      </c>
      <c r="I49" s="58">
        <v>36</v>
      </c>
      <c r="J49" s="58">
        <v>110</v>
      </c>
      <c r="K49" s="58">
        <v>618120</v>
      </c>
      <c r="L49" s="58">
        <v>1935450</v>
      </c>
      <c r="M49" s="74"/>
      <c r="N49" s="73">
        <v>1000</v>
      </c>
      <c r="O49" s="73"/>
      <c r="P49" s="75" t="s">
        <v>197</v>
      </c>
      <c r="Q49" s="76" t="s">
        <v>419</v>
      </c>
      <c r="R49" s="76" t="s">
        <v>336</v>
      </c>
      <c r="S49" s="57"/>
    </row>
    <row r="50" spans="1:19" ht="15" customHeight="1" x14ac:dyDescent="0.3">
      <c r="A50" s="77" t="s">
        <v>646</v>
      </c>
      <c r="B50" s="77" t="s">
        <v>699</v>
      </c>
      <c r="C50" s="77" t="s">
        <v>790</v>
      </c>
      <c r="D50" s="77" t="s">
        <v>798</v>
      </c>
      <c r="E50" s="63">
        <v>47</v>
      </c>
      <c r="F50" s="63" t="s">
        <v>799</v>
      </c>
      <c r="G50" s="77" t="s">
        <v>800</v>
      </c>
      <c r="H50" s="72">
        <v>0.23100000000000001</v>
      </c>
      <c r="I50" s="64">
        <v>4</v>
      </c>
      <c r="J50" s="64">
        <v>22</v>
      </c>
      <c r="K50" s="64">
        <v>86504</v>
      </c>
      <c r="L50" s="64">
        <v>478170</v>
      </c>
      <c r="M50" s="79"/>
      <c r="N50" s="74"/>
      <c r="O50" s="79">
        <v>75</v>
      </c>
      <c r="P50" s="75" t="s">
        <v>467</v>
      </c>
      <c r="Q50" s="75"/>
      <c r="R50" s="75"/>
      <c r="S50" s="77"/>
    </row>
    <row r="51" spans="1:19" ht="15" customHeight="1" x14ac:dyDescent="0.3">
      <c r="A51" s="70" t="s">
        <v>646</v>
      </c>
      <c r="B51" s="70" t="s">
        <v>699</v>
      </c>
      <c r="C51" s="70" t="s">
        <v>786</v>
      </c>
      <c r="D51" s="70" t="s">
        <v>801</v>
      </c>
      <c r="E51" s="71">
        <v>0</v>
      </c>
      <c r="F51" s="71" t="s">
        <v>802</v>
      </c>
      <c r="G51" s="70" t="s">
        <v>224</v>
      </c>
      <c r="H51" s="72">
        <v>0.26</v>
      </c>
      <c r="I51" s="58">
        <v>13</v>
      </c>
      <c r="J51" s="58">
        <v>50</v>
      </c>
      <c r="K51" s="58">
        <v>144742</v>
      </c>
      <c r="L51" s="58">
        <v>693450</v>
      </c>
      <c r="M51" s="73"/>
      <c r="N51" s="74">
        <v>100</v>
      </c>
      <c r="O51" s="73"/>
      <c r="P51" s="75" t="s">
        <v>197</v>
      </c>
      <c r="Q51" s="75" t="s">
        <v>194</v>
      </c>
      <c r="R51" s="75" t="s">
        <v>196</v>
      </c>
      <c r="S51" s="70"/>
    </row>
    <row r="52" spans="1:19" ht="15" customHeight="1" x14ac:dyDescent="0.3">
      <c r="A52" s="77" t="s">
        <v>646</v>
      </c>
      <c r="B52" s="77" t="s">
        <v>715</v>
      </c>
      <c r="C52" s="77" t="s">
        <v>782</v>
      </c>
      <c r="D52" s="77" t="s">
        <v>783</v>
      </c>
      <c r="E52" s="63">
        <v>0</v>
      </c>
      <c r="F52" s="63" t="s">
        <v>803</v>
      </c>
      <c r="G52" s="77" t="s">
        <v>220</v>
      </c>
      <c r="H52" s="72">
        <v>0.26300000000000001</v>
      </c>
      <c r="I52" s="64">
        <v>14</v>
      </c>
      <c r="J52" s="64">
        <v>60</v>
      </c>
      <c r="K52" s="64">
        <v>101318</v>
      </c>
      <c r="L52" s="64">
        <v>279450</v>
      </c>
      <c r="M52" s="79"/>
      <c r="N52" s="74">
        <v>100</v>
      </c>
      <c r="O52" s="79">
        <v>250</v>
      </c>
      <c r="P52" s="75" t="s">
        <v>197</v>
      </c>
      <c r="Q52" s="75" t="s">
        <v>194</v>
      </c>
      <c r="R52" s="75" t="s">
        <v>196</v>
      </c>
      <c r="S52" s="77"/>
    </row>
    <row r="53" spans="1:19" ht="15" customHeight="1" x14ac:dyDescent="0.3">
      <c r="A53" s="70" t="s">
        <v>646</v>
      </c>
      <c r="B53" s="70" t="s">
        <v>694</v>
      </c>
      <c r="C53" s="70" t="s">
        <v>782</v>
      </c>
      <c r="D53" s="70" t="s">
        <v>783</v>
      </c>
      <c r="E53" s="71">
        <v>0</v>
      </c>
      <c r="F53" s="71" t="s">
        <v>804</v>
      </c>
      <c r="G53" s="70" t="s">
        <v>222</v>
      </c>
      <c r="H53" s="78">
        <v>0.438</v>
      </c>
      <c r="I53" s="58">
        <v>19</v>
      </c>
      <c r="J53" s="58">
        <v>40</v>
      </c>
      <c r="K53" s="58">
        <v>138643</v>
      </c>
      <c r="L53" s="58">
        <v>186300</v>
      </c>
      <c r="M53" s="73"/>
      <c r="N53" s="74">
        <v>100</v>
      </c>
      <c r="O53" s="73">
        <v>105</v>
      </c>
      <c r="P53" s="75" t="s">
        <v>197</v>
      </c>
      <c r="Q53" s="75" t="s">
        <v>194</v>
      </c>
      <c r="R53" s="75" t="s">
        <v>196</v>
      </c>
      <c r="S53" s="70"/>
    </row>
    <row r="54" spans="1:19" ht="15" customHeight="1" x14ac:dyDescent="0.3">
      <c r="A54" s="77" t="s">
        <v>646</v>
      </c>
      <c r="B54" s="77" t="s">
        <v>699</v>
      </c>
      <c r="C54" s="77" t="s">
        <v>790</v>
      </c>
      <c r="D54" s="77" t="s">
        <v>798</v>
      </c>
      <c r="E54" s="63">
        <v>15</v>
      </c>
      <c r="F54" s="63" t="s">
        <v>805</v>
      </c>
      <c r="G54" s="77" t="s">
        <v>806</v>
      </c>
      <c r="H54" s="78">
        <v>0.51400000000000001</v>
      </c>
      <c r="I54" s="64">
        <v>24</v>
      </c>
      <c r="J54" s="64">
        <v>80</v>
      </c>
      <c r="K54" s="64">
        <v>563112</v>
      </c>
      <c r="L54" s="64">
        <v>1863000</v>
      </c>
      <c r="M54" s="74"/>
      <c r="N54" s="79"/>
      <c r="O54" s="79">
        <v>150</v>
      </c>
      <c r="P54" s="75" t="s">
        <v>467</v>
      </c>
      <c r="Q54" s="75"/>
      <c r="R54" s="75"/>
      <c r="S54" s="77"/>
    </row>
    <row r="55" spans="1:19" ht="15" customHeight="1" x14ac:dyDescent="0.3">
      <c r="A55" s="70" t="s">
        <v>646</v>
      </c>
      <c r="B55" s="70" t="s">
        <v>699</v>
      </c>
      <c r="C55" s="70" t="s">
        <v>782</v>
      </c>
      <c r="D55" s="70" t="s">
        <v>807</v>
      </c>
      <c r="E55" s="71">
        <v>37</v>
      </c>
      <c r="F55" s="71" t="s">
        <v>808</v>
      </c>
      <c r="G55" s="70" t="s">
        <v>809</v>
      </c>
      <c r="H55" s="78">
        <v>0.59</v>
      </c>
      <c r="I55" s="58">
        <v>47</v>
      </c>
      <c r="J55" s="58">
        <v>139</v>
      </c>
      <c r="K55" s="58">
        <v>565410</v>
      </c>
      <c r="L55" s="58">
        <v>1899018</v>
      </c>
      <c r="M55" s="73"/>
      <c r="N55" s="73"/>
      <c r="O55" s="74">
        <v>1000</v>
      </c>
      <c r="P55" s="75" t="s">
        <v>467</v>
      </c>
      <c r="Q55" s="76"/>
      <c r="R55" s="76"/>
      <c r="S55" s="57"/>
    </row>
    <row r="56" spans="1:19" ht="15" customHeight="1" x14ac:dyDescent="0.3">
      <c r="A56" s="77" t="s">
        <v>646</v>
      </c>
      <c r="B56" s="77" t="s">
        <v>689</v>
      </c>
      <c r="C56" s="77" t="s">
        <v>790</v>
      </c>
      <c r="D56" s="77" t="s">
        <v>798</v>
      </c>
      <c r="E56" s="63">
        <v>364</v>
      </c>
      <c r="F56" s="63" t="s">
        <v>810</v>
      </c>
      <c r="G56" s="77" t="s">
        <v>811</v>
      </c>
      <c r="H56" s="72">
        <v>0.6</v>
      </c>
      <c r="I56" s="64">
        <v>1</v>
      </c>
      <c r="J56" s="64">
        <v>5</v>
      </c>
      <c r="K56" s="64">
        <v>9961</v>
      </c>
      <c r="L56" s="64">
        <v>49162.5</v>
      </c>
      <c r="M56" s="79"/>
      <c r="N56" s="79"/>
      <c r="O56" s="79">
        <v>45</v>
      </c>
      <c r="P56" s="57" t="s">
        <v>467</v>
      </c>
      <c r="Q56" s="82"/>
      <c r="R56" s="82"/>
      <c r="S56" s="77"/>
    </row>
    <row r="57" spans="1:19" ht="15" customHeight="1" x14ac:dyDescent="0.3">
      <c r="A57" s="70" t="s">
        <v>646</v>
      </c>
      <c r="B57" s="70" t="s">
        <v>689</v>
      </c>
      <c r="C57" s="70" t="s">
        <v>812</v>
      </c>
      <c r="D57" s="70" t="s">
        <v>813</v>
      </c>
      <c r="E57" s="71">
        <v>0</v>
      </c>
      <c r="F57" s="71" t="s">
        <v>814</v>
      </c>
      <c r="G57" s="70" t="s">
        <v>343</v>
      </c>
      <c r="H57" s="80">
        <v>0.73799999999999999</v>
      </c>
      <c r="I57" s="58">
        <v>59</v>
      </c>
      <c r="J57" s="58">
        <v>100</v>
      </c>
      <c r="K57" s="58">
        <v>575014</v>
      </c>
      <c r="L57" s="58">
        <v>1048455</v>
      </c>
      <c r="M57" s="73"/>
      <c r="N57" s="73">
        <v>140</v>
      </c>
      <c r="O57" s="73">
        <v>150</v>
      </c>
      <c r="P57" s="57" t="s">
        <v>197</v>
      </c>
      <c r="Q57" s="82" t="s">
        <v>334</v>
      </c>
      <c r="R57" s="82" t="s">
        <v>336</v>
      </c>
      <c r="S57" s="70"/>
    </row>
    <row r="58" spans="1:19" ht="15" customHeight="1" x14ac:dyDescent="0.3">
      <c r="A58" s="77" t="s">
        <v>647</v>
      </c>
      <c r="B58" s="77" t="s">
        <v>604</v>
      </c>
      <c r="C58" s="77" t="s">
        <v>815</v>
      </c>
      <c r="D58" s="77" t="s">
        <v>816</v>
      </c>
      <c r="E58" s="63">
        <v>0</v>
      </c>
      <c r="F58" s="63" t="s">
        <v>817</v>
      </c>
      <c r="G58" s="77" t="s">
        <v>818</v>
      </c>
      <c r="H58" s="78">
        <v>0</v>
      </c>
      <c r="I58" s="64">
        <v>1</v>
      </c>
      <c r="J58" s="64">
        <v>0</v>
      </c>
      <c r="K58" s="64">
        <v>7100</v>
      </c>
      <c r="L58" s="64">
        <v>0</v>
      </c>
      <c r="M58" s="79"/>
      <c r="N58" s="79"/>
      <c r="O58" s="79"/>
      <c r="P58" s="57" t="s">
        <v>670</v>
      </c>
      <c r="Q58" s="82"/>
      <c r="R58" s="82"/>
      <c r="S58" s="77"/>
    </row>
    <row r="59" spans="1:19" ht="15" customHeight="1" x14ac:dyDescent="0.3">
      <c r="A59" s="70" t="s">
        <v>647</v>
      </c>
      <c r="B59" s="70" t="s">
        <v>715</v>
      </c>
      <c r="C59" s="70" t="s">
        <v>819</v>
      </c>
      <c r="D59" s="70" t="s">
        <v>820</v>
      </c>
      <c r="E59" s="71">
        <v>172</v>
      </c>
      <c r="F59" s="71" t="s">
        <v>821</v>
      </c>
      <c r="G59" s="70" t="s">
        <v>822</v>
      </c>
      <c r="H59" s="72">
        <v>5.5E-2</v>
      </c>
      <c r="I59" s="58">
        <v>2</v>
      </c>
      <c r="J59" s="58">
        <v>30</v>
      </c>
      <c r="K59" s="58">
        <v>18238</v>
      </c>
      <c r="L59" s="58">
        <v>273240</v>
      </c>
      <c r="M59" s="73"/>
      <c r="N59" s="73"/>
      <c r="O59" s="73"/>
      <c r="P59" s="57" t="s">
        <v>670</v>
      </c>
      <c r="Q59" s="82"/>
      <c r="R59" s="82"/>
      <c r="S59" s="70"/>
    </row>
    <row r="60" spans="1:19" ht="15" customHeight="1" x14ac:dyDescent="0.3">
      <c r="A60" s="77" t="s">
        <v>647</v>
      </c>
      <c r="B60" s="77" t="s">
        <v>689</v>
      </c>
      <c r="C60" s="77" t="s">
        <v>819</v>
      </c>
      <c r="D60" s="77" t="s">
        <v>820</v>
      </c>
      <c r="E60" s="63">
        <v>19</v>
      </c>
      <c r="F60" s="63" t="s">
        <v>823</v>
      </c>
      <c r="G60" s="77" t="s">
        <v>239</v>
      </c>
      <c r="H60" s="72">
        <v>0.28000000000000003</v>
      </c>
      <c r="I60" s="64">
        <v>84</v>
      </c>
      <c r="J60" s="64">
        <v>300</v>
      </c>
      <c r="K60" s="64">
        <v>430920</v>
      </c>
      <c r="L60" s="64">
        <v>1428300</v>
      </c>
      <c r="M60" s="79"/>
      <c r="N60" s="79"/>
      <c r="O60" s="79"/>
      <c r="P60" s="57" t="s">
        <v>197</v>
      </c>
      <c r="Q60" s="82" t="s">
        <v>194</v>
      </c>
      <c r="R60" s="82" t="s">
        <v>196</v>
      </c>
      <c r="S60" s="77"/>
    </row>
    <row r="61" spans="1:19" ht="15" customHeight="1" x14ac:dyDescent="0.3">
      <c r="A61" s="70" t="s">
        <v>648</v>
      </c>
      <c r="B61" s="70" t="s">
        <v>699</v>
      </c>
      <c r="C61" s="70" t="s">
        <v>824</v>
      </c>
      <c r="D61" s="70" t="s">
        <v>825</v>
      </c>
      <c r="E61" s="71">
        <v>0</v>
      </c>
      <c r="F61" s="71" t="s">
        <v>826</v>
      </c>
      <c r="G61" s="70" t="s">
        <v>237</v>
      </c>
      <c r="H61" s="72">
        <v>0.23100000000000001</v>
      </c>
      <c r="I61" s="58">
        <v>32</v>
      </c>
      <c r="J61" s="58">
        <v>260</v>
      </c>
      <c r="K61" s="58">
        <v>364544</v>
      </c>
      <c r="L61" s="58">
        <v>2825550</v>
      </c>
      <c r="M61" s="73"/>
      <c r="N61" s="73">
        <v>150</v>
      </c>
      <c r="O61" s="73">
        <v>300</v>
      </c>
      <c r="P61" s="57" t="s">
        <v>197</v>
      </c>
      <c r="Q61" s="82" t="s">
        <v>194</v>
      </c>
      <c r="R61" s="82" t="s">
        <v>196</v>
      </c>
      <c r="S61" s="70"/>
    </row>
    <row r="62" spans="1:19" ht="15" customHeight="1" x14ac:dyDescent="0.3">
      <c r="A62" s="77" t="s">
        <v>649</v>
      </c>
      <c r="B62" s="77" t="s">
        <v>699</v>
      </c>
      <c r="C62" s="77" t="s">
        <v>827</v>
      </c>
      <c r="D62" s="77" t="s">
        <v>828</v>
      </c>
      <c r="E62" s="63">
        <v>30</v>
      </c>
      <c r="F62" s="63" t="s">
        <v>829</v>
      </c>
      <c r="G62" s="77" t="s">
        <v>830</v>
      </c>
      <c r="H62" s="72">
        <v>0.128</v>
      </c>
      <c r="I62" s="64">
        <v>10</v>
      </c>
      <c r="J62" s="64">
        <v>110</v>
      </c>
      <c r="K62" s="64">
        <v>263490</v>
      </c>
      <c r="L62" s="64">
        <v>2730123</v>
      </c>
      <c r="M62" s="79"/>
      <c r="N62" s="79"/>
      <c r="O62" s="79">
        <v>200</v>
      </c>
      <c r="P62" s="57" t="s">
        <v>467</v>
      </c>
      <c r="Q62" s="82"/>
      <c r="R62" s="82"/>
      <c r="S62" s="77"/>
    </row>
    <row r="63" spans="1:19" ht="15" customHeight="1" x14ac:dyDescent="0.3">
      <c r="A63" s="70" t="s">
        <v>649</v>
      </c>
      <c r="B63" s="70" t="s">
        <v>699</v>
      </c>
      <c r="C63" s="70" t="s">
        <v>827</v>
      </c>
      <c r="D63" s="70" t="s">
        <v>831</v>
      </c>
      <c r="E63" s="71">
        <v>137</v>
      </c>
      <c r="F63" s="71" t="s">
        <v>832</v>
      </c>
      <c r="G63" s="70" t="s">
        <v>833</v>
      </c>
      <c r="H63" s="72">
        <v>0.13800000000000001</v>
      </c>
      <c r="I63" s="58">
        <v>11</v>
      </c>
      <c r="J63" s="58">
        <v>120</v>
      </c>
      <c r="K63" s="58">
        <v>60533</v>
      </c>
      <c r="L63" s="58">
        <v>645840</v>
      </c>
      <c r="M63" s="73"/>
      <c r="N63" s="73"/>
      <c r="O63" s="73">
        <v>200</v>
      </c>
      <c r="P63" s="57" t="s">
        <v>467</v>
      </c>
      <c r="Q63" s="82"/>
      <c r="R63" s="82"/>
      <c r="S63" s="70"/>
    </row>
    <row r="64" spans="1:19" ht="15" customHeight="1" x14ac:dyDescent="0.3">
      <c r="A64" s="77" t="s">
        <v>649</v>
      </c>
      <c r="B64" s="77" t="s">
        <v>715</v>
      </c>
      <c r="C64" s="77" t="s">
        <v>834</v>
      </c>
      <c r="D64" s="77" t="s">
        <v>835</v>
      </c>
      <c r="E64" s="63">
        <v>366</v>
      </c>
      <c r="F64" s="63" t="s">
        <v>836</v>
      </c>
      <c r="G64" s="77" t="s">
        <v>837</v>
      </c>
      <c r="H64" s="72">
        <v>0.3</v>
      </c>
      <c r="I64" s="64">
        <v>2</v>
      </c>
      <c r="J64" s="64">
        <v>15</v>
      </c>
      <c r="K64" s="64">
        <v>31712</v>
      </c>
      <c r="L64" s="64">
        <v>232875</v>
      </c>
      <c r="M64" s="79"/>
      <c r="N64" s="79"/>
      <c r="O64" s="79"/>
      <c r="P64" s="57" t="s">
        <v>670</v>
      </c>
      <c r="Q64" s="82"/>
      <c r="R64" s="82"/>
      <c r="S64" s="77"/>
    </row>
    <row r="65" spans="1:19" ht="15" customHeight="1" x14ac:dyDescent="0.3">
      <c r="A65" s="70" t="s">
        <v>649</v>
      </c>
      <c r="B65" s="70" t="s">
        <v>699</v>
      </c>
      <c r="C65" s="70" t="s">
        <v>827</v>
      </c>
      <c r="D65" s="70" t="s">
        <v>828</v>
      </c>
      <c r="E65" s="71">
        <v>0</v>
      </c>
      <c r="F65" s="71" t="s">
        <v>838</v>
      </c>
      <c r="G65" s="70" t="s">
        <v>839</v>
      </c>
      <c r="H65" s="72">
        <v>0.621</v>
      </c>
      <c r="I65" s="58">
        <v>29</v>
      </c>
      <c r="J65" s="58">
        <v>65</v>
      </c>
      <c r="K65" s="58">
        <v>901668</v>
      </c>
      <c r="L65" s="58">
        <v>1947611.2</v>
      </c>
      <c r="M65" s="73"/>
      <c r="N65" s="73"/>
      <c r="O65" s="73">
        <v>150</v>
      </c>
      <c r="P65" s="57" t="s">
        <v>467</v>
      </c>
      <c r="Q65" s="82"/>
      <c r="R65" s="82"/>
      <c r="S65" s="70"/>
    </row>
    <row r="66" spans="1:19" ht="15" customHeight="1" x14ac:dyDescent="0.3">
      <c r="A66" s="77" t="s">
        <v>650</v>
      </c>
      <c r="B66" s="77" t="s">
        <v>699</v>
      </c>
      <c r="C66" s="77" t="s">
        <v>840</v>
      </c>
      <c r="D66" s="77" t="s">
        <v>841</v>
      </c>
      <c r="E66" s="63">
        <v>3</v>
      </c>
      <c r="F66" s="63" t="s">
        <v>842</v>
      </c>
      <c r="G66" s="77" t="s">
        <v>843</v>
      </c>
      <c r="H66" s="72">
        <v>0.13600000000000001</v>
      </c>
      <c r="I66" s="64">
        <v>36</v>
      </c>
      <c r="J66" s="64">
        <v>116</v>
      </c>
      <c r="K66" s="64">
        <v>779724</v>
      </c>
      <c r="L66" s="64">
        <v>2881440</v>
      </c>
      <c r="M66" s="79"/>
      <c r="N66" s="79"/>
      <c r="O66" s="79"/>
      <c r="P66" s="57" t="s">
        <v>670</v>
      </c>
      <c r="Q66" s="82"/>
      <c r="R66" s="82"/>
      <c r="S66" s="77"/>
    </row>
    <row r="67" spans="1:19" ht="15" customHeight="1" x14ac:dyDescent="0.3">
      <c r="A67" s="70"/>
      <c r="B67" s="70"/>
      <c r="C67" s="70"/>
      <c r="D67" s="70"/>
      <c r="E67" s="71"/>
      <c r="F67" s="71"/>
      <c r="G67" s="70"/>
      <c r="H67" s="80"/>
      <c r="I67" s="58"/>
      <c r="J67" s="58"/>
      <c r="K67" s="58"/>
      <c r="L67" s="58"/>
      <c r="M67" s="74"/>
      <c r="N67" s="74"/>
      <c r="O67" s="73"/>
      <c r="P67" s="75"/>
      <c r="Q67" s="75"/>
      <c r="R67" s="75"/>
      <c r="S67" s="70"/>
    </row>
    <row r="68" spans="1:19" ht="15" customHeight="1" x14ac:dyDescent="0.3">
      <c r="A68" s="77"/>
      <c r="B68" s="77"/>
      <c r="C68" s="77"/>
      <c r="D68" s="77"/>
      <c r="E68" s="63"/>
      <c r="F68" s="63"/>
      <c r="G68" s="77"/>
      <c r="H68" s="72"/>
      <c r="I68" s="64"/>
      <c r="J68" s="64"/>
      <c r="K68" s="64"/>
      <c r="L68" s="64"/>
      <c r="M68" s="79"/>
      <c r="N68" s="74"/>
      <c r="O68" s="79"/>
      <c r="P68" s="75"/>
      <c r="Q68" s="76"/>
      <c r="R68" s="76"/>
      <c r="S68" s="57"/>
    </row>
    <row r="69" spans="1:19" ht="15" customHeight="1" x14ac:dyDescent="0.3">
      <c r="A69" s="70"/>
      <c r="B69" s="70"/>
      <c r="C69" s="70"/>
      <c r="D69" s="70"/>
      <c r="E69" s="71"/>
      <c r="F69" s="71"/>
      <c r="G69" s="70"/>
      <c r="H69" s="80"/>
      <c r="I69" s="58"/>
      <c r="J69" s="58"/>
      <c r="K69" s="58"/>
      <c r="L69" s="58"/>
      <c r="M69" s="73"/>
      <c r="N69" s="74"/>
      <c r="O69" s="73"/>
      <c r="P69" s="75"/>
      <c r="Q69" s="75"/>
      <c r="R69" s="75"/>
      <c r="S69" s="70"/>
    </row>
    <row r="70" spans="1:19" ht="15" customHeight="1" x14ac:dyDescent="0.3">
      <c r="A70" s="77"/>
      <c r="B70" s="77"/>
      <c r="C70" s="77"/>
      <c r="D70" s="77"/>
      <c r="E70" s="63"/>
      <c r="F70" s="63"/>
      <c r="G70" s="77"/>
      <c r="H70" s="80"/>
      <c r="I70" s="64"/>
      <c r="J70" s="64"/>
      <c r="K70" s="64"/>
      <c r="L70" s="64"/>
      <c r="M70" s="74"/>
      <c r="N70" s="79"/>
      <c r="O70" s="74"/>
      <c r="P70" s="75"/>
      <c r="Q70" s="75"/>
      <c r="R70" s="75"/>
      <c r="S70" s="77"/>
    </row>
    <row r="71" spans="1:19" ht="15" customHeight="1" x14ac:dyDescent="0.3">
      <c r="A71" s="70"/>
      <c r="B71" s="70"/>
      <c r="C71" s="70"/>
      <c r="D71" s="70"/>
      <c r="E71" s="71"/>
      <c r="F71" s="71"/>
      <c r="G71" s="70"/>
      <c r="H71" s="80"/>
      <c r="I71" s="58"/>
      <c r="J71" s="58"/>
      <c r="K71" s="58"/>
      <c r="L71" s="58"/>
      <c r="M71" s="73"/>
      <c r="N71" s="74"/>
      <c r="O71" s="73"/>
      <c r="P71" s="75"/>
      <c r="Q71" s="75"/>
      <c r="R71" s="75"/>
      <c r="S71" s="70"/>
    </row>
    <row r="72" spans="1:19" ht="15" customHeight="1" x14ac:dyDescent="0.3">
      <c r="A72" s="77"/>
      <c r="B72" s="77"/>
      <c r="C72" s="77"/>
      <c r="D72" s="77"/>
      <c r="E72" s="63"/>
      <c r="F72" s="63"/>
      <c r="G72" s="77"/>
      <c r="H72" s="80"/>
      <c r="I72" s="64"/>
      <c r="J72" s="64"/>
      <c r="K72" s="64"/>
      <c r="L72" s="64"/>
      <c r="M72" s="74"/>
      <c r="N72" s="79"/>
      <c r="O72" s="74"/>
      <c r="P72" s="75"/>
      <c r="Q72" s="75"/>
      <c r="R72" s="75"/>
      <c r="S72" s="77"/>
    </row>
    <row r="73" spans="1:19" ht="15" customHeight="1" x14ac:dyDescent="0.3">
      <c r="A73" s="70"/>
      <c r="B73" s="70"/>
      <c r="C73" s="70"/>
      <c r="D73" s="70"/>
      <c r="E73" s="71"/>
      <c r="F73" s="71"/>
      <c r="G73" s="70"/>
      <c r="H73" s="80"/>
      <c r="I73" s="58"/>
      <c r="J73" s="58"/>
      <c r="K73" s="58"/>
      <c r="L73" s="58"/>
      <c r="M73" s="74"/>
      <c r="N73" s="73"/>
      <c r="O73" s="73"/>
      <c r="P73" s="75"/>
      <c r="Q73" s="75"/>
      <c r="R73" s="75"/>
      <c r="S73" s="70"/>
    </row>
    <row r="74" spans="1:19" ht="15" customHeight="1" x14ac:dyDescent="0.3">
      <c r="A74" s="77"/>
      <c r="B74" s="77"/>
      <c r="C74" s="77"/>
      <c r="D74" s="77"/>
      <c r="E74" s="63"/>
      <c r="F74" s="63"/>
      <c r="G74" s="77"/>
      <c r="H74" s="80"/>
      <c r="I74" s="64"/>
      <c r="J74" s="64"/>
      <c r="K74" s="64"/>
      <c r="L74" s="64"/>
      <c r="M74" s="74"/>
      <c r="N74" s="79"/>
      <c r="O74" s="79"/>
      <c r="P74" s="75"/>
      <c r="Q74" s="75"/>
      <c r="R74" s="75"/>
      <c r="S74" s="77"/>
    </row>
    <row r="75" spans="1:19" ht="15" customHeight="1" x14ac:dyDescent="0.3">
      <c r="A75" s="70"/>
      <c r="B75" s="70"/>
      <c r="C75" s="70"/>
      <c r="D75" s="70"/>
      <c r="E75" s="71"/>
      <c r="F75" s="71"/>
      <c r="G75" s="70"/>
      <c r="H75" s="78"/>
      <c r="I75" s="58"/>
      <c r="J75" s="58"/>
      <c r="K75" s="58"/>
      <c r="L75" s="58"/>
      <c r="M75" s="74"/>
      <c r="N75" s="73"/>
      <c r="O75" s="73"/>
      <c r="P75" s="75"/>
      <c r="Q75" s="75"/>
      <c r="R75" s="75"/>
      <c r="S75" s="70"/>
    </row>
    <row r="76" spans="1:19" ht="15" customHeight="1" x14ac:dyDescent="0.3">
      <c r="A76" s="77"/>
      <c r="B76" s="77"/>
      <c r="C76" s="77"/>
      <c r="D76" s="77"/>
      <c r="E76" s="63"/>
      <c r="F76" s="63"/>
      <c r="G76" s="77"/>
      <c r="H76" s="78"/>
      <c r="I76" s="64"/>
      <c r="J76" s="64"/>
      <c r="K76" s="64"/>
      <c r="L76" s="64"/>
      <c r="M76" s="79"/>
      <c r="N76" s="74"/>
      <c r="O76" s="79"/>
      <c r="P76" s="75"/>
      <c r="Q76" s="75"/>
      <c r="R76" s="75"/>
      <c r="S76" s="77"/>
    </row>
    <row r="77" spans="1:19" ht="15" customHeight="1" x14ac:dyDescent="0.3">
      <c r="A77" s="70"/>
      <c r="B77" s="70"/>
      <c r="C77" s="70"/>
      <c r="D77" s="70"/>
      <c r="E77" s="71"/>
      <c r="F77" s="71"/>
      <c r="G77" s="70"/>
      <c r="H77" s="78"/>
      <c r="I77" s="58"/>
      <c r="J77" s="58"/>
      <c r="K77" s="58"/>
      <c r="L77" s="58"/>
      <c r="M77" s="73"/>
      <c r="N77" s="74"/>
      <c r="O77" s="73"/>
      <c r="P77" s="75"/>
      <c r="Q77" s="75"/>
      <c r="R77" s="75"/>
      <c r="S77" s="70"/>
    </row>
    <row r="78" spans="1:19" ht="15" customHeight="1" x14ac:dyDescent="0.3">
      <c r="A78" s="77"/>
      <c r="B78" s="77"/>
      <c r="C78" s="77"/>
      <c r="D78" s="77"/>
      <c r="E78" s="63"/>
      <c r="F78" s="63"/>
      <c r="G78" s="77"/>
      <c r="H78" s="72"/>
      <c r="I78" s="64"/>
      <c r="J78" s="64"/>
      <c r="K78" s="64"/>
      <c r="L78" s="64"/>
      <c r="M78" s="79"/>
      <c r="N78" s="74"/>
      <c r="O78" s="79"/>
      <c r="P78" s="75"/>
      <c r="Q78" s="75"/>
      <c r="R78" s="75"/>
      <c r="S78" s="77"/>
    </row>
    <row r="79" spans="1:19" ht="15" customHeight="1" x14ac:dyDescent="0.3">
      <c r="A79" s="70"/>
      <c r="B79" s="70"/>
      <c r="C79" s="70"/>
      <c r="D79" s="70"/>
      <c r="E79" s="71"/>
      <c r="F79" s="71"/>
      <c r="G79" s="70"/>
      <c r="H79" s="72"/>
      <c r="I79" s="58"/>
      <c r="J79" s="58"/>
      <c r="K79" s="58"/>
      <c r="L79" s="58"/>
      <c r="M79" s="73"/>
      <c r="N79" s="74"/>
      <c r="O79" s="73"/>
      <c r="P79" s="75"/>
      <c r="Q79" s="75"/>
      <c r="R79" s="75"/>
      <c r="S79" s="70"/>
    </row>
    <row r="80" spans="1:19" ht="15" customHeight="1" x14ac:dyDescent="0.3">
      <c r="A80" s="77"/>
      <c r="B80" s="77"/>
      <c r="C80" s="77"/>
      <c r="D80" s="77"/>
      <c r="E80" s="63"/>
      <c r="F80" s="63"/>
      <c r="G80" s="77"/>
      <c r="H80" s="72"/>
      <c r="I80" s="64"/>
      <c r="J80" s="64"/>
      <c r="K80" s="64"/>
      <c r="L80" s="64"/>
      <c r="M80" s="79"/>
      <c r="N80" s="74"/>
      <c r="O80" s="79"/>
      <c r="P80" s="75"/>
      <c r="Q80" s="75"/>
      <c r="R80" s="75"/>
      <c r="S80" s="77"/>
    </row>
    <row r="81" spans="1:19" ht="15" customHeight="1" x14ac:dyDescent="0.3">
      <c r="A81" s="70"/>
      <c r="B81" s="70"/>
      <c r="C81" s="70"/>
      <c r="D81" s="70"/>
      <c r="E81" s="71"/>
      <c r="F81" s="71"/>
      <c r="G81" s="70"/>
      <c r="H81" s="72"/>
      <c r="I81" s="58"/>
      <c r="J81" s="58"/>
      <c r="K81" s="58"/>
      <c r="L81" s="58"/>
      <c r="M81" s="73"/>
      <c r="N81" s="74"/>
      <c r="O81" s="73"/>
      <c r="P81" s="75"/>
      <c r="Q81" s="75"/>
      <c r="R81" s="75"/>
      <c r="S81" s="70"/>
    </row>
    <row r="82" spans="1:19" ht="15" customHeight="1" x14ac:dyDescent="0.3">
      <c r="A82" s="77"/>
      <c r="B82" s="77"/>
      <c r="C82" s="77"/>
      <c r="D82" s="77"/>
      <c r="E82" s="63"/>
      <c r="F82" s="63"/>
      <c r="G82" s="77"/>
      <c r="H82" s="72"/>
      <c r="I82" s="64"/>
      <c r="J82" s="64"/>
      <c r="K82" s="64"/>
      <c r="L82" s="64"/>
      <c r="M82" s="79"/>
      <c r="N82" s="74"/>
      <c r="O82" s="79"/>
      <c r="P82" s="75"/>
      <c r="Q82" s="75"/>
      <c r="R82" s="75"/>
      <c r="S82" s="77"/>
    </row>
    <row r="83" spans="1:19" ht="15" customHeight="1" x14ac:dyDescent="0.3">
      <c r="A83" s="70"/>
      <c r="B83" s="70"/>
      <c r="C83" s="70"/>
      <c r="D83" s="70"/>
      <c r="E83" s="71"/>
      <c r="F83" s="71"/>
      <c r="G83" s="70"/>
      <c r="H83" s="72"/>
      <c r="I83" s="58"/>
      <c r="J83" s="58"/>
      <c r="K83" s="58"/>
      <c r="L83" s="58"/>
      <c r="M83" s="74"/>
      <c r="N83" s="73"/>
      <c r="O83" s="74"/>
      <c r="P83" s="75"/>
      <c r="Q83" s="75"/>
      <c r="R83" s="75"/>
      <c r="S83" s="70"/>
    </row>
    <row r="84" spans="1:19" ht="15" customHeight="1" x14ac:dyDescent="0.3">
      <c r="A84" s="77"/>
      <c r="B84" s="77"/>
      <c r="C84" s="77"/>
      <c r="D84" s="77"/>
      <c r="E84" s="63"/>
      <c r="F84" s="63"/>
      <c r="G84" s="77"/>
      <c r="H84" s="72"/>
      <c r="I84" s="64"/>
      <c r="J84" s="64"/>
      <c r="K84" s="64"/>
      <c r="L84" s="64"/>
      <c r="M84" s="74"/>
      <c r="N84" s="79"/>
      <c r="O84" s="79"/>
      <c r="P84" s="75"/>
      <c r="Q84" s="75"/>
      <c r="R84" s="75"/>
      <c r="S84" s="77"/>
    </row>
    <row r="85" spans="1:19" ht="15" customHeight="1" x14ac:dyDescent="0.3">
      <c r="A85" s="70"/>
      <c r="B85" s="70"/>
      <c r="C85" s="70"/>
      <c r="D85" s="70"/>
      <c r="E85" s="71"/>
      <c r="F85" s="71"/>
      <c r="G85" s="70"/>
      <c r="H85" s="72"/>
      <c r="I85" s="58"/>
      <c r="J85" s="58"/>
      <c r="K85" s="58"/>
      <c r="L85" s="58"/>
      <c r="M85" s="74"/>
      <c r="N85" s="73"/>
      <c r="O85" s="73"/>
      <c r="P85" s="75"/>
      <c r="Q85" s="75"/>
      <c r="R85" s="75"/>
      <c r="S85" s="70"/>
    </row>
    <row r="86" spans="1:19" ht="15" customHeight="1" x14ac:dyDescent="0.3">
      <c r="A86" s="77"/>
      <c r="B86" s="77"/>
      <c r="C86" s="77"/>
      <c r="D86" s="77"/>
      <c r="E86" s="63"/>
      <c r="F86" s="63"/>
      <c r="G86" s="77"/>
      <c r="H86" s="72"/>
      <c r="I86" s="64"/>
      <c r="J86" s="64"/>
      <c r="K86" s="64"/>
      <c r="L86" s="64"/>
      <c r="M86" s="79"/>
      <c r="N86" s="74"/>
      <c r="O86" s="79"/>
      <c r="P86" s="75"/>
      <c r="Q86" s="75"/>
      <c r="R86" s="75"/>
      <c r="S86" s="77"/>
    </row>
    <row r="87" spans="1:19" ht="15" customHeight="1" x14ac:dyDescent="0.3">
      <c r="A87" s="70"/>
      <c r="B87" s="70"/>
      <c r="C87" s="70"/>
      <c r="D87" s="70"/>
      <c r="E87" s="71"/>
      <c r="F87" s="71"/>
      <c r="G87" s="70"/>
      <c r="H87" s="72"/>
      <c r="I87" s="58"/>
      <c r="J87" s="58"/>
      <c r="K87" s="58"/>
      <c r="L87" s="58"/>
      <c r="M87" s="73"/>
      <c r="N87" s="74"/>
      <c r="O87" s="73"/>
      <c r="P87" s="75"/>
      <c r="Q87" s="76"/>
      <c r="R87" s="76"/>
      <c r="S87" s="57"/>
    </row>
    <row r="88" spans="1:19" ht="15" customHeight="1" x14ac:dyDescent="0.3">
      <c r="A88" s="77"/>
      <c r="B88" s="77"/>
      <c r="C88" s="77"/>
      <c r="D88" s="77"/>
      <c r="E88" s="63"/>
      <c r="F88" s="63"/>
      <c r="G88" s="77"/>
      <c r="H88" s="80"/>
      <c r="I88" s="64"/>
      <c r="J88" s="64"/>
      <c r="K88" s="64"/>
      <c r="L88" s="64"/>
      <c r="M88" s="79"/>
      <c r="N88" s="74"/>
      <c r="O88" s="79"/>
      <c r="P88" s="75"/>
      <c r="Q88" s="75"/>
      <c r="R88" s="75"/>
      <c r="S88" s="77"/>
    </row>
    <row r="89" spans="1:19" ht="15" customHeight="1" x14ac:dyDescent="0.3">
      <c r="A89" s="70"/>
      <c r="B89" s="70"/>
      <c r="C89" s="70"/>
      <c r="D89" s="70"/>
      <c r="E89" s="71"/>
      <c r="F89" s="71"/>
      <c r="G89" s="70"/>
      <c r="H89" s="80"/>
      <c r="I89" s="58"/>
      <c r="J89" s="58"/>
      <c r="K89" s="58"/>
      <c r="L89" s="58"/>
      <c r="M89" s="73"/>
      <c r="N89" s="74"/>
      <c r="O89" s="73"/>
      <c r="P89" s="75"/>
      <c r="Q89" s="75"/>
      <c r="R89" s="75"/>
      <c r="S89" s="70"/>
    </row>
    <row r="90" spans="1:19" ht="15" customHeight="1" x14ac:dyDescent="0.3">
      <c r="A90" s="77"/>
      <c r="B90" s="77"/>
      <c r="C90" s="77"/>
      <c r="D90" s="77"/>
      <c r="E90" s="63"/>
      <c r="F90" s="63"/>
      <c r="G90" s="77"/>
      <c r="H90" s="80"/>
      <c r="I90" s="64"/>
      <c r="J90" s="64"/>
      <c r="K90" s="64"/>
      <c r="L90" s="64"/>
      <c r="M90" s="79"/>
      <c r="N90" s="74"/>
      <c r="O90" s="79"/>
      <c r="P90" s="75"/>
      <c r="Q90" s="75"/>
      <c r="R90" s="75"/>
      <c r="S90" s="77"/>
    </row>
    <row r="91" spans="1:19" ht="15" customHeight="1" x14ac:dyDescent="0.3">
      <c r="A91" s="70"/>
      <c r="B91" s="70"/>
      <c r="C91" s="70"/>
      <c r="D91" s="70"/>
      <c r="E91" s="71"/>
      <c r="F91" s="71"/>
      <c r="G91" s="70"/>
      <c r="H91" s="80"/>
      <c r="I91" s="58"/>
      <c r="J91" s="58"/>
      <c r="K91" s="58"/>
      <c r="L91" s="58"/>
      <c r="M91" s="73"/>
      <c r="N91" s="74"/>
      <c r="O91" s="73"/>
      <c r="P91" s="75"/>
      <c r="Q91" s="76"/>
      <c r="R91" s="76"/>
      <c r="S91" s="57"/>
    </row>
    <row r="92" spans="1:19" ht="15" customHeight="1" x14ac:dyDescent="0.3">
      <c r="A92" s="77"/>
      <c r="B92" s="77"/>
      <c r="C92" s="77"/>
      <c r="D92" s="77"/>
      <c r="E92" s="63"/>
      <c r="F92" s="63"/>
      <c r="G92" s="77"/>
      <c r="H92" s="78"/>
      <c r="I92" s="64"/>
      <c r="J92" s="64"/>
      <c r="K92" s="64"/>
      <c r="L92" s="64"/>
      <c r="M92" s="79"/>
      <c r="N92" s="74"/>
      <c r="O92" s="74"/>
      <c r="P92" s="75"/>
      <c r="Q92" s="76"/>
      <c r="R92" s="76"/>
      <c r="S92" s="57"/>
    </row>
    <row r="93" spans="1:19" ht="15" customHeight="1" x14ac:dyDescent="0.3">
      <c r="A93" s="70"/>
      <c r="B93" s="70"/>
      <c r="C93" s="70"/>
      <c r="D93" s="70"/>
      <c r="E93" s="71"/>
      <c r="F93" s="71"/>
      <c r="G93" s="70"/>
      <c r="H93" s="78"/>
      <c r="I93" s="58"/>
      <c r="J93" s="58"/>
      <c r="K93" s="58"/>
      <c r="L93" s="58"/>
      <c r="M93" s="73"/>
      <c r="N93" s="74"/>
      <c r="O93" s="73"/>
      <c r="P93" s="75"/>
      <c r="Q93" s="75"/>
      <c r="R93" s="75"/>
      <c r="S93" s="70"/>
    </row>
    <row r="94" spans="1:19" ht="15" customHeight="1" x14ac:dyDescent="0.3">
      <c r="A94" s="77"/>
      <c r="B94" s="77"/>
      <c r="C94" s="77"/>
      <c r="D94" s="77"/>
      <c r="E94" s="63"/>
      <c r="F94" s="63"/>
      <c r="G94" s="77"/>
      <c r="H94" s="72"/>
      <c r="I94" s="64"/>
      <c r="J94" s="64"/>
      <c r="K94" s="64"/>
      <c r="L94" s="64"/>
      <c r="M94" s="79"/>
      <c r="N94" s="74"/>
      <c r="O94" s="79"/>
      <c r="P94" s="75"/>
      <c r="Q94" s="76"/>
      <c r="R94" s="76"/>
      <c r="S94" s="57"/>
    </row>
    <row r="95" spans="1:19" ht="15" customHeight="1" x14ac:dyDescent="0.3">
      <c r="A95" s="70"/>
      <c r="B95" s="70"/>
      <c r="C95" s="70"/>
      <c r="D95" s="70"/>
      <c r="E95" s="71"/>
      <c r="F95" s="71"/>
      <c r="G95" s="70"/>
      <c r="H95" s="80"/>
      <c r="I95" s="58"/>
      <c r="J95" s="58"/>
      <c r="K95" s="58"/>
      <c r="L95" s="58"/>
      <c r="M95" s="73"/>
      <c r="N95" s="74"/>
      <c r="O95" s="73"/>
      <c r="P95" s="75"/>
      <c r="Q95" s="75"/>
      <c r="R95" s="75"/>
      <c r="S95" s="70"/>
    </row>
    <row r="96" spans="1:19" ht="15" customHeight="1" x14ac:dyDescent="0.3">
      <c r="A96" s="77"/>
      <c r="B96" s="77"/>
      <c r="C96" s="77"/>
      <c r="D96" s="77"/>
      <c r="E96" s="63"/>
      <c r="F96" s="63"/>
      <c r="G96" s="77"/>
      <c r="H96" s="80"/>
      <c r="I96" s="64"/>
      <c r="J96" s="64"/>
      <c r="K96" s="64"/>
      <c r="L96" s="64"/>
      <c r="M96" s="74"/>
      <c r="N96" s="79"/>
      <c r="O96" s="79"/>
      <c r="P96" s="75"/>
      <c r="Q96" s="75"/>
      <c r="R96" s="75"/>
      <c r="S96" s="77"/>
    </row>
    <row r="97" spans="1:19" ht="15" customHeight="1" x14ac:dyDescent="0.3">
      <c r="A97" s="70"/>
      <c r="B97" s="70"/>
      <c r="C97" s="70"/>
      <c r="D97" s="70"/>
      <c r="E97" s="71"/>
      <c r="F97" s="71"/>
      <c r="G97" s="70"/>
      <c r="H97" s="72"/>
      <c r="I97" s="58"/>
      <c r="J97" s="58"/>
      <c r="K97" s="58"/>
      <c r="L97" s="58"/>
      <c r="M97" s="73"/>
      <c r="N97" s="73"/>
      <c r="O97" s="73"/>
      <c r="P97" s="57"/>
      <c r="Q97" s="82"/>
      <c r="R97" s="82"/>
      <c r="S97" s="70"/>
    </row>
    <row r="98" spans="1:19" ht="15" customHeight="1" x14ac:dyDescent="0.3">
      <c r="A98" s="77"/>
      <c r="B98" s="77"/>
      <c r="C98" s="77"/>
      <c r="D98" s="77"/>
      <c r="E98" s="63"/>
      <c r="F98" s="63"/>
      <c r="G98" s="77"/>
      <c r="H98" s="78"/>
      <c r="I98" s="64"/>
      <c r="J98" s="64"/>
      <c r="K98" s="64"/>
      <c r="L98" s="64"/>
      <c r="M98" s="79"/>
      <c r="N98" s="79"/>
      <c r="O98" s="79"/>
      <c r="P98" s="57"/>
      <c r="Q98" s="82"/>
      <c r="R98" s="82"/>
      <c r="S98" s="77"/>
    </row>
    <row r="99" spans="1:19" ht="15" customHeight="1" x14ac:dyDescent="0.3">
      <c r="A99" s="70"/>
      <c r="B99" s="70"/>
      <c r="C99" s="70"/>
      <c r="D99" s="70"/>
      <c r="E99" s="71"/>
      <c r="F99" s="71"/>
      <c r="G99" s="70"/>
      <c r="H99" s="80"/>
      <c r="I99" s="58"/>
      <c r="J99" s="58"/>
      <c r="K99" s="58"/>
      <c r="L99" s="58"/>
      <c r="M99" s="73"/>
      <c r="N99" s="74"/>
      <c r="O99" s="73"/>
      <c r="P99" s="75"/>
      <c r="Q99" s="76"/>
      <c r="R99" s="76"/>
      <c r="S99" s="57"/>
    </row>
    <row r="100" spans="1:19" ht="15" customHeight="1" x14ac:dyDescent="0.3">
      <c r="A100" s="77"/>
      <c r="B100" s="77"/>
      <c r="C100" s="77"/>
      <c r="D100" s="77"/>
      <c r="E100" s="63"/>
      <c r="F100" s="63"/>
      <c r="G100" s="77"/>
      <c r="H100" s="72"/>
      <c r="I100" s="64"/>
      <c r="J100" s="64"/>
      <c r="K100" s="64"/>
      <c r="L100" s="64"/>
      <c r="M100" s="79"/>
      <c r="N100" s="79"/>
      <c r="O100" s="74"/>
      <c r="P100" s="75"/>
      <c r="Q100" s="75"/>
      <c r="R100" s="75"/>
      <c r="S100" s="77"/>
    </row>
    <row r="101" spans="1:19" ht="15" customHeight="1" x14ac:dyDescent="0.3">
      <c r="A101" s="70"/>
      <c r="B101" s="70"/>
      <c r="C101" s="70"/>
      <c r="D101" s="70"/>
      <c r="E101" s="71"/>
      <c r="F101" s="71"/>
      <c r="G101" s="70"/>
      <c r="H101" s="72"/>
      <c r="I101" s="58"/>
      <c r="J101" s="58"/>
      <c r="K101" s="58"/>
      <c r="L101" s="58"/>
      <c r="M101" s="73"/>
      <c r="N101" s="73"/>
      <c r="O101" s="74"/>
      <c r="P101" s="75"/>
      <c r="Q101" s="75"/>
      <c r="R101" s="75"/>
      <c r="S101" s="70"/>
    </row>
    <row r="102" spans="1:19" ht="15" customHeight="1" x14ac:dyDescent="0.3">
      <c r="A102" s="77"/>
      <c r="B102" s="77"/>
      <c r="C102" s="77"/>
      <c r="D102" s="77"/>
      <c r="E102" s="63"/>
      <c r="F102" s="63"/>
      <c r="G102" s="77"/>
      <c r="H102" s="72"/>
      <c r="I102" s="64"/>
      <c r="J102" s="64"/>
      <c r="K102" s="64"/>
      <c r="L102" s="64"/>
      <c r="M102" s="79"/>
      <c r="N102" s="79"/>
      <c r="O102" s="74"/>
      <c r="P102" s="75"/>
      <c r="Q102" s="75"/>
      <c r="R102" s="75"/>
      <c r="S102" s="77"/>
    </row>
    <row r="103" spans="1:19" ht="15" customHeight="1" x14ac:dyDescent="0.3">
      <c r="A103" s="70"/>
      <c r="B103" s="70"/>
      <c r="C103" s="70"/>
      <c r="D103" s="70"/>
      <c r="E103" s="71"/>
      <c r="F103" s="71"/>
      <c r="G103" s="70"/>
      <c r="H103" s="72"/>
      <c r="I103" s="58"/>
      <c r="J103" s="58"/>
      <c r="K103" s="58"/>
      <c r="L103" s="58"/>
      <c r="M103" s="73"/>
      <c r="N103" s="73"/>
      <c r="O103" s="74"/>
      <c r="P103" s="75"/>
      <c r="Q103" s="75"/>
      <c r="R103" s="75"/>
      <c r="S103" s="70"/>
    </row>
    <row r="104" spans="1:19" ht="15" customHeight="1" x14ac:dyDescent="0.3">
      <c r="A104" s="77"/>
      <c r="B104" s="77"/>
      <c r="C104" s="77"/>
      <c r="D104" s="77"/>
      <c r="E104" s="63"/>
      <c r="F104" s="63"/>
      <c r="G104" s="77"/>
      <c r="H104" s="72"/>
      <c r="I104" s="64"/>
      <c r="J104" s="64"/>
      <c r="K104" s="64"/>
      <c r="L104" s="64"/>
      <c r="M104" s="79"/>
      <c r="N104" s="79"/>
      <c r="O104" s="74"/>
      <c r="P104" s="75"/>
      <c r="Q104" s="75"/>
      <c r="R104" s="75"/>
      <c r="S104" s="77"/>
    </row>
    <row r="105" spans="1:19" ht="15" customHeight="1" x14ac:dyDescent="0.3">
      <c r="A105" s="70"/>
      <c r="B105" s="70"/>
      <c r="C105" s="70"/>
      <c r="D105" s="70"/>
      <c r="E105" s="71"/>
      <c r="F105" s="71"/>
      <c r="G105" s="70"/>
      <c r="H105" s="72"/>
      <c r="I105" s="58"/>
      <c r="J105" s="58"/>
      <c r="K105" s="58"/>
      <c r="L105" s="58"/>
      <c r="M105" s="73"/>
      <c r="N105" s="73"/>
      <c r="O105" s="74"/>
      <c r="P105" s="75"/>
      <c r="Q105" s="75"/>
      <c r="R105" s="75"/>
      <c r="S105" s="70"/>
    </row>
    <row r="106" spans="1:19" ht="15" customHeight="1" x14ac:dyDescent="0.3">
      <c r="A106" s="77"/>
      <c r="B106" s="77"/>
      <c r="C106" s="77"/>
      <c r="D106" s="77"/>
      <c r="E106" s="63"/>
      <c r="F106" s="63"/>
      <c r="G106" s="77"/>
      <c r="H106" s="72"/>
      <c r="I106" s="64"/>
      <c r="J106" s="64"/>
      <c r="K106" s="64"/>
      <c r="L106" s="64"/>
      <c r="M106" s="79"/>
      <c r="N106" s="79"/>
      <c r="O106" s="74"/>
      <c r="P106" s="75"/>
      <c r="Q106" s="75"/>
      <c r="R106" s="75"/>
      <c r="S106" s="77"/>
    </row>
    <row r="107" spans="1:19" ht="15" customHeight="1" x14ac:dyDescent="0.3">
      <c r="A107" s="70"/>
      <c r="B107" s="70"/>
      <c r="C107" s="70"/>
      <c r="D107" s="70"/>
      <c r="E107" s="71"/>
      <c r="F107" s="71"/>
      <c r="G107" s="70"/>
      <c r="H107" s="72"/>
      <c r="I107" s="58"/>
      <c r="J107" s="58"/>
      <c r="K107" s="58"/>
      <c r="L107" s="58"/>
      <c r="M107" s="73"/>
      <c r="N107" s="73"/>
      <c r="O107" s="74"/>
      <c r="P107" s="75"/>
      <c r="Q107" s="75"/>
      <c r="R107" s="75"/>
      <c r="S107" s="70"/>
    </row>
    <row r="108" spans="1:19" ht="15" customHeight="1" x14ac:dyDescent="0.3">
      <c r="A108" s="77"/>
      <c r="B108" s="77"/>
      <c r="C108" s="77"/>
      <c r="D108" s="77"/>
      <c r="E108" s="63"/>
      <c r="F108" s="63"/>
      <c r="G108" s="77"/>
      <c r="H108" s="72"/>
      <c r="I108" s="64"/>
      <c r="J108" s="64"/>
      <c r="K108" s="64"/>
      <c r="L108" s="64"/>
      <c r="M108" s="79"/>
      <c r="N108" s="79"/>
      <c r="O108" s="79"/>
      <c r="P108" s="57"/>
      <c r="Q108" s="82"/>
      <c r="R108" s="82"/>
      <c r="S108" s="77"/>
    </row>
    <row r="109" spans="1:19" ht="15" customHeight="1" x14ac:dyDescent="0.3">
      <c r="A109" s="70"/>
      <c r="B109" s="70"/>
      <c r="C109" s="70"/>
      <c r="D109" s="70"/>
      <c r="E109" s="71"/>
      <c r="F109" s="71"/>
      <c r="G109" s="70"/>
      <c r="H109" s="72"/>
      <c r="I109" s="58"/>
      <c r="J109" s="58"/>
      <c r="K109" s="58"/>
      <c r="L109" s="58"/>
      <c r="M109" s="74"/>
      <c r="N109" s="73"/>
      <c r="O109" s="73"/>
      <c r="P109" s="75"/>
      <c r="Q109" s="75"/>
      <c r="R109" s="75"/>
      <c r="S109" s="70"/>
    </row>
    <row r="110" spans="1:19" ht="15" customHeight="1" x14ac:dyDescent="0.3">
      <c r="A110" s="77"/>
      <c r="B110" s="77"/>
      <c r="C110" s="77"/>
      <c r="D110" s="77"/>
      <c r="E110" s="63"/>
      <c r="F110" s="63"/>
      <c r="G110" s="77"/>
      <c r="H110" s="80"/>
      <c r="I110" s="64"/>
      <c r="J110" s="64"/>
      <c r="K110" s="64"/>
      <c r="L110" s="64"/>
      <c r="M110" s="74"/>
      <c r="N110" s="79"/>
      <c r="O110" s="79"/>
      <c r="P110" s="75"/>
      <c r="Q110" s="75"/>
      <c r="R110" s="75"/>
      <c r="S110" s="77"/>
    </row>
    <row r="111" spans="1:19" ht="15" customHeight="1" x14ac:dyDescent="0.3">
      <c r="A111" s="70"/>
      <c r="B111" s="70"/>
      <c r="C111" s="70"/>
      <c r="D111" s="70"/>
      <c r="E111" s="71"/>
      <c r="F111" s="71"/>
      <c r="G111" s="70"/>
      <c r="H111" s="72"/>
      <c r="I111" s="58"/>
      <c r="J111" s="58"/>
      <c r="K111" s="58"/>
      <c r="L111" s="58"/>
      <c r="M111" s="73"/>
      <c r="N111" s="74"/>
      <c r="O111" s="73"/>
      <c r="P111" s="75"/>
      <c r="Q111" s="76"/>
      <c r="R111" s="76"/>
      <c r="S111" s="57"/>
    </row>
    <row r="112" spans="1:19" ht="15" customHeight="1" x14ac:dyDescent="0.3">
      <c r="A112" s="77"/>
      <c r="B112" s="77"/>
      <c r="C112" s="77"/>
      <c r="D112" s="77"/>
      <c r="E112" s="63"/>
      <c r="F112" s="63"/>
      <c r="G112" s="77"/>
      <c r="H112" s="72"/>
      <c r="I112" s="64"/>
      <c r="J112" s="64"/>
      <c r="K112" s="64"/>
      <c r="L112" s="64"/>
      <c r="M112" s="74"/>
      <c r="N112" s="79"/>
      <c r="O112" s="79"/>
      <c r="P112" s="75"/>
      <c r="Q112" s="75"/>
      <c r="R112" s="75"/>
      <c r="S112" s="77"/>
    </row>
    <row r="113" spans="1:19" ht="15" customHeight="1" x14ac:dyDescent="0.3">
      <c r="A113" s="70"/>
      <c r="B113" s="70"/>
      <c r="C113" s="70"/>
      <c r="D113" s="70"/>
      <c r="E113" s="71"/>
      <c r="F113" s="71"/>
      <c r="G113" s="70"/>
      <c r="H113" s="72"/>
      <c r="I113" s="58"/>
      <c r="J113" s="58"/>
      <c r="K113" s="58"/>
      <c r="L113" s="58"/>
      <c r="M113" s="74"/>
      <c r="N113" s="73"/>
      <c r="O113" s="73"/>
      <c r="P113" s="75"/>
      <c r="Q113" s="75"/>
      <c r="R113" s="75"/>
      <c r="S113" s="70"/>
    </row>
    <row r="114" spans="1:19" ht="15" customHeight="1" x14ac:dyDescent="0.3">
      <c r="A114" s="77"/>
      <c r="B114" s="77"/>
      <c r="C114" s="77"/>
      <c r="D114" s="77"/>
      <c r="E114" s="63"/>
      <c r="F114" s="63"/>
      <c r="G114" s="77"/>
      <c r="H114" s="72"/>
      <c r="I114" s="64"/>
      <c r="J114" s="64"/>
      <c r="K114" s="64"/>
      <c r="L114" s="64"/>
      <c r="M114" s="74"/>
      <c r="N114" s="79"/>
      <c r="O114" s="79"/>
      <c r="P114" s="75"/>
      <c r="Q114" s="75"/>
      <c r="R114" s="75"/>
      <c r="S114" s="77"/>
    </row>
    <row r="115" spans="1:19" ht="15" customHeight="1" x14ac:dyDescent="0.3">
      <c r="A115" s="70"/>
      <c r="B115" s="70"/>
      <c r="C115" s="70"/>
      <c r="D115" s="70"/>
      <c r="E115" s="71"/>
      <c r="F115" s="71"/>
      <c r="G115" s="70"/>
      <c r="H115" s="72"/>
      <c r="I115" s="58"/>
      <c r="J115" s="58"/>
      <c r="K115" s="58"/>
      <c r="L115" s="58"/>
      <c r="M115" s="73"/>
      <c r="N115" s="74"/>
      <c r="O115" s="73"/>
      <c r="P115" s="75"/>
      <c r="Q115" s="76"/>
      <c r="R115" s="76"/>
      <c r="S115" s="57"/>
    </row>
    <row r="116" spans="1:19" ht="15" customHeight="1" x14ac:dyDescent="0.3">
      <c r="A116" s="77"/>
      <c r="B116" s="77"/>
      <c r="C116" s="77"/>
      <c r="D116" s="77"/>
      <c r="E116" s="63"/>
      <c r="F116" s="63"/>
      <c r="G116" s="77"/>
      <c r="H116" s="72"/>
      <c r="I116" s="64"/>
      <c r="J116" s="64"/>
      <c r="K116" s="64"/>
      <c r="L116" s="64"/>
      <c r="M116" s="79"/>
      <c r="N116" s="74"/>
      <c r="O116" s="79"/>
      <c r="P116" s="75"/>
      <c r="Q116" s="76"/>
      <c r="R116" s="76"/>
      <c r="S116" s="57"/>
    </row>
    <row r="117" spans="1:19" ht="15" customHeight="1" x14ac:dyDescent="0.3">
      <c r="A117" s="70"/>
      <c r="B117" s="70"/>
      <c r="C117" s="70"/>
      <c r="D117" s="70"/>
      <c r="E117" s="71"/>
      <c r="F117" s="71"/>
      <c r="G117" s="70"/>
      <c r="H117" s="72"/>
      <c r="I117" s="58"/>
      <c r="J117" s="58"/>
      <c r="K117" s="58"/>
      <c r="L117" s="58"/>
      <c r="M117" s="73"/>
      <c r="N117" s="74"/>
      <c r="O117" s="73"/>
      <c r="P117" s="75"/>
      <c r="Q117" s="76"/>
      <c r="R117" s="76"/>
      <c r="S117" s="57"/>
    </row>
    <row r="118" spans="1:19" ht="15" customHeight="1" x14ac:dyDescent="0.3">
      <c r="A118" s="77"/>
      <c r="B118" s="77"/>
      <c r="C118" s="77"/>
      <c r="D118" s="77"/>
      <c r="E118" s="63"/>
      <c r="F118" s="63"/>
      <c r="G118" s="77"/>
      <c r="H118" s="72"/>
      <c r="I118" s="64"/>
      <c r="J118" s="64"/>
      <c r="K118" s="64"/>
      <c r="L118" s="64"/>
      <c r="M118" s="79"/>
      <c r="N118" s="74"/>
      <c r="O118" s="79"/>
      <c r="P118" s="75"/>
      <c r="Q118" s="76"/>
      <c r="R118" s="76"/>
      <c r="S118" s="57"/>
    </row>
    <row r="119" spans="1:19" ht="15" customHeight="1" x14ac:dyDescent="0.3">
      <c r="A119" s="70"/>
      <c r="B119" s="70"/>
      <c r="C119" s="70"/>
      <c r="D119" s="70"/>
      <c r="E119" s="71"/>
      <c r="F119" s="71"/>
      <c r="G119" s="70"/>
      <c r="H119" s="72"/>
      <c r="I119" s="58"/>
      <c r="J119" s="58"/>
      <c r="K119" s="58"/>
      <c r="L119" s="58"/>
      <c r="M119" s="73"/>
      <c r="N119" s="74"/>
      <c r="O119" s="73"/>
      <c r="P119" s="75"/>
      <c r="Q119" s="76"/>
      <c r="R119" s="76"/>
      <c r="S119" s="57"/>
    </row>
    <row r="120" spans="1:19" ht="15" customHeight="1" x14ac:dyDescent="0.3">
      <c r="A120" s="77"/>
      <c r="B120" s="77"/>
      <c r="C120" s="77"/>
      <c r="D120" s="77"/>
      <c r="E120" s="63"/>
      <c r="F120" s="63"/>
      <c r="G120" s="77"/>
      <c r="H120" s="80"/>
      <c r="I120" s="64"/>
      <c r="J120" s="64"/>
      <c r="K120" s="64"/>
      <c r="L120" s="64"/>
      <c r="M120" s="79"/>
      <c r="N120" s="79"/>
      <c r="O120" s="74"/>
      <c r="P120" s="75"/>
      <c r="Q120" s="75"/>
      <c r="R120" s="75"/>
      <c r="S120" s="77"/>
    </row>
    <row r="121" spans="1:19" ht="15" customHeight="1" x14ac:dyDescent="0.3">
      <c r="A121" s="70"/>
      <c r="B121" s="70"/>
      <c r="C121" s="70"/>
      <c r="D121" s="70"/>
      <c r="E121" s="71"/>
      <c r="F121" s="71"/>
      <c r="G121" s="70"/>
      <c r="H121" s="80"/>
      <c r="I121" s="58"/>
      <c r="J121" s="58"/>
      <c r="K121" s="58"/>
      <c r="L121" s="58"/>
      <c r="M121" s="73"/>
      <c r="N121" s="74"/>
      <c r="O121" s="74"/>
      <c r="P121" s="75"/>
      <c r="Q121" s="75"/>
      <c r="R121" s="75"/>
      <c r="S121" s="70"/>
    </row>
    <row r="122" spans="1:19" ht="15" customHeight="1" x14ac:dyDescent="0.3">
      <c r="A122" s="77"/>
      <c r="B122" s="77"/>
      <c r="C122" s="77"/>
      <c r="D122" s="77"/>
      <c r="E122" s="63"/>
      <c r="F122" s="63"/>
      <c r="G122" s="77"/>
      <c r="H122" s="72"/>
      <c r="I122" s="64"/>
      <c r="J122" s="64"/>
      <c r="K122" s="64"/>
      <c r="L122" s="64"/>
      <c r="M122" s="79"/>
      <c r="N122" s="74"/>
      <c r="O122" s="79"/>
      <c r="P122" s="75"/>
      <c r="Q122" s="76"/>
      <c r="R122" s="76"/>
      <c r="S122" s="57"/>
    </row>
  </sheetData>
  <autoFilter ref="A2:S122" xr:uid="{00000000-0009-0000-0000-000005000000}"/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3"/>
  <sheetViews>
    <sheetView topLeftCell="E1" workbookViewId="0">
      <pane ySplit="2" topLeftCell="A3" activePane="bottomLeft" state="frozen"/>
      <selection pane="bottomLeft" sqref="A1:R1"/>
    </sheetView>
  </sheetViews>
  <sheetFormatPr baseColWidth="10" defaultColWidth="8.88671875" defaultRowHeight="14.4" x14ac:dyDescent="0.3"/>
  <cols>
    <col min="1" max="1" width="15" customWidth="1"/>
    <col min="2" max="2" width="18" customWidth="1"/>
    <col min="3" max="4" width="16" customWidth="1"/>
    <col min="5" max="5" width="10" customWidth="1"/>
    <col min="6" max="6" width="16" customWidth="1"/>
    <col min="7" max="7" width="38" customWidth="1"/>
    <col min="8" max="8" width="9" customWidth="1"/>
    <col min="9" max="9" width="11" customWidth="1"/>
    <col min="10" max="10" width="12" customWidth="1"/>
    <col min="11" max="11" width="11" customWidth="1"/>
    <col min="12" max="12" width="12" customWidth="1"/>
    <col min="13" max="15" width="11" customWidth="1"/>
    <col min="16" max="16" width="13" customWidth="1"/>
    <col min="17" max="17" width="15" customWidth="1"/>
    <col min="18" max="18" width="13" customWidth="1"/>
  </cols>
  <sheetData>
    <row r="1" spans="1:18" ht="22.05" customHeight="1" x14ac:dyDescent="0.3">
      <c r="A1" s="171" t="s">
        <v>844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</row>
    <row r="2" spans="1:18" ht="37.950000000000003" customHeight="1" x14ac:dyDescent="0.3">
      <c r="A2" s="39" t="s">
        <v>638</v>
      </c>
      <c r="B2" s="39" t="s">
        <v>672</v>
      </c>
      <c r="C2" s="39" t="s">
        <v>673</v>
      </c>
      <c r="D2" s="39" t="s">
        <v>674</v>
      </c>
      <c r="E2" s="39" t="s">
        <v>675</v>
      </c>
      <c r="F2" s="39" t="s">
        <v>676</v>
      </c>
      <c r="G2" s="39" t="s">
        <v>677</v>
      </c>
      <c r="H2" s="39" t="s">
        <v>678</v>
      </c>
      <c r="I2" s="39" t="s">
        <v>679</v>
      </c>
      <c r="J2" s="39" t="s">
        <v>680</v>
      </c>
      <c r="K2" s="39" t="s">
        <v>681</v>
      </c>
      <c r="L2" s="39" t="s">
        <v>682</v>
      </c>
      <c r="M2" s="39" t="s">
        <v>683</v>
      </c>
      <c r="N2" s="39" t="s">
        <v>684</v>
      </c>
      <c r="O2" s="39" t="s">
        <v>685</v>
      </c>
      <c r="P2" s="39" t="s">
        <v>686</v>
      </c>
      <c r="Q2" s="39" t="s">
        <v>687</v>
      </c>
      <c r="R2" s="39" t="s">
        <v>3</v>
      </c>
    </row>
    <row r="3" spans="1:18" ht="15" customHeight="1" x14ac:dyDescent="0.3">
      <c r="A3" s="70" t="s">
        <v>594</v>
      </c>
      <c r="B3" s="70" t="s">
        <v>699</v>
      </c>
      <c r="C3" s="70" t="s">
        <v>695</v>
      </c>
      <c r="D3" s="70" t="s">
        <v>696</v>
      </c>
      <c r="E3" s="71">
        <v>187</v>
      </c>
      <c r="F3" s="71" t="s">
        <v>707</v>
      </c>
      <c r="G3" s="70" t="s">
        <v>708</v>
      </c>
      <c r="H3" s="83">
        <v>0.188</v>
      </c>
      <c r="I3" s="58">
        <v>5</v>
      </c>
      <c r="J3" s="58">
        <v>40</v>
      </c>
      <c r="K3" s="58">
        <v>26175</v>
      </c>
      <c r="L3" s="58">
        <v>213210</v>
      </c>
      <c r="M3" s="73"/>
      <c r="N3" s="73"/>
      <c r="O3" s="74">
        <v>500</v>
      </c>
      <c r="P3" s="75" t="s">
        <v>467</v>
      </c>
      <c r="Q3" s="76"/>
      <c r="R3" s="76"/>
    </row>
    <row r="4" spans="1:18" ht="15" customHeight="1" x14ac:dyDescent="0.3">
      <c r="A4" s="77" t="s">
        <v>594</v>
      </c>
      <c r="B4" s="77" t="s">
        <v>699</v>
      </c>
      <c r="C4" s="77" t="s">
        <v>695</v>
      </c>
      <c r="D4" s="77" t="s">
        <v>696</v>
      </c>
      <c r="E4" s="63">
        <v>148</v>
      </c>
      <c r="F4" s="63" t="s">
        <v>710</v>
      </c>
      <c r="G4" s="77" t="s">
        <v>711</v>
      </c>
      <c r="H4" s="80">
        <v>0.26300000000000001</v>
      </c>
      <c r="I4" s="64">
        <v>7</v>
      </c>
      <c r="J4" s="64">
        <v>40</v>
      </c>
      <c r="K4" s="64">
        <v>37856</v>
      </c>
      <c r="L4" s="64">
        <v>213210</v>
      </c>
      <c r="M4" s="79"/>
      <c r="N4" s="79"/>
      <c r="O4" s="74">
        <v>500</v>
      </c>
      <c r="P4" s="75" t="s">
        <v>467</v>
      </c>
      <c r="Q4" s="76"/>
      <c r="R4" s="76"/>
    </row>
    <row r="5" spans="1:18" ht="15" customHeight="1" x14ac:dyDescent="0.3">
      <c r="A5" s="70" t="s">
        <v>594</v>
      </c>
      <c r="B5" s="70" t="s">
        <v>699</v>
      </c>
      <c r="C5" s="70" t="s">
        <v>712</v>
      </c>
      <c r="D5" s="70" t="s">
        <v>713</v>
      </c>
      <c r="E5" s="71">
        <v>41</v>
      </c>
      <c r="F5" s="71" t="s">
        <v>714</v>
      </c>
      <c r="G5" s="70" t="s">
        <v>508</v>
      </c>
      <c r="H5" s="84">
        <v>0.29799999999999999</v>
      </c>
      <c r="I5" s="58">
        <v>13</v>
      </c>
      <c r="J5" s="58">
        <v>36</v>
      </c>
      <c r="K5" s="58">
        <v>345241</v>
      </c>
      <c r="L5" s="58">
        <v>987390</v>
      </c>
      <c r="M5" s="73"/>
      <c r="N5" s="73"/>
      <c r="O5" s="73"/>
      <c r="P5" s="57" t="s">
        <v>467</v>
      </c>
      <c r="Q5" s="82" t="s">
        <v>502</v>
      </c>
      <c r="R5" s="82" t="s">
        <v>504</v>
      </c>
    </row>
    <row r="6" spans="1:18" ht="15" customHeight="1" x14ac:dyDescent="0.3">
      <c r="A6" s="77" t="s">
        <v>594</v>
      </c>
      <c r="B6" s="77" t="s">
        <v>715</v>
      </c>
      <c r="C6" s="77" t="s">
        <v>690</v>
      </c>
      <c r="D6" s="77" t="s">
        <v>704</v>
      </c>
      <c r="E6" s="63">
        <v>0</v>
      </c>
      <c r="F6" s="63" t="s">
        <v>716</v>
      </c>
      <c r="G6" s="77" t="s">
        <v>717</v>
      </c>
      <c r="H6" s="80">
        <v>0.3</v>
      </c>
      <c r="I6" s="64">
        <v>4</v>
      </c>
      <c r="J6" s="64">
        <v>0</v>
      </c>
      <c r="K6" s="64">
        <v>37632</v>
      </c>
      <c r="L6" s="64">
        <v>0</v>
      </c>
      <c r="M6" s="79"/>
      <c r="N6" s="79"/>
      <c r="O6" s="74"/>
      <c r="P6" s="75" t="s">
        <v>670</v>
      </c>
      <c r="Q6" s="76"/>
      <c r="R6" s="76"/>
    </row>
    <row r="7" spans="1:18" ht="15" customHeight="1" x14ac:dyDescent="0.3">
      <c r="A7" s="70" t="s">
        <v>594</v>
      </c>
      <c r="B7" s="70" t="s">
        <v>699</v>
      </c>
      <c r="C7" s="70" t="s">
        <v>695</v>
      </c>
      <c r="D7" s="70" t="s">
        <v>696</v>
      </c>
      <c r="E7" s="71">
        <v>164</v>
      </c>
      <c r="F7" s="71" t="s">
        <v>718</v>
      </c>
      <c r="G7" s="70" t="s">
        <v>719</v>
      </c>
      <c r="H7" s="84">
        <v>0.39700000000000002</v>
      </c>
      <c r="I7" s="58">
        <v>8</v>
      </c>
      <c r="J7" s="58">
        <v>33</v>
      </c>
      <c r="K7" s="58">
        <v>28080</v>
      </c>
      <c r="L7" s="58">
        <v>126031.9</v>
      </c>
      <c r="M7" s="73"/>
      <c r="N7" s="73"/>
      <c r="O7" s="74"/>
      <c r="P7" s="75" t="s">
        <v>670</v>
      </c>
      <c r="Q7" s="76"/>
      <c r="R7" s="76"/>
    </row>
    <row r="8" spans="1:18" ht="15" customHeight="1" x14ac:dyDescent="0.3">
      <c r="A8" s="77" t="s">
        <v>594</v>
      </c>
      <c r="B8" s="77" t="s">
        <v>689</v>
      </c>
      <c r="C8" s="77" t="s">
        <v>720</v>
      </c>
      <c r="D8" s="77" t="s">
        <v>721</v>
      </c>
      <c r="E8" s="63">
        <v>192</v>
      </c>
      <c r="F8" s="63" t="s">
        <v>723</v>
      </c>
      <c r="G8" s="77" t="s">
        <v>724</v>
      </c>
      <c r="H8" s="84">
        <v>0.433</v>
      </c>
      <c r="I8" s="64">
        <v>6</v>
      </c>
      <c r="J8" s="64">
        <v>17.600000000000001</v>
      </c>
      <c r="K8" s="64">
        <v>65346</v>
      </c>
      <c r="L8" s="64">
        <v>191814.5</v>
      </c>
      <c r="M8" s="79"/>
      <c r="N8" s="79"/>
      <c r="O8" s="74"/>
      <c r="P8" s="75" t="s">
        <v>670</v>
      </c>
      <c r="Q8" s="76"/>
      <c r="R8" s="76"/>
    </row>
    <row r="9" spans="1:18" ht="15" customHeight="1" x14ac:dyDescent="0.3">
      <c r="A9" s="70" t="s">
        <v>594</v>
      </c>
      <c r="B9" s="70" t="s">
        <v>699</v>
      </c>
      <c r="C9" s="70" t="s">
        <v>690</v>
      </c>
      <c r="D9" s="70" t="s">
        <v>704</v>
      </c>
      <c r="E9" s="71">
        <v>0</v>
      </c>
      <c r="F9" s="71" t="s">
        <v>730</v>
      </c>
      <c r="G9" s="70" t="s">
        <v>731</v>
      </c>
      <c r="H9" s="83">
        <v>0.58299999999999996</v>
      </c>
      <c r="I9" s="58">
        <v>35</v>
      </c>
      <c r="J9" s="58">
        <v>42</v>
      </c>
      <c r="K9" s="58">
        <v>405615</v>
      </c>
      <c r="L9" s="58">
        <v>543375</v>
      </c>
      <c r="M9" s="73"/>
      <c r="N9" s="73"/>
      <c r="O9" s="74"/>
      <c r="P9" s="75" t="s">
        <v>670</v>
      </c>
      <c r="Q9" s="75"/>
      <c r="R9" s="75"/>
    </row>
    <row r="10" spans="1:18" ht="15" customHeight="1" x14ac:dyDescent="0.3">
      <c r="A10" s="77" t="s">
        <v>594</v>
      </c>
      <c r="B10" s="77" t="s">
        <v>689</v>
      </c>
      <c r="C10" s="77" t="s">
        <v>690</v>
      </c>
      <c r="D10" s="77" t="s">
        <v>691</v>
      </c>
      <c r="E10" s="63">
        <v>79</v>
      </c>
      <c r="F10" s="63" t="s">
        <v>733</v>
      </c>
      <c r="G10" s="77" t="s">
        <v>734</v>
      </c>
      <c r="H10" s="84">
        <v>0.72</v>
      </c>
      <c r="I10" s="64">
        <v>12</v>
      </c>
      <c r="J10" s="64">
        <v>30</v>
      </c>
      <c r="K10" s="64">
        <v>437352</v>
      </c>
      <c r="L10" s="64">
        <v>1080540</v>
      </c>
      <c r="M10" s="79"/>
      <c r="N10" s="79"/>
      <c r="O10" s="79"/>
      <c r="P10" s="57" t="s">
        <v>670</v>
      </c>
      <c r="Q10" s="82"/>
      <c r="R10" s="82"/>
    </row>
    <row r="11" spans="1:18" ht="15" customHeight="1" x14ac:dyDescent="0.3">
      <c r="A11" s="70" t="s">
        <v>594</v>
      </c>
      <c r="B11" s="70" t="s">
        <v>699</v>
      </c>
      <c r="C11" s="70" t="s">
        <v>720</v>
      </c>
      <c r="D11" s="70" t="s">
        <v>735</v>
      </c>
      <c r="E11" s="71">
        <v>104</v>
      </c>
      <c r="F11" s="71" t="s">
        <v>736</v>
      </c>
      <c r="G11" s="70" t="s">
        <v>737</v>
      </c>
      <c r="H11" s="72">
        <v>0.75</v>
      </c>
      <c r="I11" s="58">
        <v>18</v>
      </c>
      <c r="J11" s="58">
        <v>36</v>
      </c>
      <c r="K11" s="58">
        <v>170406</v>
      </c>
      <c r="L11" s="58">
        <v>305532</v>
      </c>
      <c r="M11" s="73"/>
      <c r="N11" s="73"/>
      <c r="O11" s="73"/>
      <c r="P11" s="57" t="s">
        <v>670</v>
      </c>
      <c r="Q11" s="82"/>
      <c r="R11" s="82"/>
    </row>
    <row r="12" spans="1:18" ht="15" customHeight="1" x14ac:dyDescent="0.3">
      <c r="A12" s="77" t="s">
        <v>594</v>
      </c>
      <c r="B12" s="77" t="s">
        <v>699</v>
      </c>
      <c r="C12" s="77" t="s">
        <v>690</v>
      </c>
      <c r="D12" s="77" t="s">
        <v>704</v>
      </c>
      <c r="E12" s="63">
        <v>0</v>
      </c>
      <c r="F12" s="63" t="s">
        <v>739</v>
      </c>
      <c r="G12" s="77" t="s">
        <v>740</v>
      </c>
      <c r="H12" s="83">
        <v>0.84</v>
      </c>
      <c r="I12" s="64">
        <v>35</v>
      </c>
      <c r="J12" s="64">
        <v>35</v>
      </c>
      <c r="K12" s="64">
        <v>392735</v>
      </c>
      <c r="L12" s="64">
        <v>434700</v>
      </c>
      <c r="M12" s="79"/>
      <c r="N12" s="79"/>
      <c r="O12" s="79"/>
      <c r="P12" s="57" t="s">
        <v>670</v>
      </c>
      <c r="Q12" s="82"/>
      <c r="R12" s="82"/>
    </row>
    <row r="13" spans="1:18" ht="15" customHeight="1" x14ac:dyDescent="0.3">
      <c r="A13" s="70" t="s">
        <v>594</v>
      </c>
      <c r="B13" s="70" t="s">
        <v>689</v>
      </c>
      <c r="C13" s="70" t="s">
        <v>690</v>
      </c>
      <c r="D13" s="70" t="s">
        <v>725</v>
      </c>
      <c r="E13" s="71">
        <v>0</v>
      </c>
      <c r="F13" s="71" t="s">
        <v>845</v>
      </c>
      <c r="G13" s="70" t="s">
        <v>846</v>
      </c>
      <c r="H13" s="83">
        <v>1.143</v>
      </c>
      <c r="I13" s="58">
        <v>40</v>
      </c>
      <c r="J13" s="58">
        <v>52.5</v>
      </c>
      <c r="K13" s="58">
        <v>162280</v>
      </c>
      <c r="L13" s="58">
        <v>244518.8</v>
      </c>
      <c r="M13" s="73"/>
      <c r="N13" s="73"/>
      <c r="O13" s="73">
        <v>500</v>
      </c>
      <c r="P13" s="57" t="s">
        <v>467</v>
      </c>
      <c r="Q13" s="82"/>
      <c r="R13" s="82"/>
    </row>
    <row r="14" spans="1:18" ht="15" customHeight="1" x14ac:dyDescent="0.3">
      <c r="A14" s="77" t="s">
        <v>594</v>
      </c>
      <c r="B14" s="77" t="s">
        <v>715</v>
      </c>
      <c r="C14" s="77" t="s">
        <v>695</v>
      </c>
      <c r="D14" s="77" t="s">
        <v>847</v>
      </c>
      <c r="E14" s="63">
        <v>0</v>
      </c>
      <c r="F14" s="63" t="s">
        <v>848</v>
      </c>
      <c r="G14" s="77" t="s">
        <v>849</v>
      </c>
      <c r="H14" s="84">
        <v>1.5229999999999999</v>
      </c>
      <c r="I14" s="64">
        <v>13</v>
      </c>
      <c r="J14" s="64">
        <v>12.6</v>
      </c>
      <c r="K14" s="64">
        <v>37336</v>
      </c>
      <c r="L14" s="64">
        <v>32602.5</v>
      </c>
      <c r="M14" s="79"/>
      <c r="N14" s="79"/>
      <c r="O14" s="79"/>
      <c r="P14" s="57" t="s">
        <v>670</v>
      </c>
      <c r="Q14" s="82"/>
      <c r="R14" s="82"/>
    </row>
    <row r="15" spans="1:18" ht="15" customHeight="1" x14ac:dyDescent="0.3">
      <c r="A15" s="70" t="s">
        <v>594</v>
      </c>
      <c r="B15" s="70" t="s">
        <v>689</v>
      </c>
      <c r="C15" s="70" t="s">
        <v>695</v>
      </c>
      <c r="D15" s="70" t="s">
        <v>696</v>
      </c>
      <c r="E15" s="71">
        <v>0</v>
      </c>
      <c r="F15" s="71" t="s">
        <v>850</v>
      </c>
      <c r="G15" s="70" t="s">
        <v>851</v>
      </c>
      <c r="H15" s="84">
        <v>1.9590000000000001</v>
      </c>
      <c r="I15" s="58">
        <v>32</v>
      </c>
      <c r="J15" s="58">
        <v>21</v>
      </c>
      <c r="K15" s="58">
        <v>105728</v>
      </c>
      <c r="L15" s="58">
        <v>60858</v>
      </c>
      <c r="M15" s="73"/>
      <c r="N15" s="73"/>
      <c r="O15" s="73"/>
      <c r="P15" s="57" t="s">
        <v>670</v>
      </c>
      <c r="Q15" s="82"/>
      <c r="R15" s="82"/>
    </row>
    <row r="16" spans="1:18" ht="15" customHeight="1" x14ac:dyDescent="0.3">
      <c r="A16" s="77" t="s">
        <v>594</v>
      </c>
      <c r="B16" s="77" t="s">
        <v>689</v>
      </c>
      <c r="C16" s="77" t="s">
        <v>720</v>
      </c>
      <c r="D16" s="77" t="s">
        <v>721</v>
      </c>
      <c r="E16" s="63">
        <v>0</v>
      </c>
      <c r="F16" s="63" t="s">
        <v>852</v>
      </c>
      <c r="G16" s="77" t="s">
        <v>853</v>
      </c>
      <c r="H16" s="84">
        <v>2.109</v>
      </c>
      <c r="I16" s="64">
        <v>18</v>
      </c>
      <c r="J16" s="64">
        <v>9.6</v>
      </c>
      <c r="K16" s="64">
        <v>183132</v>
      </c>
      <c r="L16" s="64">
        <v>104626.1</v>
      </c>
      <c r="M16" s="79"/>
      <c r="N16" s="79"/>
      <c r="O16" s="79"/>
      <c r="P16" s="57" t="s">
        <v>670</v>
      </c>
      <c r="Q16" s="82"/>
      <c r="R16" s="82"/>
    </row>
    <row r="17" spans="1:18" ht="15" customHeight="1" x14ac:dyDescent="0.3">
      <c r="A17" s="70" t="s">
        <v>595</v>
      </c>
      <c r="B17" s="70" t="s">
        <v>689</v>
      </c>
      <c r="C17" s="70" t="s">
        <v>754</v>
      </c>
      <c r="D17" s="70" t="s">
        <v>755</v>
      </c>
      <c r="E17" s="71">
        <v>108</v>
      </c>
      <c r="F17" s="71" t="s">
        <v>756</v>
      </c>
      <c r="G17" s="70" t="s">
        <v>757</v>
      </c>
      <c r="H17" s="80">
        <v>0.16700000000000001</v>
      </c>
      <c r="I17" s="58">
        <v>8</v>
      </c>
      <c r="J17" s="58">
        <v>44</v>
      </c>
      <c r="K17" s="58">
        <v>58712</v>
      </c>
      <c r="L17" s="58">
        <v>322878.59999999998</v>
      </c>
      <c r="M17" s="73"/>
      <c r="N17" s="73"/>
      <c r="O17" s="74"/>
      <c r="P17" s="75" t="s">
        <v>670</v>
      </c>
      <c r="Q17" s="76"/>
      <c r="R17" s="76"/>
    </row>
    <row r="18" spans="1:18" ht="15" customHeight="1" x14ac:dyDescent="0.3">
      <c r="A18" s="77" t="s">
        <v>595</v>
      </c>
      <c r="B18" s="77" t="s">
        <v>715</v>
      </c>
      <c r="C18" s="77" t="s">
        <v>754</v>
      </c>
      <c r="D18" s="77" t="s">
        <v>758</v>
      </c>
      <c r="E18" s="63">
        <v>276</v>
      </c>
      <c r="F18" s="63" t="s">
        <v>769</v>
      </c>
      <c r="G18" s="77" t="s">
        <v>770</v>
      </c>
      <c r="H18" s="80">
        <v>0.54500000000000004</v>
      </c>
      <c r="I18" s="64">
        <v>16</v>
      </c>
      <c r="J18" s="64">
        <v>48</v>
      </c>
      <c r="K18" s="64">
        <v>42368</v>
      </c>
      <c r="L18" s="64">
        <v>69552</v>
      </c>
      <c r="M18" s="79"/>
      <c r="N18" s="79"/>
      <c r="O18" s="74"/>
      <c r="P18" s="75" t="s">
        <v>670</v>
      </c>
      <c r="Q18" s="76"/>
      <c r="R18" s="76"/>
    </row>
    <row r="19" spans="1:18" ht="15" customHeight="1" x14ac:dyDescent="0.3">
      <c r="A19" s="70" t="s">
        <v>595</v>
      </c>
      <c r="B19" s="70" t="s">
        <v>689</v>
      </c>
      <c r="C19" s="70" t="s">
        <v>771</v>
      </c>
      <c r="D19" s="70" t="s">
        <v>772</v>
      </c>
      <c r="E19" s="71">
        <v>69</v>
      </c>
      <c r="F19" s="71" t="s">
        <v>773</v>
      </c>
      <c r="G19" s="70" t="s">
        <v>774</v>
      </c>
      <c r="H19" s="78">
        <v>0.68700000000000006</v>
      </c>
      <c r="I19" s="58">
        <v>206</v>
      </c>
      <c r="J19" s="58">
        <v>300</v>
      </c>
      <c r="K19" s="58">
        <v>1341678</v>
      </c>
      <c r="L19" s="58">
        <v>1878525</v>
      </c>
      <c r="M19" s="73"/>
      <c r="N19" s="73"/>
      <c r="O19" s="74">
        <v>500</v>
      </c>
      <c r="P19" s="75" t="s">
        <v>467</v>
      </c>
      <c r="Q19" s="75"/>
      <c r="R19" s="75"/>
    </row>
    <row r="20" spans="1:18" ht="15" customHeight="1" x14ac:dyDescent="0.3">
      <c r="A20" s="77" t="s">
        <v>595</v>
      </c>
      <c r="B20" s="77" t="s">
        <v>689</v>
      </c>
      <c r="C20" s="77" t="s">
        <v>763</v>
      </c>
      <c r="D20" s="77" t="s">
        <v>776</v>
      </c>
      <c r="E20" s="63">
        <v>225</v>
      </c>
      <c r="F20" s="63" t="s">
        <v>777</v>
      </c>
      <c r="G20" s="77" t="s">
        <v>778</v>
      </c>
      <c r="H20" s="80">
        <v>0.75700000000000001</v>
      </c>
      <c r="I20" s="64">
        <v>29</v>
      </c>
      <c r="J20" s="64">
        <v>35</v>
      </c>
      <c r="K20" s="64">
        <v>102660</v>
      </c>
      <c r="L20" s="64">
        <v>124976.2</v>
      </c>
      <c r="M20" s="79"/>
      <c r="N20" s="79"/>
      <c r="O20" s="79"/>
      <c r="P20" s="57" t="s">
        <v>670</v>
      </c>
      <c r="Q20" s="82"/>
      <c r="R20" s="82"/>
    </row>
    <row r="21" spans="1:18" ht="15" customHeight="1" x14ac:dyDescent="0.3">
      <c r="A21" s="70" t="s">
        <v>595</v>
      </c>
      <c r="B21" s="70" t="s">
        <v>694</v>
      </c>
      <c r="C21" s="70" t="s">
        <v>754</v>
      </c>
      <c r="D21" s="70" t="s">
        <v>755</v>
      </c>
      <c r="E21" s="71">
        <v>0</v>
      </c>
      <c r="F21" s="71" t="s">
        <v>779</v>
      </c>
      <c r="G21" s="70" t="s">
        <v>780</v>
      </c>
      <c r="H21" s="78">
        <v>0.79400000000000004</v>
      </c>
      <c r="I21" s="58">
        <v>9</v>
      </c>
      <c r="J21" s="58">
        <v>8</v>
      </c>
      <c r="K21" s="58">
        <v>50427</v>
      </c>
      <c r="L21" s="58">
        <v>31960.799999999999</v>
      </c>
      <c r="M21" s="73"/>
      <c r="N21" s="73"/>
      <c r="O21" s="73"/>
      <c r="P21" s="57" t="s">
        <v>670</v>
      </c>
      <c r="Q21" s="82"/>
      <c r="R21" s="82"/>
    </row>
    <row r="22" spans="1:18" ht="15" customHeight="1" x14ac:dyDescent="0.3">
      <c r="A22" s="77" t="s">
        <v>595</v>
      </c>
      <c r="B22" s="77" t="s">
        <v>715</v>
      </c>
      <c r="C22" s="77" t="s">
        <v>754</v>
      </c>
      <c r="D22" s="77" t="s">
        <v>854</v>
      </c>
      <c r="E22" s="63">
        <v>0</v>
      </c>
      <c r="F22" s="63" t="s">
        <v>855</v>
      </c>
      <c r="G22" s="77" t="s">
        <v>856</v>
      </c>
      <c r="H22" s="83">
        <v>1.5649999999999999</v>
      </c>
      <c r="I22" s="64">
        <v>115</v>
      </c>
      <c r="J22" s="64">
        <v>136.5</v>
      </c>
      <c r="K22" s="64">
        <v>73945</v>
      </c>
      <c r="L22" s="64">
        <v>87592</v>
      </c>
      <c r="M22" s="79"/>
      <c r="N22" s="79"/>
      <c r="O22" s="79">
        <v>350</v>
      </c>
      <c r="P22" s="57" t="s">
        <v>467</v>
      </c>
      <c r="Q22" s="82"/>
      <c r="R22" s="82"/>
    </row>
    <row r="23" spans="1:18" ht="15" customHeight="1" x14ac:dyDescent="0.3">
      <c r="A23" s="70" t="s">
        <v>595</v>
      </c>
      <c r="B23" s="70" t="s">
        <v>699</v>
      </c>
      <c r="C23" s="70" t="s">
        <v>742</v>
      </c>
      <c r="D23" s="70" t="s">
        <v>761</v>
      </c>
      <c r="E23" s="71">
        <v>0</v>
      </c>
      <c r="F23" s="71" t="s">
        <v>857</v>
      </c>
      <c r="G23" s="70" t="s">
        <v>858</v>
      </c>
      <c r="H23" s="83">
        <v>1.748</v>
      </c>
      <c r="I23" s="58">
        <v>409</v>
      </c>
      <c r="J23" s="58">
        <v>200</v>
      </c>
      <c r="K23" s="58">
        <v>3319853</v>
      </c>
      <c r="L23" s="58">
        <v>1722240</v>
      </c>
      <c r="M23" s="73"/>
      <c r="N23" s="73"/>
      <c r="O23" s="73">
        <v>600</v>
      </c>
      <c r="P23" s="57" t="s">
        <v>467</v>
      </c>
      <c r="Q23" s="82"/>
      <c r="R23" s="82"/>
    </row>
    <row r="24" spans="1:18" ht="15" customHeight="1" x14ac:dyDescent="0.3">
      <c r="A24" s="77" t="s">
        <v>595</v>
      </c>
      <c r="B24" s="77" t="s">
        <v>699</v>
      </c>
      <c r="C24" s="77" t="s">
        <v>771</v>
      </c>
      <c r="D24" s="77" t="s">
        <v>859</v>
      </c>
      <c r="E24" s="63">
        <v>0</v>
      </c>
      <c r="F24" s="63" t="s">
        <v>860</v>
      </c>
      <c r="G24" s="77" t="s">
        <v>316</v>
      </c>
      <c r="H24" s="72">
        <v>1.85</v>
      </c>
      <c r="I24" s="64">
        <v>132</v>
      </c>
      <c r="J24" s="64">
        <v>50</v>
      </c>
      <c r="K24" s="64">
        <v>3495228</v>
      </c>
      <c r="L24" s="64">
        <v>1029825</v>
      </c>
      <c r="M24" s="79"/>
      <c r="N24" s="79"/>
      <c r="O24" s="74"/>
      <c r="P24" s="75" t="s">
        <v>197</v>
      </c>
      <c r="Q24" s="75" t="s">
        <v>194</v>
      </c>
      <c r="R24" s="75" t="s">
        <v>196</v>
      </c>
    </row>
    <row r="25" spans="1:18" ht="15" customHeight="1" x14ac:dyDescent="0.3">
      <c r="A25" s="70" t="s">
        <v>595</v>
      </c>
      <c r="B25" s="70" t="s">
        <v>689</v>
      </c>
      <c r="C25" s="70" t="s">
        <v>771</v>
      </c>
      <c r="D25" s="70" t="s">
        <v>861</v>
      </c>
      <c r="E25" s="71">
        <v>0</v>
      </c>
      <c r="F25" s="71" t="s">
        <v>862</v>
      </c>
      <c r="G25" s="70" t="s">
        <v>516</v>
      </c>
      <c r="H25" s="72">
        <v>2.137</v>
      </c>
      <c r="I25" s="58">
        <v>218</v>
      </c>
      <c r="J25" s="58">
        <v>101</v>
      </c>
      <c r="K25" s="58">
        <v>1252192</v>
      </c>
      <c r="L25" s="58">
        <v>559262.19999999995</v>
      </c>
      <c r="M25" s="73"/>
      <c r="N25" s="73"/>
      <c r="O25" s="74"/>
      <c r="P25" s="75" t="s">
        <v>467</v>
      </c>
      <c r="Q25" s="75" t="s">
        <v>502</v>
      </c>
      <c r="R25" s="75" t="s">
        <v>504</v>
      </c>
    </row>
    <row r="26" spans="1:18" ht="15" customHeight="1" x14ac:dyDescent="0.3">
      <c r="A26" s="77" t="s">
        <v>595</v>
      </c>
      <c r="B26" s="77" t="s">
        <v>699</v>
      </c>
      <c r="C26" s="77" t="s">
        <v>742</v>
      </c>
      <c r="D26" s="77" t="s">
        <v>767</v>
      </c>
      <c r="E26" s="63">
        <v>0</v>
      </c>
      <c r="F26" s="63" t="s">
        <v>863</v>
      </c>
      <c r="G26" s="77" t="s">
        <v>864</v>
      </c>
      <c r="H26" s="72">
        <v>2.19</v>
      </c>
      <c r="I26" s="64">
        <v>365</v>
      </c>
      <c r="J26" s="64">
        <v>250</v>
      </c>
      <c r="K26" s="64">
        <v>1757110</v>
      </c>
      <c r="L26" s="64">
        <v>1319625</v>
      </c>
      <c r="M26" s="79"/>
      <c r="N26" s="79"/>
      <c r="O26" s="74">
        <v>1200</v>
      </c>
      <c r="P26" s="75" t="s">
        <v>467</v>
      </c>
      <c r="Q26" s="75"/>
      <c r="R26" s="75"/>
    </row>
    <row r="27" spans="1:18" ht="15" customHeight="1" x14ac:dyDescent="0.3">
      <c r="A27" s="70" t="s">
        <v>595</v>
      </c>
      <c r="B27" s="70" t="s">
        <v>715</v>
      </c>
      <c r="C27" s="70" t="s">
        <v>749</v>
      </c>
      <c r="D27" s="70" t="s">
        <v>865</v>
      </c>
      <c r="E27" s="71">
        <v>0</v>
      </c>
      <c r="F27" s="71" t="s">
        <v>866</v>
      </c>
      <c r="G27" s="70" t="s">
        <v>867</v>
      </c>
      <c r="H27" s="72">
        <v>2.383</v>
      </c>
      <c r="I27" s="58">
        <v>444</v>
      </c>
      <c r="J27" s="58">
        <v>260</v>
      </c>
      <c r="K27" s="58">
        <v>546120</v>
      </c>
      <c r="L27" s="58">
        <v>269100</v>
      </c>
      <c r="M27" s="73"/>
      <c r="N27" s="73"/>
      <c r="O27" s="74">
        <v>500</v>
      </c>
      <c r="P27" s="75" t="s">
        <v>467</v>
      </c>
      <c r="Q27" s="75"/>
      <c r="R27" s="75"/>
    </row>
    <row r="28" spans="1:18" ht="15" customHeight="1" x14ac:dyDescent="0.3">
      <c r="A28" s="77" t="s">
        <v>646</v>
      </c>
      <c r="B28" s="77"/>
      <c r="C28" s="77" t="s">
        <v>782</v>
      </c>
      <c r="D28" s="77" t="s">
        <v>783</v>
      </c>
      <c r="E28" s="63">
        <v>0</v>
      </c>
      <c r="F28" s="63" t="s">
        <v>784</v>
      </c>
      <c r="G28" s="77" t="s">
        <v>785</v>
      </c>
      <c r="H28" s="72">
        <v>0</v>
      </c>
      <c r="I28" s="64">
        <v>0</v>
      </c>
      <c r="J28" s="64">
        <v>0</v>
      </c>
      <c r="K28" s="64">
        <v>0</v>
      </c>
      <c r="L28" s="64">
        <v>0</v>
      </c>
      <c r="M28" s="79"/>
      <c r="N28" s="79"/>
      <c r="O28" s="74">
        <v>1000</v>
      </c>
      <c r="P28" s="75" t="s">
        <v>467</v>
      </c>
      <c r="Q28" s="75"/>
      <c r="R28" s="75"/>
    </row>
    <row r="29" spans="1:18" ht="15" customHeight="1" x14ac:dyDescent="0.3">
      <c r="A29" s="70" t="s">
        <v>646</v>
      </c>
      <c r="B29" s="70" t="s">
        <v>694</v>
      </c>
      <c r="C29" s="70" t="s">
        <v>793</v>
      </c>
      <c r="D29" s="70" t="s">
        <v>794</v>
      </c>
      <c r="E29" s="71">
        <v>252</v>
      </c>
      <c r="F29" s="71" t="s">
        <v>795</v>
      </c>
      <c r="G29" s="70" t="s">
        <v>796</v>
      </c>
      <c r="H29" s="78">
        <v>0.22500000000000001</v>
      </c>
      <c r="I29" s="58">
        <v>3</v>
      </c>
      <c r="J29" s="58">
        <v>25</v>
      </c>
      <c r="K29" s="58">
        <v>2520</v>
      </c>
      <c r="L29" s="58">
        <v>20700</v>
      </c>
      <c r="M29" s="73"/>
      <c r="N29" s="73"/>
      <c r="O29" s="74">
        <v>100</v>
      </c>
      <c r="P29" s="75" t="s">
        <v>467</v>
      </c>
      <c r="Q29" s="76"/>
      <c r="R29" s="76"/>
    </row>
    <row r="30" spans="1:18" ht="15" customHeight="1" x14ac:dyDescent="0.3">
      <c r="A30" s="77" t="s">
        <v>646</v>
      </c>
      <c r="B30" s="77" t="s">
        <v>699</v>
      </c>
      <c r="C30" s="77" t="s">
        <v>790</v>
      </c>
      <c r="D30" s="77" t="s">
        <v>798</v>
      </c>
      <c r="E30" s="63">
        <v>47</v>
      </c>
      <c r="F30" s="63" t="s">
        <v>799</v>
      </c>
      <c r="G30" s="77" t="s">
        <v>800</v>
      </c>
      <c r="H30" s="72">
        <v>0.23100000000000001</v>
      </c>
      <c r="I30" s="64">
        <v>4</v>
      </c>
      <c r="J30" s="64">
        <v>22</v>
      </c>
      <c r="K30" s="64">
        <v>86504</v>
      </c>
      <c r="L30" s="64">
        <v>478170</v>
      </c>
      <c r="M30" s="79"/>
      <c r="N30" s="79"/>
      <c r="O30" s="79">
        <v>75</v>
      </c>
      <c r="P30" s="57" t="s">
        <v>467</v>
      </c>
      <c r="Q30" s="82"/>
      <c r="R30" s="82"/>
    </row>
    <row r="31" spans="1:18" ht="15" customHeight="1" x14ac:dyDescent="0.3">
      <c r="A31" s="70" t="s">
        <v>646</v>
      </c>
      <c r="B31" s="70" t="s">
        <v>699</v>
      </c>
      <c r="C31" s="70" t="s">
        <v>790</v>
      </c>
      <c r="D31" s="70" t="s">
        <v>798</v>
      </c>
      <c r="E31" s="71">
        <v>15</v>
      </c>
      <c r="F31" s="71" t="s">
        <v>805</v>
      </c>
      <c r="G31" s="70" t="s">
        <v>806</v>
      </c>
      <c r="H31" s="80">
        <v>0.51400000000000001</v>
      </c>
      <c r="I31" s="58">
        <v>24</v>
      </c>
      <c r="J31" s="58">
        <v>80</v>
      </c>
      <c r="K31" s="58">
        <v>563112</v>
      </c>
      <c r="L31" s="58">
        <v>1863000</v>
      </c>
      <c r="M31" s="73"/>
      <c r="N31" s="73"/>
      <c r="O31" s="73">
        <v>150</v>
      </c>
      <c r="P31" s="57" t="s">
        <v>467</v>
      </c>
      <c r="Q31" s="82"/>
      <c r="R31" s="82"/>
    </row>
    <row r="32" spans="1:18" ht="15" customHeight="1" x14ac:dyDescent="0.3">
      <c r="A32" s="77" t="s">
        <v>646</v>
      </c>
      <c r="B32" s="77" t="s">
        <v>699</v>
      </c>
      <c r="C32" s="77" t="s">
        <v>782</v>
      </c>
      <c r="D32" s="77" t="s">
        <v>807</v>
      </c>
      <c r="E32" s="63">
        <v>37</v>
      </c>
      <c r="F32" s="63" t="s">
        <v>808</v>
      </c>
      <c r="G32" s="77" t="s">
        <v>809</v>
      </c>
      <c r="H32" s="78">
        <v>0.59</v>
      </c>
      <c r="I32" s="64">
        <v>47</v>
      </c>
      <c r="J32" s="64">
        <v>139</v>
      </c>
      <c r="K32" s="64">
        <v>565410</v>
      </c>
      <c r="L32" s="64">
        <v>1899018</v>
      </c>
      <c r="M32" s="79"/>
      <c r="N32" s="79"/>
      <c r="O32" s="79">
        <v>1000</v>
      </c>
      <c r="P32" s="57" t="s">
        <v>467</v>
      </c>
      <c r="Q32" s="82"/>
      <c r="R32" s="82"/>
    </row>
    <row r="33" spans="1:18" ht="15" customHeight="1" x14ac:dyDescent="0.3">
      <c r="A33" s="70" t="s">
        <v>646</v>
      </c>
      <c r="B33" s="70" t="s">
        <v>689</v>
      </c>
      <c r="C33" s="70" t="s">
        <v>790</v>
      </c>
      <c r="D33" s="70" t="s">
        <v>798</v>
      </c>
      <c r="E33" s="71">
        <v>364</v>
      </c>
      <c r="F33" s="71" t="s">
        <v>810</v>
      </c>
      <c r="G33" s="70" t="s">
        <v>811</v>
      </c>
      <c r="H33" s="83">
        <v>0.6</v>
      </c>
      <c r="I33" s="58">
        <v>1</v>
      </c>
      <c r="J33" s="58">
        <v>5</v>
      </c>
      <c r="K33" s="58">
        <v>9961</v>
      </c>
      <c r="L33" s="58">
        <v>49162.5</v>
      </c>
      <c r="M33" s="73"/>
      <c r="N33" s="73"/>
      <c r="O33" s="73">
        <v>45</v>
      </c>
      <c r="P33" s="57" t="s">
        <v>467</v>
      </c>
      <c r="Q33" s="82"/>
      <c r="R33" s="82"/>
    </row>
    <row r="34" spans="1:18" ht="15" customHeight="1" x14ac:dyDescent="0.3">
      <c r="A34" s="77" t="s">
        <v>646</v>
      </c>
      <c r="B34" s="77" t="s">
        <v>689</v>
      </c>
      <c r="C34" s="77" t="s">
        <v>782</v>
      </c>
      <c r="D34" s="77" t="s">
        <v>783</v>
      </c>
      <c r="E34" s="63">
        <v>0</v>
      </c>
      <c r="F34" s="63" t="s">
        <v>868</v>
      </c>
      <c r="G34" s="77" t="s">
        <v>510</v>
      </c>
      <c r="H34" s="84">
        <v>1.1970000000000001</v>
      </c>
      <c r="I34" s="64">
        <v>359</v>
      </c>
      <c r="J34" s="64">
        <v>300</v>
      </c>
      <c r="K34" s="64">
        <v>1184341</v>
      </c>
      <c r="L34" s="64">
        <v>1055700</v>
      </c>
      <c r="M34" s="79"/>
      <c r="N34" s="79"/>
      <c r="O34" s="79"/>
      <c r="P34" s="57" t="s">
        <v>467</v>
      </c>
      <c r="Q34" s="82" t="s">
        <v>502</v>
      </c>
      <c r="R34" s="82" t="s">
        <v>504</v>
      </c>
    </row>
    <row r="35" spans="1:18" ht="15" customHeight="1" x14ac:dyDescent="0.3">
      <c r="A35" s="70" t="s">
        <v>646</v>
      </c>
      <c r="B35" s="70" t="s">
        <v>715</v>
      </c>
      <c r="C35" s="70" t="s">
        <v>790</v>
      </c>
      <c r="D35" s="70" t="s">
        <v>798</v>
      </c>
      <c r="E35" s="71">
        <v>0</v>
      </c>
      <c r="F35" s="71" t="s">
        <v>869</v>
      </c>
      <c r="G35" s="70" t="s">
        <v>870</v>
      </c>
      <c r="H35" s="84">
        <v>1.5</v>
      </c>
      <c r="I35" s="58">
        <v>3</v>
      </c>
      <c r="J35" s="58">
        <v>3</v>
      </c>
      <c r="K35" s="58">
        <v>275511</v>
      </c>
      <c r="L35" s="58">
        <v>298080</v>
      </c>
      <c r="M35" s="73"/>
      <c r="N35" s="73"/>
      <c r="O35" s="73">
        <v>2</v>
      </c>
      <c r="P35" s="57" t="s">
        <v>467</v>
      </c>
      <c r="Q35" s="82"/>
      <c r="R35" s="82"/>
    </row>
    <row r="36" spans="1:18" ht="15" customHeight="1" x14ac:dyDescent="0.3">
      <c r="A36" s="77" t="s">
        <v>646</v>
      </c>
      <c r="B36" s="77" t="s">
        <v>699</v>
      </c>
      <c r="C36" s="77" t="s">
        <v>790</v>
      </c>
      <c r="D36" s="77" t="s">
        <v>791</v>
      </c>
      <c r="E36" s="63">
        <v>0</v>
      </c>
      <c r="F36" s="63" t="s">
        <v>871</v>
      </c>
      <c r="G36" s="77" t="s">
        <v>872</v>
      </c>
      <c r="H36" s="72">
        <v>2.0110000000000001</v>
      </c>
      <c r="I36" s="64">
        <v>181</v>
      </c>
      <c r="J36" s="64">
        <v>80</v>
      </c>
      <c r="K36" s="64">
        <v>12964125</v>
      </c>
      <c r="L36" s="64">
        <v>6127200</v>
      </c>
      <c r="M36" s="79"/>
      <c r="N36" s="79"/>
      <c r="O36" s="79">
        <v>250</v>
      </c>
      <c r="P36" s="57" t="s">
        <v>467</v>
      </c>
      <c r="Q36" s="82"/>
      <c r="R36" s="82"/>
    </row>
    <row r="37" spans="1:18" ht="15" customHeight="1" x14ac:dyDescent="0.3">
      <c r="A37" s="70" t="s">
        <v>646</v>
      </c>
      <c r="B37" s="70" t="s">
        <v>689</v>
      </c>
      <c r="C37" s="70" t="s">
        <v>786</v>
      </c>
      <c r="D37" s="70" t="s">
        <v>873</v>
      </c>
      <c r="E37" s="71">
        <v>0</v>
      </c>
      <c r="F37" s="71" t="s">
        <v>874</v>
      </c>
      <c r="G37" s="70" t="s">
        <v>875</v>
      </c>
      <c r="H37" s="72">
        <v>2.1429999999999998</v>
      </c>
      <c r="I37" s="58">
        <v>90</v>
      </c>
      <c r="J37" s="58">
        <v>63</v>
      </c>
      <c r="K37" s="58">
        <v>581940</v>
      </c>
      <c r="L37" s="58">
        <v>423832.5</v>
      </c>
      <c r="M37" s="73"/>
      <c r="N37" s="73"/>
      <c r="O37" s="73"/>
      <c r="P37" s="57" t="s">
        <v>670</v>
      </c>
      <c r="Q37" s="82"/>
      <c r="R37" s="82"/>
    </row>
    <row r="38" spans="1:18" ht="15" customHeight="1" x14ac:dyDescent="0.3">
      <c r="A38" s="77" t="s">
        <v>647</v>
      </c>
      <c r="B38" s="77" t="s">
        <v>715</v>
      </c>
      <c r="C38" s="77" t="s">
        <v>819</v>
      </c>
      <c r="D38" s="77" t="s">
        <v>820</v>
      </c>
      <c r="E38" s="63">
        <v>172</v>
      </c>
      <c r="F38" s="63" t="s">
        <v>821</v>
      </c>
      <c r="G38" s="77" t="s">
        <v>822</v>
      </c>
      <c r="H38" s="72">
        <v>5.5E-2</v>
      </c>
      <c r="I38" s="64">
        <v>2</v>
      </c>
      <c r="J38" s="64">
        <v>30</v>
      </c>
      <c r="K38" s="64">
        <v>18238</v>
      </c>
      <c r="L38" s="64">
        <v>273240</v>
      </c>
      <c r="M38" s="79"/>
      <c r="N38" s="79"/>
      <c r="O38" s="79"/>
      <c r="P38" s="57" t="s">
        <v>670</v>
      </c>
      <c r="Q38" s="82"/>
      <c r="R38" s="82"/>
    </row>
    <row r="39" spans="1:18" ht="15" customHeight="1" x14ac:dyDescent="0.3">
      <c r="A39" s="70" t="s">
        <v>647</v>
      </c>
      <c r="B39" s="70" t="s">
        <v>689</v>
      </c>
      <c r="C39" s="70" t="s">
        <v>819</v>
      </c>
      <c r="D39" s="70" t="s">
        <v>820</v>
      </c>
      <c r="E39" s="71">
        <v>19</v>
      </c>
      <c r="F39" s="71" t="s">
        <v>823</v>
      </c>
      <c r="G39" s="70" t="s">
        <v>239</v>
      </c>
      <c r="H39" s="72">
        <v>0.28000000000000003</v>
      </c>
      <c r="I39" s="58">
        <v>84</v>
      </c>
      <c r="J39" s="58">
        <v>300</v>
      </c>
      <c r="K39" s="58">
        <v>430920</v>
      </c>
      <c r="L39" s="58">
        <v>1428300</v>
      </c>
      <c r="M39" s="73"/>
      <c r="N39" s="73"/>
      <c r="O39" s="73"/>
      <c r="P39" s="57" t="s">
        <v>197</v>
      </c>
      <c r="Q39" s="82" t="s">
        <v>194</v>
      </c>
      <c r="R39" s="82" t="s">
        <v>196</v>
      </c>
    </row>
    <row r="40" spans="1:18" ht="15" customHeight="1" x14ac:dyDescent="0.3">
      <c r="A40" s="77" t="s">
        <v>647</v>
      </c>
      <c r="B40" s="77" t="s">
        <v>694</v>
      </c>
      <c r="C40" s="77" t="s">
        <v>876</v>
      </c>
      <c r="D40" s="77" t="s">
        <v>877</v>
      </c>
      <c r="E40" s="63">
        <v>0</v>
      </c>
      <c r="F40" s="63" t="s">
        <v>878</v>
      </c>
      <c r="G40" s="77" t="s">
        <v>879</v>
      </c>
      <c r="H40" s="72">
        <v>2.4</v>
      </c>
      <c r="I40" s="64">
        <v>8</v>
      </c>
      <c r="J40" s="64">
        <v>5</v>
      </c>
      <c r="K40" s="64">
        <v>697464</v>
      </c>
      <c r="L40" s="64">
        <v>476100</v>
      </c>
      <c r="M40" s="79"/>
      <c r="N40" s="79"/>
      <c r="O40" s="79"/>
      <c r="P40" s="57" t="s">
        <v>670</v>
      </c>
      <c r="Q40" s="82"/>
      <c r="R40" s="82"/>
    </row>
    <row r="41" spans="1:18" ht="15" customHeight="1" x14ac:dyDescent="0.3">
      <c r="A41" s="70" t="s">
        <v>648</v>
      </c>
      <c r="B41" s="70" t="s">
        <v>715</v>
      </c>
      <c r="C41" s="70" t="s">
        <v>824</v>
      </c>
      <c r="D41" s="70" t="s">
        <v>825</v>
      </c>
      <c r="E41" s="71">
        <v>0</v>
      </c>
      <c r="F41" s="71" t="s">
        <v>880</v>
      </c>
      <c r="G41" s="70" t="s">
        <v>881</v>
      </c>
      <c r="H41" s="72">
        <v>1.506</v>
      </c>
      <c r="I41" s="58">
        <v>64</v>
      </c>
      <c r="J41" s="58">
        <v>37.5</v>
      </c>
      <c r="K41" s="58">
        <v>760448</v>
      </c>
      <c r="L41" s="58">
        <v>426937.5</v>
      </c>
      <c r="M41" s="73"/>
      <c r="N41" s="73"/>
      <c r="O41" s="73">
        <v>350</v>
      </c>
      <c r="P41" s="57" t="s">
        <v>467</v>
      </c>
      <c r="Q41" s="82"/>
      <c r="R41" s="82"/>
    </row>
    <row r="42" spans="1:18" ht="15" customHeight="1" x14ac:dyDescent="0.3">
      <c r="A42" s="77" t="s">
        <v>649</v>
      </c>
      <c r="B42" s="77" t="s">
        <v>699</v>
      </c>
      <c r="C42" s="77" t="s">
        <v>827</v>
      </c>
      <c r="D42" s="77" t="s">
        <v>828</v>
      </c>
      <c r="E42" s="63">
        <v>30</v>
      </c>
      <c r="F42" s="63" t="s">
        <v>829</v>
      </c>
      <c r="G42" s="77" t="s">
        <v>830</v>
      </c>
      <c r="H42" s="72">
        <v>0.128</v>
      </c>
      <c r="I42" s="64">
        <v>10</v>
      </c>
      <c r="J42" s="64">
        <v>110</v>
      </c>
      <c r="K42" s="64">
        <v>263490</v>
      </c>
      <c r="L42" s="64">
        <v>2730123</v>
      </c>
      <c r="M42" s="79"/>
      <c r="N42" s="79"/>
      <c r="O42" s="79">
        <v>200</v>
      </c>
      <c r="P42" s="57" t="s">
        <v>467</v>
      </c>
      <c r="Q42" s="82"/>
      <c r="R42" s="82"/>
    </row>
    <row r="43" spans="1:18" ht="15" customHeight="1" x14ac:dyDescent="0.3">
      <c r="A43" s="70" t="s">
        <v>649</v>
      </c>
      <c r="B43" s="70" t="s">
        <v>699</v>
      </c>
      <c r="C43" s="70" t="s">
        <v>827</v>
      </c>
      <c r="D43" s="70" t="s">
        <v>831</v>
      </c>
      <c r="E43" s="71">
        <v>137</v>
      </c>
      <c r="F43" s="71" t="s">
        <v>832</v>
      </c>
      <c r="G43" s="70" t="s">
        <v>833</v>
      </c>
      <c r="H43" s="72">
        <v>0.13800000000000001</v>
      </c>
      <c r="I43" s="58">
        <v>11</v>
      </c>
      <c r="J43" s="58">
        <v>120</v>
      </c>
      <c r="K43" s="58">
        <v>60533</v>
      </c>
      <c r="L43" s="58">
        <v>645840</v>
      </c>
      <c r="M43" s="73"/>
      <c r="N43" s="73"/>
      <c r="O43" s="73">
        <v>200</v>
      </c>
      <c r="P43" s="57" t="s">
        <v>467</v>
      </c>
      <c r="Q43" s="82"/>
      <c r="R43" s="82"/>
    </row>
    <row r="44" spans="1:18" ht="15" customHeight="1" x14ac:dyDescent="0.3">
      <c r="A44" s="77" t="s">
        <v>649</v>
      </c>
      <c r="B44" s="77" t="s">
        <v>715</v>
      </c>
      <c r="C44" s="77" t="s">
        <v>834</v>
      </c>
      <c r="D44" s="77" t="s">
        <v>835</v>
      </c>
      <c r="E44" s="63">
        <v>366</v>
      </c>
      <c r="F44" s="63" t="s">
        <v>836</v>
      </c>
      <c r="G44" s="77" t="s">
        <v>837</v>
      </c>
      <c r="H44" s="83">
        <v>0.3</v>
      </c>
      <c r="I44" s="64">
        <v>2</v>
      </c>
      <c r="J44" s="64">
        <v>15</v>
      </c>
      <c r="K44" s="64">
        <v>31712</v>
      </c>
      <c r="L44" s="64">
        <v>232875</v>
      </c>
      <c r="M44" s="79"/>
      <c r="N44" s="79"/>
      <c r="O44" s="79"/>
      <c r="P44" s="57" t="s">
        <v>670</v>
      </c>
      <c r="Q44" s="82"/>
      <c r="R44" s="82"/>
    </row>
    <row r="45" spans="1:18" ht="15" customHeight="1" x14ac:dyDescent="0.3">
      <c r="A45" s="70" t="s">
        <v>649</v>
      </c>
      <c r="B45" s="70" t="s">
        <v>699</v>
      </c>
      <c r="C45" s="70" t="s">
        <v>827</v>
      </c>
      <c r="D45" s="70" t="s">
        <v>828</v>
      </c>
      <c r="E45" s="71">
        <v>0</v>
      </c>
      <c r="F45" s="71" t="s">
        <v>838</v>
      </c>
      <c r="G45" s="70" t="s">
        <v>839</v>
      </c>
      <c r="H45" s="84">
        <v>0.621</v>
      </c>
      <c r="I45" s="58">
        <v>29</v>
      </c>
      <c r="J45" s="58">
        <v>65</v>
      </c>
      <c r="K45" s="58">
        <v>901668</v>
      </c>
      <c r="L45" s="58">
        <v>1947611.2</v>
      </c>
      <c r="M45" s="73"/>
      <c r="N45" s="73"/>
      <c r="O45" s="73">
        <v>150</v>
      </c>
      <c r="P45" s="57" t="s">
        <v>467</v>
      </c>
      <c r="Q45" s="82"/>
      <c r="R45" s="82"/>
    </row>
    <row r="46" spans="1:18" ht="15" customHeight="1" x14ac:dyDescent="0.3">
      <c r="A46" s="77" t="s">
        <v>649</v>
      </c>
      <c r="B46" s="77" t="s">
        <v>694</v>
      </c>
      <c r="C46" s="77" t="s">
        <v>882</v>
      </c>
      <c r="D46" s="77" t="s">
        <v>883</v>
      </c>
      <c r="E46" s="63">
        <v>0</v>
      </c>
      <c r="F46" s="63" t="s">
        <v>884</v>
      </c>
      <c r="G46" s="77" t="s">
        <v>885</v>
      </c>
      <c r="H46" s="84">
        <v>1.591</v>
      </c>
      <c r="I46" s="64">
        <v>7</v>
      </c>
      <c r="J46" s="64">
        <v>7.2</v>
      </c>
      <c r="K46" s="64">
        <v>102382</v>
      </c>
      <c r="L46" s="64">
        <v>96130.8</v>
      </c>
      <c r="M46" s="79"/>
      <c r="N46" s="79"/>
      <c r="O46" s="79">
        <v>30</v>
      </c>
      <c r="P46" s="57" t="s">
        <v>467</v>
      </c>
      <c r="Q46" s="82"/>
      <c r="R46" s="82"/>
    </row>
    <row r="47" spans="1:18" ht="15" customHeight="1" x14ac:dyDescent="0.3">
      <c r="A47" s="70" t="s">
        <v>649</v>
      </c>
      <c r="B47" s="70" t="s">
        <v>715</v>
      </c>
      <c r="C47" s="70" t="s">
        <v>882</v>
      </c>
      <c r="D47" s="70" t="s">
        <v>886</v>
      </c>
      <c r="E47" s="71">
        <v>0</v>
      </c>
      <c r="F47" s="71" t="s">
        <v>887</v>
      </c>
      <c r="G47" s="70" t="s">
        <v>888</v>
      </c>
      <c r="H47" s="84">
        <v>1.607</v>
      </c>
      <c r="I47" s="58">
        <v>9</v>
      </c>
      <c r="J47" s="58">
        <v>7.2</v>
      </c>
      <c r="K47" s="58">
        <v>153540</v>
      </c>
      <c r="L47" s="58">
        <v>134136</v>
      </c>
      <c r="M47" s="73"/>
      <c r="N47" s="73"/>
      <c r="O47" s="73">
        <v>10</v>
      </c>
      <c r="P47" s="57" t="s">
        <v>467</v>
      </c>
      <c r="Q47" s="82"/>
      <c r="R47" s="82"/>
    </row>
    <row r="48" spans="1:18" ht="15" customHeight="1" x14ac:dyDescent="0.3">
      <c r="A48" s="77" t="s">
        <v>649</v>
      </c>
      <c r="B48" s="77" t="s">
        <v>699</v>
      </c>
      <c r="C48" s="77" t="s">
        <v>834</v>
      </c>
      <c r="D48" s="77" t="s">
        <v>835</v>
      </c>
      <c r="E48" s="63">
        <v>0</v>
      </c>
      <c r="F48" s="63" t="s">
        <v>889</v>
      </c>
      <c r="G48" s="77" t="s">
        <v>890</v>
      </c>
      <c r="H48" s="84">
        <v>1.6879999999999999</v>
      </c>
      <c r="I48" s="64">
        <v>27</v>
      </c>
      <c r="J48" s="64">
        <v>32</v>
      </c>
      <c r="K48" s="64">
        <v>397386</v>
      </c>
      <c r="L48" s="64">
        <v>463348.8</v>
      </c>
      <c r="M48" s="79"/>
      <c r="N48" s="79"/>
      <c r="O48" s="79"/>
      <c r="P48" s="57" t="s">
        <v>670</v>
      </c>
      <c r="Q48" s="82"/>
      <c r="R48" s="82"/>
    </row>
    <row r="49" spans="1:18" ht="15" customHeight="1" x14ac:dyDescent="0.3">
      <c r="A49" s="70" t="s">
        <v>649</v>
      </c>
      <c r="B49" s="70" t="s">
        <v>689</v>
      </c>
      <c r="C49" s="70" t="s">
        <v>834</v>
      </c>
      <c r="D49" s="70" t="s">
        <v>891</v>
      </c>
      <c r="E49" s="71">
        <v>0</v>
      </c>
      <c r="F49" s="71" t="s">
        <v>892</v>
      </c>
      <c r="G49" s="70" t="s">
        <v>893</v>
      </c>
      <c r="H49" s="83">
        <v>1.8</v>
      </c>
      <c r="I49" s="58">
        <v>15</v>
      </c>
      <c r="J49" s="58">
        <v>15</v>
      </c>
      <c r="K49" s="58">
        <v>1315770</v>
      </c>
      <c r="L49" s="58">
        <v>1242000</v>
      </c>
      <c r="M49" s="73"/>
      <c r="N49" s="73"/>
      <c r="O49" s="74">
        <v>70</v>
      </c>
      <c r="P49" s="75" t="s">
        <v>467</v>
      </c>
      <c r="Q49" s="75"/>
      <c r="R49" s="75"/>
    </row>
    <row r="50" spans="1:18" ht="15" customHeight="1" x14ac:dyDescent="0.3">
      <c r="A50" s="77" t="s">
        <v>649</v>
      </c>
      <c r="B50" s="77" t="s">
        <v>689</v>
      </c>
      <c r="C50" s="77" t="s">
        <v>827</v>
      </c>
      <c r="D50" s="77" t="s">
        <v>828</v>
      </c>
      <c r="E50" s="63">
        <v>0</v>
      </c>
      <c r="F50" s="63" t="s">
        <v>894</v>
      </c>
      <c r="G50" s="77" t="s">
        <v>895</v>
      </c>
      <c r="H50" s="84">
        <v>2.3180000000000001</v>
      </c>
      <c r="I50" s="64">
        <v>51</v>
      </c>
      <c r="J50" s="64">
        <v>48</v>
      </c>
      <c r="K50" s="64">
        <v>306357</v>
      </c>
      <c r="L50" s="64">
        <v>273240</v>
      </c>
      <c r="M50" s="79"/>
      <c r="N50" s="79"/>
      <c r="O50" s="74">
        <v>145</v>
      </c>
      <c r="P50" s="75" t="s">
        <v>467</v>
      </c>
      <c r="Q50" s="76"/>
      <c r="R50" s="76"/>
    </row>
    <row r="51" spans="1:18" ht="15" customHeight="1" x14ac:dyDescent="0.3">
      <c r="A51" s="70" t="s">
        <v>650</v>
      </c>
      <c r="B51" s="70" t="s">
        <v>699</v>
      </c>
      <c r="C51" s="70" t="s">
        <v>840</v>
      </c>
      <c r="D51" s="70" t="s">
        <v>841</v>
      </c>
      <c r="E51" s="71">
        <v>3</v>
      </c>
      <c r="F51" s="71" t="s">
        <v>842</v>
      </c>
      <c r="G51" s="70" t="s">
        <v>843</v>
      </c>
      <c r="H51" s="84">
        <v>0.13600000000000001</v>
      </c>
      <c r="I51" s="58">
        <v>36</v>
      </c>
      <c r="J51" s="58">
        <v>116</v>
      </c>
      <c r="K51" s="58">
        <v>779724</v>
      </c>
      <c r="L51" s="58">
        <v>2881440</v>
      </c>
      <c r="M51" s="73"/>
      <c r="N51" s="73"/>
      <c r="O51" s="73"/>
      <c r="P51" s="57" t="s">
        <v>670</v>
      </c>
      <c r="Q51" s="82"/>
      <c r="R51" s="82"/>
    </row>
    <row r="52" spans="1:18" ht="15" customHeight="1" x14ac:dyDescent="0.3">
      <c r="A52" s="77"/>
      <c r="B52" s="77"/>
      <c r="C52" s="77"/>
      <c r="D52" s="77"/>
      <c r="E52" s="63"/>
      <c r="F52" s="63"/>
      <c r="G52" s="77"/>
      <c r="H52" s="84"/>
      <c r="I52" s="64"/>
      <c r="J52" s="64"/>
      <c r="K52" s="64"/>
      <c r="L52" s="64"/>
      <c r="M52" s="79"/>
      <c r="N52" s="79"/>
      <c r="O52" s="74"/>
      <c r="P52" s="75"/>
      <c r="Q52" s="76"/>
      <c r="R52" s="76"/>
    </row>
    <row r="53" spans="1:18" ht="15" customHeight="1" x14ac:dyDescent="0.3">
      <c r="A53" s="70"/>
      <c r="B53" s="70"/>
      <c r="C53" s="70"/>
      <c r="D53" s="70"/>
      <c r="E53" s="71"/>
      <c r="F53" s="71"/>
      <c r="G53" s="70"/>
      <c r="H53" s="72"/>
      <c r="I53" s="58"/>
      <c r="J53" s="58"/>
      <c r="K53" s="58"/>
      <c r="L53" s="58"/>
      <c r="M53" s="73"/>
      <c r="N53" s="73"/>
      <c r="O53" s="73"/>
      <c r="P53" s="57"/>
      <c r="Q53" s="82"/>
      <c r="R53" s="82"/>
    </row>
    <row r="54" spans="1:18" ht="15" customHeight="1" x14ac:dyDescent="0.3">
      <c r="A54" s="77"/>
      <c r="B54" s="77"/>
      <c r="C54" s="77"/>
      <c r="D54" s="77"/>
      <c r="E54" s="63"/>
      <c r="F54" s="63"/>
      <c r="G54" s="77"/>
      <c r="H54" s="72"/>
      <c r="I54" s="64"/>
      <c r="J54" s="64"/>
      <c r="K54" s="64"/>
      <c r="L54" s="64"/>
      <c r="M54" s="79"/>
      <c r="N54" s="79"/>
      <c r="O54" s="74"/>
      <c r="P54" s="75"/>
      <c r="Q54" s="75"/>
      <c r="R54" s="75"/>
    </row>
    <row r="55" spans="1:18" ht="15" customHeight="1" x14ac:dyDescent="0.3">
      <c r="A55" s="70"/>
      <c r="B55" s="70"/>
      <c r="C55" s="70"/>
      <c r="D55" s="70"/>
      <c r="E55" s="71"/>
      <c r="F55" s="71"/>
      <c r="G55" s="70"/>
      <c r="H55" s="72"/>
      <c r="I55" s="58"/>
      <c r="J55" s="58"/>
      <c r="K55" s="58"/>
      <c r="L55" s="58"/>
      <c r="M55" s="73"/>
      <c r="N55" s="73"/>
      <c r="O55" s="74"/>
      <c r="P55" s="75"/>
      <c r="Q55" s="75"/>
      <c r="R55" s="75"/>
    </row>
    <row r="56" spans="1:18" ht="15" customHeight="1" x14ac:dyDescent="0.3">
      <c r="A56" s="77"/>
      <c r="B56" s="77"/>
      <c r="C56" s="77"/>
      <c r="D56" s="77"/>
      <c r="E56" s="63"/>
      <c r="F56" s="63"/>
      <c r="G56" s="77"/>
      <c r="H56" s="72"/>
      <c r="I56" s="64"/>
      <c r="J56" s="64"/>
      <c r="K56" s="64"/>
      <c r="L56" s="64"/>
      <c r="M56" s="79"/>
      <c r="N56" s="79"/>
      <c r="O56" s="74"/>
      <c r="P56" s="75"/>
      <c r="Q56" s="75"/>
      <c r="R56" s="75"/>
    </row>
    <row r="57" spans="1:18" ht="15" customHeight="1" x14ac:dyDescent="0.3">
      <c r="A57" s="70"/>
      <c r="B57" s="70"/>
      <c r="C57" s="70"/>
      <c r="D57" s="70"/>
      <c r="E57" s="71"/>
      <c r="F57" s="71"/>
      <c r="G57" s="70"/>
      <c r="H57" s="72"/>
      <c r="I57" s="58"/>
      <c r="J57" s="58"/>
      <c r="K57" s="58"/>
      <c r="L57" s="58"/>
      <c r="M57" s="73"/>
      <c r="N57" s="73"/>
      <c r="O57" s="74"/>
      <c r="P57" s="75"/>
      <c r="Q57" s="75"/>
      <c r="R57" s="75"/>
    </row>
    <row r="58" spans="1:18" ht="15" customHeight="1" x14ac:dyDescent="0.3">
      <c r="A58" s="77"/>
      <c r="B58" s="77"/>
      <c r="C58" s="77"/>
      <c r="D58" s="77"/>
      <c r="E58" s="63"/>
      <c r="F58" s="63"/>
      <c r="G58" s="77"/>
      <c r="H58" s="72"/>
      <c r="I58" s="64"/>
      <c r="J58" s="64"/>
      <c r="K58" s="64"/>
      <c r="L58" s="64"/>
      <c r="M58" s="79"/>
      <c r="N58" s="79"/>
      <c r="O58" s="74"/>
      <c r="P58" s="75"/>
      <c r="Q58" s="75"/>
      <c r="R58" s="75"/>
    </row>
    <row r="59" spans="1:18" ht="15" customHeight="1" x14ac:dyDescent="0.3">
      <c r="A59" s="70"/>
      <c r="B59" s="70"/>
      <c r="C59" s="70"/>
      <c r="D59" s="70"/>
      <c r="E59" s="71"/>
      <c r="F59" s="71"/>
      <c r="G59" s="70"/>
      <c r="H59" s="72"/>
      <c r="I59" s="58"/>
      <c r="J59" s="58"/>
      <c r="K59" s="58"/>
      <c r="L59" s="58"/>
      <c r="M59" s="73"/>
      <c r="N59" s="73"/>
      <c r="O59" s="74"/>
      <c r="P59" s="75"/>
      <c r="Q59" s="75"/>
      <c r="R59" s="75"/>
    </row>
    <row r="60" spans="1:18" ht="15" customHeight="1" x14ac:dyDescent="0.3">
      <c r="A60" s="77"/>
      <c r="B60" s="77"/>
      <c r="C60" s="77"/>
      <c r="D60" s="77"/>
      <c r="E60" s="63"/>
      <c r="F60" s="63"/>
      <c r="G60" s="77"/>
      <c r="H60" s="72"/>
      <c r="I60" s="64"/>
      <c r="J60" s="64"/>
      <c r="K60" s="64"/>
      <c r="L60" s="64"/>
      <c r="M60" s="79"/>
      <c r="N60" s="79"/>
      <c r="O60" s="74"/>
      <c r="P60" s="75"/>
      <c r="Q60" s="75"/>
      <c r="R60" s="75"/>
    </row>
    <row r="61" spans="1:18" ht="15" customHeight="1" x14ac:dyDescent="0.3">
      <c r="A61" s="70"/>
      <c r="B61" s="70"/>
      <c r="C61" s="70"/>
      <c r="D61" s="70"/>
      <c r="E61" s="71"/>
      <c r="F61" s="71"/>
      <c r="G61" s="70"/>
      <c r="H61" s="72"/>
      <c r="I61" s="58"/>
      <c r="J61" s="58"/>
      <c r="K61" s="58"/>
      <c r="L61" s="58"/>
      <c r="M61" s="73"/>
      <c r="N61" s="73"/>
      <c r="O61" s="74"/>
      <c r="P61" s="75"/>
      <c r="Q61" s="75"/>
      <c r="R61" s="75"/>
    </row>
    <row r="62" spans="1:18" ht="15" customHeight="1" x14ac:dyDescent="0.3">
      <c r="A62" s="77"/>
      <c r="B62" s="77"/>
      <c r="C62" s="77"/>
      <c r="D62" s="77"/>
      <c r="E62" s="63"/>
      <c r="F62" s="63"/>
      <c r="G62" s="77"/>
      <c r="H62" s="72"/>
      <c r="I62" s="64"/>
      <c r="J62" s="64"/>
      <c r="K62" s="64"/>
      <c r="L62" s="64"/>
      <c r="M62" s="79"/>
      <c r="N62" s="79"/>
      <c r="O62" s="79"/>
      <c r="P62" s="57"/>
      <c r="Q62" s="82"/>
      <c r="R62" s="82"/>
    </row>
    <row r="63" spans="1:18" ht="15" customHeight="1" x14ac:dyDescent="0.3">
      <c r="A63" s="70"/>
      <c r="B63" s="70"/>
      <c r="C63" s="70"/>
      <c r="D63" s="70"/>
      <c r="E63" s="71"/>
      <c r="F63" s="71"/>
      <c r="G63" s="70"/>
      <c r="H63" s="80"/>
      <c r="I63" s="58"/>
      <c r="J63" s="58"/>
      <c r="K63" s="58"/>
      <c r="L63" s="58"/>
      <c r="M63" s="73"/>
      <c r="N63" s="73"/>
      <c r="O63" s="74"/>
      <c r="P63" s="75"/>
      <c r="Q63" s="75"/>
      <c r="R63" s="75"/>
    </row>
  </sheetData>
  <autoFilter ref="A2:R63" xr:uid="{00000000-0009-0000-0000-000006000000}"/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40"/>
  <sheetViews>
    <sheetView workbookViewId="0">
      <pane ySplit="2" topLeftCell="A3" activePane="bottomLeft" state="frozen"/>
      <selection pane="bottomLeft" activeCell="F248" sqref="F248"/>
    </sheetView>
  </sheetViews>
  <sheetFormatPr baseColWidth="10" defaultColWidth="8.88671875" defaultRowHeight="14.4" outlineLevelRow="3" x14ac:dyDescent="0.3"/>
  <cols>
    <col min="1" max="1" width="36" customWidth="1"/>
    <col min="2" max="2" width="32" customWidth="1"/>
    <col min="3" max="3" width="7" customWidth="1"/>
    <col min="4" max="5" width="11" customWidth="1"/>
    <col min="6" max="9" width="18" customWidth="1"/>
    <col min="10" max="10" width="12" customWidth="1"/>
  </cols>
  <sheetData>
    <row r="1" spans="1:10" ht="25.95" customHeight="1" x14ac:dyDescent="0.3">
      <c r="A1" s="192" t="s">
        <v>896</v>
      </c>
      <c r="B1" s="172"/>
      <c r="C1" s="172"/>
      <c r="D1" s="172"/>
      <c r="E1" s="172"/>
      <c r="F1" s="172"/>
      <c r="G1" s="172"/>
      <c r="H1" s="172"/>
      <c r="I1" s="172"/>
      <c r="J1" s="172"/>
    </row>
    <row r="2" spans="1:10" ht="36" customHeight="1" x14ac:dyDescent="0.3">
      <c r="A2" s="39" t="s">
        <v>897</v>
      </c>
      <c r="B2" s="39" t="s">
        <v>898</v>
      </c>
      <c r="C2" s="39" t="s">
        <v>657</v>
      </c>
      <c r="D2" s="39" t="s">
        <v>899</v>
      </c>
      <c r="E2" s="39" t="s">
        <v>900</v>
      </c>
      <c r="F2" s="39" t="s">
        <v>901</v>
      </c>
      <c r="G2" s="39" t="s">
        <v>902</v>
      </c>
      <c r="H2" s="39" t="s">
        <v>903</v>
      </c>
      <c r="I2" s="39" t="s">
        <v>904</v>
      </c>
      <c r="J2" s="39" t="s">
        <v>905</v>
      </c>
    </row>
    <row r="3" spans="1:10" ht="16.95" customHeight="1" collapsed="1" x14ac:dyDescent="0.3">
      <c r="A3" s="85" t="s">
        <v>906</v>
      </c>
      <c r="B3" s="86"/>
      <c r="C3" s="87">
        <v>78</v>
      </c>
      <c r="D3" s="86"/>
      <c r="E3" s="86"/>
      <c r="F3" s="88">
        <v>211115501.35428551</v>
      </c>
      <c r="G3" s="89">
        <v>10926482.58</v>
      </c>
      <c r="H3" s="89">
        <v>43705930.32</v>
      </c>
      <c r="I3" s="88">
        <v>167409571.03428549</v>
      </c>
      <c r="J3" s="90" t="s">
        <v>907</v>
      </c>
    </row>
    <row r="4" spans="1:10" ht="16.05" hidden="1" customHeight="1" outlineLevel="1" collapsed="1" x14ac:dyDescent="0.3">
      <c r="A4" s="91" t="s">
        <v>908</v>
      </c>
      <c r="B4" s="92"/>
      <c r="C4" s="93">
        <v>19</v>
      </c>
      <c r="D4" s="92"/>
      <c r="E4" s="92"/>
      <c r="F4" s="94">
        <v>155576571.85428551</v>
      </c>
      <c r="G4" s="95">
        <v>4416983.9399999985</v>
      </c>
      <c r="H4" s="95">
        <v>17667935.760000002</v>
      </c>
      <c r="I4" s="94">
        <v>137908636.09428549</v>
      </c>
      <c r="J4" s="96" t="s">
        <v>909</v>
      </c>
    </row>
    <row r="5" spans="1:10" ht="16.05" hidden="1" customHeight="1" outlineLevel="2" x14ac:dyDescent="0.3">
      <c r="A5" s="97" t="s">
        <v>910</v>
      </c>
      <c r="B5" s="98"/>
      <c r="C5" s="99">
        <v>12</v>
      </c>
      <c r="D5" s="98"/>
      <c r="E5" s="98"/>
      <c r="F5" s="100">
        <v>107870393.3979827</v>
      </c>
      <c r="G5" s="101">
        <v>2891721</v>
      </c>
      <c r="H5" s="101">
        <v>11566884</v>
      </c>
      <c r="I5" s="100">
        <v>96303509.397982731</v>
      </c>
      <c r="J5" s="102" t="s">
        <v>911</v>
      </c>
    </row>
    <row r="6" spans="1:10" ht="13.95" hidden="1" customHeight="1" outlineLevel="3" x14ac:dyDescent="0.3">
      <c r="A6" s="103" t="s">
        <v>912</v>
      </c>
      <c r="B6" s="104" t="s">
        <v>913</v>
      </c>
      <c r="C6" s="105"/>
      <c r="D6" s="106">
        <v>219.38499999999999</v>
      </c>
      <c r="E6" s="107">
        <v>215.4</v>
      </c>
      <c r="F6" s="108">
        <v>17862300.008270159</v>
      </c>
      <c r="G6" s="108">
        <v>122130</v>
      </c>
      <c r="H6" s="109">
        <v>325680.00000000012</v>
      </c>
      <c r="I6" s="110">
        <v>17536620.008270159</v>
      </c>
      <c r="J6" s="111" t="s">
        <v>914</v>
      </c>
    </row>
    <row r="7" spans="1:10" ht="13.95" hidden="1" customHeight="1" outlineLevel="3" x14ac:dyDescent="0.3">
      <c r="A7" s="112" t="s">
        <v>915</v>
      </c>
      <c r="B7" s="60" t="s">
        <v>916</v>
      </c>
      <c r="C7" s="70"/>
      <c r="D7" s="106">
        <v>68.016999999999996</v>
      </c>
      <c r="E7" s="107">
        <v>64</v>
      </c>
      <c r="F7" s="113">
        <v>15111984</v>
      </c>
      <c r="G7" s="113">
        <v>333270</v>
      </c>
      <c r="H7" s="114">
        <v>888720.00000000012</v>
      </c>
      <c r="I7" s="110">
        <v>14223264</v>
      </c>
      <c r="J7" s="115" t="s">
        <v>914</v>
      </c>
    </row>
    <row r="8" spans="1:10" ht="13.95" hidden="1" customHeight="1" outlineLevel="3" x14ac:dyDescent="0.3">
      <c r="A8" s="103" t="s">
        <v>917</v>
      </c>
      <c r="B8" s="104" t="s">
        <v>918</v>
      </c>
      <c r="C8" s="105"/>
      <c r="D8" s="106">
        <v>221.10400000000001</v>
      </c>
      <c r="E8" s="107">
        <v>217.1</v>
      </c>
      <c r="F8" s="108">
        <v>14401813.82845062</v>
      </c>
      <c r="G8" s="108">
        <v>97704</v>
      </c>
      <c r="H8" s="109">
        <v>260544</v>
      </c>
      <c r="I8" s="110">
        <v>14141269.82845062</v>
      </c>
      <c r="J8" s="111" t="s">
        <v>914</v>
      </c>
    </row>
    <row r="9" spans="1:10" ht="13.95" hidden="1" customHeight="1" outlineLevel="3" x14ac:dyDescent="0.3">
      <c r="A9" s="112" t="s">
        <v>919</v>
      </c>
      <c r="B9" s="60" t="s">
        <v>920</v>
      </c>
      <c r="C9" s="70"/>
      <c r="D9" s="106">
        <v>83.772000000000006</v>
      </c>
      <c r="E9" s="107">
        <v>79.8</v>
      </c>
      <c r="F9" s="113">
        <v>11791776.902485659</v>
      </c>
      <c r="G9" s="113">
        <v>211140</v>
      </c>
      <c r="H9" s="114">
        <v>563040.00000000012</v>
      </c>
      <c r="I9" s="110">
        <v>11228736.902485659</v>
      </c>
      <c r="J9" s="115" t="s">
        <v>914</v>
      </c>
    </row>
    <row r="10" spans="1:10" ht="13.95" hidden="1" customHeight="1" outlineLevel="3" x14ac:dyDescent="0.3">
      <c r="A10" s="103" t="s">
        <v>921</v>
      </c>
      <c r="B10" s="104" t="s">
        <v>922</v>
      </c>
      <c r="C10" s="105"/>
      <c r="D10" s="106">
        <v>91.872</v>
      </c>
      <c r="E10" s="107">
        <v>87.9</v>
      </c>
      <c r="F10" s="108">
        <v>10744896.94652654</v>
      </c>
      <c r="G10" s="108">
        <v>175432.5</v>
      </c>
      <c r="H10" s="109">
        <v>467819.99999999988</v>
      </c>
      <c r="I10" s="110">
        <v>10277076.94652654</v>
      </c>
      <c r="J10" s="111" t="s">
        <v>914</v>
      </c>
    </row>
    <row r="11" spans="1:10" ht="13.95" hidden="1" customHeight="1" outlineLevel="3" x14ac:dyDescent="0.3">
      <c r="A11" s="112" t="s">
        <v>923</v>
      </c>
      <c r="B11" s="60" t="s">
        <v>924</v>
      </c>
      <c r="C11" s="70"/>
      <c r="D11" s="106">
        <v>58.23</v>
      </c>
      <c r="E11" s="107">
        <v>54.2</v>
      </c>
      <c r="F11" s="113">
        <v>10245592.83969466</v>
      </c>
      <c r="G11" s="113">
        <v>263925</v>
      </c>
      <c r="H11" s="114">
        <v>703800.00000000012</v>
      </c>
      <c r="I11" s="110">
        <v>9541792.8396946564</v>
      </c>
      <c r="J11" s="115" t="s">
        <v>914</v>
      </c>
    </row>
    <row r="12" spans="1:10" ht="13.95" hidden="1" customHeight="1" outlineLevel="3" x14ac:dyDescent="0.3">
      <c r="A12" s="103" t="s">
        <v>925</v>
      </c>
      <c r="B12" s="104" t="s">
        <v>926</v>
      </c>
      <c r="C12" s="105"/>
      <c r="D12" s="106">
        <v>22.484999999999999</v>
      </c>
      <c r="E12" s="107">
        <v>18.5</v>
      </c>
      <c r="F12" s="108">
        <v>7912517.872555092</v>
      </c>
      <c r="G12" s="108">
        <v>527850</v>
      </c>
      <c r="H12" s="109">
        <v>1407600</v>
      </c>
      <c r="I12" s="110">
        <v>6504917.872555092</v>
      </c>
      <c r="J12" s="111" t="s">
        <v>914</v>
      </c>
    </row>
    <row r="13" spans="1:10" ht="13.95" hidden="1" customHeight="1" outlineLevel="3" x14ac:dyDescent="0.3">
      <c r="A13" s="112" t="s">
        <v>927</v>
      </c>
      <c r="B13" s="60" t="s">
        <v>928</v>
      </c>
      <c r="C13" s="70"/>
      <c r="D13" s="106">
        <v>16.657</v>
      </c>
      <c r="E13" s="107">
        <v>12.7</v>
      </c>
      <c r="F13" s="113">
        <v>5914516</v>
      </c>
      <c r="G13" s="113">
        <v>513360</v>
      </c>
      <c r="H13" s="114">
        <v>1420296</v>
      </c>
      <c r="I13" s="110">
        <v>4494220</v>
      </c>
      <c r="J13" s="115" t="s">
        <v>914</v>
      </c>
    </row>
    <row r="14" spans="1:10" ht="13.95" hidden="1" customHeight="1" outlineLevel="3" x14ac:dyDescent="0.3">
      <c r="A14" s="103" t="s">
        <v>929</v>
      </c>
      <c r="B14" s="104" t="s">
        <v>930</v>
      </c>
      <c r="C14" s="105"/>
      <c r="D14" s="116">
        <v>9.3529999999999998</v>
      </c>
      <c r="E14" s="117">
        <v>5.4</v>
      </c>
      <c r="F14" s="108">
        <v>6324057</v>
      </c>
      <c r="G14" s="108">
        <v>1273050</v>
      </c>
      <c r="H14" s="109">
        <v>2704524</v>
      </c>
      <c r="I14" s="118">
        <v>3619533</v>
      </c>
      <c r="J14" s="111" t="s">
        <v>914</v>
      </c>
    </row>
    <row r="15" spans="1:10" ht="13.95" hidden="1" customHeight="1" outlineLevel="3" x14ac:dyDescent="0.3">
      <c r="A15" s="112" t="s">
        <v>931</v>
      </c>
      <c r="B15" s="60" t="s">
        <v>96</v>
      </c>
      <c r="C15" s="70"/>
      <c r="D15" s="106">
        <v>13.378</v>
      </c>
      <c r="E15" s="107">
        <v>9.4</v>
      </c>
      <c r="F15" s="113">
        <v>3102042</v>
      </c>
      <c r="G15" s="113">
        <v>415104</v>
      </c>
      <c r="H15" s="114">
        <v>927498</v>
      </c>
      <c r="I15" s="110">
        <v>2174544</v>
      </c>
      <c r="J15" s="119" t="s">
        <v>932</v>
      </c>
    </row>
    <row r="16" spans="1:10" ht="13.95" hidden="1" customHeight="1" outlineLevel="3" x14ac:dyDescent="0.3">
      <c r="A16" s="103" t="s">
        <v>933</v>
      </c>
      <c r="B16" s="104" t="s">
        <v>93</v>
      </c>
      <c r="C16" s="105"/>
      <c r="D16" s="116">
        <v>10.967000000000001</v>
      </c>
      <c r="E16" s="117">
        <v>7</v>
      </c>
      <c r="F16" s="108">
        <v>3325336</v>
      </c>
      <c r="G16" s="108">
        <v>552931.5</v>
      </c>
      <c r="H16" s="109">
        <v>1212882</v>
      </c>
      <c r="I16" s="118">
        <v>2112454</v>
      </c>
      <c r="J16" s="119" t="s">
        <v>932</v>
      </c>
    </row>
    <row r="17" spans="1:10" ht="13.95" hidden="1" customHeight="1" outlineLevel="3" x14ac:dyDescent="0.3">
      <c r="A17" s="112" t="s">
        <v>934</v>
      </c>
      <c r="B17" s="60" t="s">
        <v>935</v>
      </c>
      <c r="C17" s="70"/>
      <c r="D17" s="120">
        <v>6.6239999999999997</v>
      </c>
      <c r="E17" s="121">
        <v>2.6</v>
      </c>
      <c r="F17" s="113">
        <v>1133560</v>
      </c>
      <c r="G17" s="113">
        <v>237429</v>
      </c>
      <c r="H17" s="114">
        <v>684479.99999999988</v>
      </c>
      <c r="I17" s="122">
        <v>449080.00000000012</v>
      </c>
      <c r="J17" s="115" t="s">
        <v>914</v>
      </c>
    </row>
    <row r="18" spans="1:10" ht="16.05" hidden="1" customHeight="1" outlineLevel="2" x14ac:dyDescent="0.3">
      <c r="A18" s="97" t="s">
        <v>936</v>
      </c>
      <c r="B18" s="98"/>
      <c r="C18" s="99">
        <v>7</v>
      </c>
      <c r="D18" s="98"/>
      <c r="E18" s="98"/>
      <c r="F18" s="100">
        <v>47706178.45630274</v>
      </c>
      <c r="G18" s="101">
        <v>1525262.94</v>
      </c>
      <c r="H18" s="101">
        <v>6101051.7599999998</v>
      </c>
      <c r="I18" s="100">
        <v>41605126.696302742</v>
      </c>
      <c r="J18" s="102" t="s">
        <v>937</v>
      </c>
    </row>
    <row r="19" spans="1:10" ht="13.95" hidden="1" customHeight="1" outlineLevel="3" x14ac:dyDescent="0.3">
      <c r="A19" s="103" t="s">
        <v>938</v>
      </c>
      <c r="B19" s="104" t="s">
        <v>105</v>
      </c>
      <c r="C19" s="105"/>
      <c r="D19" s="106">
        <v>54.929000000000002</v>
      </c>
      <c r="E19" s="107">
        <v>50.9</v>
      </c>
      <c r="F19" s="108">
        <v>12522536</v>
      </c>
      <c r="G19" s="108">
        <v>455952</v>
      </c>
      <c r="H19" s="109">
        <v>911904</v>
      </c>
      <c r="I19" s="110">
        <v>11610632</v>
      </c>
      <c r="J19" s="119" t="s">
        <v>932</v>
      </c>
    </row>
    <row r="20" spans="1:10" ht="13.95" hidden="1" customHeight="1" outlineLevel="3" x14ac:dyDescent="0.3">
      <c r="A20" s="112" t="s">
        <v>939</v>
      </c>
      <c r="B20" s="60" t="s">
        <v>102</v>
      </c>
      <c r="C20" s="70"/>
      <c r="D20" s="106">
        <v>37.226999999999997</v>
      </c>
      <c r="E20" s="107">
        <v>33.200000000000003</v>
      </c>
      <c r="F20" s="113">
        <v>12124239.75683371</v>
      </c>
      <c r="G20" s="113">
        <v>651360</v>
      </c>
      <c r="H20" s="114">
        <v>1302720</v>
      </c>
      <c r="I20" s="110">
        <v>10821519.75683371</v>
      </c>
      <c r="J20" s="119" t="s">
        <v>932</v>
      </c>
    </row>
    <row r="21" spans="1:10" ht="13.95" hidden="1" customHeight="1" outlineLevel="3" x14ac:dyDescent="0.3">
      <c r="A21" s="103" t="s">
        <v>940</v>
      </c>
      <c r="B21" s="104" t="s">
        <v>99</v>
      </c>
      <c r="C21" s="105"/>
      <c r="D21" s="106">
        <v>64.304000000000002</v>
      </c>
      <c r="E21" s="107">
        <v>60.3</v>
      </c>
      <c r="F21" s="108">
        <v>10471315</v>
      </c>
      <c r="G21" s="108">
        <v>325680</v>
      </c>
      <c r="H21" s="109">
        <v>651360</v>
      </c>
      <c r="I21" s="110">
        <v>9819955</v>
      </c>
      <c r="J21" s="119" t="s">
        <v>932</v>
      </c>
    </row>
    <row r="22" spans="1:10" ht="13.95" hidden="1" customHeight="1" outlineLevel="3" x14ac:dyDescent="0.3">
      <c r="A22" s="112" t="s">
        <v>941</v>
      </c>
      <c r="B22" s="60" t="s">
        <v>942</v>
      </c>
      <c r="C22" s="70"/>
      <c r="D22" s="106">
        <v>16.97</v>
      </c>
      <c r="E22" s="107">
        <v>13</v>
      </c>
      <c r="F22" s="113">
        <v>8290379.6994690262</v>
      </c>
      <c r="G22" s="113">
        <v>977040</v>
      </c>
      <c r="H22" s="114">
        <v>1954080</v>
      </c>
      <c r="I22" s="110">
        <v>6336299.6994690262</v>
      </c>
      <c r="J22" s="115" t="s">
        <v>914</v>
      </c>
    </row>
    <row r="23" spans="1:10" ht="13.95" hidden="1" customHeight="1" outlineLevel="3" x14ac:dyDescent="0.3">
      <c r="A23" s="103" t="s">
        <v>943</v>
      </c>
      <c r="B23" s="104" t="s">
        <v>944</v>
      </c>
      <c r="C23" s="105"/>
      <c r="D23" s="106">
        <v>18.312000000000001</v>
      </c>
      <c r="E23" s="107">
        <v>14.3</v>
      </c>
      <c r="F23" s="108">
        <v>2456262</v>
      </c>
      <c r="G23" s="108">
        <v>201204</v>
      </c>
      <c r="H23" s="109">
        <v>536544</v>
      </c>
      <c r="I23" s="110">
        <v>1919718</v>
      </c>
      <c r="J23" s="111" t="s">
        <v>914</v>
      </c>
    </row>
    <row r="24" spans="1:10" ht="13.95" hidden="1" customHeight="1" outlineLevel="3" x14ac:dyDescent="0.3">
      <c r="A24" s="112" t="s">
        <v>945</v>
      </c>
      <c r="B24" s="60" t="s">
        <v>946</v>
      </c>
      <c r="C24" s="70"/>
      <c r="D24" s="106">
        <v>16.341999999999999</v>
      </c>
      <c r="E24" s="107">
        <v>12.3</v>
      </c>
      <c r="F24" s="113">
        <v>726442</v>
      </c>
      <c r="G24" s="113">
        <v>78534.070000000007</v>
      </c>
      <c r="H24" s="114">
        <v>177813</v>
      </c>
      <c r="I24" s="110">
        <v>548629</v>
      </c>
      <c r="J24" s="115" t="s">
        <v>914</v>
      </c>
    </row>
    <row r="25" spans="1:10" ht="13.95" hidden="1" customHeight="1" outlineLevel="3" x14ac:dyDescent="0.3">
      <c r="A25" s="103" t="s">
        <v>947</v>
      </c>
      <c r="B25" s="104" t="s">
        <v>948</v>
      </c>
      <c r="C25" s="105"/>
      <c r="D25" s="120">
        <v>7.8710000000000004</v>
      </c>
      <c r="E25" s="121">
        <v>3.9</v>
      </c>
      <c r="F25" s="108">
        <v>1115004</v>
      </c>
      <c r="G25" s="108">
        <v>184629.16</v>
      </c>
      <c r="H25" s="109">
        <v>566630.75999999989</v>
      </c>
      <c r="I25" s="122">
        <v>548373.24000000011</v>
      </c>
      <c r="J25" s="111" t="s">
        <v>914</v>
      </c>
    </row>
    <row r="26" spans="1:10" ht="16.05" hidden="1" customHeight="1" outlineLevel="1" collapsed="1" x14ac:dyDescent="0.3">
      <c r="A26" s="91" t="s">
        <v>949</v>
      </c>
      <c r="B26" s="92"/>
      <c r="C26" s="93">
        <v>17</v>
      </c>
      <c r="D26" s="92"/>
      <c r="E26" s="92"/>
      <c r="F26" s="94">
        <v>17255587</v>
      </c>
      <c r="G26" s="95">
        <v>1875882.99</v>
      </c>
      <c r="H26" s="95">
        <v>7503531.959999999</v>
      </c>
      <c r="I26" s="94">
        <v>9752055.040000001</v>
      </c>
      <c r="J26" s="96" t="s">
        <v>950</v>
      </c>
    </row>
    <row r="27" spans="1:10" ht="16.05" hidden="1" customHeight="1" outlineLevel="2" x14ac:dyDescent="0.3">
      <c r="A27" s="97" t="s">
        <v>951</v>
      </c>
      <c r="B27" s="98"/>
      <c r="C27" s="99">
        <v>10</v>
      </c>
      <c r="D27" s="98"/>
      <c r="E27" s="98"/>
      <c r="F27" s="100">
        <v>8832735</v>
      </c>
      <c r="G27" s="101">
        <v>1018929.21</v>
      </c>
      <c r="H27" s="101">
        <v>4075716.84</v>
      </c>
      <c r="I27" s="100">
        <v>4757018.16</v>
      </c>
      <c r="J27" s="102" t="s">
        <v>952</v>
      </c>
    </row>
    <row r="28" spans="1:10" ht="13.95" hidden="1" customHeight="1" outlineLevel="3" x14ac:dyDescent="0.3">
      <c r="A28" s="103" t="s">
        <v>953</v>
      </c>
      <c r="B28" s="104" t="s">
        <v>954</v>
      </c>
      <c r="C28" s="105"/>
      <c r="D28" s="106">
        <v>22.614000000000001</v>
      </c>
      <c r="E28" s="107">
        <v>18.600000000000001</v>
      </c>
      <c r="F28" s="108">
        <v>1820016</v>
      </c>
      <c r="G28" s="108">
        <v>224553.60000000001</v>
      </c>
      <c r="H28" s="109">
        <v>321926.40000000002</v>
      </c>
      <c r="I28" s="110">
        <v>1498089.6</v>
      </c>
      <c r="J28" s="111" t="s">
        <v>914</v>
      </c>
    </row>
    <row r="29" spans="1:10" ht="13.95" hidden="1" customHeight="1" outlineLevel="3" x14ac:dyDescent="0.3">
      <c r="A29" s="112" t="s">
        <v>955</v>
      </c>
      <c r="B29" s="60" t="s">
        <v>956</v>
      </c>
      <c r="C29" s="70"/>
      <c r="D29" s="120">
        <v>6.4039999999999999</v>
      </c>
      <c r="E29" s="121">
        <v>2.4</v>
      </c>
      <c r="F29" s="113">
        <v>2082075</v>
      </c>
      <c r="G29" s="113">
        <v>497490</v>
      </c>
      <c r="H29" s="114">
        <v>1300581</v>
      </c>
      <c r="I29" s="122">
        <v>781494</v>
      </c>
      <c r="J29" s="115" t="s">
        <v>914</v>
      </c>
    </row>
    <row r="30" spans="1:10" ht="13.95" hidden="1" customHeight="1" outlineLevel="3" x14ac:dyDescent="0.3">
      <c r="A30" s="103" t="s">
        <v>957</v>
      </c>
      <c r="B30" s="104" t="s">
        <v>958</v>
      </c>
      <c r="C30" s="105"/>
      <c r="D30" s="106">
        <v>15.276</v>
      </c>
      <c r="E30" s="107">
        <v>11.3</v>
      </c>
      <c r="F30" s="108">
        <v>884152</v>
      </c>
      <c r="G30" s="108">
        <v>118735.2</v>
      </c>
      <c r="H30" s="109">
        <v>231508.8</v>
      </c>
      <c r="I30" s="110">
        <v>652643.20000000007</v>
      </c>
      <c r="J30" s="111" t="s">
        <v>914</v>
      </c>
    </row>
    <row r="31" spans="1:10" ht="13.95" hidden="1" customHeight="1" outlineLevel="3" x14ac:dyDescent="0.3">
      <c r="A31" s="112" t="s">
        <v>959</v>
      </c>
      <c r="B31" s="60" t="s">
        <v>960</v>
      </c>
      <c r="C31" s="70"/>
      <c r="D31" s="116">
        <v>9.4480000000000004</v>
      </c>
      <c r="E31" s="117">
        <v>5.4</v>
      </c>
      <c r="F31" s="113">
        <v>903096</v>
      </c>
      <c r="G31" s="113">
        <v>209848.32000000001</v>
      </c>
      <c r="H31" s="114">
        <v>382337.28000000003</v>
      </c>
      <c r="I31" s="118">
        <v>520758.72</v>
      </c>
      <c r="J31" s="115" t="s">
        <v>914</v>
      </c>
    </row>
    <row r="32" spans="1:10" ht="13.95" hidden="1" customHeight="1" outlineLevel="3" x14ac:dyDescent="0.3">
      <c r="A32" s="103" t="s">
        <v>961</v>
      </c>
      <c r="B32" s="104" t="s">
        <v>407</v>
      </c>
      <c r="C32" s="105"/>
      <c r="D32" s="120">
        <v>6.5750000000000002</v>
      </c>
      <c r="E32" s="121">
        <v>2.6</v>
      </c>
      <c r="F32" s="108">
        <v>712635</v>
      </c>
      <c r="G32" s="108">
        <v>183526.2</v>
      </c>
      <c r="H32" s="109">
        <v>433540.8</v>
      </c>
      <c r="I32" s="122">
        <v>279094.2</v>
      </c>
      <c r="J32" s="119" t="s">
        <v>932</v>
      </c>
    </row>
    <row r="33" spans="1:10" ht="13.95" hidden="1" customHeight="1" outlineLevel="3" x14ac:dyDescent="0.3">
      <c r="A33" s="112" t="s">
        <v>962</v>
      </c>
      <c r="B33" s="60" t="s">
        <v>126</v>
      </c>
      <c r="C33" s="70"/>
      <c r="D33" s="120">
        <v>6.9749999999999996</v>
      </c>
      <c r="E33" s="121">
        <v>3</v>
      </c>
      <c r="F33" s="113">
        <v>594396</v>
      </c>
      <c r="G33" s="113">
        <v>125580</v>
      </c>
      <c r="H33" s="114">
        <v>340860</v>
      </c>
      <c r="I33" s="122">
        <v>253536</v>
      </c>
      <c r="J33" s="119" t="s">
        <v>932</v>
      </c>
    </row>
    <row r="34" spans="1:10" ht="13.95" hidden="1" customHeight="1" outlineLevel="3" x14ac:dyDescent="0.3">
      <c r="A34" s="103" t="s">
        <v>963</v>
      </c>
      <c r="B34" s="104" t="s">
        <v>410</v>
      </c>
      <c r="C34" s="105"/>
      <c r="D34" s="120">
        <v>6.0469999999999997</v>
      </c>
      <c r="E34" s="121">
        <v>2</v>
      </c>
      <c r="F34" s="108">
        <v>729980</v>
      </c>
      <c r="G34" s="108">
        <v>200210.4</v>
      </c>
      <c r="H34" s="109">
        <v>482889.59999999992</v>
      </c>
      <c r="I34" s="122">
        <v>247090.40000000011</v>
      </c>
      <c r="J34" s="119" t="s">
        <v>932</v>
      </c>
    </row>
    <row r="35" spans="1:10" ht="13.95" hidden="1" customHeight="1" outlineLevel="3" x14ac:dyDescent="0.3">
      <c r="A35" s="112" t="s">
        <v>964</v>
      </c>
      <c r="B35" s="60" t="s">
        <v>965</v>
      </c>
      <c r="C35" s="70"/>
      <c r="D35" s="106">
        <v>12.115</v>
      </c>
      <c r="E35" s="107">
        <v>8.1</v>
      </c>
      <c r="F35" s="113">
        <v>351089</v>
      </c>
      <c r="G35" s="113">
        <v>53130</v>
      </c>
      <c r="H35" s="114">
        <v>115920</v>
      </c>
      <c r="I35" s="110">
        <v>235169</v>
      </c>
      <c r="J35" s="115" t="s">
        <v>914</v>
      </c>
    </row>
    <row r="36" spans="1:10" ht="13.95" hidden="1" customHeight="1" outlineLevel="3" x14ac:dyDescent="0.3">
      <c r="A36" s="103" t="s">
        <v>966</v>
      </c>
      <c r="B36" s="104" t="s">
        <v>967</v>
      </c>
      <c r="C36" s="105"/>
      <c r="D36" s="120">
        <v>6.2290000000000001</v>
      </c>
      <c r="E36" s="121">
        <v>2.2000000000000002</v>
      </c>
      <c r="F36" s="108">
        <v>431052</v>
      </c>
      <c r="G36" s="108">
        <v>127578.24000000001</v>
      </c>
      <c r="H36" s="109">
        <v>276816.96000000002</v>
      </c>
      <c r="I36" s="122">
        <v>154235.04</v>
      </c>
      <c r="J36" s="111" t="s">
        <v>914</v>
      </c>
    </row>
    <row r="37" spans="1:10" ht="13.95" hidden="1" customHeight="1" outlineLevel="3" x14ac:dyDescent="0.3">
      <c r="A37" s="112" t="s">
        <v>968</v>
      </c>
      <c r="B37" s="60" t="s">
        <v>278</v>
      </c>
      <c r="C37" s="70"/>
      <c r="D37" s="120">
        <v>6.85</v>
      </c>
      <c r="E37" s="121">
        <v>2.8</v>
      </c>
      <c r="F37" s="113">
        <v>324244</v>
      </c>
      <c r="G37" s="113">
        <v>78246</v>
      </c>
      <c r="H37" s="114">
        <v>189336</v>
      </c>
      <c r="I37" s="122">
        <v>134908</v>
      </c>
      <c r="J37" s="119" t="s">
        <v>932</v>
      </c>
    </row>
    <row r="38" spans="1:10" ht="16.05" hidden="1" customHeight="1" outlineLevel="2" x14ac:dyDescent="0.3">
      <c r="A38" s="97" t="s">
        <v>969</v>
      </c>
      <c r="B38" s="98"/>
      <c r="C38" s="99">
        <v>3</v>
      </c>
      <c r="D38" s="98"/>
      <c r="E38" s="98"/>
      <c r="F38" s="100">
        <v>6045570</v>
      </c>
      <c r="G38" s="101">
        <v>660743.99999999988</v>
      </c>
      <c r="H38" s="101">
        <v>2642976</v>
      </c>
      <c r="I38" s="100">
        <v>3402594</v>
      </c>
      <c r="J38" s="102" t="s">
        <v>970</v>
      </c>
    </row>
    <row r="39" spans="1:10" ht="13.95" hidden="1" customHeight="1" outlineLevel="3" x14ac:dyDescent="0.3">
      <c r="A39" s="103" t="s">
        <v>971</v>
      </c>
      <c r="B39" s="104" t="s">
        <v>972</v>
      </c>
      <c r="C39" s="105"/>
      <c r="D39" s="106">
        <v>19.46</v>
      </c>
      <c r="E39" s="107">
        <v>15.5</v>
      </c>
      <c r="F39" s="108">
        <v>2453154</v>
      </c>
      <c r="G39" s="108">
        <v>176053.5</v>
      </c>
      <c r="H39" s="109">
        <v>504251.99999999988</v>
      </c>
      <c r="I39" s="110">
        <v>1948902</v>
      </c>
      <c r="J39" s="111" t="s">
        <v>914</v>
      </c>
    </row>
    <row r="40" spans="1:10" ht="13.95" hidden="1" customHeight="1" outlineLevel="3" x14ac:dyDescent="0.3">
      <c r="A40" s="112" t="s">
        <v>973</v>
      </c>
      <c r="B40" s="60" t="s">
        <v>380</v>
      </c>
      <c r="C40" s="70"/>
      <c r="D40" s="120">
        <v>6.7859999999999996</v>
      </c>
      <c r="E40" s="121">
        <v>2.8</v>
      </c>
      <c r="F40" s="113">
        <v>2256718</v>
      </c>
      <c r="G40" s="113">
        <v>430353</v>
      </c>
      <c r="H40" s="114">
        <v>1330182</v>
      </c>
      <c r="I40" s="122">
        <v>926536.00000000023</v>
      </c>
      <c r="J40" s="119" t="s">
        <v>932</v>
      </c>
    </row>
    <row r="41" spans="1:10" ht="13.95" hidden="1" customHeight="1" outlineLevel="3" x14ac:dyDescent="0.3">
      <c r="A41" s="103" t="s">
        <v>974</v>
      </c>
      <c r="B41" s="104" t="s">
        <v>383</v>
      </c>
      <c r="C41" s="105"/>
      <c r="D41" s="120">
        <v>6.6079999999999997</v>
      </c>
      <c r="E41" s="121">
        <v>2.6</v>
      </c>
      <c r="F41" s="108">
        <v>1335698</v>
      </c>
      <c r="G41" s="108">
        <v>323851.5</v>
      </c>
      <c r="H41" s="109">
        <v>808541.99999999988</v>
      </c>
      <c r="I41" s="122">
        <v>527156.00000000012</v>
      </c>
      <c r="J41" s="119" t="s">
        <v>932</v>
      </c>
    </row>
    <row r="42" spans="1:10" ht="16.05" hidden="1" customHeight="1" outlineLevel="2" x14ac:dyDescent="0.3">
      <c r="A42" s="97" t="s">
        <v>975</v>
      </c>
      <c r="B42" s="98"/>
      <c r="C42" s="99">
        <v>4</v>
      </c>
      <c r="D42" s="98"/>
      <c r="E42" s="98"/>
      <c r="F42" s="100">
        <v>2377282</v>
      </c>
      <c r="G42" s="101">
        <v>196209.78</v>
      </c>
      <c r="H42" s="101">
        <v>784839.12</v>
      </c>
      <c r="I42" s="100">
        <v>1592442.8799999999</v>
      </c>
      <c r="J42" s="102" t="s">
        <v>976</v>
      </c>
    </row>
    <row r="43" spans="1:10" ht="13.95" hidden="1" customHeight="1" outlineLevel="3" x14ac:dyDescent="0.3">
      <c r="A43" s="103" t="s">
        <v>977</v>
      </c>
      <c r="B43" s="104" t="s">
        <v>978</v>
      </c>
      <c r="C43" s="105"/>
      <c r="D43" s="106">
        <v>19.754000000000001</v>
      </c>
      <c r="E43" s="107">
        <v>15.8</v>
      </c>
      <c r="F43" s="108">
        <v>739449</v>
      </c>
      <c r="G43" s="108">
        <v>41745</v>
      </c>
      <c r="H43" s="109">
        <v>149730</v>
      </c>
      <c r="I43" s="110">
        <v>589719</v>
      </c>
      <c r="J43" s="111" t="s">
        <v>914</v>
      </c>
    </row>
    <row r="44" spans="1:10" ht="13.95" hidden="1" customHeight="1" outlineLevel="3" x14ac:dyDescent="0.3">
      <c r="A44" s="112" t="s">
        <v>979</v>
      </c>
      <c r="B44" s="60" t="s">
        <v>138</v>
      </c>
      <c r="C44" s="70"/>
      <c r="D44" s="116">
        <v>9.7210000000000001</v>
      </c>
      <c r="E44" s="117">
        <v>5.7</v>
      </c>
      <c r="F44" s="113">
        <v>616140</v>
      </c>
      <c r="G44" s="113">
        <v>110201.28</v>
      </c>
      <c r="H44" s="114">
        <v>253539.12</v>
      </c>
      <c r="I44" s="118">
        <v>362600.88</v>
      </c>
      <c r="J44" s="119" t="s">
        <v>932</v>
      </c>
    </row>
    <row r="45" spans="1:10" ht="13.95" hidden="1" customHeight="1" outlineLevel="3" x14ac:dyDescent="0.3">
      <c r="A45" s="103" t="s">
        <v>980</v>
      </c>
      <c r="B45" s="104" t="s">
        <v>981</v>
      </c>
      <c r="C45" s="105"/>
      <c r="D45" s="116">
        <v>10.670999999999999</v>
      </c>
      <c r="E45" s="117">
        <v>6.7</v>
      </c>
      <c r="F45" s="108">
        <v>539319</v>
      </c>
      <c r="G45" s="108">
        <v>54855</v>
      </c>
      <c r="H45" s="109">
        <v>202170</v>
      </c>
      <c r="I45" s="118">
        <v>337149</v>
      </c>
      <c r="J45" s="111" t="s">
        <v>914</v>
      </c>
    </row>
    <row r="46" spans="1:10" ht="13.95" hidden="1" customHeight="1" outlineLevel="3" x14ac:dyDescent="0.3">
      <c r="A46" s="112" t="s">
        <v>982</v>
      </c>
      <c r="B46" s="60" t="s">
        <v>123</v>
      </c>
      <c r="C46" s="70"/>
      <c r="D46" s="116">
        <v>10.755000000000001</v>
      </c>
      <c r="E46" s="117">
        <v>6.8</v>
      </c>
      <c r="F46" s="113">
        <v>482374</v>
      </c>
      <c r="G46" s="113">
        <v>60375</v>
      </c>
      <c r="H46" s="114">
        <v>179400</v>
      </c>
      <c r="I46" s="118">
        <v>302974</v>
      </c>
      <c r="J46" s="119" t="s">
        <v>932</v>
      </c>
    </row>
    <row r="47" spans="1:10" ht="16.05" hidden="1" customHeight="1" outlineLevel="1" collapsed="1" x14ac:dyDescent="0.3">
      <c r="A47" s="91" t="s">
        <v>983</v>
      </c>
      <c r="B47" s="92"/>
      <c r="C47" s="93">
        <v>6</v>
      </c>
      <c r="D47" s="92"/>
      <c r="E47" s="92"/>
      <c r="F47" s="94">
        <v>12537475</v>
      </c>
      <c r="G47" s="95">
        <v>1348191</v>
      </c>
      <c r="H47" s="95">
        <v>5392764</v>
      </c>
      <c r="I47" s="94">
        <v>7144711</v>
      </c>
      <c r="J47" s="96" t="s">
        <v>984</v>
      </c>
    </row>
    <row r="48" spans="1:10" ht="16.05" hidden="1" customHeight="1" outlineLevel="2" x14ac:dyDescent="0.3">
      <c r="A48" s="97" t="s">
        <v>985</v>
      </c>
      <c r="B48" s="98"/>
      <c r="C48" s="99">
        <v>3</v>
      </c>
      <c r="D48" s="98"/>
      <c r="E48" s="98"/>
      <c r="F48" s="100">
        <v>7198254</v>
      </c>
      <c r="G48" s="101">
        <v>623104.5</v>
      </c>
      <c r="H48" s="101">
        <v>2492418</v>
      </c>
      <c r="I48" s="100">
        <v>4705836</v>
      </c>
      <c r="J48" s="102" t="s">
        <v>185</v>
      </c>
    </row>
    <row r="49" spans="1:10" ht="13.95" hidden="1" customHeight="1" outlineLevel="3" x14ac:dyDescent="0.3">
      <c r="A49" s="103" t="s">
        <v>986</v>
      </c>
      <c r="B49" s="104" t="s">
        <v>987</v>
      </c>
      <c r="C49" s="105"/>
      <c r="D49" s="106">
        <v>22.539000000000001</v>
      </c>
      <c r="E49" s="107">
        <v>18.5</v>
      </c>
      <c r="F49" s="108">
        <v>3601890</v>
      </c>
      <c r="G49" s="108">
        <v>205344</v>
      </c>
      <c r="H49" s="109">
        <v>639215.99999999988</v>
      </c>
      <c r="I49" s="110">
        <v>2962674</v>
      </c>
      <c r="J49" s="111" t="s">
        <v>914</v>
      </c>
    </row>
    <row r="50" spans="1:10" ht="13.95" hidden="1" customHeight="1" outlineLevel="3" x14ac:dyDescent="0.3">
      <c r="A50" s="112" t="s">
        <v>988</v>
      </c>
      <c r="B50" s="60" t="s">
        <v>989</v>
      </c>
      <c r="C50" s="70"/>
      <c r="D50" s="120">
        <v>7.7210000000000001</v>
      </c>
      <c r="E50" s="121">
        <v>3.7</v>
      </c>
      <c r="F50" s="113">
        <v>1898715</v>
      </c>
      <c r="G50" s="113">
        <v>302927.25</v>
      </c>
      <c r="H50" s="114">
        <v>983622.6</v>
      </c>
      <c r="I50" s="122">
        <v>915092.4</v>
      </c>
      <c r="J50" s="115" t="s">
        <v>914</v>
      </c>
    </row>
    <row r="51" spans="1:10" ht="13.95" hidden="1" customHeight="1" outlineLevel="3" x14ac:dyDescent="0.3">
      <c r="A51" s="103" t="s">
        <v>990</v>
      </c>
      <c r="B51" s="104" t="s">
        <v>991</v>
      </c>
      <c r="C51" s="105"/>
      <c r="D51" s="120">
        <v>7.8090000000000002</v>
      </c>
      <c r="E51" s="121">
        <v>3.8</v>
      </c>
      <c r="F51" s="108">
        <v>1697649</v>
      </c>
      <c r="G51" s="108">
        <v>306491.09999999998</v>
      </c>
      <c r="H51" s="109">
        <v>869579.4</v>
      </c>
      <c r="I51" s="122">
        <v>828069.6</v>
      </c>
      <c r="J51" s="111" t="s">
        <v>914</v>
      </c>
    </row>
    <row r="52" spans="1:10" ht="16.05" hidden="1" customHeight="1" outlineLevel="2" x14ac:dyDescent="0.3">
      <c r="A52" s="97" t="s">
        <v>992</v>
      </c>
      <c r="B52" s="98"/>
      <c r="C52" s="99">
        <v>1</v>
      </c>
      <c r="D52" s="98"/>
      <c r="E52" s="98"/>
      <c r="F52" s="100">
        <v>3008647</v>
      </c>
      <c r="G52" s="101">
        <v>432215.99999999988</v>
      </c>
      <c r="H52" s="101">
        <v>1728864</v>
      </c>
      <c r="I52" s="100">
        <v>1279783</v>
      </c>
      <c r="J52" s="102" t="s">
        <v>185</v>
      </c>
    </row>
    <row r="53" spans="1:10" ht="13.95" hidden="1" customHeight="1" outlineLevel="3" x14ac:dyDescent="0.3">
      <c r="A53" s="103" t="s">
        <v>993</v>
      </c>
      <c r="B53" s="104" t="s">
        <v>994</v>
      </c>
      <c r="C53" s="105"/>
      <c r="D53" s="120">
        <v>6.9610000000000003</v>
      </c>
      <c r="E53" s="121">
        <v>3</v>
      </c>
      <c r="F53" s="108">
        <v>3008647</v>
      </c>
      <c r="G53" s="108">
        <v>672336</v>
      </c>
      <c r="H53" s="109">
        <v>1728864</v>
      </c>
      <c r="I53" s="122">
        <v>1279783</v>
      </c>
      <c r="J53" s="111" t="s">
        <v>914</v>
      </c>
    </row>
    <row r="54" spans="1:10" ht="16.05" hidden="1" customHeight="1" outlineLevel="2" x14ac:dyDescent="0.3">
      <c r="A54" s="97" t="s">
        <v>995</v>
      </c>
      <c r="B54" s="98"/>
      <c r="C54" s="99">
        <v>1</v>
      </c>
      <c r="D54" s="98"/>
      <c r="E54" s="98"/>
      <c r="F54" s="100">
        <v>1251906</v>
      </c>
      <c r="G54" s="101">
        <v>141070.5</v>
      </c>
      <c r="H54" s="101">
        <v>564282</v>
      </c>
      <c r="I54" s="100">
        <v>687624</v>
      </c>
      <c r="J54" s="102" t="s">
        <v>185</v>
      </c>
    </row>
    <row r="55" spans="1:10" ht="13.95" hidden="1" customHeight="1" outlineLevel="3" x14ac:dyDescent="0.3">
      <c r="A55" s="103" t="s">
        <v>996</v>
      </c>
      <c r="B55" s="104" t="s">
        <v>997</v>
      </c>
      <c r="C55" s="105"/>
      <c r="D55" s="116">
        <v>8.8740000000000006</v>
      </c>
      <c r="E55" s="117">
        <v>4.9000000000000004</v>
      </c>
      <c r="F55" s="108">
        <v>1251906</v>
      </c>
      <c r="G55" s="108">
        <v>275655</v>
      </c>
      <c r="H55" s="109">
        <v>564282</v>
      </c>
      <c r="I55" s="118">
        <v>687624</v>
      </c>
      <c r="J55" s="111" t="s">
        <v>914</v>
      </c>
    </row>
    <row r="56" spans="1:10" ht="16.05" hidden="1" customHeight="1" outlineLevel="2" x14ac:dyDescent="0.3">
      <c r="A56" s="97" t="s">
        <v>998</v>
      </c>
      <c r="B56" s="98"/>
      <c r="C56" s="99">
        <v>1</v>
      </c>
      <c r="D56" s="98"/>
      <c r="E56" s="98"/>
      <c r="F56" s="100">
        <v>1078668</v>
      </c>
      <c r="G56" s="101">
        <v>151800</v>
      </c>
      <c r="H56" s="101">
        <v>607200</v>
      </c>
      <c r="I56" s="100">
        <v>471468</v>
      </c>
      <c r="J56" s="102" t="s">
        <v>999</v>
      </c>
    </row>
    <row r="57" spans="1:10" ht="13.95" hidden="1" customHeight="1" outlineLevel="3" x14ac:dyDescent="0.3">
      <c r="A57" s="103" t="s">
        <v>1000</v>
      </c>
      <c r="B57" s="104" t="s">
        <v>421</v>
      </c>
      <c r="C57" s="105"/>
      <c r="D57" s="120">
        <v>7.1059999999999999</v>
      </c>
      <c r="E57" s="121">
        <v>3.1</v>
      </c>
      <c r="F57" s="108">
        <v>1078668</v>
      </c>
      <c r="G57" s="108">
        <v>232254</v>
      </c>
      <c r="H57" s="109">
        <v>607200</v>
      </c>
      <c r="I57" s="122">
        <v>471468</v>
      </c>
      <c r="J57" s="119" t="s">
        <v>932</v>
      </c>
    </row>
    <row r="58" spans="1:10" ht="16.05" hidden="1" customHeight="1" outlineLevel="1" collapsed="1" x14ac:dyDescent="0.3">
      <c r="A58" s="91" t="s">
        <v>1001</v>
      </c>
      <c r="B58" s="92"/>
      <c r="C58" s="93">
        <v>34</v>
      </c>
      <c r="D58" s="92"/>
      <c r="E58" s="92"/>
      <c r="F58" s="94">
        <v>12576143.5</v>
      </c>
      <c r="G58" s="95">
        <v>1403984.4</v>
      </c>
      <c r="H58" s="95">
        <v>5615937.5999999987</v>
      </c>
      <c r="I58" s="94">
        <v>6960205.8999999994</v>
      </c>
      <c r="J58" s="96" t="s">
        <v>185</v>
      </c>
    </row>
    <row r="59" spans="1:10" ht="16.05" hidden="1" customHeight="1" outlineLevel="2" x14ac:dyDescent="0.3">
      <c r="A59" s="97" t="s">
        <v>1002</v>
      </c>
      <c r="B59" s="98"/>
      <c r="C59" s="99">
        <v>16</v>
      </c>
      <c r="D59" s="98"/>
      <c r="E59" s="98"/>
      <c r="F59" s="100">
        <v>9469732.4999999981</v>
      </c>
      <c r="G59" s="101">
        <v>1270462.5</v>
      </c>
      <c r="H59" s="101">
        <v>5081849.9999999991</v>
      </c>
      <c r="I59" s="100">
        <v>4387882.4999999991</v>
      </c>
      <c r="J59" s="102" t="s">
        <v>185</v>
      </c>
    </row>
    <row r="60" spans="1:10" ht="13.95" hidden="1" customHeight="1" outlineLevel="3" x14ac:dyDescent="0.3">
      <c r="A60" s="103" t="s">
        <v>1003</v>
      </c>
      <c r="B60" s="104" t="s">
        <v>1004</v>
      </c>
      <c r="C60" s="105"/>
      <c r="D60" s="116">
        <v>8.3520000000000003</v>
      </c>
      <c r="E60" s="117">
        <v>4.4000000000000004</v>
      </c>
      <c r="F60" s="108">
        <v>1080540</v>
      </c>
      <c r="G60" s="108">
        <v>124200</v>
      </c>
      <c r="H60" s="109">
        <v>517499.99999999988</v>
      </c>
      <c r="I60" s="118">
        <v>563039.99999999977</v>
      </c>
      <c r="J60" s="111" t="s">
        <v>914</v>
      </c>
    </row>
    <row r="61" spans="1:10" ht="13.95" hidden="1" customHeight="1" outlineLevel="3" x14ac:dyDescent="0.3">
      <c r="A61" s="112" t="s">
        <v>1005</v>
      </c>
      <c r="B61" s="60" t="s">
        <v>1006</v>
      </c>
      <c r="C61" s="70"/>
      <c r="D61" s="120">
        <v>7.181</v>
      </c>
      <c r="E61" s="121">
        <v>3.2</v>
      </c>
      <c r="F61" s="113">
        <v>1170585</v>
      </c>
      <c r="G61" s="113">
        <v>139725</v>
      </c>
      <c r="H61" s="114">
        <v>652049.99999999988</v>
      </c>
      <c r="I61" s="122">
        <v>518534.99999999988</v>
      </c>
      <c r="J61" s="115" t="s">
        <v>914</v>
      </c>
    </row>
    <row r="62" spans="1:10" ht="13.95" hidden="1" customHeight="1" outlineLevel="3" x14ac:dyDescent="0.3">
      <c r="A62" s="103" t="s">
        <v>1007</v>
      </c>
      <c r="B62" s="104" t="s">
        <v>1008</v>
      </c>
      <c r="C62" s="105"/>
      <c r="D62" s="120">
        <v>7.3</v>
      </c>
      <c r="E62" s="121">
        <v>3.3</v>
      </c>
      <c r="F62" s="108">
        <v>1095547.5</v>
      </c>
      <c r="G62" s="108">
        <v>129375</v>
      </c>
      <c r="H62" s="109">
        <v>600299.99999999988</v>
      </c>
      <c r="I62" s="122">
        <v>495247.49999999988</v>
      </c>
      <c r="J62" s="111" t="s">
        <v>914</v>
      </c>
    </row>
    <row r="63" spans="1:10" ht="13.95" hidden="1" customHeight="1" outlineLevel="3" x14ac:dyDescent="0.3">
      <c r="A63" s="112" t="s">
        <v>1009</v>
      </c>
      <c r="B63" s="60" t="s">
        <v>1010</v>
      </c>
      <c r="C63" s="70"/>
      <c r="D63" s="120">
        <v>7.4820000000000002</v>
      </c>
      <c r="E63" s="121">
        <v>3.5</v>
      </c>
      <c r="F63" s="113">
        <v>967983.74999999988</v>
      </c>
      <c r="G63" s="113">
        <v>113850</v>
      </c>
      <c r="H63" s="114">
        <v>517499.99999999988</v>
      </c>
      <c r="I63" s="122">
        <v>450483.74999999988</v>
      </c>
      <c r="J63" s="115" t="s">
        <v>914</v>
      </c>
    </row>
    <row r="64" spans="1:10" ht="13.95" hidden="1" customHeight="1" outlineLevel="3" x14ac:dyDescent="0.3">
      <c r="A64" s="103" t="s">
        <v>1011</v>
      </c>
      <c r="B64" s="104" t="s">
        <v>1012</v>
      </c>
      <c r="C64" s="105"/>
      <c r="D64" s="120">
        <v>8.0229999999999997</v>
      </c>
      <c r="E64" s="121">
        <v>4</v>
      </c>
      <c r="F64" s="108">
        <v>622811.24999999988</v>
      </c>
      <c r="G64" s="108">
        <v>72450</v>
      </c>
      <c r="H64" s="109">
        <v>310499.99999999988</v>
      </c>
      <c r="I64" s="122">
        <v>312311.24999999988</v>
      </c>
      <c r="J64" s="111" t="s">
        <v>914</v>
      </c>
    </row>
    <row r="65" spans="1:10" ht="13.95" hidden="1" customHeight="1" outlineLevel="3" x14ac:dyDescent="0.3">
      <c r="A65" s="112" t="s">
        <v>1013</v>
      </c>
      <c r="B65" s="60" t="s">
        <v>1014</v>
      </c>
      <c r="C65" s="70"/>
      <c r="D65" s="120">
        <v>6.38</v>
      </c>
      <c r="E65" s="121">
        <v>2.4</v>
      </c>
      <c r="F65" s="113">
        <v>742871.24999999988</v>
      </c>
      <c r="G65" s="113">
        <v>95737.5</v>
      </c>
      <c r="H65" s="114">
        <v>465749.99999999988</v>
      </c>
      <c r="I65" s="122">
        <v>277121.24999999988</v>
      </c>
      <c r="J65" s="115" t="s">
        <v>914</v>
      </c>
    </row>
    <row r="66" spans="1:10" ht="13.95" hidden="1" customHeight="1" outlineLevel="3" x14ac:dyDescent="0.3">
      <c r="A66" s="103" t="s">
        <v>1015</v>
      </c>
      <c r="B66" s="104" t="s">
        <v>1016</v>
      </c>
      <c r="C66" s="105"/>
      <c r="D66" s="120">
        <v>7.8410000000000002</v>
      </c>
      <c r="E66" s="121">
        <v>3.8</v>
      </c>
      <c r="F66" s="108">
        <v>547773.74999999988</v>
      </c>
      <c r="G66" s="108">
        <v>67275</v>
      </c>
      <c r="H66" s="109">
        <v>279449.99999999988</v>
      </c>
      <c r="I66" s="122">
        <v>268323.74999999988</v>
      </c>
      <c r="J66" s="111" t="s">
        <v>914</v>
      </c>
    </row>
    <row r="67" spans="1:10" ht="13.95" hidden="1" customHeight="1" outlineLevel="3" x14ac:dyDescent="0.3">
      <c r="A67" s="112" t="s">
        <v>1017</v>
      </c>
      <c r="B67" s="60" t="s">
        <v>1018</v>
      </c>
      <c r="C67" s="70"/>
      <c r="D67" s="120">
        <v>7.9749999999999996</v>
      </c>
      <c r="E67" s="121">
        <v>4</v>
      </c>
      <c r="F67" s="113">
        <v>495247.49999999988</v>
      </c>
      <c r="G67" s="113">
        <v>56925</v>
      </c>
      <c r="H67" s="114">
        <v>248400</v>
      </c>
      <c r="I67" s="122">
        <v>246847.5</v>
      </c>
      <c r="J67" s="115" t="s">
        <v>914</v>
      </c>
    </row>
    <row r="68" spans="1:10" ht="13.95" hidden="1" customHeight="1" outlineLevel="3" x14ac:dyDescent="0.3">
      <c r="A68" s="103" t="s">
        <v>1019</v>
      </c>
      <c r="B68" s="104" t="s">
        <v>1020</v>
      </c>
      <c r="C68" s="105"/>
      <c r="D68" s="120">
        <v>6.4870000000000001</v>
      </c>
      <c r="E68" s="121">
        <v>2.5</v>
      </c>
      <c r="F68" s="108">
        <v>637818.74999999988</v>
      </c>
      <c r="G68" s="108">
        <v>82800</v>
      </c>
      <c r="H68" s="109">
        <v>393299.99999999988</v>
      </c>
      <c r="I68" s="122">
        <v>244518.74999999991</v>
      </c>
      <c r="J68" s="111" t="s">
        <v>914</v>
      </c>
    </row>
    <row r="69" spans="1:10" ht="13.95" hidden="1" customHeight="1" outlineLevel="3" x14ac:dyDescent="0.3">
      <c r="A69" s="112" t="s">
        <v>1021</v>
      </c>
      <c r="B69" s="60" t="s">
        <v>1022</v>
      </c>
      <c r="C69" s="70"/>
      <c r="D69" s="116">
        <v>8.5470000000000006</v>
      </c>
      <c r="E69" s="117">
        <v>4.5</v>
      </c>
      <c r="F69" s="113">
        <v>420209.99999999988</v>
      </c>
      <c r="G69" s="113">
        <v>49162.5</v>
      </c>
      <c r="H69" s="114">
        <v>196650</v>
      </c>
      <c r="I69" s="118">
        <v>223560</v>
      </c>
      <c r="J69" s="115" t="s">
        <v>914</v>
      </c>
    </row>
    <row r="70" spans="1:10" ht="13.95" hidden="1" customHeight="1" outlineLevel="3" x14ac:dyDescent="0.3">
      <c r="A70" s="103" t="s">
        <v>1023</v>
      </c>
      <c r="B70" s="104" t="s">
        <v>1024</v>
      </c>
      <c r="C70" s="105"/>
      <c r="D70" s="120">
        <v>7.3710000000000004</v>
      </c>
      <c r="E70" s="121">
        <v>3.4</v>
      </c>
      <c r="F70" s="108">
        <v>457728.74999999988</v>
      </c>
      <c r="G70" s="108">
        <v>56925</v>
      </c>
      <c r="H70" s="109">
        <v>248400</v>
      </c>
      <c r="I70" s="122">
        <v>209328.75</v>
      </c>
      <c r="J70" s="111" t="s">
        <v>914</v>
      </c>
    </row>
    <row r="71" spans="1:10" ht="13.95" hidden="1" customHeight="1" outlineLevel="3" x14ac:dyDescent="0.3">
      <c r="A71" s="112" t="s">
        <v>1025</v>
      </c>
      <c r="B71" s="60" t="s">
        <v>1026</v>
      </c>
      <c r="C71" s="70"/>
      <c r="D71" s="120">
        <v>7.25</v>
      </c>
      <c r="E71" s="121">
        <v>3.2</v>
      </c>
      <c r="F71" s="113">
        <v>337668.74999999988</v>
      </c>
      <c r="G71" s="113">
        <v>41400</v>
      </c>
      <c r="H71" s="114">
        <v>186300</v>
      </c>
      <c r="I71" s="122">
        <v>151368.75</v>
      </c>
      <c r="J71" s="115" t="s">
        <v>914</v>
      </c>
    </row>
    <row r="72" spans="1:10" ht="13.95" hidden="1" customHeight="1" outlineLevel="3" x14ac:dyDescent="0.3">
      <c r="A72" s="103" t="s">
        <v>1027</v>
      </c>
      <c r="B72" s="104" t="s">
        <v>1028</v>
      </c>
      <c r="C72" s="105"/>
      <c r="D72" s="116">
        <v>8.4770000000000003</v>
      </c>
      <c r="E72" s="117">
        <v>4.5</v>
      </c>
      <c r="F72" s="108">
        <v>285142.49999999988</v>
      </c>
      <c r="G72" s="108">
        <v>33637.5</v>
      </c>
      <c r="H72" s="109">
        <v>134550</v>
      </c>
      <c r="I72" s="118">
        <v>150592.5</v>
      </c>
      <c r="J72" s="111" t="s">
        <v>914</v>
      </c>
    </row>
    <row r="73" spans="1:10" ht="13.95" hidden="1" customHeight="1" outlineLevel="3" x14ac:dyDescent="0.3">
      <c r="A73" s="112" t="s">
        <v>1029</v>
      </c>
      <c r="B73" s="60" t="s">
        <v>1030</v>
      </c>
      <c r="C73" s="70"/>
      <c r="D73" s="116">
        <v>8.1199999999999992</v>
      </c>
      <c r="E73" s="117">
        <v>4.0999999999999996</v>
      </c>
      <c r="F73" s="113">
        <v>210105</v>
      </c>
      <c r="G73" s="113">
        <v>23287.5</v>
      </c>
      <c r="H73" s="114">
        <v>103500</v>
      </c>
      <c r="I73" s="118">
        <v>106605</v>
      </c>
      <c r="J73" s="115" t="s">
        <v>914</v>
      </c>
    </row>
    <row r="74" spans="1:10" ht="13.95" hidden="1" customHeight="1" outlineLevel="3" x14ac:dyDescent="0.3">
      <c r="A74" s="103" t="s">
        <v>1031</v>
      </c>
      <c r="B74" s="104" t="s">
        <v>1032</v>
      </c>
      <c r="C74" s="105"/>
      <c r="D74" s="120">
        <v>7.3819999999999997</v>
      </c>
      <c r="E74" s="121">
        <v>3.4</v>
      </c>
      <c r="F74" s="108">
        <v>210105</v>
      </c>
      <c r="G74" s="108">
        <v>23287.5</v>
      </c>
      <c r="H74" s="109">
        <v>113850</v>
      </c>
      <c r="I74" s="122">
        <v>96254.999999999985</v>
      </c>
      <c r="J74" s="111" t="s">
        <v>914</v>
      </c>
    </row>
    <row r="75" spans="1:10" ht="13.95" hidden="1" customHeight="1" outlineLevel="3" x14ac:dyDescent="0.3">
      <c r="A75" s="112" t="s">
        <v>1033</v>
      </c>
      <c r="B75" s="60" t="s">
        <v>1034</v>
      </c>
      <c r="C75" s="70"/>
      <c r="D75" s="120">
        <v>6.5910000000000002</v>
      </c>
      <c r="E75" s="121">
        <v>2.6</v>
      </c>
      <c r="F75" s="113">
        <v>187593.75</v>
      </c>
      <c r="G75" s="113">
        <v>23287.5</v>
      </c>
      <c r="H75" s="114">
        <v>113850</v>
      </c>
      <c r="I75" s="122">
        <v>73743.749999999985</v>
      </c>
      <c r="J75" s="115" t="s">
        <v>914</v>
      </c>
    </row>
    <row r="76" spans="1:10" ht="16.05" hidden="1" customHeight="1" outlineLevel="2" x14ac:dyDescent="0.3">
      <c r="A76" s="97" t="s">
        <v>1035</v>
      </c>
      <c r="B76" s="98"/>
      <c r="C76" s="99">
        <v>18</v>
      </c>
      <c r="D76" s="98"/>
      <c r="E76" s="98"/>
      <c r="F76" s="100">
        <v>3106411</v>
      </c>
      <c r="G76" s="101">
        <v>133521.9</v>
      </c>
      <c r="H76" s="101">
        <v>534087.6</v>
      </c>
      <c r="I76" s="100">
        <v>2572323.4</v>
      </c>
      <c r="J76" s="102" t="s">
        <v>185</v>
      </c>
    </row>
    <row r="77" spans="1:10" ht="13.95" hidden="1" customHeight="1" outlineLevel="3" x14ac:dyDescent="0.3">
      <c r="A77" s="103" t="s">
        <v>1036</v>
      </c>
      <c r="B77" s="104" t="s">
        <v>1037</v>
      </c>
      <c r="C77" s="105"/>
      <c r="D77" s="106">
        <v>29.491</v>
      </c>
      <c r="E77" s="107">
        <v>25.5</v>
      </c>
      <c r="F77" s="108">
        <v>252630</v>
      </c>
      <c r="G77" s="108">
        <v>15814.8</v>
      </c>
      <c r="H77" s="109">
        <v>34265.399999999987</v>
      </c>
      <c r="I77" s="110">
        <v>218364.6</v>
      </c>
      <c r="J77" s="111" t="s">
        <v>914</v>
      </c>
    </row>
    <row r="78" spans="1:10" ht="13.95" hidden="1" customHeight="1" outlineLevel="3" x14ac:dyDescent="0.3">
      <c r="A78" s="112" t="s">
        <v>1038</v>
      </c>
      <c r="B78" s="60" t="s">
        <v>1039</v>
      </c>
      <c r="C78" s="70"/>
      <c r="D78" s="106">
        <v>30.529</v>
      </c>
      <c r="E78" s="107">
        <v>26.5</v>
      </c>
      <c r="F78" s="113">
        <v>241402</v>
      </c>
      <c r="G78" s="113">
        <v>15814.8</v>
      </c>
      <c r="H78" s="114">
        <v>31629.599999999991</v>
      </c>
      <c r="I78" s="110">
        <v>209772.4</v>
      </c>
      <c r="J78" s="115" t="s">
        <v>914</v>
      </c>
    </row>
    <row r="79" spans="1:10" ht="13.95" hidden="1" customHeight="1" outlineLevel="3" x14ac:dyDescent="0.3">
      <c r="A79" s="103" t="s">
        <v>1040</v>
      </c>
      <c r="B79" s="104" t="s">
        <v>1041</v>
      </c>
      <c r="C79" s="105"/>
      <c r="D79" s="106">
        <v>28.18</v>
      </c>
      <c r="E79" s="107">
        <v>24.2</v>
      </c>
      <c r="F79" s="108">
        <v>241402</v>
      </c>
      <c r="G79" s="108">
        <v>15814.8</v>
      </c>
      <c r="H79" s="109">
        <v>34265.399999999987</v>
      </c>
      <c r="I79" s="110">
        <v>207136.6</v>
      </c>
      <c r="J79" s="111" t="s">
        <v>914</v>
      </c>
    </row>
    <row r="80" spans="1:10" ht="13.95" hidden="1" customHeight="1" outlineLevel="3" x14ac:dyDescent="0.3">
      <c r="A80" s="112" t="s">
        <v>1042</v>
      </c>
      <c r="B80" s="60" t="s">
        <v>1043</v>
      </c>
      <c r="C80" s="70"/>
      <c r="D80" s="106">
        <v>26.542000000000002</v>
      </c>
      <c r="E80" s="107">
        <v>22.5</v>
      </c>
      <c r="F80" s="113">
        <v>227367</v>
      </c>
      <c r="G80" s="113">
        <v>15814.8</v>
      </c>
      <c r="H80" s="114">
        <v>34265.399999999987</v>
      </c>
      <c r="I80" s="110">
        <v>193101.6</v>
      </c>
      <c r="J80" s="115" t="s">
        <v>914</v>
      </c>
    </row>
    <row r="81" spans="1:10" ht="13.95" hidden="1" customHeight="1" outlineLevel="3" x14ac:dyDescent="0.3">
      <c r="A81" s="103" t="s">
        <v>1044</v>
      </c>
      <c r="B81" s="104" t="s">
        <v>1045</v>
      </c>
      <c r="C81" s="105"/>
      <c r="D81" s="106">
        <v>30.283000000000001</v>
      </c>
      <c r="E81" s="107">
        <v>26.3</v>
      </c>
      <c r="F81" s="108">
        <v>211876</v>
      </c>
      <c r="G81" s="108">
        <v>12916.8</v>
      </c>
      <c r="H81" s="109">
        <v>27986.399999999991</v>
      </c>
      <c r="I81" s="110">
        <v>183889.6</v>
      </c>
      <c r="J81" s="111" t="s">
        <v>914</v>
      </c>
    </row>
    <row r="82" spans="1:10" ht="13.95" hidden="1" customHeight="1" outlineLevel="3" x14ac:dyDescent="0.3">
      <c r="A82" s="112" t="s">
        <v>1046</v>
      </c>
      <c r="B82" s="60" t="s">
        <v>1047</v>
      </c>
      <c r="C82" s="70"/>
      <c r="D82" s="106">
        <v>25.231000000000002</v>
      </c>
      <c r="E82" s="107">
        <v>21.2</v>
      </c>
      <c r="F82" s="113">
        <v>216139</v>
      </c>
      <c r="G82" s="113">
        <v>15814.8</v>
      </c>
      <c r="H82" s="114">
        <v>34265.399999999987</v>
      </c>
      <c r="I82" s="110">
        <v>181873.6</v>
      </c>
      <c r="J82" s="115" t="s">
        <v>914</v>
      </c>
    </row>
    <row r="83" spans="1:10" ht="13.95" hidden="1" customHeight="1" outlineLevel="3" x14ac:dyDescent="0.3">
      <c r="A83" s="103" t="s">
        <v>1048</v>
      </c>
      <c r="B83" s="104" t="s">
        <v>1049</v>
      </c>
      <c r="C83" s="105"/>
      <c r="D83" s="106">
        <v>28.966000000000001</v>
      </c>
      <c r="E83" s="107">
        <v>25</v>
      </c>
      <c r="F83" s="108">
        <v>202664</v>
      </c>
      <c r="G83" s="108">
        <v>12916.8</v>
      </c>
      <c r="H83" s="109">
        <v>27986.399999999991</v>
      </c>
      <c r="I83" s="110">
        <v>174677.6</v>
      </c>
      <c r="J83" s="111" t="s">
        <v>914</v>
      </c>
    </row>
    <row r="84" spans="1:10" ht="13.95" hidden="1" customHeight="1" outlineLevel="3" x14ac:dyDescent="0.3">
      <c r="A84" s="112" t="s">
        <v>1050</v>
      </c>
      <c r="B84" s="60" t="s">
        <v>1051</v>
      </c>
      <c r="C84" s="70"/>
      <c r="D84" s="106">
        <v>30.31</v>
      </c>
      <c r="E84" s="107">
        <v>26.3</v>
      </c>
      <c r="F84" s="113">
        <v>195755</v>
      </c>
      <c r="G84" s="113">
        <v>12916.8</v>
      </c>
      <c r="H84" s="114">
        <v>25833.599999999991</v>
      </c>
      <c r="I84" s="110">
        <v>169921.4</v>
      </c>
      <c r="J84" s="115" t="s">
        <v>914</v>
      </c>
    </row>
    <row r="85" spans="1:10" ht="13.95" hidden="1" customHeight="1" outlineLevel="3" x14ac:dyDescent="0.3">
      <c r="A85" s="103" t="s">
        <v>1052</v>
      </c>
      <c r="B85" s="104" t="s">
        <v>1053</v>
      </c>
      <c r="C85" s="105"/>
      <c r="D85" s="106">
        <v>29.24</v>
      </c>
      <c r="E85" s="107">
        <v>25.2</v>
      </c>
      <c r="F85" s="108">
        <v>188846</v>
      </c>
      <c r="G85" s="108">
        <v>12916.8</v>
      </c>
      <c r="H85" s="109">
        <v>25833.599999999991</v>
      </c>
      <c r="I85" s="110">
        <v>163012.4</v>
      </c>
      <c r="J85" s="111" t="s">
        <v>914</v>
      </c>
    </row>
    <row r="86" spans="1:10" ht="13.95" hidden="1" customHeight="1" outlineLevel="3" x14ac:dyDescent="0.3">
      <c r="A86" s="112" t="s">
        <v>1054</v>
      </c>
      <c r="B86" s="60" t="s">
        <v>1055</v>
      </c>
      <c r="C86" s="70"/>
      <c r="D86" s="106">
        <v>21.298999999999999</v>
      </c>
      <c r="E86" s="107">
        <v>17.3</v>
      </c>
      <c r="F86" s="113">
        <v>196490</v>
      </c>
      <c r="G86" s="113">
        <v>15814.8</v>
      </c>
      <c r="H86" s="114">
        <v>36901.199999999997</v>
      </c>
      <c r="I86" s="110">
        <v>159588.79999999999</v>
      </c>
      <c r="J86" s="115" t="s">
        <v>914</v>
      </c>
    </row>
    <row r="87" spans="1:10" ht="13.95" hidden="1" customHeight="1" outlineLevel="3" x14ac:dyDescent="0.3">
      <c r="A87" s="103" t="s">
        <v>1056</v>
      </c>
      <c r="B87" s="104" t="s">
        <v>1057</v>
      </c>
      <c r="C87" s="105"/>
      <c r="D87" s="106">
        <v>27.100999999999999</v>
      </c>
      <c r="E87" s="107">
        <v>23.1</v>
      </c>
      <c r="F87" s="108">
        <v>175028</v>
      </c>
      <c r="G87" s="108">
        <v>12916.8</v>
      </c>
      <c r="H87" s="109">
        <v>25833.599999999991</v>
      </c>
      <c r="I87" s="110">
        <v>149194.4</v>
      </c>
      <c r="J87" s="111" t="s">
        <v>914</v>
      </c>
    </row>
    <row r="88" spans="1:10" ht="13.95" hidden="1" customHeight="1" outlineLevel="3" x14ac:dyDescent="0.3">
      <c r="A88" s="112" t="s">
        <v>1058</v>
      </c>
      <c r="B88" s="60" t="s">
        <v>1059</v>
      </c>
      <c r="C88" s="70"/>
      <c r="D88" s="106">
        <v>15.975</v>
      </c>
      <c r="E88" s="107">
        <v>12</v>
      </c>
      <c r="F88" s="113">
        <v>128968</v>
      </c>
      <c r="G88" s="113">
        <v>12916.8</v>
      </c>
      <c r="H88" s="114">
        <v>32292</v>
      </c>
      <c r="I88" s="110">
        <v>96676</v>
      </c>
      <c r="J88" s="115" t="s">
        <v>914</v>
      </c>
    </row>
    <row r="89" spans="1:10" ht="13.95" hidden="1" customHeight="1" outlineLevel="3" x14ac:dyDescent="0.3">
      <c r="A89" s="103" t="s">
        <v>1060</v>
      </c>
      <c r="B89" s="104" t="s">
        <v>1061</v>
      </c>
      <c r="C89" s="105"/>
      <c r="D89" s="106">
        <v>20.922999999999998</v>
      </c>
      <c r="E89" s="107">
        <v>16.899999999999999</v>
      </c>
      <c r="F89" s="108">
        <v>116072</v>
      </c>
      <c r="G89" s="108">
        <v>11095.2</v>
      </c>
      <c r="H89" s="109">
        <v>22190.400000000001</v>
      </c>
      <c r="I89" s="110">
        <v>93881.600000000006</v>
      </c>
      <c r="J89" s="111" t="s">
        <v>914</v>
      </c>
    </row>
    <row r="90" spans="1:10" ht="13.95" hidden="1" customHeight="1" outlineLevel="3" x14ac:dyDescent="0.3">
      <c r="A90" s="112" t="s">
        <v>1062</v>
      </c>
      <c r="B90" s="60" t="s">
        <v>1063</v>
      </c>
      <c r="C90" s="70"/>
      <c r="D90" s="106">
        <v>20.684999999999999</v>
      </c>
      <c r="E90" s="107">
        <v>16.7</v>
      </c>
      <c r="F90" s="113">
        <v>114753</v>
      </c>
      <c r="G90" s="113">
        <v>11095.2</v>
      </c>
      <c r="H90" s="114">
        <v>22190.400000000001</v>
      </c>
      <c r="I90" s="110">
        <v>92562.6</v>
      </c>
      <c r="J90" s="115" t="s">
        <v>914</v>
      </c>
    </row>
    <row r="91" spans="1:10" ht="13.95" hidden="1" customHeight="1" outlineLevel="3" x14ac:dyDescent="0.3">
      <c r="A91" s="103" t="s">
        <v>1064</v>
      </c>
      <c r="B91" s="104" t="s">
        <v>1065</v>
      </c>
      <c r="C91" s="105"/>
      <c r="D91" s="106">
        <v>20.21</v>
      </c>
      <c r="E91" s="107">
        <v>16.2</v>
      </c>
      <c r="F91" s="108">
        <v>112115</v>
      </c>
      <c r="G91" s="108">
        <v>11095.2</v>
      </c>
      <c r="H91" s="109">
        <v>22190.400000000001</v>
      </c>
      <c r="I91" s="110">
        <v>89924.6</v>
      </c>
      <c r="J91" s="111" t="s">
        <v>914</v>
      </c>
    </row>
    <row r="92" spans="1:10" ht="13.95" hidden="1" customHeight="1" outlineLevel="3" x14ac:dyDescent="0.3">
      <c r="A92" s="112" t="s">
        <v>1066</v>
      </c>
      <c r="B92" s="60" t="s">
        <v>1067</v>
      </c>
      <c r="C92" s="70"/>
      <c r="D92" s="106">
        <v>15.978</v>
      </c>
      <c r="E92" s="107">
        <v>12</v>
      </c>
      <c r="F92" s="113">
        <v>110796</v>
      </c>
      <c r="G92" s="113">
        <v>11095.2</v>
      </c>
      <c r="H92" s="114">
        <v>27738</v>
      </c>
      <c r="I92" s="110">
        <v>83058</v>
      </c>
      <c r="J92" s="115" t="s">
        <v>914</v>
      </c>
    </row>
    <row r="93" spans="1:10" ht="13.95" hidden="1" customHeight="1" outlineLevel="3" x14ac:dyDescent="0.3">
      <c r="A93" s="103" t="s">
        <v>1068</v>
      </c>
      <c r="B93" s="104" t="s">
        <v>1069</v>
      </c>
      <c r="C93" s="105"/>
      <c r="D93" s="106">
        <v>14.266</v>
      </c>
      <c r="E93" s="107">
        <v>10.3</v>
      </c>
      <c r="F93" s="108">
        <v>98925</v>
      </c>
      <c r="G93" s="108">
        <v>11095.2</v>
      </c>
      <c r="H93" s="109">
        <v>27738</v>
      </c>
      <c r="I93" s="110">
        <v>71187</v>
      </c>
      <c r="J93" s="111" t="s">
        <v>914</v>
      </c>
    </row>
    <row r="94" spans="1:10" ht="13.95" hidden="1" customHeight="1" outlineLevel="3" x14ac:dyDescent="0.3">
      <c r="A94" s="112" t="s">
        <v>1070</v>
      </c>
      <c r="B94" s="60" t="s">
        <v>1071</v>
      </c>
      <c r="C94" s="70"/>
      <c r="D94" s="120">
        <v>7.3920000000000003</v>
      </c>
      <c r="E94" s="121">
        <v>3.4</v>
      </c>
      <c r="F94" s="113">
        <v>75183</v>
      </c>
      <c r="G94" s="113">
        <v>11095.2</v>
      </c>
      <c r="H94" s="114">
        <v>40682.399999999987</v>
      </c>
      <c r="I94" s="122">
        <v>34500.600000000013</v>
      </c>
      <c r="J94" s="115" t="s">
        <v>914</v>
      </c>
    </row>
    <row r="95" spans="1:10" ht="16.05" hidden="1" customHeight="1" outlineLevel="1" collapsed="1" x14ac:dyDescent="0.3">
      <c r="A95" s="91" t="s">
        <v>1072</v>
      </c>
      <c r="B95" s="92"/>
      <c r="C95" s="93">
        <v>2</v>
      </c>
      <c r="D95" s="92"/>
      <c r="E95" s="92"/>
      <c r="F95" s="94">
        <v>13169724</v>
      </c>
      <c r="G95" s="95">
        <v>1881440.25</v>
      </c>
      <c r="H95" s="95">
        <v>7525761</v>
      </c>
      <c r="I95" s="94">
        <v>5643963</v>
      </c>
      <c r="J95" s="96" t="s">
        <v>1073</v>
      </c>
    </row>
    <row r="96" spans="1:10" ht="16.05" hidden="1" customHeight="1" outlineLevel="2" x14ac:dyDescent="0.3">
      <c r="A96" s="97" t="s">
        <v>1074</v>
      </c>
      <c r="B96" s="98"/>
      <c r="C96" s="99">
        <v>2</v>
      </c>
      <c r="D96" s="98"/>
      <c r="E96" s="98"/>
      <c r="F96" s="100">
        <v>13169724</v>
      </c>
      <c r="G96" s="101">
        <v>1881440.25</v>
      </c>
      <c r="H96" s="101">
        <v>7525761</v>
      </c>
      <c r="I96" s="100">
        <v>5643963</v>
      </c>
      <c r="J96" s="102" t="s">
        <v>1073</v>
      </c>
    </row>
    <row r="97" spans="1:10" ht="13.95" hidden="1" customHeight="1" outlineLevel="3" x14ac:dyDescent="0.3">
      <c r="A97" s="103" t="s">
        <v>1075</v>
      </c>
      <c r="B97" s="104" t="s">
        <v>1076</v>
      </c>
      <c r="C97" s="105"/>
      <c r="D97" s="120">
        <v>7.0869999999999997</v>
      </c>
      <c r="E97" s="121">
        <v>3.1</v>
      </c>
      <c r="F97" s="108">
        <v>9199484</v>
      </c>
      <c r="G97" s="108">
        <v>1800900</v>
      </c>
      <c r="H97" s="109">
        <v>5192595</v>
      </c>
      <c r="I97" s="122">
        <v>4006889</v>
      </c>
      <c r="J97" s="111" t="s">
        <v>914</v>
      </c>
    </row>
    <row r="98" spans="1:10" ht="13.95" hidden="1" customHeight="1" outlineLevel="3" x14ac:dyDescent="0.3">
      <c r="A98" s="112" t="s">
        <v>1077</v>
      </c>
      <c r="B98" s="60" t="s">
        <v>153</v>
      </c>
      <c r="C98" s="70"/>
      <c r="D98" s="120">
        <v>6.8070000000000004</v>
      </c>
      <c r="E98" s="121">
        <v>2.8</v>
      </c>
      <c r="F98" s="113">
        <v>3970240</v>
      </c>
      <c r="G98" s="113">
        <v>884994</v>
      </c>
      <c r="H98" s="114">
        <v>2333166</v>
      </c>
      <c r="I98" s="122">
        <v>1637074</v>
      </c>
      <c r="J98" s="119" t="s">
        <v>932</v>
      </c>
    </row>
    <row r="99" spans="1:10" ht="16.95" customHeight="1" collapsed="1" x14ac:dyDescent="0.3">
      <c r="A99" s="85" t="s">
        <v>1078</v>
      </c>
      <c r="B99" s="86"/>
      <c r="C99" s="87">
        <v>41</v>
      </c>
      <c r="D99" s="86"/>
      <c r="E99" s="86"/>
      <c r="F99" s="88">
        <v>119576220.6086169</v>
      </c>
      <c r="G99" s="89">
        <v>12859904.67</v>
      </c>
      <c r="H99" s="89">
        <v>51439618.679999992</v>
      </c>
      <c r="I99" s="88">
        <v>68136601.928616911</v>
      </c>
      <c r="J99" s="90" t="s">
        <v>1079</v>
      </c>
    </row>
    <row r="100" spans="1:10" ht="16.05" hidden="1" customHeight="1" outlineLevel="1" collapsed="1" x14ac:dyDescent="0.3">
      <c r="A100" s="91" t="s">
        <v>1080</v>
      </c>
      <c r="B100" s="92"/>
      <c r="C100" s="93">
        <v>21</v>
      </c>
      <c r="D100" s="92"/>
      <c r="E100" s="92"/>
      <c r="F100" s="94">
        <v>52751253.851287782</v>
      </c>
      <c r="G100" s="95">
        <v>5296253.6999999993</v>
      </c>
      <c r="H100" s="95">
        <v>21185014.800000001</v>
      </c>
      <c r="I100" s="94">
        <v>31566239.051287781</v>
      </c>
      <c r="J100" s="96" t="s">
        <v>1081</v>
      </c>
    </row>
    <row r="101" spans="1:10" ht="16.05" hidden="1" customHeight="1" outlineLevel="2" collapsed="1" x14ac:dyDescent="0.3">
      <c r="A101" s="97" t="s">
        <v>1082</v>
      </c>
      <c r="B101" s="98"/>
      <c r="C101" s="99">
        <v>6</v>
      </c>
      <c r="D101" s="98"/>
      <c r="E101" s="98"/>
      <c r="F101" s="100">
        <v>32988576.80884115</v>
      </c>
      <c r="G101" s="101">
        <v>3103068</v>
      </c>
      <c r="H101" s="101">
        <v>12412272</v>
      </c>
      <c r="I101" s="100">
        <v>20576304.80884115</v>
      </c>
      <c r="J101" s="102" t="s">
        <v>185</v>
      </c>
    </row>
    <row r="102" spans="1:10" ht="13.95" hidden="1" customHeight="1" outlineLevel="3" x14ac:dyDescent="0.3">
      <c r="A102" s="103" t="s">
        <v>1083</v>
      </c>
      <c r="B102" s="104" t="s">
        <v>1084</v>
      </c>
      <c r="C102" s="105"/>
      <c r="D102" s="116">
        <v>10.499000000000001</v>
      </c>
      <c r="E102" s="117">
        <v>6.5</v>
      </c>
      <c r="F102" s="108">
        <v>10866831.38116606</v>
      </c>
      <c r="G102" s="108">
        <v>1552500</v>
      </c>
      <c r="H102" s="109">
        <v>4140000</v>
      </c>
      <c r="I102" s="118">
        <v>6726831.3811660614</v>
      </c>
      <c r="J102" s="111" t="s">
        <v>914</v>
      </c>
    </row>
    <row r="103" spans="1:10" ht="13.95" hidden="1" customHeight="1" outlineLevel="3" x14ac:dyDescent="0.3">
      <c r="A103" s="112" t="s">
        <v>1085</v>
      </c>
      <c r="B103" s="60" t="s">
        <v>1086</v>
      </c>
      <c r="C103" s="70"/>
      <c r="D103" s="106">
        <v>13.384</v>
      </c>
      <c r="E103" s="107">
        <v>9.4</v>
      </c>
      <c r="F103" s="113">
        <v>6926374.1307371352</v>
      </c>
      <c r="G103" s="113">
        <v>862500</v>
      </c>
      <c r="H103" s="114">
        <v>2070000</v>
      </c>
      <c r="I103" s="110">
        <v>4856374.1307371352</v>
      </c>
      <c r="J103" s="115" t="s">
        <v>914</v>
      </c>
    </row>
    <row r="104" spans="1:10" ht="13.95" hidden="1" customHeight="1" outlineLevel="3" x14ac:dyDescent="0.3">
      <c r="A104" s="103" t="s">
        <v>1087</v>
      </c>
      <c r="B104" s="104" t="s">
        <v>1088</v>
      </c>
      <c r="C104" s="105"/>
      <c r="D104" s="116">
        <v>11.441000000000001</v>
      </c>
      <c r="E104" s="117">
        <v>7.4</v>
      </c>
      <c r="F104" s="108">
        <v>5387773.9341165125</v>
      </c>
      <c r="G104" s="108">
        <v>807300</v>
      </c>
      <c r="H104" s="109">
        <v>1883700</v>
      </c>
      <c r="I104" s="118">
        <v>3504073.934116513</v>
      </c>
      <c r="J104" s="111" t="s">
        <v>914</v>
      </c>
    </row>
    <row r="105" spans="1:10" ht="13.95" hidden="1" customHeight="1" outlineLevel="3" x14ac:dyDescent="0.3">
      <c r="A105" s="112" t="s">
        <v>1089</v>
      </c>
      <c r="B105" s="60" t="s">
        <v>1090</v>
      </c>
      <c r="C105" s="70"/>
      <c r="D105" s="116">
        <v>9.532</v>
      </c>
      <c r="E105" s="117">
        <v>5.5</v>
      </c>
      <c r="F105" s="113">
        <v>4862022</v>
      </c>
      <c r="G105" s="113">
        <v>548757</v>
      </c>
      <c r="H105" s="114">
        <v>2040192</v>
      </c>
      <c r="I105" s="118">
        <v>2821830</v>
      </c>
      <c r="J105" s="115" t="s">
        <v>914</v>
      </c>
    </row>
    <row r="106" spans="1:10" ht="13.95" hidden="1" customHeight="1" outlineLevel="3" x14ac:dyDescent="0.3">
      <c r="A106" s="103" t="s">
        <v>1091</v>
      </c>
      <c r="B106" s="104" t="s">
        <v>1092</v>
      </c>
      <c r="C106" s="105"/>
      <c r="D106" s="116">
        <v>9.0850000000000009</v>
      </c>
      <c r="E106" s="117">
        <v>5.0999999999999996</v>
      </c>
      <c r="F106" s="108">
        <v>3056079.362821443</v>
      </c>
      <c r="G106" s="108">
        <v>605475</v>
      </c>
      <c r="H106" s="109">
        <v>1345500</v>
      </c>
      <c r="I106" s="118">
        <v>1710579.362821443</v>
      </c>
      <c r="J106" s="111" t="s">
        <v>914</v>
      </c>
    </row>
    <row r="107" spans="1:10" ht="13.95" hidden="1" customHeight="1" outlineLevel="3" x14ac:dyDescent="0.3">
      <c r="A107" s="112" t="s">
        <v>1093</v>
      </c>
      <c r="B107" s="60" t="s">
        <v>1094</v>
      </c>
      <c r="C107" s="70"/>
      <c r="D107" s="116">
        <v>8.1020000000000003</v>
      </c>
      <c r="E107" s="117">
        <v>4.0999999999999996</v>
      </c>
      <c r="F107" s="113">
        <v>1889496</v>
      </c>
      <c r="G107" s="113">
        <v>317538</v>
      </c>
      <c r="H107" s="114">
        <v>932880</v>
      </c>
      <c r="I107" s="118">
        <v>956616</v>
      </c>
      <c r="J107" s="115" t="s">
        <v>914</v>
      </c>
    </row>
    <row r="108" spans="1:10" ht="16.05" hidden="1" customHeight="1" outlineLevel="2" x14ac:dyDescent="0.3">
      <c r="A108" s="97" t="s">
        <v>1095</v>
      </c>
      <c r="B108" s="98"/>
      <c r="C108" s="99">
        <v>13</v>
      </c>
      <c r="D108" s="98"/>
      <c r="E108" s="98"/>
      <c r="F108" s="100">
        <v>14100574.042446621</v>
      </c>
      <c r="G108" s="101">
        <v>1485656.25</v>
      </c>
      <c r="H108" s="101">
        <v>5942624.9999999991</v>
      </c>
      <c r="I108" s="100">
        <v>8157949.0424466264</v>
      </c>
      <c r="J108" s="102" t="s">
        <v>185</v>
      </c>
    </row>
    <row r="109" spans="1:10" ht="13.95" hidden="1" customHeight="1" outlineLevel="3" x14ac:dyDescent="0.3">
      <c r="A109" s="103" t="s">
        <v>1096</v>
      </c>
      <c r="B109" s="104" t="s">
        <v>1097</v>
      </c>
      <c r="C109" s="105"/>
      <c r="D109" s="120">
        <v>7.4219999999999997</v>
      </c>
      <c r="E109" s="121">
        <v>3.4</v>
      </c>
      <c r="F109" s="108">
        <v>5300634.2672893927</v>
      </c>
      <c r="G109" s="108">
        <v>1428300</v>
      </c>
      <c r="H109" s="109">
        <v>2856600</v>
      </c>
      <c r="I109" s="122">
        <v>2444034.2672893931</v>
      </c>
      <c r="J109" s="111" t="s">
        <v>914</v>
      </c>
    </row>
    <row r="110" spans="1:10" ht="13.95" hidden="1" customHeight="1" outlineLevel="3" x14ac:dyDescent="0.3">
      <c r="A110" s="112" t="s">
        <v>1098</v>
      </c>
      <c r="B110" s="60" t="s">
        <v>1099</v>
      </c>
      <c r="C110" s="70"/>
      <c r="D110" s="106">
        <v>15.946999999999999</v>
      </c>
      <c r="E110" s="107">
        <v>11.9</v>
      </c>
      <c r="F110" s="113">
        <v>1742940</v>
      </c>
      <c r="G110" s="113">
        <v>178848</v>
      </c>
      <c r="H110" s="114">
        <v>437183.99999999988</v>
      </c>
      <c r="I110" s="110">
        <v>1305756</v>
      </c>
      <c r="J110" s="115" t="s">
        <v>914</v>
      </c>
    </row>
    <row r="111" spans="1:10" ht="13.95" hidden="1" customHeight="1" outlineLevel="3" x14ac:dyDescent="0.3">
      <c r="A111" s="103" t="s">
        <v>1100</v>
      </c>
      <c r="B111" s="104" t="s">
        <v>1101</v>
      </c>
      <c r="C111" s="105"/>
      <c r="D111" s="116">
        <v>10.132999999999999</v>
      </c>
      <c r="E111" s="117">
        <v>6.1</v>
      </c>
      <c r="F111" s="108">
        <v>1842420.75</v>
      </c>
      <c r="G111" s="108">
        <v>339566.25</v>
      </c>
      <c r="H111" s="109">
        <v>727329.00000000012</v>
      </c>
      <c r="I111" s="118">
        <v>1115091.75</v>
      </c>
      <c r="J111" s="111" t="s">
        <v>914</v>
      </c>
    </row>
    <row r="112" spans="1:10" ht="13.95" hidden="1" customHeight="1" outlineLevel="3" x14ac:dyDescent="0.3">
      <c r="A112" s="112" t="s">
        <v>1102</v>
      </c>
      <c r="B112" s="60" t="s">
        <v>1103</v>
      </c>
      <c r="C112" s="70"/>
      <c r="D112" s="106">
        <v>26.552</v>
      </c>
      <c r="E112" s="107">
        <v>22.6</v>
      </c>
      <c r="F112" s="113">
        <v>1128556</v>
      </c>
      <c r="G112" s="113">
        <v>65688</v>
      </c>
      <c r="H112" s="114">
        <v>170016</v>
      </c>
      <c r="I112" s="110">
        <v>958540</v>
      </c>
      <c r="J112" s="115" t="s">
        <v>914</v>
      </c>
    </row>
    <row r="113" spans="1:10" ht="13.95" hidden="1" customHeight="1" outlineLevel="3" x14ac:dyDescent="0.3">
      <c r="A113" s="103" t="s">
        <v>1104</v>
      </c>
      <c r="B113" s="104" t="s">
        <v>1105</v>
      </c>
      <c r="C113" s="105"/>
      <c r="D113" s="116">
        <v>8.8339999999999996</v>
      </c>
      <c r="E113" s="117">
        <v>4.8</v>
      </c>
      <c r="F113" s="108">
        <v>1041082.025157233</v>
      </c>
      <c r="G113" s="108">
        <v>220972.5</v>
      </c>
      <c r="H113" s="109">
        <v>471407.99999999988</v>
      </c>
      <c r="I113" s="118">
        <v>569674.02515723277</v>
      </c>
      <c r="J113" s="111" t="s">
        <v>914</v>
      </c>
    </row>
    <row r="114" spans="1:10" ht="13.95" hidden="1" customHeight="1" outlineLevel="3" x14ac:dyDescent="0.3">
      <c r="A114" s="112" t="s">
        <v>1106</v>
      </c>
      <c r="B114" s="60" t="s">
        <v>1107</v>
      </c>
      <c r="C114" s="70"/>
      <c r="D114" s="106">
        <v>13.867000000000001</v>
      </c>
      <c r="E114" s="107">
        <v>9.9</v>
      </c>
      <c r="F114" s="113">
        <v>477630</v>
      </c>
      <c r="G114" s="113">
        <v>34444.800000000003</v>
      </c>
      <c r="H114" s="114">
        <v>137779.20000000001</v>
      </c>
      <c r="I114" s="110">
        <v>339850.8</v>
      </c>
      <c r="J114" s="115" t="s">
        <v>914</v>
      </c>
    </row>
    <row r="115" spans="1:10" ht="13.95" hidden="1" customHeight="1" outlineLevel="3" x14ac:dyDescent="0.3">
      <c r="A115" s="103" t="s">
        <v>1108</v>
      </c>
      <c r="B115" s="104" t="s">
        <v>1109</v>
      </c>
      <c r="C115" s="105"/>
      <c r="D115" s="120">
        <v>6.5410000000000004</v>
      </c>
      <c r="E115" s="121">
        <v>2.5</v>
      </c>
      <c r="F115" s="108">
        <v>684680</v>
      </c>
      <c r="G115" s="108">
        <v>163392</v>
      </c>
      <c r="H115" s="109">
        <v>418691.99999999988</v>
      </c>
      <c r="I115" s="122">
        <v>265988.00000000012</v>
      </c>
      <c r="J115" s="111" t="s">
        <v>914</v>
      </c>
    </row>
    <row r="116" spans="1:10" ht="13.95" hidden="1" customHeight="1" outlineLevel="3" x14ac:dyDescent="0.3">
      <c r="A116" s="112" t="s">
        <v>1110</v>
      </c>
      <c r="B116" s="60" t="s">
        <v>1111</v>
      </c>
      <c r="C116" s="70"/>
      <c r="D116" s="106">
        <v>15.099</v>
      </c>
      <c r="E116" s="107">
        <v>11.1</v>
      </c>
      <c r="F116" s="113">
        <v>354432</v>
      </c>
      <c r="G116" s="113">
        <v>32167.8</v>
      </c>
      <c r="H116" s="114">
        <v>93895.2</v>
      </c>
      <c r="I116" s="110">
        <v>260536.8</v>
      </c>
      <c r="J116" s="115" t="s">
        <v>914</v>
      </c>
    </row>
    <row r="117" spans="1:10" ht="13.95" hidden="1" customHeight="1" outlineLevel="3" x14ac:dyDescent="0.3">
      <c r="A117" s="103" t="s">
        <v>1112</v>
      </c>
      <c r="B117" s="104" t="s">
        <v>1103</v>
      </c>
      <c r="C117" s="105"/>
      <c r="D117" s="116">
        <v>9.8019999999999996</v>
      </c>
      <c r="E117" s="117">
        <v>5.8</v>
      </c>
      <c r="F117" s="108">
        <v>431790</v>
      </c>
      <c r="G117" s="108">
        <v>55641.599999999999</v>
      </c>
      <c r="H117" s="109">
        <v>176198.39999999999</v>
      </c>
      <c r="I117" s="118">
        <v>255591.6</v>
      </c>
      <c r="J117" s="111" t="s">
        <v>914</v>
      </c>
    </row>
    <row r="118" spans="1:10" ht="13.95" hidden="1" customHeight="1" outlineLevel="3" x14ac:dyDescent="0.3">
      <c r="A118" s="112" t="s">
        <v>1113</v>
      </c>
      <c r="B118" s="60" t="s">
        <v>1114</v>
      </c>
      <c r="C118" s="70"/>
      <c r="D118" s="116">
        <v>10.254</v>
      </c>
      <c r="E118" s="117">
        <v>6.3</v>
      </c>
      <c r="F118" s="113">
        <v>350640</v>
      </c>
      <c r="G118" s="113">
        <v>35355.599999999999</v>
      </c>
      <c r="H118" s="114">
        <v>136785.60000000001</v>
      </c>
      <c r="I118" s="118">
        <v>213854.4</v>
      </c>
      <c r="J118" s="115" t="s">
        <v>914</v>
      </c>
    </row>
    <row r="119" spans="1:10" ht="13.95" hidden="1" customHeight="1" outlineLevel="3" x14ac:dyDescent="0.3">
      <c r="A119" s="103" t="s">
        <v>1115</v>
      </c>
      <c r="B119" s="104" t="s">
        <v>1114</v>
      </c>
      <c r="C119" s="105"/>
      <c r="D119" s="116">
        <v>9.5449999999999999</v>
      </c>
      <c r="E119" s="117">
        <v>5.5</v>
      </c>
      <c r="F119" s="108">
        <v>302430</v>
      </c>
      <c r="G119" s="108">
        <v>34486.199999999997</v>
      </c>
      <c r="H119" s="109">
        <v>126739.2</v>
      </c>
      <c r="I119" s="118">
        <v>175690.8</v>
      </c>
      <c r="J119" s="111" t="s">
        <v>914</v>
      </c>
    </row>
    <row r="120" spans="1:10" ht="13.95" hidden="1" customHeight="1" outlineLevel="3" x14ac:dyDescent="0.3">
      <c r="A120" s="112" t="s">
        <v>1116</v>
      </c>
      <c r="B120" s="60" t="s">
        <v>1107</v>
      </c>
      <c r="C120" s="70"/>
      <c r="D120" s="116">
        <v>8.9789999999999992</v>
      </c>
      <c r="E120" s="117">
        <v>5</v>
      </c>
      <c r="F120" s="113">
        <v>296387</v>
      </c>
      <c r="G120" s="113">
        <v>43773.599999999999</v>
      </c>
      <c r="H120" s="114">
        <v>132038.39999999999</v>
      </c>
      <c r="I120" s="118">
        <v>164348.6</v>
      </c>
      <c r="J120" s="115" t="s">
        <v>914</v>
      </c>
    </row>
    <row r="121" spans="1:10" ht="13.95" hidden="1" customHeight="1" outlineLevel="3" x14ac:dyDescent="0.3">
      <c r="A121" s="103" t="s">
        <v>1117</v>
      </c>
      <c r="B121" s="104" t="s">
        <v>1111</v>
      </c>
      <c r="C121" s="105"/>
      <c r="D121" s="116">
        <v>10.141999999999999</v>
      </c>
      <c r="E121" s="117">
        <v>6.1</v>
      </c>
      <c r="F121" s="108">
        <v>146952</v>
      </c>
      <c r="G121" s="108">
        <v>20286</v>
      </c>
      <c r="H121" s="109">
        <v>57960</v>
      </c>
      <c r="I121" s="118">
        <v>88992</v>
      </c>
      <c r="J121" s="111" t="s">
        <v>914</v>
      </c>
    </row>
    <row r="122" spans="1:10" ht="16.05" hidden="1" customHeight="1" outlineLevel="2" x14ac:dyDescent="0.3">
      <c r="A122" s="97" t="s">
        <v>1118</v>
      </c>
      <c r="B122" s="98"/>
      <c r="C122" s="99">
        <v>1</v>
      </c>
      <c r="D122" s="98"/>
      <c r="E122" s="98"/>
      <c r="F122" s="100">
        <v>4957028</v>
      </c>
      <c r="G122" s="101">
        <v>691159.19999999984</v>
      </c>
      <c r="H122" s="101">
        <v>2764636.7999999989</v>
      </c>
      <c r="I122" s="100">
        <v>2192391.2000000011</v>
      </c>
      <c r="J122" s="102" t="s">
        <v>999</v>
      </c>
    </row>
    <row r="123" spans="1:10" ht="13.95" hidden="1" customHeight="1" outlineLevel="3" x14ac:dyDescent="0.3">
      <c r="A123" s="103" t="s">
        <v>1119</v>
      </c>
      <c r="B123" s="104" t="s">
        <v>313</v>
      </c>
      <c r="C123" s="105"/>
      <c r="D123" s="120">
        <v>7.1719999999999997</v>
      </c>
      <c r="E123" s="121">
        <v>3.2</v>
      </c>
      <c r="F123" s="108">
        <v>4957028</v>
      </c>
      <c r="G123" s="108">
        <v>822259.19999999995</v>
      </c>
      <c r="H123" s="109">
        <v>2764636.7999999989</v>
      </c>
      <c r="I123" s="122">
        <v>2192391.2000000011</v>
      </c>
      <c r="J123" s="119" t="s">
        <v>932</v>
      </c>
    </row>
    <row r="124" spans="1:10" ht="16.05" hidden="1" customHeight="1" outlineLevel="2" x14ac:dyDescent="0.3">
      <c r="A124" s="97" t="s">
        <v>1120</v>
      </c>
      <c r="B124" s="98"/>
      <c r="C124" s="99">
        <v>1</v>
      </c>
      <c r="D124" s="98"/>
      <c r="E124" s="98"/>
      <c r="F124" s="100">
        <v>705075</v>
      </c>
      <c r="G124" s="101">
        <v>16370.25</v>
      </c>
      <c r="H124" s="101">
        <v>65481</v>
      </c>
      <c r="I124" s="100">
        <v>639594</v>
      </c>
      <c r="J124" s="102" t="s">
        <v>185</v>
      </c>
    </row>
    <row r="125" spans="1:10" ht="13.95" hidden="1" customHeight="1" outlineLevel="3" x14ac:dyDescent="0.3">
      <c r="A125" s="103" t="s">
        <v>1121</v>
      </c>
      <c r="B125" s="104" t="s">
        <v>1122</v>
      </c>
      <c r="C125" s="105"/>
      <c r="D125" s="106">
        <v>43.070999999999998</v>
      </c>
      <c r="E125" s="107">
        <v>39.1</v>
      </c>
      <c r="F125" s="108">
        <v>705075</v>
      </c>
      <c r="G125" s="108">
        <v>207000</v>
      </c>
      <c r="H125" s="109">
        <v>65481</v>
      </c>
      <c r="I125" s="110">
        <v>639594</v>
      </c>
      <c r="J125" s="111" t="s">
        <v>914</v>
      </c>
    </row>
    <row r="126" spans="1:10" ht="16.05" hidden="1" customHeight="1" outlineLevel="1" collapsed="1" x14ac:dyDescent="0.3">
      <c r="A126" s="91" t="s">
        <v>1123</v>
      </c>
      <c r="B126" s="92"/>
      <c r="C126" s="93">
        <v>8</v>
      </c>
      <c r="D126" s="92"/>
      <c r="E126" s="92"/>
      <c r="F126" s="94">
        <v>50829450.278268941</v>
      </c>
      <c r="G126" s="95">
        <v>6363638.8499999987</v>
      </c>
      <c r="H126" s="95">
        <v>25454555.399999991</v>
      </c>
      <c r="I126" s="94">
        <v>25374894.878268939</v>
      </c>
      <c r="J126" s="96" t="s">
        <v>1124</v>
      </c>
    </row>
    <row r="127" spans="1:10" ht="16.05" hidden="1" customHeight="1" outlineLevel="2" x14ac:dyDescent="0.3">
      <c r="A127" s="97" t="s">
        <v>1125</v>
      </c>
      <c r="B127" s="98"/>
      <c r="C127" s="99">
        <v>3</v>
      </c>
      <c r="D127" s="98"/>
      <c r="E127" s="98"/>
      <c r="F127" s="100">
        <v>33500476.631210111</v>
      </c>
      <c r="G127" s="101">
        <v>4395058.4999999991</v>
      </c>
      <c r="H127" s="101">
        <v>17580234</v>
      </c>
      <c r="I127" s="100">
        <v>15920242.63121012</v>
      </c>
      <c r="J127" s="102" t="s">
        <v>185</v>
      </c>
    </row>
    <row r="128" spans="1:10" ht="13.95" hidden="1" customHeight="1" outlineLevel="3" x14ac:dyDescent="0.3">
      <c r="A128" s="103" t="s">
        <v>1126</v>
      </c>
      <c r="B128" s="104" t="s">
        <v>1127</v>
      </c>
      <c r="C128" s="105"/>
      <c r="D128" s="116">
        <v>9.1059999999999999</v>
      </c>
      <c r="E128" s="117">
        <v>5.0999999999999996</v>
      </c>
      <c r="F128" s="108">
        <v>12263828.85</v>
      </c>
      <c r="G128" s="108">
        <v>1789515</v>
      </c>
      <c r="H128" s="109">
        <v>5387381.9999999991</v>
      </c>
      <c r="I128" s="118">
        <v>6876446.8500000006</v>
      </c>
      <c r="J128" s="111" t="s">
        <v>914</v>
      </c>
    </row>
    <row r="129" spans="1:10" ht="13.95" hidden="1" customHeight="1" outlineLevel="3" x14ac:dyDescent="0.3">
      <c r="A129" s="112" t="s">
        <v>1128</v>
      </c>
      <c r="B129" s="60" t="s">
        <v>1129</v>
      </c>
      <c r="C129" s="70"/>
      <c r="D129" s="120">
        <v>6.7380000000000004</v>
      </c>
      <c r="E129" s="121">
        <v>2.7</v>
      </c>
      <c r="F129" s="113">
        <v>11723204</v>
      </c>
      <c r="G129" s="113">
        <v>2546100</v>
      </c>
      <c r="H129" s="114">
        <v>6959339.9999999991</v>
      </c>
      <c r="I129" s="122">
        <v>4763864.0000000009</v>
      </c>
      <c r="J129" s="115" t="s">
        <v>914</v>
      </c>
    </row>
    <row r="130" spans="1:10" ht="13.95" hidden="1" customHeight="1" outlineLevel="3" x14ac:dyDescent="0.3">
      <c r="A130" s="103" t="s">
        <v>1130</v>
      </c>
      <c r="B130" s="104" t="s">
        <v>1131</v>
      </c>
      <c r="C130" s="105"/>
      <c r="D130" s="120">
        <v>7.2709999999999999</v>
      </c>
      <c r="E130" s="121">
        <v>3.3</v>
      </c>
      <c r="F130" s="108">
        <v>9513443.7812101152</v>
      </c>
      <c r="G130" s="108">
        <v>2065860</v>
      </c>
      <c r="H130" s="109">
        <v>5233511.9999999991</v>
      </c>
      <c r="I130" s="122">
        <v>4279931.7812101161</v>
      </c>
      <c r="J130" s="111" t="s">
        <v>914</v>
      </c>
    </row>
    <row r="131" spans="1:10" ht="16.05" hidden="1" customHeight="1" outlineLevel="2" x14ac:dyDescent="0.3">
      <c r="A131" s="97" t="s">
        <v>1132</v>
      </c>
      <c r="B131" s="98"/>
      <c r="C131" s="99">
        <v>2</v>
      </c>
      <c r="D131" s="98"/>
      <c r="E131" s="98"/>
      <c r="F131" s="100">
        <v>11250720</v>
      </c>
      <c r="G131" s="101">
        <v>1420106.25</v>
      </c>
      <c r="H131" s="101">
        <v>5680424.9999999991</v>
      </c>
      <c r="I131" s="100">
        <v>5570295</v>
      </c>
      <c r="J131" s="102" t="s">
        <v>185</v>
      </c>
    </row>
    <row r="132" spans="1:10" ht="13.95" hidden="1" customHeight="1" outlineLevel="3" x14ac:dyDescent="0.3">
      <c r="A132" s="103" t="s">
        <v>1133</v>
      </c>
      <c r="B132" s="104" t="s">
        <v>1134</v>
      </c>
      <c r="C132" s="105"/>
      <c r="D132" s="116">
        <v>11.317</v>
      </c>
      <c r="E132" s="117">
        <v>7.3</v>
      </c>
      <c r="F132" s="108">
        <v>5722860</v>
      </c>
      <c r="G132" s="108">
        <v>715357.5</v>
      </c>
      <c r="H132" s="109">
        <v>2022735</v>
      </c>
      <c r="I132" s="118">
        <v>3700125</v>
      </c>
      <c r="J132" s="111" t="s">
        <v>914</v>
      </c>
    </row>
    <row r="133" spans="1:10" ht="13.95" hidden="1" customHeight="1" outlineLevel="3" x14ac:dyDescent="0.3">
      <c r="A133" s="112" t="s">
        <v>1135</v>
      </c>
      <c r="B133" s="60" t="s">
        <v>1136</v>
      </c>
      <c r="C133" s="70"/>
      <c r="D133" s="120">
        <v>6.0449999999999999</v>
      </c>
      <c r="E133" s="121">
        <v>2</v>
      </c>
      <c r="F133" s="113">
        <v>5527860</v>
      </c>
      <c r="G133" s="113">
        <v>1007831.25</v>
      </c>
      <c r="H133" s="114">
        <v>3657690</v>
      </c>
      <c r="I133" s="122">
        <v>1870170</v>
      </c>
      <c r="J133" s="115" t="s">
        <v>914</v>
      </c>
    </row>
    <row r="134" spans="1:10" ht="16.05" hidden="1" customHeight="1" outlineLevel="2" x14ac:dyDescent="0.3">
      <c r="A134" s="97" t="s">
        <v>1137</v>
      </c>
      <c r="B134" s="98"/>
      <c r="C134" s="99">
        <v>1</v>
      </c>
      <c r="D134" s="98"/>
      <c r="E134" s="98"/>
      <c r="F134" s="100">
        <v>3515472.6470588231</v>
      </c>
      <c r="G134" s="101">
        <v>297079.49999999988</v>
      </c>
      <c r="H134" s="101">
        <v>1188318</v>
      </c>
      <c r="I134" s="100">
        <v>2327154.6470588231</v>
      </c>
      <c r="J134" s="102" t="s">
        <v>185</v>
      </c>
    </row>
    <row r="135" spans="1:10" ht="13.95" hidden="1" customHeight="1" outlineLevel="3" x14ac:dyDescent="0.3">
      <c r="A135" s="103" t="s">
        <v>1138</v>
      </c>
      <c r="B135" s="104" t="s">
        <v>1139</v>
      </c>
      <c r="C135" s="105"/>
      <c r="D135" s="116">
        <v>11.833</v>
      </c>
      <c r="E135" s="117">
        <v>7.8</v>
      </c>
      <c r="F135" s="108">
        <v>3515472.6470588231</v>
      </c>
      <c r="G135" s="108">
        <v>400648.5</v>
      </c>
      <c r="H135" s="109">
        <v>1188318</v>
      </c>
      <c r="I135" s="118">
        <v>2327154.6470588231</v>
      </c>
      <c r="J135" s="111" t="s">
        <v>914</v>
      </c>
    </row>
    <row r="136" spans="1:10" ht="16.05" hidden="1" customHeight="1" outlineLevel="2" x14ac:dyDescent="0.3">
      <c r="A136" s="97" t="s">
        <v>1140</v>
      </c>
      <c r="B136" s="98"/>
      <c r="C136" s="99">
        <v>1</v>
      </c>
      <c r="D136" s="98"/>
      <c r="E136" s="98"/>
      <c r="F136" s="100">
        <v>1343655</v>
      </c>
      <c r="G136" s="101">
        <v>55003.35</v>
      </c>
      <c r="H136" s="101">
        <v>220013.4</v>
      </c>
      <c r="I136" s="100">
        <v>1123641.6000000001</v>
      </c>
      <c r="J136" s="102" t="s">
        <v>185</v>
      </c>
    </row>
    <row r="137" spans="1:10" ht="13.95" hidden="1" customHeight="1" outlineLevel="3" x14ac:dyDescent="0.3">
      <c r="A137" s="103" t="s">
        <v>1141</v>
      </c>
      <c r="B137" s="104" t="s">
        <v>1142</v>
      </c>
      <c r="C137" s="105"/>
      <c r="D137" s="106">
        <v>24.428999999999998</v>
      </c>
      <c r="E137" s="107">
        <v>20.399999999999999</v>
      </c>
      <c r="F137" s="108">
        <v>1343655</v>
      </c>
      <c r="G137" s="108">
        <v>417312</v>
      </c>
      <c r="H137" s="109">
        <v>220013.4</v>
      </c>
      <c r="I137" s="110">
        <v>1123641.6000000001</v>
      </c>
      <c r="J137" s="111" t="s">
        <v>914</v>
      </c>
    </row>
    <row r="138" spans="1:10" ht="16.05" hidden="1" customHeight="1" outlineLevel="2" x14ac:dyDescent="0.3">
      <c r="A138" s="97" t="s">
        <v>1143</v>
      </c>
      <c r="B138" s="98"/>
      <c r="C138" s="99">
        <v>1</v>
      </c>
      <c r="D138" s="98"/>
      <c r="E138" s="98"/>
      <c r="F138" s="100">
        <v>1219126</v>
      </c>
      <c r="G138" s="101">
        <v>196391.25</v>
      </c>
      <c r="H138" s="101">
        <v>785564.99999999988</v>
      </c>
      <c r="I138" s="100">
        <v>433561.00000000012</v>
      </c>
      <c r="J138" s="102" t="s">
        <v>999</v>
      </c>
    </row>
    <row r="139" spans="1:10" ht="13.95" hidden="1" customHeight="1" outlineLevel="3" x14ac:dyDescent="0.3">
      <c r="A139" s="103" t="s">
        <v>1144</v>
      </c>
      <c r="B139" s="104" t="s">
        <v>293</v>
      </c>
      <c r="C139" s="105"/>
      <c r="D139" s="120">
        <v>6.2080000000000002</v>
      </c>
      <c r="E139" s="121">
        <v>2.2000000000000002</v>
      </c>
      <c r="F139" s="108">
        <v>1219126</v>
      </c>
      <c r="G139" s="108">
        <v>324938.25</v>
      </c>
      <c r="H139" s="109">
        <v>785564.99999999988</v>
      </c>
      <c r="I139" s="122">
        <v>433561.00000000012</v>
      </c>
      <c r="J139" s="119" t="s">
        <v>932</v>
      </c>
    </row>
    <row r="140" spans="1:10" ht="16.05" hidden="1" customHeight="1" outlineLevel="1" collapsed="1" x14ac:dyDescent="0.3">
      <c r="A140" s="91" t="s">
        <v>1145</v>
      </c>
      <c r="B140" s="92"/>
      <c r="C140" s="93">
        <v>9</v>
      </c>
      <c r="D140" s="92"/>
      <c r="E140" s="92"/>
      <c r="F140" s="94">
        <v>14231333.87495652</v>
      </c>
      <c r="G140" s="95">
        <v>926661.72</v>
      </c>
      <c r="H140" s="95">
        <v>3706646.88</v>
      </c>
      <c r="I140" s="94">
        <v>10524686.994956519</v>
      </c>
      <c r="J140" s="96" t="s">
        <v>185</v>
      </c>
    </row>
    <row r="141" spans="1:10" ht="16.05" hidden="1" customHeight="1" outlineLevel="2" x14ac:dyDescent="0.3">
      <c r="A141" s="97" t="s">
        <v>1146</v>
      </c>
      <c r="B141" s="98"/>
      <c r="C141" s="99">
        <v>6</v>
      </c>
      <c r="D141" s="98"/>
      <c r="E141" s="98"/>
      <c r="F141" s="100">
        <v>10333348.87495652</v>
      </c>
      <c r="G141" s="101">
        <v>760614.6</v>
      </c>
      <c r="H141" s="101">
        <v>3042458.4</v>
      </c>
      <c r="I141" s="100">
        <v>7290890.4749565218</v>
      </c>
      <c r="J141" s="102" t="s">
        <v>185</v>
      </c>
    </row>
    <row r="142" spans="1:10" ht="13.95" hidden="1" customHeight="1" outlineLevel="3" x14ac:dyDescent="0.3">
      <c r="A142" s="103" t="s">
        <v>1147</v>
      </c>
      <c r="B142" s="104" t="s">
        <v>1148</v>
      </c>
      <c r="C142" s="105"/>
      <c r="D142" s="106">
        <v>36.149000000000001</v>
      </c>
      <c r="E142" s="107">
        <v>32.1</v>
      </c>
      <c r="F142" s="108">
        <v>3282010</v>
      </c>
      <c r="G142" s="108">
        <v>109792.8</v>
      </c>
      <c r="H142" s="109">
        <v>363160.8</v>
      </c>
      <c r="I142" s="110">
        <v>2918849.2</v>
      </c>
      <c r="J142" s="111" t="s">
        <v>914</v>
      </c>
    </row>
    <row r="143" spans="1:10" ht="13.95" hidden="1" customHeight="1" outlineLevel="3" x14ac:dyDescent="0.3">
      <c r="A143" s="112" t="s">
        <v>1149</v>
      </c>
      <c r="B143" s="60" t="s">
        <v>1150</v>
      </c>
      <c r="C143" s="70"/>
      <c r="D143" s="116">
        <v>9.3580000000000005</v>
      </c>
      <c r="E143" s="117">
        <v>5.4</v>
      </c>
      <c r="F143" s="113">
        <v>2290674</v>
      </c>
      <c r="G143" s="113">
        <v>349364.25</v>
      </c>
      <c r="H143" s="114">
        <v>979109.99999999988</v>
      </c>
      <c r="I143" s="118">
        <v>1311564</v>
      </c>
      <c r="J143" s="115" t="s">
        <v>914</v>
      </c>
    </row>
    <row r="144" spans="1:10" ht="13.95" hidden="1" customHeight="1" outlineLevel="3" x14ac:dyDescent="0.3">
      <c r="A144" s="103" t="s">
        <v>1151</v>
      </c>
      <c r="B144" s="104" t="s">
        <v>1152</v>
      </c>
      <c r="C144" s="105"/>
      <c r="D144" s="116">
        <v>9.2420000000000009</v>
      </c>
      <c r="E144" s="117">
        <v>5.2</v>
      </c>
      <c r="F144" s="108">
        <v>1858872</v>
      </c>
      <c r="G144" s="108">
        <v>273378</v>
      </c>
      <c r="H144" s="109">
        <v>804512.39999999991</v>
      </c>
      <c r="I144" s="118">
        <v>1054359.6000000001</v>
      </c>
      <c r="J144" s="111" t="s">
        <v>914</v>
      </c>
    </row>
    <row r="145" spans="1:10" ht="13.95" hidden="1" customHeight="1" outlineLevel="3" x14ac:dyDescent="0.3">
      <c r="A145" s="112" t="s">
        <v>1153</v>
      </c>
      <c r="B145" s="60" t="s">
        <v>1154</v>
      </c>
      <c r="C145" s="70"/>
      <c r="D145" s="106">
        <v>22.303000000000001</v>
      </c>
      <c r="E145" s="107">
        <v>18.3</v>
      </c>
      <c r="F145" s="113">
        <v>1093400</v>
      </c>
      <c r="G145" s="113">
        <v>75037.5</v>
      </c>
      <c r="H145" s="114">
        <v>196098</v>
      </c>
      <c r="I145" s="110">
        <v>897302</v>
      </c>
      <c r="J145" s="115" t="s">
        <v>914</v>
      </c>
    </row>
    <row r="146" spans="1:10" ht="13.95" hidden="1" customHeight="1" outlineLevel="3" x14ac:dyDescent="0.3">
      <c r="A146" s="103" t="s">
        <v>1155</v>
      </c>
      <c r="B146" s="104" t="s">
        <v>1156</v>
      </c>
      <c r="C146" s="105"/>
      <c r="D146" s="106">
        <v>14.592000000000001</v>
      </c>
      <c r="E146" s="107">
        <v>10.6</v>
      </c>
      <c r="F146" s="108">
        <v>1004040.874956522</v>
      </c>
      <c r="G146" s="108">
        <v>99856.8</v>
      </c>
      <c r="H146" s="109">
        <v>275227.2</v>
      </c>
      <c r="I146" s="110">
        <v>728813.67495652172</v>
      </c>
      <c r="J146" s="111" t="s">
        <v>914</v>
      </c>
    </row>
    <row r="147" spans="1:10" ht="13.95" hidden="1" customHeight="1" outlineLevel="3" x14ac:dyDescent="0.3">
      <c r="A147" s="112" t="s">
        <v>1157</v>
      </c>
      <c r="B147" s="60" t="s">
        <v>1158</v>
      </c>
      <c r="C147" s="70"/>
      <c r="D147" s="120">
        <v>7.5819999999999999</v>
      </c>
      <c r="E147" s="121">
        <v>3.6</v>
      </c>
      <c r="F147" s="113">
        <v>804352</v>
      </c>
      <c r="G147" s="113">
        <v>157009.5</v>
      </c>
      <c r="H147" s="114">
        <v>424350</v>
      </c>
      <c r="I147" s="122">
        <v>380002</v>
      </c>
      <c r="J147" s="115" t="s">
        <v>914</v>
      </c>
    </row>
    <row r="148" spans="1:10" ht="16.05" hidden="1" customHeight="1" outlineLevel="2" x14ac:dyDescent="0.3">
      <c r="A148" s="97" t="s">
        <v>1159</v>
      </c>
      <c r="B148" s="98"/>
      <c r="C148" s="99">
        <v>2</v>
      </c>
      <c r="D148" s="98"/>
      <c r="E148" s="98"/>
      <c r="F148" s="100">
        <v>3305185</v>
      </c>
      <c r="G148" s="101">
        <v>128373.12</v>
      </c>
      <c r="H148" s="101">
        <v>513492.47999999998</v>
      </c>
      <c r="I148" s="100">
        <v>2791692.52</v>
      </c>
      <c r="J148" s="102" t="s">
        <v>185</v>
      </c>
    </row>
    <row r="149" spans="1:10" ht="13.95" hidden="1" customHeight="1" outlineLevel="3" x14ac:dyDescent="0.3">
      <c r="A149" s="103" t="s">
        <v>1160</v>
      </c>
      <c r="B149" s="104" t="s">
        <v>1161</v>
      </c>
      <c r="C149" s="105"/>
      <c r="D149" s="106">
        <v>34.926000000000002</v>
      </c>
      <c r="E149" s="107">
        <v>30.9</v>
      </c>
      <c r="F149" s="108">
        <v>2358976</v>
      </c>
      <c r="G149" s="108">
        <v>96909.119999999995</v>
      </c>
      <c r="H149" s="109">
        <v>270170.88000000012</v>
      </c>
      <c r="I149" s="110">
        <v>2088805.12</v>
      </c>
      <c r="J149" s="111" t="s">
        <v>914</v>
      </c>
    </row>
    <row r="150" spans="1:10" ht="13.95" hidden="1" customHeight="1" outlineLevel="3" x14ac:dyDescent="0.3">
      <c r="A150" s="112" t="s">
        <v>1162</v>
      </c>
      <c r="B150" s="60" t="s">
        <v>1163</v>
      </c>
      <c r="C150" s="70"/>
      <c r="D150" s="106">
        <v>15.555</v>
      </c>
      <c r="E150" s="107">
        <v>11.6</v>
      </c>
      <c r="F150" s="113">
        <v>946209</v>
      </c>
      <c r="G150" s="113">
        <v>104880</v>
      </c>
      <c r="H150" s="114">
        <v>243321.59999999989</v>
      </c>
      <c r="I150" s="110">
        <v>702887.4</v>
      </c>
      <c r="J150" s="115" t="s">
        <v>914</v>
      </c>
    </row>
    <row r="151" spans="1:10" ht="16.05" hidden="1" customHeight="1" outlineLevel="2" x14ac:dyDescent="0.3">
      <c r="A151" s="97" t="s">
        <v>1164</v>
      </c>
      <c r="B151" s="98"/>
      <c r="C151" s="99">
        <v>1</v>
      </c>
      <c r="D151" s="98"/>
      <c r="E151" s="98"/>
      <c r="F151" s="100">
        <v>592800</v>
      </c>
      <c r="G151" s="101">
        <v>37673.999999999993</v>
      </c>
      <c r="H151" s="101">
        <v>150696</v>
      </c>
      <c r="I151" s="100">
        <v>442104</v>
      </c>
      <c r="J151" s="102" t="s">
        <v>185</v>
      </c>
    </row>
    <row r="152" spans="1:10" ht="13.95" hidden="1" customHeight="1" outlineLevel="3" x14ac:dyDescent="0.3">
      <c r="A152" s="103" t="s">
        <v>1165</v>
      </c>
      <c r="B152" s="104" t="s">
        <v>1166</v>
      </c>
      <c r="C152" s="105"/>
      <c r="D152" s="106">
        <v>15.734999999999999</v>
      </c>
      <c r="E152" s="107">
        <v>11.7</v>
      </c>
      <c r="F152" s="108">
        <v>592800</v>
      </c>
      <c r="G152" s="108">
        <v>52164</v>
      </c>
      <c r="H152" s="109">
        <v>150696</v>
      </c>
      <c r="I152" s="110">
        <v>442104</v>
      </c>
      <c r="J152" s="111" t="s">
        <v>914</v>
      </c>
    </row>
    <row r="153" spans="1:10" ht="16.05" hidden="1" customHeight="1" outlineLevel="1" collapsed="1" x14ac:dyDescent="0.3">
      <c r="A153" s="91" t="s">
        <v>1167</v>
      </c>
      <c r="B153" s="92"/>
      <c r="C153" s="93">
        <v>1</v>
      </c>
      <c r="D153" s="92"/>
      <c r="E153" s="92"/>
      <c r="F153" s="94">
        <v>1107146.6041036639</v>
      </c>
      <c r="G153" s="95">
        <v>183039.75</v>
      </c>
      <c r="H153" s="95">
        <v>732159</v>
      </c>
      <c r="I153" s="94">
        <v>374987.60410366388</v>
      </c>
      <c r="J153" s="96" t="s">
        <v>185</v>
      </c>
    </row>
    <row r="154" spans="1:10" ht="16.05" hidden="1" customHeight="1" outlineLevel="2" x14ac:dyDescent="0.3">
      <c r="A154" s="97" t="s">
        <v>1168</v>
      </c>
      <c r="B154" s="98"/>
      <c r="C154" s="99">
        <v>1</v>
      </c>
      <c r="D154" s="98"/>
      <c r="E154" s="98"/>
      <c r="F154" s="100">
        <v>1107146.6041036639</v>
      </c>
      <c r="G154" s="101">
        <v>183039.75</v>
      </c>
      <c r="H154" s="101">
        <v>732159</v>
      </c>
      <c r="I154" s="100">
        <v>374987.60410366388</v>
      </c>
      <c r="J154" s="102" t="s">
        <v>185</v>
      </c>
    </row>
    <row r="155" spans="1:10" ht="13.95" hidden="1" customHeight="1" outlineLevel="3" x14ac:dyDescent="0.3">
      <c r="A155" s="103" t="s">
        <v>1169</v>
      </c>
      <c r="B155" s="104" t="s">
        <v>1170</v>
      </c>
      <c r="C155" s="105"/>
      <c r="D155" s="120">
        <v>6.0490000000000004</v>
      </c>
      <c r="E155" s="121">
        <v>2</v>
      </c>
      <c r="F155" s="108">
        <v>1107146.6041036639</v>
      </c>
      <c r="G155" s="108">
        <v>200272.5</v>
      </c>
      <c r="H155" s="109">
        <v>732159</v>
      </c>
      <c r="I155" s="122">
        <v>374987.60410366388</v>
      </c>
      <c r="J155" s="111" t="s">
        <v>914</v>
      </c>
    </row>
    <row r="156" spans="1:10" ht="16.05" hidden="1" customHeight="1" outlineLevel="1" collapsed="1" x14ac:dyDescent="0.3">
      <c r="A156" s="91" t="s">
        <v>1171</v>
      </c>
      <c r="B156" s="92"/>
      <c r="C156" s="93">
        <v>2</v>
      </c>
      <c r="D156" s="92"/>
      <c r="E156" s="92"/>
      <c r="F156" s="94">
        <v>657036</v>
      </c>
      <c r="G156" s="95">
        <v>90310.65</v>
      </c>
      <c r="H156" s="95">
        <v>361242.6</v>
      </c>
      <c r="I156" s="94">
        <v>295793.40000000002</v>
      </c>
      <c r="J156" s="96" t="s">
        <v>185</v>
      </c>
    </row>
    <row r="157" spans="1:10" ht="16.05" hidden="1" customHeight="1" outlineLevel="2" x14ac:dyDescent="0.3">
      <c r="A157" s="97" t="s">
        <v>1172</v>
      </c>
      <c r="B157" s="98"/>
      <c r="C157" s="99">
        <v>2</v>
      </c>
      <c r="D157" s="98"/>
      <c r="E157" s="98"/>
      <c r="F157" s="100">
        <v>657036</v>
      </c>
      <c r="G157" s="101">
        <v>90310.65</v>
      </c>
      <c r="H157" s="101">
        <v>361242.6</v>
      </c>
      <c r="I157" s="100">
        <v>295793.40000000002</v>
      </c>
      <c r="J157" s="102" t="s">
        <v>185</v>
      </c>
    </row>
    <row r="158" spans="1:10" ht="13.95" hidden="1" customHeight="1" outlineLevel="3" x14ac:dyDescent="0.3">
      <c r="A158" s="103" t="s">
        <v>1173</v>
      </c>
      <c r="B158" s="104" t="s">
        <v>1174</v>
      </c>
      <c r="C158" s="105"/>
      <c r="D158" s="120">
        <v>7.125</v>
      </c>
      <c r="E158" s="121">
        <v>3.1</v>
      </c>
      <c r="F158" s="108">
        <v>386880</v>
      </c>
      <c r="G158" s="108">
        <v>66757.5</v>
      </c>
      <c r="H158" s="109">
        <v>217184.4</v>
      </c>
      <c r="I158" s="122">
        <v>169695.6</v>
      </c>
      <c r="J158" s="111" t="s">
        <v>914</v>
      </c>
    </row>
    <row r="159" spans="1:10" ht="13.95" hidden="1" customHeight="1" outlineLevel="3" x14ac:dyDescent="0.3">
      <c r="A159" s="112" t="s">
        <v>1175</v>
      </c>
      <c r="B159" s="60" t="s">
        <v>1176</v>
      </c>
      <c r="C159" s="70"/>
      <c r="D159" s="120">
        <v>7.5010000000000003</v>
      </c>
      <c r="E159" s="121">
        <v>3.5</v>
      </c>
      <c r="F159" s="113">
        <v>270156</v>
      </c>
      <c r="G159" s="113">
        <v>71042.399999999994</v>
      </c>
      <c r="H159" s="114">
        <v>144058.20000000001</v>
      </c>
      <c r="I159" s="122">
        <v>126097.8</v>
      </c>
      <c r="J159" s="115" t="s">
        <v>914</v>
      </c>
    </row>
    <row r="160" spans="1:10" ht="16.95" customHeight="1" collapsed="1" x14ac:dyDescent="0.3">
      <c r="A160" s="85" t="s">
        <v>1177</v>
      </c>
      <c r="B160" s="86"/>
      <c r="C160" s="87">
        <v>18</v>
      </c>
      <c r="D160" s="86"/>
      <c r="E160" s="86"/>
      <c r="F160" s="88">
        <v>56068356.689736009</v>
      </c>
      <c r="G160" s="89">
        <v>4978833</v>
      </c>
      <c r="H160" s="89">
        <v>19915332</v>
      </c>
      <c r="I160" s="88">
        <v>36153024.689736009</v>
      </c>
      <c r="J160" s="90" t="s">
        <v>1178</v>
      </c>
    </row>
    <row r="161" spans="1:10" ht="16.05" hidden="1" customHeight="1" outlineLevel="1" collapsed="1" x14ac:dyDescent="0.3">
      <c r="A161" s="91" t="s">
        <v>1179</v>
      </c>
      <c r="B161" s="92"/>
      <c r="C161" s="93">
        <v>6</v>
      </c>
      <c r="D161" s="92"/>
      <c r="E161" s="92"/>
      <c r="F161" s="94">
        <v>29839741.560468491</v>
      </c>
      <c r="G161" s="95">
        <v>2567938.5</v>
      </c>
      <c r="H161" s="95">
        <v>10271754</v>
      </c>
      <c r="I161" s="94">
        <v>19567987.560468491</v>
      </c>
      <c r="J161" s="96" t="s">
        <v>984</v>
      </c>
    </row>
    <row r="162" spans="1:10" ht="16.05" hidden="1" customHeight="1" outlineLevel="2" x14ac:dyDescent="0.3">
      <c r="A162" s="97" t="s">
        <v>1180</v>
      </c>
      <c r="B162" s="98"/>
      <c r="C162" s="99">
        <v>3</v>
      </c>
      <c r="D162" s="98"/>
      <c r="E162" s="98"/>
      <c r="F162" s="100">
        <v>24711871.82382727</v>
      </c>
      <c r="G162" s="101">
        <v>2135481</v>
      </c>
      <c r="H162" s="101">
        <v>8541924</v>
      </c>
      <c r="I162" s="100">
        <v>16169947.82382727</v>
      </c>
      <c r="J162" s="102" t="s">
        <v>185</v>
      </c>
    </row>
    <row r="163" spans="1:10" ht="13.95" hidden="1" customHeight="1" outlineLevel="3" x14ac:dyDescent="0.3">
      <c r="A163" s="103" t="s">
        <v>1181</v>
      </c>
      <c r="B163" s="104" t="s">
        <v>1182</v>
      </c>
      <c r="C163" s="105"/>
      <c r="D163" s="106">
        <v>12.662000000000001</v>
      </c>
      <c r="E163" s="107">
        <v>8.6999999999999993</v>
      </c>
      <c r="F163" s="108">
        <v>18194059.423827268</v>
      </c>
      <c r="G163" s="108">
        <v>2113125</v>
      </c>
      <c r="H163" s="109">
        <v>5747700</v>
      </c>
      <c r="I163" s="110">
        <v>12446359.42382727</v>
      </c>
      <c r="J163" s="111" t="s">
        <v>914</v>
      </c>
    </row>
    <row r="164" spans="1:10" ht="13.95" hidden="1" customHeight="1" outlineLevel="3" x14ac:dyDescent="0.3">
      <c r="A164" s="112" t="s">
        <v>1183</v>
      </c>
      <c r="B164" s="60" t="s">
        <v>1184</v>
      </c>
      <c r="C164" s="70"/>
      <c r="D164" s="116">
        <v>10.916</v>
      </c>
      <c r="E164" s="117">
        <v>6.9</v>
      </c>
      <c r="F164" s="113">
        <v>3121315</v>
      </c>
      <c r="G164" s="113">
        <v>292560</v>
      </c>
      <c r="H164" s="114">
        <v>1143744</v>
      </c>
      <c r="I164" s="118">
        <v>1977571</v>
      </c>
      <c r="J164" s="115" t="s">
        <v>914</v>
      </c>
    </row>
    <row r="165" spans="1:10" ht="13.95" hidden="1" customHeight="1" outlineLevel="3" x14ac:dyDescent="0.3">
      <c r="A165" s="103" t="s">
        <v>1185</v>
      </c>
      <c r="B165" s="104" t="s">
        <v>1186</v>
      </c>
      <c r="C165" s="105"/>
      <c r="D165" s="116">
        <v>8.2319999999999993</v>
      </c>
      <c r="E165" s="117">
        <v>4.2</v>
      </c>
      <c r="F165" s="108">
        <v>3396497.399999999</v>
      </c>
      <c r="G165" s="108">
        <v>603060</v>
      </c>
      <c r="H165" s="109">
        <v>1650480</v>
      </c>
      <c r="I165" s="118">
        <v>1746017.399999999</v>
      </c>
      <c r="J165" s="111" t="s">
        <v>914</v>
      </c>
    </row>
    <row r="166" spans="1:10" ht="16.05" hidden="1" customHeight="1" outlineLevel="2" x14ac:dyDescent="0.3">
      <c r="A166" s="97" t="s">
        <v>1187</v>
      </c>
      <c r="B166" s="98"/>
      <c r="C166" s="99">
        <v>3</v>
      </c>
      <c r="D166" s="98"/>
      <c r="E166" s="98"/>
      <c r="F166" s="100">
        <v>5127869.7366412217</v>
      </c>
      <c r="G166" s="101">
        <v>432457.5</v>
      </c>
      <c r="H166" s="101">
        <v>1729830</v>
      </c>
      <c r="I166" s="100">
        <v>3398039.7366412221</v>
      </c>
      <c r="J166" s="102" t="s">
        <v>1188</v>
      </c>
    </row>
    <row r="167" spans="1:10" ht="13.95" hidden="1" customHeight="1" outlineLevel="3" x14ac:dyDescent="0.3">
      <c r="A167" s="103" t="s">
        <v>1189</v>
      </c>
      <c r="B167" s="104" t="s">
        <v>1190</v>
      </c>
      <c r="C167" s="105"/>
      <c r="D167" s="106">
        <v>14.307</v>
      </c>
      <c r="E167" s="107">
        <v>10.3</v>
      </c>
      <c r="F167" s="108">
        <v>2117483.5</v>
      </c>
      <c r="G167" s="108">
        <v>182160</v>
      </c>
      <c r="H167" s="109">
        <v>592020</v>
      </c>
      <c r="I167" s="110">
        <v>1525463.5</v>
      </c>
      <c r="J167" s="111" t="s">
        <v>914</v>
      </c>
    </row>
    <row r="168" spans="1:10" ht="13.95" hidden="1" customHeight="1" outlineLevel="3" x14ac:dyDescent="0.3">
      <c r="A168" s="112" t="s">
        <v>1191</v>
      </c>
      <c r="B168" s="60" t="s">
        <v>1192</v>
      </c>
      <c r="C168" s="70"/>
      <c r="D168" s="106">
        <v>28.952000000000002</v>
      </c>
      <c r="E168" s="107">
        <v>25</v>
      </c>
      <c r="F168" s="113">
        <v>1258560</v>
      </c>
      <c r="G168" s="113">
        <v>70380</v>
      </c>
      <c r="H168" s="114">
        <v>173880</v>
      </c>
      <c r="I168" s="110">
        <v>1084680</v>
      </c>
      <c r="J168" s="115" t="s">
        <v>914</v>
      </c>
    </row>
    <row r="169" spans="1:10" ht="13.95" hidden="1" customHeight="1" outlineLevel="3" x14ac:dyDescent="0.3">
      <c r="A169" s="103" t="s">
        <v>1193</v>
      </c>
      <c r="B169" s="104" t="s">
        <v>1194</v>
      </c>
      <c r="C169" s="105"/>
      <c r="D169" s="120">
        <v>7.27</v>
      </c>
      <c r="E169" s="121">
        <v>3.3</v>
      </c>
      <c r="F169" s="108">
        <v>1751826.236641221</v>
      </c>
      <c r="G169" s="108">
        <v>503872.5</v>
      </c>
      <c r="H169" s="109">
        <v>963929.99999999988</v>
      </c>
      <c r="I169" s="122">
        <v>787896.23664122156</v>
      </c>
      <c r="J169" s="119" t="s">
        <v>932</v>
      </c>
    </row>
    <row r="170" spans="1:10" ht="16.05" hidden="1" customHeight="1" outlineLevel="1" collapsed="1" x14ac:dyDescent="0.3">
      <c r="A170" s="91" t="s">
        <v>1195</v>
      </c>
      <c r="B170" s="92"/>
      <c r="C170" s="93">
        <v>3</v>
      </c>
      <c r="D170" s="92"/>
      <c r="E170" s="92"/>
      <c r="F170" s="94">
        <v>22173066.129267521</v>
      </c>
      <c r="G170" s="95">
        <v>2109675</v>
      </c>
      <c r="H170" s="95">
        <v>8438700</v>
      </c>
      <c r="I170" s="94">
        <v>13734366.129267519</v>
      </c>
      <c r="J170" s="96" t="s">
        <v>1188</v>
      </c>
    </row>
    <row r="171" spans="1:10" ht="16.05" hidden="1" customHeight="1" outlineLevel="2" x14ac:dyDescent="0.3">
      <c r="A171" s="97" t="s">
        <v>1196</v>
      </c>
      <c r="B171" s="98"/>
      <c r="C171" s="99">
        <v>3</v>
      </c>
      <c r="D171" s="98"/>
      <c r="E171" s="98"/>
      <c r="F171" s="100">
        <v>22173066.129267521</v>
      </c>
      <c r="G171" s="101">
        <v>2109675</v>
      </c>
      <c r="H171" s="101">
        <v>8438700</v>
      </c>
      <c r="I171" s="100">
        <v>13734366.129267519</v>
      </c>
      <c r="J171" s="102" t="s">
        <v>1188</v>
      </c>
    </row>
    <row r="172" spans="1:10" ht="13.95" hidden="1" customHeight="1" outlineLevel="3" x14ac:dyDescent="0.3">
      <c r="A172" s="103" t="s">
        <v>1197</v>
      </c>
      <c r="B172" s="104" t="s">
        <v>108</v>
      </c>
      <c r="C172" s="105"/>
      <c r="D172" s="116">
        <v>8.9649999999999999</v>
      </c>
      <c r="E172" s="117">
        <v>5</v>
      </c>
      <c r="F172" s="108">
        <v>11341893.02926752</v>
      </c>
      <c r="G172" s="108">
        <v>2490900</v>
      </c>
      <c r="H172" s="109">
        <v>5060460</v>
      </c>
      <c r="I172" s="118">
        <v>6281433.029267516</v>
      </c>
      <c r="J172" s="119" t="s">
        <v>932</v>
      </c>
    </row>
    <row r="173" spans="1:10" ht="13.95" hidden="1" customHeight="1" outlineLevel="3" x14ac:dyDescent="0.3">
      <c r="A173" s="112" t="s">
        <v>1198</v>
      </c>
      <c r="B173" s="60" t="s">
        <v>1199</v>
      </c>
      <c r="C173" s="70"/>
      <c r="D173" s="106">
        <v>13.145</v>
      </c>
      <c r="E173" s="107">
        <v>9.1</v>
      </c>
      <c r="F173" s="113">
        <v>7940580</v>
      </c>
      <c r="G173" s="113">
        <v>1055700</v>
      </c>
      <c r="H173" s="114">
        <v>2416380</v>
      </c>
      <c r="I173" s="110">
        <v>5524200</v>
      </c>
      <c r="J173" s="115" t="s">
        <v>914</v>
      </c>
    </row>
    <row r="174" spans="1:10" ht="13.95" hidden="1" customHeight="1" outlineLevel="3" x14ac:dyDescent="0.3">
      <c r="A174" s="103" t="s">
        <v>1200</v>
      </c>
      <c r="B174" s="104" t="s">
        <v>1201</v>
      </c>
      <c r="C174" s="105"/>
      <c r="D174" s="116">
        <v>12.021000000000001</v>
      </c>
      <c r="E174" s="117">
        <v>8</v>
      </c>
      <c r="F174" s="108">
        <v>2890593.1</v>
      </c>
      <c r="G174" s="108">
        <v>527850</v>
      </c>
      <c r="H174" s="109">
        <v>961860</v>
      </c>
      <c r="I174" s="118">
        <v>1928733.1</v>
      </c>
      <c r="J174" s="111" t="s">
        <v>914</v>
      </c>
    </row>
    <row r="175" spans="1:10" ht="16.05" hidden="1" customHeight="1" outlineLevel="1" collapsed="1" x14ac:dyDescent="0.3">
      <c r="A175" s="91" t="s">
        <v>1202</v>
      </c>
      <c r="B175" s="92"/>
      <c r="C175" s="93">
        <v>8</v>
      </c>
      <c r="D175" s="92"/>
      <c r="E175" s="92"/>
      <c r="F175" s="94">
        <v>3102655</v>
      </c>
      <c r="G175" s="95">
        <v>226147.5</v>
      </c>
      <c r="H175" s="95">
        <v>904589.99999999988</v>
      </c>
      <c r="I175" s="94">
        <v>2198065</v>
      </c>
      <c r="J175" s="96" t="s">
        <v>1124</v>
      </c>
    </row>
    <row r="176" spans="1:10" ht="16.05" hidden="1" customHeight="1" outlineLevel="2" x14ac:dyDescent="0.3">
      <c r="A176" s="97" t="s">
        <v>1203</v>
      </c>
      <c r="B176" s="98"/>
      <c r="C176" s="99">
        <v>3</v>
      </c>
      <c r="D176" s="98"/>
      <c r="E176" s="98"/>
      <c r="F176" s="100">
        <v>1149154</v>
      </c>
      <c r="G176" s="101">
        <v>61927.499999999993</v>
      </c>
      <c r="H176" s="101">
        <v>247710</v>
      </c>
      <c r="I176" s="100">
        <v>901444</v>
      </c>
      <c r="J176" s="102" t="s">
        <v>185</v>
      </c>
    </row>
    <row r="177" spans="1:10" ht="13.95" hidden="1" customHeight="1" outlineLevel="3" x14ac:dyDescent="0.3">
      <c r="A177" s="103" t="s">
        <v>1204</v>
      </c>
      <c r="B177" s="104" t="s">
        <v>1205</v>
      </c>
      <c r="C177" s="105"/>
      <c r="D177" s="106">
        <v>21.262</v>
      </c>
      <c r="E177" s="107">
        <v>17.3</v>
      </c>
      <c r="F177" s="108">
        <v>513480</v>
      </c>
      <c r="G177" s="108">
        <v>34500</v>
      </c>
      <c r="H177" s="109">
        <v>96600</v>
      </c>
      <c r="I177" s="110">
        <v>416880</v>
      </c>
      <c r="J177" s="111" t="s">
        <v>914</v>
      </c>
    </row>
    <row r="178" spans="1:10" ht="13.95" hidden="1" customHeight="1" outlineLevel="3" x14ac:dyDescent="0.3">
      <c r="A178" s="112" t="s">
        <v>1206</v>
      </c>
      <c r="B178" s="60" t="s">
        <v>1207</v>
      </c>
      <c r="C178" s="70"/>
      <c r="D178" s="106">
        <v>22.524000000000001</v>
      </c>
      <c r="E178" s="107">
        <v>18.5</v>
      </c>
      <c r="F178" s="113">
        <v>338034</v>
      </c>
      <c r="G178" s="113">
        <v>20700</v>
      </c>
      <c r="H178" s="114">
        <v>60029.999999999993</v>
      </c>
      <c r="I178" s="110">
        <v>278004</v>
      </c>
      <c r="J178" s="115" t="s">
        <v>914</v>
      </c>
    </row>
    <row r="179" spans="1:10" ht="13.95" hidden="1" customHeight="1" outlineLevel="3" x14ac:dyDescent="0.3">
      <c r="A179" s="103" t="s">
        <v>1208</v>
      </c>
      <c r="B179" s="104" t="s">
        <v>1209</v>
      </c>
      <c r="C179" s="105"/>
      <c r="D179" s="106">
        <v>13.071999999999999</v>
      </c>
      <c r="E179" s="107">
        <v>9.1</v>
      </c>
      <c r="F179" s="108">
        <v>297640</v>
      </c>
      <c r="G179" s="108">
        <v>36225</v>
      </c>
      <c r="H179" s="109">
        <v>91079.999999999985</v>
      </c>
      <c r="I179" s="110">
        <v>206560</v>
      </c>
      <c r="J179" s="111" t="s">
        <v>914</v>
      </c>
    </row>
    <row r="180" spans="1:10" ht="16.05" hidden="1" customHeight="1" outlineLevel="2" x14ac:dyDescent="0.3">
      <c r="A180" s="97" t="s">
        <v>1210</v>
      </c>
      <c r="B180" s="98"/>
      <c r="C180" s="99">
        <v>2</v>
      </c>
      <c r="D180" s="98"/>
      <c r="E180" s="98"/>
      <c r="F180" s="100">
        <v>1267968</v>
      </c>
      <c r="G180" s="101">
        <v>121440</v>
      </c>
      <c r="H180" s="101">
        <v>485759.99999999988</v>
      </c>
      <c r="I180" s="100">
        <v>782208</v>
      </c>
      <c r="J180" s="102" t="s">
        <v>185</v>
      </c>
    </row>
    <row r="181" spans="1:10" ht="13.95" hidden="1" customHeight="1" outlineLevel="3" x14ac:dyDescent="0.3">
      <c r="A181" s="103" t="s">
        <v>1211</v>
      </c>
      <c r="B181" s="104" t="s">
        <v>1212</v>
      </c>
      <c r="C181" s="105"/>
      <c r="D181" s="116">
        <v>10.115</v>
      </c>
      <c r="E181" s="117">
        <v>6.1</v>
      </c>
      <c r="F181" s="108">
        <v>844536</v>
      </c>
      <c r="G181" s="108">
        <v>114798.75</v>
      </c>
      <c r="H181" s="109">
        <v>333959.99999999988</v>
      </c>
      <c r="I181" s="118">
        <v>510576.00000000012</v>
      </c>
      <c r="J181" s="111" t="s">
        <v>914</v>
      </c>
    </row>
    <row r="182" spans="1:10" ht="13.95" hidden="1" customHeight="1" outlineLevel="3" x14ac:dyDescent="0.3">
      <c r="A182" s="112" t="s">
        <v>1213</v>
      </c>
      <c r="B182" s="60" t="s">
        <v>1214</v>
      </c>
      <c r="C182" s="70"/>
      <c r="D182" s="116">
        <v>11.157999999999999</v>
      </c>
      <c r="E182" s="117">
        <v>7.2</v>
      </c>
      <c r="F182" s="113">
        <v>423432</v>
      </c>
      <c r="G182" s="113">
        <v>47437.5</v>
      </c>
      <c r="H182" s="114">
        <v>151800</v>
      </c>
      <c r="I182" s="118">
        <v>271632</v>
      </c>
      <c r="J182" s="115" t="s">
        <v>914</v>
      </c>
    </row>
    <row r="183" spans="1:10" ht="16.05" hidden="1" customHeight="1" outlineLevel="2" x14ac:dyDescent="0.3">
      <c r="A183" s="97" t="s">
        <v>1215</v>
      </c>
      <c r="B183" s="98"/>
      <c r="C183" s="99">
        <v>2</v>
      </c>
      <c r="D183" s="98"/>
      <c r="E183" s="98"/>
      <c r="F183" s="100">
        <v>390225</v>
      </c>
      <c r="G183" s="101">
        <v>22080</v>
      </c>
      <c r="H183" s="101">
        <v>88319.999999999985</v>
      </c>
      <c r="I183" s="100">
        <v>301905</v>
      </c>
      <c r="J183" s="102" t="s">
        <v>185</v>
      </c>
    </row>
    <row r="184" spans="1:10" ht="13.95" hidden="1" customHeight="1" outlineLevel="3" x14ac:dyDescent="0.3">
      <c r="A184" s="103" t="s">
        <v>1216</v>
      </c>
      <c r="B184" s="104" t="s">
        <v>1217</v>
      </c>
      <c r="C184" s="105"/>
      <c r="D184" s="106">
        <v>16.869</v>
      </c>
      <c r="E184" s="107">
        <v>12.9</v>
      </c>
      <c r="F184" s="108">
        <v>214170</v>
      </c>
      <c r="G184" s="108">
        <v>17940</v>
      </c>
      <c r="H184" s="109">
        <v>50783.999999999993</v>
      </c>
      <c r="I184" s="110">
        <v>163386</v>
      </c>
      <c r="J184" s="111" t="s">
        <v>914</v>
      </c>
    </row>
    <row r="185" spans="1:10" ht="13.95" hidden="1" customHeight="1" outlineLevel="3" x14ac:dyDescent="0.3">
      <c r="A185" s="112" t="s">
        <v>1218</v>
      </c>
      <c r="B185" s="60" t="s">
        <v>1219</v>
      </c>
      <c r="C185" s="70"/>
      <c r="D185" s="106">
        <v>18.760999999999999</v>
      </c>
      <c r="E185" s="107">
        <v>14.8</v>
      </c>
      <c r="F185" s="113">
        <v>176055</v>
      </c>
      <c r="G185" s="113">
        <v>17940</v>
      </c>
      <c r="H185" s="114">
        <v>37535.999999999993</v>
      </c>
      <c r="I185" s="110">
        <v>138519</v>
      </c>
      <c r="J185" s="115" t="s">
        <v>914</v>
      </c>
    </row>
    <row r="186" spans="1:10" ht="16.05" hidden="1" customHeight="1" outlineLevel="2" x14ac:dyDescent="0.3">
      <c r="A186" s="97" t="s">
        <v>1220</v>
      </c>
      <c r="B186" s="98"/>
      <c r="C186" s="99">
        <v>1</v>
      </c>
      <c r="D186" s="98"/>
      <c r="E186" s="98"/>
      <c r="F186" s="100">
        <v>295308</v>
      </c>
      <c r="G186" s="101">
        <v>20700</v>
      </c>
      <c r="H186" s="101">
        <v>82799.999999999985</v>
      </c>
      <c r="I186" s="100">
        <v>212508</v>
      </c>
      <c r="J186" s="102" t="s">
        <v>999</v>
      </c>
    </row>
    <row r="187" spans="1:10" ht="13.95" hidden="1" customHeight="1" outlineLevel="3" x14ac:dyDescent="0.3">
      <c r="A187" s="103" t="s">
        <v>1221</v>
      </c>
      <c r="B187" s="104" t="s">
        <v>114</v>
      </c>
      <c r="C187" s="105"/>
      <c r="D187" s="106">
        <v>14.266</v>
      </c>
      <c r="E187" s="107">
        <v>10.3</v>
      </c>
      <c r="F187" s="108">
        <v>295308</v>
      </c>
      <c r="G187" s="108">
        <v>51750</v>
      </c>
      <c r="H187" s="109">
        <v>82799.999999999985</v>
      </c>
      <c r="I187" s="110">
        <v>212508</v>
      </c>
      <c r="J187" s="119" t="s">
        <v>932</v>
      </c>
    </row>
    <row r="188" spans="1:10" ht="16.05" hidden="1" customHeight="1" outlineLevel="1" collapsed="1" x14ac:dyDescent="0.3">
      <c r="A188" s="91" t="s">
        <v>1222</v>
      </c>
      <c r="B188" s="92"/>
      <c r="C188" s="93">
        <v>1</v>
      </c>
      <c r="D188" s="92"/>
      <c r="E188" s="92"/>
      <c r="F188" s="94">
        <v>952894</v>
      </c>
      <c r="G188" s="95">
        <v>75071.999999999985</v>
      </c>
      <c r="H188" s="95">
        <v>300287.99999999988</v>
      </c>
      <c r="I188" s="94">
        <v>652606</v>
      </c>
      <c r="J188" s="96" t="s">
        <v>999</v>
      </c>
    </row>
    <row r="189" spans="1:10" ht="16.05" hidden="1" customHeight="1" outlineLevel="2" x14ac:dyDescent="0.3">
      <c r="A189" s="97" t="s">
        <v>992</v>
      </c>
      <c r="B189" s="98"/>
      <c r="C189" s="99">
        <v>1</v>
      </c>
      <c r="D189" s="98"/>
      <c r="E189" s="98"/>
      <c r="F189" s="100">
        <v>952894</v>
      </c>
      <c r="G189" s="101">
        <v>75071.999999999985</v>
      </c>
      <c r="H189" s="101">
        <v>300287.99999999988</v>
      </c>
      <c r="I189" s="100">
        <v>652606</v>
      </c>
      <c r="J189" s="102" t="s">
        <v>999</v>
      </c>
    </row>
    <row r="190" spans="1:10" ht="13.95" hidden="1" customHeight="1" outlineLevel="3" x14ac:dyDescent="0.3">
      <c r="A190" s="103" t="s">
        <v>1223</v>
      </c>
      <c r="B190" s="104" t="s">
        <v>287</v>
      </c>
      <c r="C190" s="105"/>
      <c r="D190" s="106">
        <v>12.693</v>
      </c>
      <c r="E190" s="107">
        <v>8.6999999999999993</v>
      </c>
      <c r="F190" s="108">
        <v>952894</v>
      </c>
      <c r="G190" s="108">
        <v>168912</v>
      </c>
      <c r="H190" s="109">
        <v>300287.99999999988</v>
      </c>
      <c r="I190" s="110">
        <v>652606</v>
      </c>
      <c r="J190" s="119" t="s">
        <v>932</v>
      </c>
    </row>
    <row r="191" spans="1:10" ht="16.95" customHeight="1" collapsed="1" x14ac:dyDescent="0.3">
      <c r="A191" s="85" t="s">
        <v>1224</v>
      </c>
      <c r="B191" s="86"/>
      <c r="C191" s="87">
        <v>21</v>
      </c>
      <c r="D191" s="86"/>
      <c r="E191" s="86"/>
      <c r="F191" s="88">
        <v>38641823.325000003</v>
      </c>
      <c r="G191" s="89">
        <v>1090724.9750000001</v>
      </c>
      <c r="H191" s="89">
        <v>4362899.9000000004</v>
      </c>
      <c r="I191" s="88">
        <v>34278923.424999997</v>
      </c>
      <c r="J191" s="90" t="s">
        <v>1225</v>
      </c>
    </row>
    <row r="192" spans="1:10" ht="16.05" hidden="1" customHeight="1" outlineLevel="1" collapsed="1" x14ac:dyDescent="0.3">
      <c r="A192" s="91" t="s">
        <v>949</v>
      </c>
      <c r="B192" s="92"/>
      <c r="C192" s="93">
        <v>17</v>
      </c>
      <c r="D192" s="92"/>
      <c r="E192" s="92"/>
      <c r="F192" s="94">
        <v>34474460.224999987</v>
      </c>
      <c r="G192" s="95">
        <v>846266.94500000007</v>
      </c>
      <c r="H192" s="95">
        <v>3385067.78</v>
      </c>
      <c r="I192" s="94">
        <v>31089392.445</v>
      </c>
      <c r="J192" s="96" t="s">
        <v>185</v>
      </c>
    </row>
    <row r="193" spans="1:10" ht="16.05" hidden="1" customHeight="1" outlineLevel="2" x14ac:dyDescent="0.3">
      <c r="A193" s="97" t="s">
        <v>951</v>
      </c>
      <c r="B193" s="98"/>
      <c r="C193" s="99">
        <v>13</v>
      </c>
      <c r="D193" s="98"/>
      <c r="E193" s="98"/>
      <c r="F193" s="100">
        <v>31594411.725000001</v>
      </c>
      <c r="G193" s="101">
        <v>729509.745</v>
      </c>
      <c r="H193" s="101">
        <v>2918038.98</v>
      </c>
      <c r="I193" s="100">
        <v>28676372.745000001</v>
      </c>
      <c r="J193" s="102" t="s">
        <v>185</v>
      </c>
    </row>
    <row r="194" spans="1:10" ht="13.95" hidden="1" customHeight="1" outlineLevel="3" x14ac:dyDescent="0.3">
      <c r="A194" s="103" t="s">
        <v>1226</v>
      </c>
      <c r="B194" s="104" t="s">
        <v>1227</v>
      </c>
      <c r="C194" s="105"/>
      <c r="D194" s="106">
        <v>92.076999999999998</v>
      </c>
      <c r="E194" s="107">
        <v>88.1</v>
      </c>
      <c r="F194" s="108">
        <v>3460646.7</v>
      </c>
      <c r="G194" s="108">
        <v>70831.95</v>
      </c>
      <c r="H194" s="109">
        <v>150337.20000000001</v>
      </c>
      <c r="I194" s="110">
        <v>3310309.5</v>
      </c>
      <c r="J194" s="111" t="s">
        <v>914</v>
      </c>
    </row>
    <row r="195" spans="1:10" ht="13.95" hidden="1" customHeight="1" outlineLevel="3" x14ac:dyDescent="0.3">
      <c r="A195" s="112" t="s">
        <v>1228</v>
      </c>
      <c r="B195" s="60" t="s">
        <v>1229</v>
      </c>
      <c r="C195" s="70"/>
      <c r="D195" s="106">
        <v>84.225999999999999</v>
      </c>
      <c r="E195" s="107">
        <v>80.2</v>
      </c>
      <c r="F195" s="113">
        <v>3467015.9750000001</v>
      </c>
      <c r="G195" s="113">
        <v>71609.58</v>
      </c>
      <c r="H195" s="114">
        <v>164653.32</v>
      </c>
      <c r="I195" s="110">
        <v>3302362.6549999998</v>
      </c>
      <c r="J195" s="115" t="s">
        <v>914</v>
      </c>
    </row>
    <row r="196" spans="1:10" ht="13.95" hidden="1" customHeight="1" outlineLevel="3" x14ac:dyDescent="0.3">
      <c r="A196" s="103" t="s">
        <v>1230</v>
      </c>
      <c r="B196" s="104" t="s">
        <v>1231</v>
      </c>
      <c r="C196" s="105"/>
      <c r="D196" s="106">
        <v>77.983999999999995</v>
      </c>
      <c r="E196" s="107">
        <v>74</v>
      </c>
      <c r="F196" s="108">
        <v>3305041.9249999998</v>
      </c>
      <c r="G196" s="108">
        <v>71609.58</v>
      </c>
      <c r="H196" s="109">
        <v>169524.72</v>
      </c>
      <c r="I196" s="110">
        <v>3135517.2050000001</v>
      </c>
      <c r="J196" s="111" t="s">
        <v>914</v>
      </c>
    </row>
    <row r="197" spans="1:10" ht="13.95" hidden="1" customHeight="1" outlineLevel="3" x14ac:dyDescent="0.3">
      <c r="A197" s="112" t="s">
        <v>1232</v>
      </c>
      <c r="B197" s="60" t="s">
        <v>1233</v>
      </c>
      <c r="C197" s="70"/>
      <c r="D197" s="106">
        <v>52.256</v>
      </c>
      <c r="E197" s="107">
        <v>48.3</v>
      </c>
      <c r="F197" s="113">
        <v>3220198.375</v>
      </c>
      <c r="G197" s="113">
        <v>83544.509999999995</v>
      </c>
      <c r="H197" s="114">
        <v>246492.84</v>
      </c>
      <c r="I197" s="110">
        <v>2973705.5350000001</v>
      </c>
      <c r="J197" s="115" t="s">
        <v>914</v>
      </c>
    </row>
    <row r="198" spans="1:10" ht="13.95" hidden="1" customHeight="1" outlineLevel="3" x14ac:dyDescent="0.3">
      <c r="A198" s="103" t="s">
        <v>1234</v>
      </c>
      <c r="B198" s="104" t="s">
        <v>1235</v>
      </c>
      <c r="C198" s="105"/>
      <c r="D198" s="106">
        <v>44.398000000000003</v>
      </c>
      <c r="E198" s="107">
        <v>40.4</v>
      </c>
      <c r="F198" s="108">
        <v>3144794.0249999999</v>
      </c>
      <c r="G198" s="108">
        <v>88178.55</v>
      </c>
      <c r="H198" s="109">
        <v>283327.8000000001</v>
      </c>
      <c r="I198" s="110">
        <v>2861466.2250000001</v>
      </c>
      <c r="J198" s="111" t="s">
        <v>914</v>
      </c>
    </row>
    <row r="199" spans="1:10" ht="13.95" hidden="1" customHeight="1" outlineLevel="3" x14ac:dyDescent="0.3">
      <c r="A199" s="112" t="s">
        <v>1236</v>
      </c>
      <c r="B199" s="60" t="s">
        <v>1237</v>
      </c>
      <c r="C199" s="70"/>
      <c r="D199" s="106">
        <v>33.832000000000001</v>
      </c>
      <c r="E199" s="107">
        <v>29.8</v>
      </c>
      <c r="F199" s="113">
        <v>2507287.5</v>
      </c>
      <c r="G199" s="113">
        <v>93112.74</v>
      </c>
      <c r="H199" s="114">
        <v>296440.56</v>
      </c>
      <c r="I199" s="110">
        <v>2210846.94</v>
      </c>
      <c r="J199" s="115" t="s">
        <v>914</v>
      </c>
    </row>
    <row r="200" spans="1:10" ht="13.95" hidden="1" customHeight="1" outlineLevel="3" x14ac:dyDescent="0.3">
      <c r="A200" s="103" t="s">
        <v>1238</v>
      </c>
      <c r="B200" s="104" t="s">
        <v>1239</v>
      </c>
      <c r="C200" s="105"/>
      <c r="D200" s="106">
        <v>23.931999999999999</v>
      </c>
      <c r="E200" s="107">
        <v>19.899999999999999</v>
      </c>
      <c r="F200" s="108">
        <v>2311719.0750000002</v>
      </c>
      <c r="G200" s="108">
        <v>96596.55</v>
      </c>
      <c r="H200" s="109">
        <v>386386.20000000013</v>
      </c>
      <c r="I200" s="110">
        <v>1925332.875</v>
      </c>
      <c r="J200" s="111" t="s">
        <v>914</v>
      </c>
    </row>
    <row r="201" spans="1:10" ht="13.95" hidden="1" customHeight="1" outlineLevel="3" x14ac:dyDescent="0.3">
      <c r="A201" s="112" t="s">
        <v>1240</v>
      </c>
      <c r="B201" s="60" t="s">
        <v>1241</v>
      </c>
      <c r="C201" s="70"/>
      <c r="D201" s="106">
        <v>23.898</v>
      </c>
      <c r="E201" s="107">
        <v>19.899999999999999</v>
      </c>
      <c r="F201" s="113">
        <v>2226471.2999999998</v>
      </c>
      <c r="G201" s="113">
        <v>80497.13</v>
      </c>
      <c r="H201" s="114">
        <v>372662.10000000009</v>
      </c>
      <c r="I201" s="110">
        <v>1853809.2</v>
      </c>
      <c r="J201" s="115" t="s">
        <v>914</v>
      </c>
    </row>
    <row r="202" spans="1:10" ht="13.95" hidden="1" customHeight="1" outlineLevel="3" x14ac:dyDescent="0.3">
      <c r="A202" s="103" t="s">
        <v>1242</v>
      </c>
      <c r="B202" s="104" t="s">
        <v>1243</v>
      </c>
      <c r="C202" s="105"/>
      <c r="D202" s="106">
        <v>49.347000000000001</v>
      </c>
      <c r="E202" s="107">
        <v>45.3</v>
      </c>
      <c r="F202" s="108">
        <v>1777388.25</v>
      </c>
      <c r="G202" s="108">
        <v>73536.75</v>
      </c>
      <c r="H202" s="109">
        <v>144072</v>
      </c>
      <c r="I202" s="110">
        <v>1633316.25</v>
      </c>
      <c r="J202" s="111" t="s">
        <v>914</v>
      </c>
    </row>
    <row r="203" spans="1:10" ht="13.95" hidden="1" customHeight="1" outlineLevel="3" x14ac:dyDescent="0.3">
      <c r="A203" s="112" t="s">
        <v>1244</v>
      </c>
      <c r="B203" s="60" t="s">
        <v>1245</v>
      </c>
      <c r="C203" s="70"/>
      <c r="D203" s="106">
        <v>46.36</v>
      </c>
      <c r="E203" s="107">
        <v>42.4</v>
      </c>
      <c r="F203" s="113">
        <v>1739369.25</v>
      </c>
      <c r="G203" s="113">
        <v>73536.75</v>
      </c>
      <c r="H203" s="114">
        <v>150075</v>
      </c>
      <c r="I203" s="110">
        <v>1589294.25</v>
      </c>
      <c r="J203" s="115" t="s">
        <v>914</v>
      </c>
    </row>
    <row r="204" spans="1:10" ht="13.95" hidden="1" customHeight="1" outlineLevel="3" x14ac:dyDescent="0.3">
      <c r="A204" s="103" t="s">
        <v>1246</v>
      </c>
      <c r="B204" s="104" t="s">
        <v>1247</v>
      </c>
      <c r="C204" s="105"/>
      <c r="D204" s="106">
        <v>49.4</v>
      </c>
      <c r="E204" s="107">
        <v>45.4</v>
      </c>
      <c r="F204" s="108">
        <v>1563695.25</v>
      </c>
      <c r="G204" s="108">
        <v>62041.35</v>
      </c>
      <c r="H204" s="109">
        <v>126615</v>
      </c>
      <c r="I204" s="110">
        <v>1437080.25</v>
      </c>
      <c r="J204" s="111" t="s">
        <v>914</v>
      </c>
    </row>
    <row r="205" spans="1:10" ht="13.95" hidden="1" customHeight="1" outlineLevel="3" x14ac:dyDescent="0.3">
      <c r="A205" s="112" t="s">
        <v>1248</v>
      </c>
      <c r="B205" s="60" t="s">
        <v>1249</v>
      </c>
      <c r="C205" s="70"/>
      <c r="D205" s="106">
        <v>28.484000000000002</v>
      </c>
      <c r="E205" s="107">
        <v>24.5</v>
      </c>
      <c r="F205" s="113">
        <v>1471477.325</v>
      </c>
      <c r="G205" s="113">
        <v>74449.62</v>
      </c>
      <c r="H205" s="114">
        <v>206635.68</v>
      </c>
      <c r="I205" s="110">
        <v>1264841.645</v>
      </c>
      <c r="J205" s="115" t="s">
        <v>914</v>
      </c>
    </row>
    <row r="206" spans="1:10" ht="13.95" hidden="1" customHeight="1" outlineLevel="3" x14ac:dyDescent="0.3">
      <c r="A206" s="103" t="s">
        <v>1250</v>
      </c>
      <c r="B206" s="104" t="s">
        <v>1251</v>
      </c>
      <c r="C206" s="105"/>
      <c r="D206" s="106">
        <v>25.347999999999999</v>
      </c>
      <c r="E206" s="107">
        <v>21.3</v>
      </c>
      <c r="F206" s="108">
        <v>1399306.7749999999</v>
      </c>
      <c r="G206" s="108">
        <v>86857.89</v>
      </c>
      <c r="H206" s="109">
        <v>220816.56</v>
      </c>
      <c r="I206" s="110">
        <v>1178490.2150000001</v>
      </c>
      <c r="J206" s="111" t="s">
        <v>914</v>
      </c>
    </row>
    <row r="207" spans="1:10" ht="16.05" hidden="1" customHeight="1" outlineLevel="2" x14ac:dyDescent="0.3">
      <c r="A207" s="97" t="s">
        <v>1252</v>
      </c>
      <c r="B207" s="98"/>
      <c r="C207" s="99">
        <v>4</v>
      </c>
      <c r="D207" s="98"/>
      <c r="E207" s="98"/>
      <c r="F207" s="100">
        <v>2880048.5</v>
      </c>
      <c r="G207" s="101">
        <v>116757.2</v>
      </c>
      <c r="H207" s="101">
        <v>467028.8</v>
      </c>
      <c r="I207" s="100">
        <v>2413019.7000000002</v>
      </c>
      <c r="J207" s="102" t="s">
        <v>185</v>
      </c>
    </row>
    <row r="208" spans="1:10" ht="13.95" hidden="1" customHeight="1" outlineLevel="3" x14ac:dyDescent="0.3">
      <c r="A208" s="103" t="s">
        <v>1253</v>
      </c>
      <c r="B208" s="104" t="s">
        <v>1254</v>
      </c>
      <c r="C208" s="105"/>
      <c r="D208" s="106">
        <v>36.847999999999999</v>
      </c>
      <c r="E208" s="107">
        <v>32.799999999999997</v>
      </c>
      <c r="F208" s="108">
        <v>822259.19999999995</v>
      </c>
      <c r="G208" s="108">
        <v>33133.800000000003</v>
      </c>
      <c r="H208" s="109">
        <v>89258.39999999998</v>
      </c>
      <c r="I208" s="110">
        <v>733000.79999999993</v>
      </c>
      <c r="J208" s="111" t="s">
        <v>914</v>
      </c>
    </row>
    <row r="209" spans="1:10" ht="13.95" hidden="1" customHeight="1" outlineLevel="3" x14ac:dyDescent="0.3">
      <c r="A209" s="112" t="s">
        <v>1255</v>
      </c>
      <c r="B209" s="60" t="s">
        <v>1256</v>
      </c>
      <c r="C209" s="70"/>
      <c r="D209" s="106">
        <v>21.983000000000001</v>
      </c>
      <c r="E209" s="107">
        <v>18</v>
      </c>
      <c r="F209" s="113">
        <v>725900.7</v>
      </c>
      <c r="G209" s="113">
        <v>34373.5</v>
      </c>
      <c r="H209" s="114">
        <v>132084.4</v>
      </c>
      <c r="I209" s="110">
        <v>593816.29999999993</v>
      </c>
      <c r="J209" s="115" t="s">
        <v>914</v>
      </c>
    </row>
    <row r="210" spans="1:10" ht="13.95" hidden="1" customHeight="1" outlineLevel="3" x14ac:dyDescent="0.3">
      <c r="A210" s="103" t="s">
        <v>1257</v>
      </c>
      <c r="B210" s="104" t="s">
        <v>1258</v>
      </c>
      <c r="C210" s="105"/>
      <c r="D210" s="106">
        <v>21.440999999999999</v>
      </c>
      <c r="E210" s="107">
        <v>17.399999999999999</v>
      </c>
      <c r="F210" s="108">
        <v>695922.49999999988</v>
      </c>
      <c r="G210" s="108">
        <v>41248.199999999997</v>
      </c>
      <c r="H210" s="109">
        <v>129830.39999999999</v>
      </c>
      <c r="I210" s="110">
        <v>566092.09999999986</v>
      </c>
      <c r="J210" s="111" t="s">
        <v>914</v>
      </c>
    </row>
    <row r="211" spans="1:10" ht="13.95" hidden="1" customHeight="1" outlineLevel="3" x14ac:dyDescent="0.3">
      <c r="A211" s="112" t="s">
        <v>1259</v>
      </c>
      <c r="B211" s="60" t="s">
        <v>1260</v>
      </c>
      <c r="C211" s="70"/>
      <c r="D211" s="106">
        <v>21.957000000000001</v>
      </c>
      <c r="E211" s="107">
        <v>18</v>
      </c>
      <c r="F211" s="113">
        <v>635966.1</v>
      </c>
      <c r="G211" s="113">
        <v>34373.5</v>
      </c>
      <c r="H211" s="114">
        <v>115855.6</v>
      </c>
      <c r="I211" s="110">
        <v>520110.49999999988</v>
      </c>
      <c r="J211" s="115" t="s">
        <v>914</v>
      </c>
    </row>
    <row r="212" spans="1:10" ht="16.05" hidden="1" customHeight="1" outlineLevel="1" collapsed="1" x14ac:dyDescent="0.3">
      <c r="A212" s="91" t="s">
        <v>1261</v>
      </c>
      <c r="B212" s="92"/>
      <c r="C212" s="93">
        <v>4</v>
      </c>
      <c r="D212" s="92"/>
      <c r="E212" s="92"/>
      <c r="F212" s="94">
        <v>4167363.1</v>
      </c>
      <c r="G212" s="95">
        <v>244458.03</v>
      </c>
      <c r="H212" s="95">
        <v>977832.12000000011</v>
      </c>
      <c r="I212" s="94">
        <v>3189530.98</v>
      </c>
      <c r="J212" s="96" t="s">
        <v>185</v>
      </c>
    </row>
    <row r="213" spans="1:10" ht="16.05" hidden="1" customHeight="1" outlineLevel="2" x14ac:dyDescent="0.3">
      <c r="A213" s="97" t="s">
        <v>1262</v>
      </c>
      <c r="B213" s="98"/>
      <c r="C213" s="99">
        <v>4</v>
      </c>
      <c r="D213" s="98"/>
      <c r="E213" s="98"/>
      <c r="F213" s="100">
        <v>4167363.1</v>
      </c>
      <c r="G213" s="101">
        <v>244458.03</v>
      </c>
      <c r="H213" s="101">
        <v>977832.12000000011</v>
      </c>
      <c r="I213" s="100">
        <v>3189530.98</v>
      </c>
      <c r="J213" s="102" t="s">
        <v>185</v>
      </c>
    </row>
    <row r="214" spans="1:10" ht="13.95" hidden="1" customHeight="1" outlineLevel="3" x14ac:dyDescent="0.3">
      <c r="A214" s="103" t="s">
        <v>1263</v>
      </c>
      <c r="B214" s="104" t="s">
        <v>1264</v>
      </c>
      <c r="C214" s="105"/>
      <c r="D214" s="106">
        <v>18.170999999999999</v>
      </c>
      <c r="E214" s="107">
        <v>14.2</v>
      </c>
      <c r="F214" s="108">
        <v>1224310.125</v>
      </c>
      <c r="G214" s="108">
        <v>67378.5</v>
      </c>
      <c r="H214" s="109">
        <v>269514</v>
      </c>
      <c r="I214" s="110">
        <v>954796.125</v>
      </c>
      <c r="J214" s="111" t="s">
        <v>914</v>
      </c>
    </row>
    <row r="215" spans="1:10" ht="13.95" hidden="1" customHeight="1" outlineLevel="3" x14ac:dyDescent="0.3">
      <c r="A215" s="112" t="s">
        <v>1265</v>
      </c>
      <c r="B215" s="60" t="s">
        <v>1266</v>
      </c>
      <c r="C215" s="70"/>
      <c r="D215" s="106">
        <v>18.678999999999998</v>
      </c>
      <c r="E215" s="107">
        <v>14.7</v>
      </c>
      <c r="F215" s="113">
        <v>995660.79999999993</v>
      </c>
      <c r="G215" s="113">
        <v>96290.880000000005</v>
      </c>
      <c r="H215" s="114">
        <v>213215.52</v>
      </c>
      <c r="I215" s="110">
        <v>782445.27999999991</v>
      </c>
      <c r="J215" s="115" t="s">
        <v>914</v>
      </c>
    </row>
    <row r="216" spans="1:10" ht="13.95" hidden="1" customHeight="1" outlineLevel="3" x14ac:dyDescent="0.3">
      <c r="A216" s="103" t="s">
        <v>1267</v>
      </c>
      <c r="B216" s="104" t="s">
        <v>1268</v>
      </c>
      <c r="C216" s="105"/>
      <c r="D216" s="106">
        <v>18.547999999999998</v>
      </c>
      <c r="E216" s="107">
        <v>14.5</v>
      </c>
      <c r="F216" s="108">
        <v>956767.79999999993</v>
      </c>
      <c r="G216" s="108">
        <v>74920.2</v>
      </c>
      <c r="H216" s="109">
        <v>206337.60000000009</v>
      </c>
      <c r="I216" s="110">
        <v>750430.19999999984</v>
      </c>
      <c r="J216" s="111" t="s">
        <v>914</v>
      </c>
    </row>
    <row r="217" spans="1:10" ht="13.95" hidden="1" customHeight="1" outlineLevel="3" x14ac:dyDescent="0.3">
      <c r="A217" s="112" t="s">
        <v>1269</v>
      </c>
      <c r="B217" s="60" t="s">
        <v>1270</v>
      </c>
      <c r="C217" s="70"/>
      <c r="D217" s="106">
        <v>13.722</v>
      </c>
      <c r="E217" s="107">
        <v>9.6999999999999993</v>
      </c>
      <c r="F217" s="113">
        <v>990624.375</v>
      </c>
      <c r="G217" s="113">
        <v>67378.5</v>
      </c>
      <c r="H217" s="114">
        <v>288765</v>
      </c>
      <c r="I217" s="110">
        <v>701859.375</v>
      </c>
      <c r="J217" s="115" t="s">
        <v>914</v>
      </c>
    </row>
    <row r="218" spans="1:10" ht="16.95" customHeight="1" collapsed="1" x14ac:dyDescent="0.3">
      <c r="A218" s="85" t="s">
        <v>1271</v>
      </c>
      <c r="B218" s="86"/>
      <c r="C218" s="87">
        <v>5</v>
      </c>
      <c r="D218" s="86"/>
      <c r="E218" s="86"/>
      <c r="F218" s="88">
        <v>10492081.281829109</v>
      </c>
      <c r="G218" s="89">
        <v>847708.125</v>
      </c>
      <c r="H218" s="89">
        <v>3390832.5</v>
      </c>
      <c r="I218" s="88">
        <v>7101248.7818291066</v>
      </c>
      <c r="J218" s="90" t="s">
        <v>1272</v>
      </c>
    </row>
    <row r="219" spans="1:10" ht="16.05" hidden="1" customHeight="1" outlineLevel="1" collapsed="1" x14ac:dyDescent="0.3">
      <c r="A219" s="91" t="s">
        <v>1273</v>
      </c>
      <c r="B219" s="92"/>
      <c r="C219" s="93">
        <v>2</v>
      </c>
      <c r="D219" s="92"/>
      <c r="E219" s="92"/>
      <c r="F219" s="94">
        <v>7683206.0818291064</v>
      </c>
      <c r="G219" s="95">
        <v>532033.125</v>
      </c>
      <c r="H219" s="95">
        <v>2128132.5</v>
      </c>
      <c r="I219" s="94">
        <v>5555073.5818291064</v>
      </c>
      <c r="J219" s="96" t="s">
        <v>1073</v>
      </c>
    </row>
    <row r="220" spans="1:10" ht="16.05" hidden="1" customHeight="1" outlineLevel="2" x14ac:dyDescent="0.3">
      <c r="A220" s="97" t="s">
        <v>1274</v>
      </c>
      <c r="B220" s="98"/>
      <c r="C220" s="99">
        <v>2</v>
      </c>
      <c r="D220" s="98"/>
      <c r="E220" s="98"/>
      <c r="F220" s="100">
        <v>7683206.0818291064</v>
      </c>
      <c r="G220" s="101">
        <v>532033.125</v>
      </c>
      <c r="H220" s="101">
        <v>2128132.5</v>
      </c>
      <c r="I220" s="100">
        <v>5555073.5818291064</v>
      </c>
      <c r="J220" s="102" t="s">
        <v>1073</v>
      </c>
    </row>
    <row r="221" spans="1:10" ht="13.95" hidden="1" customHeight="1" outlineLevel="3" x14ac:dyDescent="0.3">
      <c r="A221" s="103" t="s">
        <v>1275</v>
      </c>
      <c r="B221" s="104" t="s">
        <v>305</v>
      </c>
      <c r="C221" s="105"/>
      <c r="D221" s="106">
        <v>18.082000000000001</v>
      </c>
      <c r="E221" s="107">
        <v>14.1</v>
      </c>
      <c r="F221" s="108">
        <v>5350812</v>
      </c>
      <c r="G221" s="108">
        <v>358886.25</v>
      </c>
      <c r="H221" s="109">
        <v>1183695</v>
      </c>
      <c r="I221" s="110">
        <v>4167117</v>
      </c>
      <c r="J221" s="119" t="s">
        <v>932</v>
      </c>
    </row>
    <row r="222" spans="1:10" ht="13.95" hidden="1" customHeight="1" outlineLevel="3" x14ac:dyDescent="0.3">
      <c r="A222" s="112" t="s">
        <v>1276</v>
      </c>
      <c r="B222" s="60" t="s">
        <v>1277</v>
      </c>
      <c r="C222" s="70"/>
      <c r="D222" s="116">
        <v>9.8780000000000001</v>
      </c>
      <c r="E222" s="117">
        <v>5.9</v>
      </c>
      <c r="F222" s="113">
        <v>2332394.0818291069</v>
      </c>
      <c r="G222" s="113">
        <v>519440.62</v>
      </c>
      <c r="H222" s="114">
        <v>944437.5</v>
      </c>
      <c r="I222" s="118">
        <v>1387956.5818291069</v>
      </c>
      <c r="J222" s="115" t="s">
        <v>914</v>
      </c>
    </row>
    <row r="223" spans="1:10" ht="16.05" hidden="1" customHeight="1" outlineLevel="1" collapsed="1" x14ac:dyDescent="0.3">
      <c r="A223" s="91" t="s">
        <v>1278</v>
      </c>
      <c r="B223" s="92"/>
      <c r="C223" s="93">
        <v>3</v>
      </c>
      <c r="D223" s="92"/>
      <c r="E223" s="92"/>
      <c r="F223" s="94">
        <v>2808875.2</v>
      </c>
      <c r="G223" s="95">
        <v>315675</v>
      </c>
      <c r="H223" s="95">
        <v>1262700</v>
      </c>
      <c r="I223" s="94">
        <v>1546175.2</v>
      </c>
      <c r="J223" s="96" t="s">
        <v>970</v>
      </c>
    </row>
    <row r="224" spans="1:10" ht="16.05" hidden="1" customHeight="1" outlineLevel="2" x14ac:dyDescent="0.3">
      <c r="A224" s="97" t="s">
        <v>1279</v>
      </c>
      <c r="B224" s="98"/>
      <c r="C224" s="99">
        <v>3</v>
      </c>
      <c r="D224" s="98"/>
      <c r="E224" s="98"/>
      <c r="F224" s="100">
        <v>2808875.2</v>
      </c>
      <c r="G224" s="101">
        <v>315675</v>
      </c>
      <c r="H224" s="101">
        <v>1262700</v>
      </c>
      <c r="I224" s="100">
        <v>1546175.2</v>
      </c>
      <c r="J224" s="102" t="s">
        <v>970</v>
      </c>
    </row>
    <row r="225" spans="1:10" ht="13.95" hidden="1" customHeight="1" outlineLevel="3" x14ac:dyDescent="0.3">
      <c r="A225" s="103" t="s">
        <v>1280</v>
      </c>
      <c r="B225" s="104" t="s">
        <v>175</v>
      </c>
      <c r="C225" s="105"/>
      <c r="D225" s="120">
        <v>7.6929999999999996</v>
      </c>
      <c r="E225" s="121">
        <v>3.7</v>
      </c>
      <c r="F225" s="108">
        <v>1592461.2</v>
      </c>
      <c r="G225" s="108">
        <v>379500</v>
      </c>
      <c r="H225" s="109">
        <v>828000</v>
      </c>
      <c r="I225" s="122">
        <v>764461.2</v>
      </c>
      <c r="J225" s="119" t="s">
        <v>932</v>
      </c>
    </row>
    <row r="226" spans="1:10" ht="13.95" hidden="1" customHeight="1" outlineLevel="3" x14ac:dyDescent="0.3">
      <c r="A226" s="112" t="s">
        <v>1281</v>
      </c>
      <c r="B226" s="60" t="s">
        <v>1282</v>
      </c>
      <c r="C226" s="70"/>
      <c r="D226" s="116">
        <v>11.12</v>
      </c>
      <c r="E226" s="117">
        <v>7.1</v>
      </c>
      <c r="F226" s="113">
        <v>633019</v>
      </c>
      <c r="G226" s="113">
        <v>77625</v>
      </c>
      <c r="H226" s="114">
        <v>227700</v>
      </c>
      <c r="I226" s="118">
        <v>405319</v>
      </c>
      <c r="J226" s="115" t="s">
        <v>914</v>
      </c>
    </row>
    <row r="227" spans="1:10" ht="13.95" hidden="1" customHeight="1" outlineLevel="3" x14ac:dyDescent="0.3">
      <c r="A227" s="103" t="s">
        <v>1283</v>
      </c>
      <c r="B227" s="104" t="s">
        <v>526</v>
      </c>
      <c r="C227" s="105"/>
      <c r="D227" s="116">
        <v>11.273</v>
      </c>
      <c r="E227" s="117">
        <v>7.3</v>
      </c>
      <c r="F227" s="108">
        <v>583394.99999999988</v>
      </c>
      <c r="G227" s="108">
        <v>56925</v>
      </c>
      <c r="H227" s="109">
        <v>207000</v>
      </c>
      <c r="I227" s="118">
        <v>376394.99999999988</v>
      </c>
      <c r="J227" s="119" t="s">
        <v>932</v>
      </c>
    </row>
    <row r="228" spans="1:10" ht="16.95" customHeight="1" collapsed="1" x14ac:dyDescent="0.3">
      <c r="A228" s="85" t="s">
        <v>1284</v>
      </c>
      <c r="B228" s="86"/>
      <c r="C228" s="87">
        <v>2</v>
      </c>
      <c r="D228" s="86"/>
      <c r="E228" s="86"/>
      <c r="F228" s="88">
        <v>10850449</v>
      </c>
      <c r="G228" s="89">
        <v>1203187.5</v>
      </c>
      <c r="H228" s="89">
        <v>4812750</v>
      </c>
      <c r="I228" s="88">
        <v>6037699</v>
      </c>
      <c r="J228" s="90" t="s">
        <v>1225</v>
      </c>
    </row>
    <row r="229" spans="1:10" ht="16.05" hidden="1" customHeight="1" outlineLevel="1" collapsed="1" x14ac:dyDescent="0.3">
      <c r="A229" s="91" t="s">
        <v>1285</v>
      </c>
      <c r="B229" s="92"/>
      <c r="C229" s="93">
        <v>2</v>
      </c>
      <c r="D229" s="92"/>
      <c r="E229" s="92"/>
      <c r="F229" s="94">
        <v>10850449</v>
      </c>
      <c r="G229" s="95">
        <v>1203187.5</v>
      </c>
      <c r="H229" s="95">
        <v>4812750</v>
      </c>
      <c r="I229" s="94">
        <v>6037699</v>
      </c>
      <c r="J229" s="96" t="s">
        <v>185</v>
      </c>
    </row>
    <row r="230" spans="1:10" ht="16.05" hidden="1" customHeight="1" outlineLevel="2" x14ac:dyDescent="0.3">
      <c r="A230" s="97" t="s">
        <v>1286</v>
      </c>
      <c r="B230" s="98"/>
      <c r="C230" s="99">
        <v>2</v>
      </c>
      <c r="D230" s="98"/>
      <c r="E230" s="98"/>
      <c r="F230" s="100">
        <v>10850449</v>
      </c>
      <c r="G230" s="101">
        <v>1203187.5</v>
      </c>
      <c r="H230" s="101">
        <v>4812750</v>
      </c>
      <c r="I230" s="100">
        <v>6037699</v>
      </c>
      <c r="J230" s="102" t="s">
        <v>185</v>
      </c>
    </row>
    <row r="231" spans="1:10" ht="13.95" hidden="1" customHeight="1" outlineLevel="3" x14ac:dyDescent="0.3">
      <c r="A231" s="103" t="s">
        <v>1287</v>
      </c>
      <c r="B231" s="104" t="s">
        <v>1288</v>
      </c>
      <c r="C231" s="105"/>
      <c r="D231" s="106">
        <v>13.679</v>
      </c>
      <c r="E231" s="107">
        <v>9.6999999999999993</v>
      </c>
      <c r="F231" s="108">
        <v>6295644</v>
      </c>
      <c r="G231" s="108">
        <v>1364820</v>
      </c>
      <c r="H231" s="109">
        <v>1840920</v>
      </c>
      <c r="I231" s="110">
        <v>4454724</v>
      </c>
      <c r="J231" s="111" t="s">
        <v>914</v>
      </c>
    </row>
    <row r="232" spans="1:10" ht="13.95" hidden="1" customHeight="1" outlineLevel="3" x14ac:dyDescent="0.3">
      <c r="A232" s="112" t="s">
        <v>1289</v>
      </c>
      <c r="B232" s="60" t="s">
        <v>1290</v>
      </c>
      <c r="C232" s="70"/>
      <c r="D232" s="120">
        <v>6.1310000000000002</v>
      </c>
      <c r="E232" s="121">
        <v>2.1</v>
      </c>
      <c r="F232" s="113">
        <v>4554805</v>
      </c>
      <c r="G232" s="113">
        <v>1108140</v>
      </c>
      <c r="H232" s="114">
        <v>2971830</v>
      </c>
      <c r="I232" s="122">
        <v>1582975</v>
      </c>
      <c r="J232" s="115" t="s">
        <v>914</v>
      </c>
    </row>
    <row r="233" spans="1:10" ht="16.95" customHeight="1" collapsed="1" x14ac:dyDescent="0.3">
      <c r="A233" s="85" t="s">
        <v>1291</v>
      </c>
      <c r="B233" s="86"/>
      <c r="C233" s="87">
        <v>3</v>
      </c>
      <c r="D233" s="86"/>
      <c r="E233" s="86"/>
      <c r="F233" s="88">
        <v>8051757.1999999993</v>
      </c>
      <c r="G233" s="89">
        <v>1020261.6</v>
      </c>
      <c r="H233" s="89">
        <v>4081046.399999999</v>
      </c>
      <c r="I233" s="88">
        <v>3970710.8</v>
      </c>
      <c r="J233" s="90" t="s">
        <v>1225</v>
      </c>
    </row>
    <row r="234" spans="1:10" ht="16.05" hidden="1" customHeight="1" outlineLevel="1" collapsed="1" x14ac:dyDescent="0.3">
      <c r="A234" s="91" t="s">
        <v>1292</v>
      </c>
      <c r="B234" s="92"/>
      <c r="C234" s="93">
        <v>3</v>
      </c>
      <c r="D234" s="92"/>
      <c r="E234" s="92"/>
      <c r="F234" s="94">
        <v>8051757.1999999993</v>
      </c>
      <c r="G234" s="95">
        <v>1020261.6</v>
      </c>
      <c r="H234" s="95">
        <v>4081046.399999999</v>
      </c>
      <c r="I234" s="94">
        <v>3970710.8</v>
      </c>
      <c r="J234" s="96" t="s">
        <v>185</v>
      </c>
    </row>
    <row r="235" spans="1:10" ht="16.05" hidden="1" customHeight="1" outlineLevel="2" x14ac:dyDescent="0.3">
      <c r="A235" s="97" t="s">
        <v>1293</v>
      </c>
      <c r="B235" s="98"/>
      <c r="C235" s="99">
        <v>3</v>
      </c>
      <c r="D235" s="98"/>
      <c r="E235" s="98"/>
      <c r="F235" s="100">
        <v>8051757.1999999993</v>
      </c>
      <c r="G235" s="101">
        <v>1020261.6</v>
      </c>
      <c r="H235" s="101">
        <v>4081046.399999999</v>
      </c>
      <c r="I235" s="100">
        <v>3970710.8</v>
      </c>
      <c r="J235" s="102" t="s">
        <v>185</v>
      </c>
    </row>
    <row r="236" spans="1:10" ht="13.95" hidden="1" customHeight="1" outlineLevel="3" x14ac:dyDescent="0.3">
      <c r="A236" s="103" t="s">
        <v>1294</v>
      </c>
      <c r="B236" s="104" t="s">
        <v>1295</v>
      </c>
      <c r="C236" s="105"/>
      <c r="D236" s="116">
        <v>8.2189999999999994</v>
      </c>
      <c r="E236" s="117">
        <v>4.2</v>
      </c>
      <c r="F236" s="108">
        <v>2943779.2</v>
      </c>
      <c r="G236" s="108">
        <v>1004094.9</v>
      </c>
      <c r="H236" s="109">
        <v>1432743.6</v>
      </c>
      <c r="I236" s="118">
        <v>1511035.6</v>
      </c>
      <c r="J236" s="111" t="s">
        <v>914</v>
      </c>
    </row>
    <row r="237" spans="1:10" ht="13.95" hidden="1" customHeight="1" outlineLevel="3" x14ac:dyDescent="0.3">
      <c r="A237" s="112" t="s">
        <v>1296</v>
      </c>
      <c r="B237" s="60" t="s">
        <v>1297</v>
      </c>
      <c r="C237" s="70"/>
      <c r="D237" s="116">
        <v>8.59</v>
      </c>
      <c r="E237" s="117">
        <v>4.5999999999999996</v>
      </c>
      <c r="F237" s="113">
        <v>2610463.2000000002</v>
      </c>
      <c r="G237" s="113">
        <v>851887.8</v>
      </c>
      <c r="H237" s="114">
        <v>1215559.2</v>
      </c>
      <c r="I237" s="118">
        <v>1394904</v>
      </c>
      <c r="J237" s="115" t="s">
        <v>914</v>
      </c>
    </row>
    <row r="238" spans="1:10" ht="13.95" hidden="1" customHeight="1" outlineLevel="3" x14ac:dyDescent="0.3">
      <c r="A238" s="103" t="s">
        <v>1298</v>
      </c>
      <c r="B238" s="104" t="s">
        <v>1299</v>
      </c>
      <c r="C238" s="105"/>
      <c r="D238" s="120">
        <v>6.9729999999999999</v>
      </c>
      <c r="E238" s="121">
        <v>3</v>
      </c>
      <c r="F238" s="108">
        <v>2497514.7999999998</v>
      </c>
      <c r="G238" s="108">
        <v>927760.2</v>
      </c>
      <c r="H238" s="109">
        <v>1432743.6</v>
      </c>
      <c r="I238" s="122">
        <v>1064771.2</v>
      </c>
      <c r="J238" s="111" t="s">
        <v>914</v>
      </c>
    </row>
    <row r="239" spans="1:10" ht="4.05" customHeight="1" x14ac:dyDescent="0.3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</row>
    <row r="240" spans="1:10" ht="16.95" customHeight="1" x14ac:dyDescent="0.3">
      <c r="A240" s="124" t="s">
        <v>581</v>
      </c>
      <c r="B240" s="124"/>
      <c r="C240" s="125">
        <v>168</v>
      </c>
      <c r="D240" s="124"/>
      <c r="E240" s="124"/>
      <c r="F240" s="126">
        <v>454796189.45946747</v>
      </c>
      <c r="G240" s="126">
        <v>32927102.449999999</v>
      </c>
      <c r="H240" s="126">
        <v>131708409.8</v>
      </c>
      <c r="I240" s="126">
        <v>323087779.65946752</v>
      </c>
      <c r="J240" s="124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workbookViewId="0">
      <pane ySplit="2" topLeftCell="A3" activePane="bottomLeft" state="frozen"/>
      <selection pane="bottomLeft" sqref="A1:J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12" customWidth="1"/>
    <col min="4" max="4" width="35" customWidth="1"/>
    <col min="5" max="5" width="11" customWidth="1"/>
    <col min="6" max="7" width="18" customWidth="1"/>
    <col min="8" max="8" width="12" customWidth="1"/>
    <col min="9" max="9" width="16" customWidth="1"/>
    <col min="10" max="10" width="13" customWidth="1"/>
  </cols>
  <sheetData>
    <row r="1" spans="1:10" ht="25.95" customHeight="1" x14ac:dyDescent="0.3">
      <c r="A1" s="193" t="s">
        <v>1300</v>
      </c>
      <c r="B1" s="172"/>
      <c r="C1" s="172"/>
      <c r="D1" s="172"/>
      <c r="E1" s="172"/>
      <c r="F1" s="172"/>
      <c r="G1" s="172"/>
      <c r="H1" s="172"/>
      <c r="I1" s="172"/>
      <c r="J1" s="172"/>
    </row>
    <row r="2" spans="1:10" ht="36" customHeight="1" x14ac:dyDescent="0.3">
      <c r="A2" s="39" t="s">
        <v>638</v>
      </c>
      <c r="B2" s="39" t="s">
        <v>672</v>
      </c>
      <c r="C2" s="39" t="s">
        <v>676</v>
      </c>
      <c r="D2" s="39" t="s">
        <v>898</v>
      </c>
      <c r="E2" s="39" t="s">
        <v>899</v>
      </c>
      <c r="F2" s="39" t="s">
        <v>1301</v>
      </c>
      <c r="G2" s="39" t="s">
        <v>1302</v>
      </c>
      <c r="H2" s="39" t="s">
        <v>686</v>
      </c>
      <c r="I2" s="39" t="s">
        <v>687</v>
      </c>
      <c r="J2" s="39" t="s">
        <v>3</v>
      </c>
    </row>
    <row r="3" spans="1:10" ht="15" customHeight="1" x14ac:dyDescent="0.3">
      <c r="A3" s="48" t="s">
        <v>594</v>
      </c>
      <c r="B3" s="70" t="s">
        <v>699</v>
      </c>
      <c r="C3" s="71" t="s">
        <v>1303</v>
      </c>
      <c r="D3" s="70" t="s">
        <v>99</v>
      </c>
      <c r="E3" s="127">
        <v>64.304000000000002</v>
      </c>
      <c r="F3" s="128">
        <v>10471315</v>
      </c>
      <c r="G3" s="128">
        <v>325680</v>
      </c>
      <c r="H3" s="129" t="s">
        <v>15</v>
      </c>
      <c r="I3" s="130" t="s">
        <v>52</v>
      </c>
      <c r="J3" s="131" t="s">
        <v>54</v>
      </c>
    </row>
    <row r="4" spans="1:10" ht="15" customHeight="1" x14ac:dyDescent="0.3">
      <c r="A4" s="61" t="s">
        <v>594</v>
      </c>
      <c r="B4" s="77" t="s">
        <v>699</v>
      </c>
      <c r="C4" s="63" t="s">
        <v>1304</v>
      </c>
      <c r="D4" s="77" t="s">
        <v>105</v>
      </c>
      <c r="E4" s="127">
        <v>54.929000000000002</v>
      </c>
      <c r="F4" s="132">
        <v>12522536</v>
      </c>
      <c r="G4" s="132">
        <v>455952</v>
      </c>
      <c r="H4" s="129" t="s">
        <v>15</v>
      </c>
      <c r="I4" s="133" t="s">
        <v>52</v>
      </c>
      <c r="J4" s="131" t="s">
        <v>54</v>
      </c>
    </row>
    <row r="5" spans="1:10" ht="15" customHeight="1" x14ac:dyDescent="0.3">
      <c r="A5" s="48" t="s">
        <v>594</v>
      </c>
      <c r="B5" s="70" t="s">
        <v>699</v>
      </c>
      <c r="C5" s="71" t="s">
        <v>1305</v>
      </c>
      <c r="D5" s="70" t="s">
        <v>102</v>
      </c>
      <c r="E5" s="127">
        <v>37.226999999999997</v>
      </c>
      <c r="F5" s="128">
        <v>12124239.75683371</v>
      </c>
      <c r="G5" s="128">
        <v>651360</v>
      </c>
      <c r="H5" s="129" t="s">
        <v>15</v>
      </c>
      <c r="I5" s="130" t="s">
        <v>52</v>
      </c>
      <c r="J5" s="131" t="s">
        <v>54</v>
      </c>
    </row>
    <row r="6" spans="1:10" ht="15" customHeight="1" x14ac:dyDescent="0.3">
      <c r="A6" s="61" t="s">
        <v>647</v>
      </c>
      <c r="B6" s="77" t="s">
        <v>689</v>
      </c>
      <c r="C6" s="63" t="s">
        <v>1306</v>
      </c>
      <c r="D6" s="77" t="s">
        <v>305</v>
      </c>
      <c r="E6" s="127">
        <v>18.082000000000001</v>
      </c>
      <c r="F6" s="132">
        <v>5350812</v>
      </c>
      <c r="G6" s="132">
        <v>358886.25</v>
      </c>
      <c r="H6" s="129" t="s">
        <v>197</v>
      </c>
      <c r="I6" s="133" t="s">
        <v>194</v>
      </c>
      <c r="J6" s="131" t="s">
        <v>196</v>
      </c>
    </row>
    <row r="7" spans="1:10" ht="15" customHeight="1" x14ac:dyDescent="0.3">
      <c r="A7" s="48" t="s">
        <v>646</v>
      </c>
      <c r="B7" s="70" t="s">
        <v>694</v>
      </c>
      <c r="C7" s="71" t="s">
        <v>1307</v>
      </c>
      <c r="D7" s="70" t="s">
        <v>114</v>
      </c>
      <c r="E7" s="127">
        <v>14.266</v>
      </c>
      <c r="F7" s="128">
        <v>295308</v>
      </c>
      <c r="G7" s="128">
        <v>51750</v>
      </c>
      <c r="H7" s="129" t="s">
        <v>15</v>
      </c>
      <c r="I7" s="130" t="s">
        <v>52</v>
      </c>
      <c r="J7" s="131" t="s">
        <v>54</v>
      </c>
    </row>
    <row r="8" spans="1:10" ht="15" customHeight="1" x14ac:dyDescent="0.3">
      <c r="A8" s="61" t="s">
        <v>594</v>
      </c>
      <c r="B8" s="77" t="s">
        <v>699</v>
      </c>
      <c r="C8" s="63" t="s">
        <v>1308</v>
      </c>
      <c r="D8" s="77" t="s">
        <v>96</v>
      </c>
      <c r="E8" s="127">
        <v>13.378</v>
      </c>
      <c r="F8" s="132">
        <v>3102042</v>
      </c>
      <c r="G8" s="132">
        <v>415104</v>
      </c>
      <c r="H8" s="129" t="s">
        <v>15</v>
      </c>
      <c r="I8" s="133" t="s">
        <v>52</v>
      </c>
      <c r="J8" s="131" t="s">
        <v>54</v>
      </c>
    </row>
    <row r="9" spans="1:10" ht="15" customHeight="1" x14ac:dyDescent="0.3">
      <c r="A9" s="48" t="s">
        <v>646</v>
      </c>
      <c r="B9" s="70" t="s">
        <v>689</v>
      </c>
      <c r="C9" s="71" t="s">
        <v>1309</v>
      </c>
      <c r="D9" s="70" t="s">
        <v>287</v>
      </c>
      <c r="E9" s="127">
        <v>12.693</v>
      </c>
      <c r="F9" s="128">
        <v>952894</v>
      </c>
      <c r="G9" s="128">
        <v>168912</v>
      </c>
      <c r="H9" s="129" t="s">
        <v>197</v>
      </c>
      <c r="I9" s="130" t="s">
        <v>194</v>
      </c>
      <c r="J9" s="131" t="s">
        <v>196</v>
      </c>
    </row>
    <row r="10" spans="1:10" ht="15" customHeight="1" x14ac:dyDescent="0.3">
      <c r="A10" s="61" t="s">
        <v>647</v>
      </c>
      <c r="B10" s="77" t="s">
        <v>1310</v>
      </c>
      <c r="C10" s="63" t="s">
        <v>1311</v>
      </c>
      <c r="D10" s="77" t="s">
        <v>526</v>
      </c>
      <c r="E10" s="134">
        <v>11.273</v>
      </c>
      <c r="F10" s="132">
        <v>583394.99999999988</v>
      </c>
      <c r="G10" s="132">
        <v>56925</v>
      </c>
      <c r="H10" s="129" t="s">
        <v>467</v>
      </c>
      <c r="I10" s="133" t="s">
        <v>502</v>
      </c>
      <c r="J10" s="131" t="s">
        <v>504</v>
      </c>
    </row>
    <row r="11" spans="1:10" ht="15" customHeight="1" x14ac:dyDescent="0.3">
      <c r="A11" s="48" t="s">
        <v>594</v>
      </c>
      <c r="B11" s="70" t="s">
        <v>699</v>
      </c>
      <c r="C11" s="71" t="s">
        <v>1312</v>
      </c>
      <c r="D11" s="70" t="s">
        <v>93</v>
      </c>
      <c r="E11" s="134">
        <v>10.967000000000001</v>
      </c>
      <c r="F11" s="128">
        <v>3325336</v>
      </c>
      <c r="G11" s="128">
        <v>552931.5</v>
      </c>
      <c r="H11" s="129" t="s">
        <v>15</v>
      </c>
      <c r="I11" s="130" t="s">
        <v>52</v>
      </c>
      <c r="J11" s="131" t="s">
        <v>54</v>
      </c>
    </row>
    <row r="12" spans="1:10" ht="15" customHeight="1" x14ac:dyDescent="0.3">
      <c r="A12" s="61" t="s">
        <v>594</v>
      </c>
      <c r="B12" s="77" t="s">
        <v>715</v>
      </c>
      <c r="C12" s="63" t="s">
        <v>1313</v>
      </c>
      <c r="D12" s="77" t="s">
        <v>123</v>
      </c>
      <c r="E12" s="134">
        <v>10.755000000000001</v>
      </c>
      <c r="F12" s="132">
        <v>482374</v>
      </c>
      <c r="G12" s="132">
        <v>60375</v>
      </c>
      <c r="H12" s="129" t="s">
        <v>15</v>
      </c>
      <c r="I12" s="133" t="s">
        <v>52</v>
      </c>
      <c r="J12" s="131" t="s">
        <v>54</v>
      </c>
    </row>
    <row r="13" spans="1:10" ht="15" customHeight="1" x14ac:dyDescent="0.3">
      <c r="A13" s="48" t="s">
        <v>594</v>
      </c>
      <c r="B13" s="70" t="s">
        <v>689</v>
      </c>
      <c r="C13" s="71" t="s">
        <v>1314</v>
      </c>
      <c r="D13" s="70" t="s">
        <v>138</v>
      </c>
      <c r="E13" s="134">
        <v>9.7210000000000001</v>
      </c>
      <c r="F13" s="128">
        <v>616140</v>
      </c>
      <c r="G13" s="128">
        <v>110201.28</v>
      </c>
      <c r="H13" s="129" t="s">
        <v>15</v>
      </c>
      <c r="I13" s="130" t="s">
        <v>52</v>
      </c>
      <c r="J13" s="131" t="s">
        <v>54</v>
      </c>
    </row>
    <row r="14" spans="1:10" ht="15" customHeight="1" x14ac:dyDescent="0.3">
      <c r="A14" s="61" t="s">
        <v>646</v>
      </c>
      <c r="B14" s="77" t="s">
        <v>699</v>
      </c>
      <c r="C14" s="63" t="s">
        <v>1315</v>
      </c>
      <c r="D14" s="77" t="s">
        <v>108</v>
      </c>
      <c r="E14" s="135">
        <v>8.9649999999999999</v>
      </c>
      <c r="F14" s="132">
        <v>11341893.02926752</v>
      </c>
      <c r="G14" s="132">
        <v>2490900</v>
      </c>
      <c r="H14" s="129" t="s">
        <v>15</v>
      </c>
      <c r="I14" s="133" t="s">
        <v>52</v>
      </c>
      <c r="J14" s="131" t="s">
        <v>54</v>
      </c>
    </row>
    <row r="15" spans="1:10" ht="15" customHeight="1" x14ac:dyDescent="0.3">
      <c r="A15" s="48" t="s">
        <v>647</v>
      </c>
      <c r="B15" s="70" t="s">
        <v>1310</v>
      </c>
      <c r="C15" s="71" t="s">
        <v>1316</v>
      </c>
      <c r="D15" s="70" t="s">
        <v>175</v>
      </c>
      <c r="E15" s="135">
        <v>7.6929999999999996</v>
      </c>
      <c r="F15" s="128">
        <v>1592461.2</v>
      </c>
      <c r="G15" s="128">
        <v>379500</v>
      </c>
      <c r="H15" s="129" t="s">
        <v>15</v>
      </c>
      <c r="I15" s="130" t="s">
        <v>155</v>
      </c>
      <c r="J15" s="131" t="s">
        <v>54</v>
      </c>
    </row>
    <row r="16" spans="1:10" ht="15" customHeight="1" x14ac:dyDescent="0.3">
      <c r="A16" s="61" t="s">
        <v>646</v>
      </c>
      <c r="B16" s="77" t="s">
        <v>694</v>
      </c>
      <c r="C16" s="63" t="s">
        <v>1317</v>
      </c>
      <c r="D16" s="77" t="s">
        <v>1194</v>
      </c>
      <c r="E16" s="135">
        <v>7.27</v>
      </c>
      <c r="F16" s="132">
        <v>1751826.236641221</v>
      </c>
      <c r="G16" s="132">
        <v>503872.5</v>
      </c>
      <c r="H16" s="129" t="s">
        <v>15</v>
      </c>
      <c r="I16" s="133" t="s">
        <v>52</v>
      </c>
      <c r="J16" s="131" t="s">
        <v>54</v>
      </c>
    </row>
    <row r="17" spans="1:10" ht="15" customHeight="1" x14ac:dyDescent="0.3">
      <c r="A17" s="48" t="s">
        <v>595</v>
      </c>
      <c r="B17" s="70" t="s">
        <v>689</v>
      </c>
      <c r="C17" s="71" t="s">
        <v>1318</v>
      </c>
      <c r="D17" s="70" t="s">
        <v>313</v>
      </c>
      <c r="E17" s="135">
        <v>7.1719999999999997</v>
      </c>
      <c r="F17" s="128">
        <v>4957028</v>
      </c>
      <c r="G17" s="128">
        <v>822259.19999999995</v>
      </c>
      <c r="H17" s="129" t="s">
        <v>197</v>
      </c>
      <c r="I17" s="130" t="s">
        <v>194</v>
      </c>
      <c r="J17" s="131" t="s">
        <v>196</v>
      </c>
    </row>
    <row r="18" spans="1:10" ht="15" customHeight="1" x14ac:dyDescent="0.3">
      <c r="A18" s="61" t="s">
        <v>594</v>
      </c>
      <c r="B18" s="77" t="s">
        <v>689</v>
      </c>
      <c r="C18" s="63" t="s">
        <v>1319</v>
      </c>
      <c r="D18" s="77" t="s">
        <v>421</v>
      </c>
      <c r="E18" s="135">
        <v>7.1059999999999999</v>
      </c>
      <c r="F18" s="132">
        <v>1078668</v>
      </c>
      <c r="G18" s="132">
        <v>232254</v>
      </c>
      <c r="H18" s="129" t="s">
        <v>197</v>
      </c>
      <c r="I18" s="133" t="s">
        <v>419</v>
      </c>
      <c r="J18" s="131" t="s">
        <v>336</v>
      </c>
    </row>
    <row r="19" spans="1:10" ht="15" customHeight="1" x14ac:dyDescent="0.3">
      <c r="A19" s="48" t="s">
        <v>594</v>
      </c>
      <c r="B19" s="70" t="s">
        <v>689</v>
      </c>
      <c r="C19" s="71" t="s">
        <v>1320</v>
      </c>
      <c r="D19" s="70" t="s">
        <v>126</v>
      </c>
      <c r="E19" s="135">
        <v>6.9749999999999996</v>
      </c>
      <c r="F19" s="128">
        <v>594396</v>
      </c>
      <c r="G19" s="128">
        <v>125580</v>
      </c>
      <c r="H19" s="129" t="s">
        <v>15</v>
      </c>
      <c r="I19" s="130" t="s">
        <v>52</v>
      </c>
      <c r="J19" s="131" t="s">
        <v>54</v>
      </c>
    </row>
    <row r="20" spans="1:10" ht="15" customHeight="1" x14ac:dyDescent="0.3">
      <c r="A20" s="61" t="s">
        <v>594</v>
      </c>
      <c r="B20" s="77" t="s">
        <v>689</v>
      </c>
      <c r="C20" s="63" t="s">
        <v>1321</v>
      </c>
      <c r="D20" s="77" t="s">
        <v>278</v>
      </c>
      <c r="E20" s="135">
        <v>6.85</v>
      </c>
      <c r="F20" s="132">
        <v>324244</v>
      </c>
      <c r="G20" s="132">
        <v>78246</v>
      </c>
      <c r="H20" s="129" t="s">
        <v>197</v>
      </c>
      <c r="I20" s="133" t="s">
        <v>194</v>
      </c>
      <c r="J20" s="131" t="s">
        <v>196</v>
      </c>
    </row>
    <row r="21" spans="1:10" ht="15" customHeight="1" x14ac:dyDescent="0.3">
      <c r="A21" s="48" t="s">
        <v>594</v>
      </c>
      <c r="B21" s="70" t="s">
        <v>1310</v>
      </c>
      <c r="C21" s="71" t="s">
        <v>1322</v>
      </c>
      <c r="D21" s="70" t="s">
        <v>153</v>
      </c>
      <c r="E21" s="135">
        <v>6.8070000000000004</v>
      </c>
      <c r="F21" s="128">
        <v>3970240</v>
      </c>
      <c r="G21" s="128">
        <v>884994</v>
      </c>
      <c r="H21" s="129" t="s">
        <v>15</v>
      </c>
      <c r="I21" s="130" t="s">
        <v>52</v>
      </c>
      <c r="J21" s="131" t="s">
        <v>54</v>
      </c>
    </row>
    <row r="22" spans="1:10" ht="15" customHeight="1" x14ac:dyDescent="0.3">
      <c r="A22" s="61" t="s">
        <v>594</v>
      </c>
      <c r="B22" s="77" t="s">
        <v>689</v>
      </c>
      <c r="C22" s="63" t="s">
        <v>1323</v>
      </c>
      <c r="D22" s="77" t="s">
        <v>380</v>
      </c>
      <c r="E22" s="135">
        <v>6.7859999999999996</v>
      </c>
      <c r="F22" s="132">
        <v>2256718</v>
      </c>
      <c r="G22" s="132">
        <v>430353</v>
      </c>
      <c r="H22" s="129" t="s">
        <v>197</v>
      </c>
      <c r="I22" s="133" t="s">
        <v>334</v>
      </c>
      <c r="J22" s="131" t="s">
        <v>336</v>
      </c>
    </row>
    <row r="23" spans="1:10" ht="15" customHeight="1" x14ac:dyDescent="0.3">
      <c r="A23" s="48" t="s">
        <v>594</v>
      </c>
      <c r="B23" s="70" t="s">
        <v>689</v>
      </c>
      <c r="C23" s="71" t="s">
        <v>1324</v>
      </c>
      <c r="D23" s="70" t="s">
        <v>383</v>
      </c>
      <c r="E23" s="135">
        <v>6.6079999999999997</v>
      </c>
      <c r="F23" s="128">
        <v>1335698</v>
      </c>
      <c r="G23" s="128">
        <v>323851.5</v>
      </c>
      <c r="H23" s="129" t="s">
        <v>197</v>
      </c>
      <c r="I23" s="130" t="s">
        <v>334</v>
      </c>
      <c r="J23" s="131" t="s">
        <v>336</v>
      </c>
    </row>
    <row r="24" spans="1:10" ht="15" customHeight="1" x14ac:dyDescent="0.3">
      <c r="A24" s="61" t="s">
        <v>594</v>
      </c>
      <c r="B24" s="77" t="s">
        <v>689</v>
      </c>
      <c r="C24" s="63" t="s">
        <v>1325</v>
      </c>
      <c r="D24" s="77" t="s">
        <v>407</v>
      </c>
      <c r="E24" s="135">
        <v>6.5750000000000002</v>
      </c>
      <c r="F24" s="132">
        <v>712635</v>
      </c>
      <c r="G24" s="132">
        <v>183526.2</v>
      </c>
      <c r="H24" s="129" t="s">
        <v>197</v>
      </c>
      <c r="I24" s="133" t="s">
        <v>334</v>
      </c>
      <c r="J24" s="131" t="s">
        <v>336</v>
      </c>
    </row>
    <row r="25" spans="1:10" ht="15" customHeight="1" x14ac:dyDescent="0.3">
      <c r="A25" s="48" t="s">
        <v>595</v>
      </c>
      <c r="B25" s="70" t="s">
        <v>689</v>
      </c>
      <c r="C25" s="71" t="s">
        <v>753</v>
      </c>
      <c r="D25" s="70" t="s">
        <v>293</v>
      </c>
      <c r="E25" s="135">
        <v>6.2080000000000002</v>
      </c>
      <c r="F25" s="128">
        <v>1219126</v>
      </c>
      <c r="G25" s="128">
        <v>324938.25</v>
      </c>
      <c r="H25" s="129" t="s">
        <v>197</v>
      </c>
      <c r="I25" s="130" t="s">
        <v>194</v>
      </c>
      <c r="J25" s="131" t="s">
        <v>196</v>
      </c>
    </row>
    <row r="26" spans="1:10" ht="15" customHeight="1" x14ac:dyDescent="0.3">
      <c r="A26" s="61" t="s">
        <v>594</v>
      </c>
      <c r="B26" s="77" t="s">
        <v>689</v>
      </c>
      <c r="C26" s="63" t="s">
        <v>1326</v>
      </c>
      <c r="D26" s="77" t="s">
        <v>410</v>
      </c>
      <c r="E26" s="135">
        <v>6.0469999999999997</v>
      </c>
      <c r="F26" s="132">
        <v>729980</v>
      </c>
      <c r="G26" s="132">
        <v>200210.4</v>
      </c>
      <c r="H26" s="129" t="s">
        <v>197</v>
      </c>
      <c r="I26" s="133" t="s">
        <v>334</v>
      </c>
      <c r="J26" s="131" t="s">
        <v>336</v>
      </c>
    </row>
  </sheetData>
  <autoFilter ref="A2:J26" xr:uid="{00000000-0009-0000-0000-000008000000}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31"/>
  <sheetViews>
    <sheetView workbookViewId="0">
      <pane ySplit="2" topLeftCell="A3" activePane="bottomLeft" state="frozen"/>
      <selection pane="bottomLeft" activeCell="K152" sqref="K152"/>
    </sheetView>
  </sheetViews>
  <sheetFormatPr baseColWidth="10" defaultColWidth="8.88671875" defaultRowHeight="14.4" outlineLevelRow="1" x14ac:dyDescent="0.3"/>
  <cols>
    <col min="1" max="1" width="22" customWidth="1"/>
    <col min="2" max="2" width="38" customWidth="1"/>
    <col min="3" max="3" width="14" customWidth="1"/>
    <col min="4" max="4" width="12" customWidth="1"/>
    <col min="5" max="5" width="20" customWidth="1"/>
    <col min="6" max="8" width="11" customWidth="1"/>
    <col min="9" max="10" width="14" customWidth="1"/>
    <col min="11" max="11" width="13" customWidth="1"/>
  </cols>
  <sheetData>
    <row r="1" spans="1:11" ht="24" customHeight="1" x14ac:dyDescent="0.3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1" ht="37.950000000000003" customHeight="1" x14ac:dyDescent="0.3">
      <c r="A2" s="39" t="s">
        <v>1</v>
      </c>
      <c r="B2" s="39" t="s">
        <v>2</v>
      </c>
      <c r="C2" s="39" t="s">
        <v>3</v>
      </c>
      <c r="D2" s="39" t="s">
        <v>4</v>
      </c>
      <c r="E2" s="39" t="s">
        <v>5</v>
      </c>
      <c r="F2" s="39" t="s">
        <v>6</v>
      </c>
      <c r="G2" s="39" t="s">
        <v>7</v>
      </c>
      <c r="H2" s="39" t="s">
        <v>8</v>
      </c>
      <c r="I2" s="39" t="s">
        <v>9</v>
      </c>
      <c r="J2" s="39" t="s">
        <v>10</v>
      </c>
      <c r="K2" s="39" t="s">
        <v>11</v>
      </c>
    </row>
    <row r="3" spans="1:11" ht="16.05" customHeight="1" collapsed="1" x14ac:dyDescent="0.3">
      <c r="A3" s="48" t="s">
        <v>12</v>
      </c>
      <c r="B3" s="71" t="s">
        <v>13</v>
      </c>
      <c r="C3" s="57" t="s">
        <v>14</v>
      </c>
      <c r="D3" s="57" t="s">
        <v>15</v>
      </c>
      <c r="E3" s="136" t="s">
        <v>16</v>
      </c>
      <c r="F3" s="71">
        <v>13</v>
      </c>
      <c r="G3" s="57">
        <v>9</v>
      </c>
      <c r="H3" s="76">
        <v>4</v>
      </c>
      <c r="I3" s="58">
        <v>2702</v>
      </c>
      <c r="J3" s="137">
        <v>28280.98</v>
      </c>
      <c r="K3" s="138" t="s">
        <v>17</v>
      </c>
    </row>
    <row r="4" spans="1:11" ht="13.95" hidden="1" customHeight="1" outlineLevel="1" x14ac:dyDescent="0.3">
      <c r="A4" s="139" t="s">
        <v>18</v>
      </c>
      <c r="B4" s="140" t="s">
        <v>19</v>
      </c>
      <c r="C4" s="141" t="s">
        <v>14</v>
      </c>
      <c r="D4" s="141" t="s">
        <v>15</v>
      </c>
      <c r="E4" s="142"/>
      <c r="F4" s="142"/>
      <c r="G4" s="143" t="s">
        <v>20</v>
      </c>
      <c r="H4" s="142"/>
      <c r="I4" s="144">
        <v>30</v>
      </c>
      <c r="J4" s="145">
        <v>600</v>
      </c>
      <c r="K4" s="142"/>
    </row>
    <row r="5" spans="1:11" ht="13.95" hidden="1" customHeight="1" outlineLevel="1" x14ac:dyDescent="0.3">
      <c r="A5" s="139" t="s">
        <v>21</v>
      </c>
      <c r="B5" s="140" t="s">
        <v>22</v>
      </c>
      <c r="C5" s="141" t="s">
        <v>14</v>
      </c>
      <c r="D5" s="141" t="s">
        <v>15</v>
      </c>
      <c r="E5" s="142"/>
      <c r="F5" s="142"/>
      <c r="G5" s="143" t="s">
        <v>20</v>
      </c>
      <c r="H5" s="142"/>
      <c r="I5" s="144">
        <v>199</v>
      </c>
      <c r="J5" s="145">
        <v>1771.1</v>
      </c>
      <c r="K5" s="142"/>
    </row>
    <row r="6" spans="1:11" ht="13.95" hidden="1" customHeight="1" outlineLevel="1" x14ac:dyDescent="0.3">
      <c r="A6" s="139" t="s">
        <v>23</v>
      </c>
      <c r="B6" s="140" t="s">
        <v>24</v>
      </c>
      <c r="C6" s="141" t="s">
        <v>14</v>
      </c>
      <c r="D6" s="141" t="s">
        <v>15</v>
      </c>
      <c r="E6" s="142"/>
      <c r="F6" s="142"/>
      <c r="G6" s="143" t="s">
        <v>20</v>
      </c>
      <c r="H6" s="142"/>
      <c r="I6" s="144">
        <v>199</v>
      </c>
      <c r="J6" s="145">
        <v>1771.1</v>
      </c>
      <c r="K6" s="142"/>
    </row>
    <row r="7" spans="1:11" ht="13.95" hidden="1" customHeight="1" outlineLevel="1" x14ac:dyDescent="0.3">
      <c r="A7" s="139" t="s">
        <v>25</v>
      </c>
      <c r="B7" s="140" t="s">
        <v>26</v>
      </c>
      <c r="C7" s="141" t="s">
        <v>14</v>
      </c>
      <c r="D7" s="141" t="s">
        <v>15</v>
      </c>
      <c r="E7" s="142"/>
      <c r="F7" s="142"/>
      <c r="G7" s="143" t="s">
        <v>27</v>
      </c>
      <c r="H7" s="142"/>
      <c r="I7" s="144">
        <v>504</v>
      </c>
      <c r="J7" s="145">
        <v>2570.4</v>
      </c>
      <c r="K7" s="142"/>
    </row>
    <row r="8" spans="1:11" ht="13.95" hidden="1" customHeight="1" outlineLevel="1" x14ac:dyDescent="0.3">
      <c r="A8" s="139" t="s">
        <v>28</v>
      </c>
      <c r="B8" s="140" t="s">
        <v>29</v>
      </c>
      <c r="C8" s="141" t="s">
        <v>14</v>
      </c>
      <c r="D8" s="141" t="s">
        <v>15</v>
      </c>
      <c r="E8" s="142"/>
      <c r="F8" s="142"/>
      <c r="G8" s="143" t="s">
        <v>20</v>
      </c>
      <c r="H8" s="142"/>
      <c r="I8" s="144">
        <v>300</v>
      </c>
      <c r="J8" s="145">
        <v>1530</v>
      </c>
      <c r="K8" s="142"/>
    </row>
    <row r="9" spans="1:11" ht="13.95" hidden="1" customHeight="1" outlineLevel="1" x14ac:dyDescent="0.3">
      <c r="A9" s="139" t="s">
        <v>30</v>
      </c>
      <c r="B9" s="140" t="s">
        <v>31</v>
      </c>
      <c r="C9" s="141" t="s">
        <v>14</v>
      </c>
      <c r="D9" s="141" t="s">
        <v>15</v>
      </c>
      <c r="E9" s="142"/>
      <c r="F9" s="142"/>
      <c r="G9" s="143" t="s">
        <v>32</v>
      </c>
      <c r="H9" s="142"/>
      <c r="I9" s="144">
        <v>252</v>
      </c>
      <c r="J9" s="145">
        <v>3122.28</v>
      </c>
      <c r="K9" s="142"/>
    </row>
    <row r="10" spans="1:11" ht="13.95" hidden="1" customHeight="1" outlineLevel="1" x14ac:dyDescent="0.3">
      <c r="A10" s="139" t="s">
        <v>33</v>
      </c>
      <c r="B10" s="140" t="s">
        <v>34</v>
      </c>
      <c r="C10" s="141" t="s">
        <v>14</v>
      </c>
      <c r="D10" s="141" t="s">
        <v>15</v>
      </c>
      <c r="E10" s="142"/>
      <c r="F10" s="142"/>
      <c r="G10" s="143" t="s">
        <v>20</v>
      </c>
      <c r="H10" s="142"/>
      <c r="I10" s="144">
        <v>99</v>
      </c>
      <c r="J10" s="145">
        <v>722.69999999999993</v>
      </c>
      <c r="K10" s="142"/>
    </row>
    <row r="11" spans="1:11" ht="13.95" hidden="1" customHeight="1" outlineLevel="1" x14ac:dyDescent="0.3">
      <c r="A11" s="139" t="s">
        <v>35</v>
      </c>
      <c r="B11" s="140" t="s">
        <v>36</v>
      </c>
      <c r="C11" s="141" t="s">
        <v>14</v>
      </c>
      <c r="D11" s="141" t="s">
        <v>15</v>
      </c>
      <c r="E11" s="142"/>
      <c r="F11" s="142"/>
      <c r="G11" s="143" t="s">
        <v>20</v>
      </c>
      <c r="H11" s="142"/>
      <c r="I11" s="144">
        <v>99</v>
      </c>
      <c r="J11" s="145">
        <v>653.4</v>
      </c>
      <c r="K11" s="142"/>
    </row>
    <row r="12" spans="1:11" ht="13.95" hidden="1" customHeight="1" outlineLevel="1" x14ac:dyDescent="0.3">
      <c r="A12" s="139" t="s">
        <v>37</v>
      </c>
      <c r="B12" s="140" t="s">
        <v>38</v>
      </c>
      <c r="C12" s="141" t="s">
        <v>14</v>
      </c>
      <c r="D12" s="141" t="s">
        <v>15</v>
      </c>
      <c r="E12" s="142"/>
      <c r="F12" s="142"/>
      <c r="G12" s="143" t="s">
        <v>39</v>
      </c>
      <c r="H12" s="142"/>
      <c r="I12" s="144">
        <v>10</v>
      </c>
      <c r="J12" s="145">
        <v>4220</v>
      </c>
      <c r="K12" s="142"/>
    </row>
    <row r="13" spans="1:11" ht="13.95" hidden="1" customHeight="1" outlineLevel="1" x14ac:dyDescent="0.3">
      <c r="A13" s="146" t="s">
        <v>40</v>
      </c>
      <c r="B13" s="140" t="s">
        <v>41</v>
      </c>
      <c r="C13" s="141" t="s">
        <v>14</v>
      </c>
      <c r="D13" s="141" t="s">
        <v>15</v>
      </c>
      <c r="E13" s="142"/>
      <c r="F13" s="142"/>
      <c r="G13" s="147" t="s">
        <v>42</v>
      </c>
      <c r="H13" s="142"/>
      <c r="I13" s="144">
        <v>200</v>
      </c>
      <c r="J13" s="145">
        <v>5200</v>
      </c>
      <c r="K13" s="142"/>
    </row>
    <row r="14" spans="1:11" ht="13.95" hidden="1" customHeight="1" outlineLevel="1" x14ac:dyDescent="0.3">
      <c r="A14" s="146" t="s">
        <v>43</v>
      </c>
      <c r="B14" s="140" t="s">
        <v>44</v>
      </c>
      <c r="C14" s="141" t="s">
        <v>14</v>
      </c>
      <c r="D14" s="141" t="s">
        <v>15</v>
      </c>
      <c r="E14" s="142"/>
      <c r="F14" s="142"/>
      <c r="G14" s="147" t="s">
        <v>45</v>
      </c>
      <c r="H14" s="142"/>
      <c r="I14" s="144">
        <v>500</v>
      </c>
      <c r="J14" s="145">
        <v>1700</v>
      </c>
      <c r="K14" s="142"/>
    </row>
    <row r="15" spans="1:11" ht="13.95" hidden="1" customHeight="1" outlineLevel="1" x14ac:dyDescent="0.3">
      <c r="A15" s="146" t="s">
        <v>46</v>
      </c>
      <c r="B15" s="140" t="s">
        <v>47</v>
      </c>
      <c r="C15" s="141" t="s">
        <v>14</v>
      </c>
      <c r="D15" s="141" t="s">
        <v>15</v>
      </c>
      <c r="E15" s="142"/>
      <c r="F15" s="142"/>
      <c r="G15" s="147" t="s">
        <v>48</v>
      </c>
      <c r="H15" s="142"/>
      <c r="I15" s="144">
        <v>300</v>
      </c>
      <c r="J15" s="145">
        <v>750</v>
      </c>
      <c r="K15" s="142"/>
    </row>
    <row r="16" spans="1:11" ht="13.95" hidden="1" customHeight="1" outlineLevel="1" x14ac:dyDescent="0.3">
      <c r="A16" s="146" t="s">
        <v>49</v>
      </c>
      <c r="B16" s="140" t="s">
        <v>50</v>
      </c>
      <c r="C16" s="141" t="s">
        <v>14</v>
      </c>
      <c r="D16" s="141" t="s">
        <v>15</v>
      </c>
      <c r="E16" s="142"/>
      <c r="F16" s="142"/>
      <c r="G16" s="147" t="s">
        <v>51</v>
      </c>
      <c r="H16" s="142"/>
      <c r="I16" s="144">
        <v>10</v>
      </c>
      <c r="J16" s="145">
        <v>3670</v>
      </c>
      <c r="K16" s="142"/>
    </row>
    <row r="17" spans="1:11" ht="16.05" customHeight="1" collapsed="1" x14ac:dyDescent="0.3">
      <c r="A17" s="48" t="s">
        <v>52</v>
      </c>
      <c r="B17" s="71" t="s">
        <v>53</v>
      </c>
      <c r="C17" s="57" t="s">
        <v>54</v>
      </c>
      <c r="D17" s="57" t="s">
        <v>15</v>
      </c>
      <c r="E17" s="136" t="s">
        <v>55</v>
      </c>
      <c r="F17" s="71">
        <v>33</v>
      </c>
      <c r="G17" s="57">
        <v>6</v>
      </c>
      <c r="H17" s="76">
        <v>6</v>
      </c>
      <c r="I17" s="58">
        <v>7857</v>
      </c>
      <c r="J17" s="137">
        <v>54527.7</v>
      </c>
      <c r="K17" s="138" t="s">
        <v>17</v>
      </c>
    </row>
    <row r="18" spans="1:11" ht="13.95" hidden="1" customHeight="1" outlineLevel="1" x14ac:dyDescent="0.3">
      <c r="A18" s="139" t="s">
        <v>56</v>
      </c>
      <c r="B18" s="140" t="s">
        <v>57</v>
      </c>
      <c r="C18" s="141" t="s">
        <v>54</v>
      </c>
      <c r="D18" s="141" t="s">
        <v>15</v>
      </c>
      <c r="E18" s="142"/>
      <c r="F18" s="142"/>
      <c r="G18" s="143" t="s">
        <v>58</v>
      </c>
      <c r="H18" s="142"/>
      <c r="I18" s="144">
        <v>150</v>
      </c>
      <c r="J18" s="145">
        <v>705</v>
      </c>
      <c r="K18" s="142"/>
    </row>
    <row r="19" spans="1:11" ht="13.95" hidden="1" customHeight="1" outlineLevel="1" x14ac:dyDescent="0.3">
      <c r="A19" s="139" t="s">
        <v>59</v>
      </c>
      <c r="B19" s="140" t="s">
        <v>60</v>
      </c>
      <c r="C19" s="141" t="s">
        <v>54</v>
      </c>
      <c r="D19" s="141" t="s">
        <v>15</v>
      </c>
      <c r="E19" s="142"/>
      <c r="F19" s="142"/>
      <c r="G19" s="143" t="s">
        <v>61</v>
      </c>
      <c r="H19" s="142"/>
      <c r="I19" s="144">
        <v>102</v>
      </c>
      <c r="J19" s="145">
        <v>137.69999999999999</v>
      </c>
      <c r="K19" s="142"/>
    </row>
    <row r="20" spans="1:11" ht="13.95" hidden="1" customHeight="1" outlineLevel="1" x14ac:dyDescent="0.3">
      <c r="A20" s="139" t="s">
        <v>62</v>
      </c>
      <c r="B20" s="140" t="s">
        <v>63</v>
      </c>
      <c r="C20" s="141" t="s">
        <v>54</v>
      </c>
      <c r="D20" s="141" t="s">
        <v>15</v>
      </c>
      <c r="E20" s="142"/>
      <c r="F20" s="142"/>
      <c r="G20" s="143" t="s">
        <v>64</v>
      </c>
      <c r="H20" s="142"/>
      <c r="I20" s="144">
        <v>300</v>
      </c>
      <c r="J20" s="145">
        <v>5895</v>
      </c>
      <c r="K20" s="142"/>
    </row>
    <row r="21" spans="1:11" ht="13.95" hidden="1" customHeight="1" outlineLevel="1" x14ac:dyDescent="0.3">
      <c r="A21" s="139" t="s">
        <v>65</v>
      </c>
      <c r="B21" s="140" t="s">
        <v>66</v>
      </c>
      <c r="C21" s="141" t="s">
        <v>54</v>
      </c>
      <c r="D21" s="141" t="s">
        <v>15</v>
      </c>
      <c r="E21" s="142"/>
      <c r="F21" s="142"/>
      <c r="G21" s="143" t="s">
        <v>67</v>
      </c>
      <c r="H21" s="142"/>
      <c r="I21" s="144">
        <v>150</v>
      </c>
      <c r="J21" s="145">
        <v>682.5</v>
      </c>
      <c r="K21" s="142"/>
    </row>
    <row r="22" spans="1:11" ht="13.95" hidden="1" customHeight="1" outlineLevel="1" x14ac:dyDescent="0.3">
      <c r="A22" s="139" t="s">
        <v>68</v>
      </c>
      <c r="B22" s="140" t="s">
        <v>69</v>
      </c>
      <c r="C22" s="141" t="s">
        <v>54</v>
      </c>
      <c r="D22" s="141" t="s">
        <v>15</v>
      </c>
      <c r="E22" s="142"/>
      <c r="F22" s="142"/>
      <c r="G22" s="143" t="s">
        <v>70</v>
      </c>
      <c r="H22" s="142"/>
      <c r="I22" s="144">
        <v>300</v>
      </c>
      <c r="J22" s="145">
        <v>2325</v>
      </c>
      <c r="K22" s="142"/>
    </row>
    <row r="23" spans="1:11" ht="13.95" hidden="1" customHeight="1" outlineLevel="1" x14ac:dyDescent="0.3">
      <c r="A23" s="139" t="s">
        <v>71</v>
      </c>
      <c r="B23" s="140" t="s">
        <v>72</v>
      </c>
      <c r="C23" s="141" t="s">
        <v>54</v>
      </c>
      <c r="D23" s="141" t="s">
        <v>15</v>
      </c>
      <c r="E23" s="142"/>
      <c r="F23" s="142"/>
      <c r="G23" s="143" t="s">
        <v>73</v>
      </c>
      <c r="H23" s="142"/>
      <c r="I23" s="144">
        <v>150</v>
      </c>
      <c r="J23" s="145">
        <v>4200</v>
      </c>
      <c r="K23" s="142"/>
    </row>
    <row r="24" spans="1:11" ht="13.95" hidden="1" customHeight="1" outlineLevel="1" x14ac:dyDescent="0.3">
      <c r="A24" s="146" t="s">
        <v>74</v>
      </c>
      <c r="B24" s="140" t="s">
        <v>75</v>
      </c>
      <c r="C24" s="141" t="s">
        <v>54</v>
      </c>
      <c r="D24" s="141" t="s">
        <v>15</v>
      </c>
      <c r="E24" s="142"/>
      <c r="F24" s="142"/>
      <c r="G24" s="147" t="s">
        <v>76</v>
      </c>
      <c r="H24" s="142"/>
      <c r="I24" s="144">
        <v>500</v>
      </c>
      <c r="J24" s="145">
        <v>7800</v>
      </c>
      <c r="K24" s="142"/>
    </row>
    <row r="25" spans="1:11" ht="13.95" hidden="1" customHeight="1" outlineLevel="1" x14ac:dyDescent="0.3">
      <c r="A25" s="146" t="s">
        <v>77</v>
      </c>
      <c r="B25" s="140" t="s">
        <v>78</v>
      </c>
      <c r="C25" s="141" t="s">
        <v>54</v>
      </c>
      <c r="D25" s="141" t="s">
        <v>15</v>
      </c>
      <c r="E25" s="142"/>
      <c r="F25" s="142"/>
      <c r="G25" s="147" t="s">
        <v>79</v>
      </c>
      <c r="H25" s="142"/>
      <c r="I25" s="144">
        <v>35</v>
      </c>
      <c r="J25" s="145">
        <v>647.5</v>
      </c>
      <c r="K25" s="142"/>
    </row>
    <row r="26" spans="1:11" ht="13.95" hidden="1" customHeight="1" outlineLevel="1" x14ac:dyDescent="0.3">
      <c r="A26" s="146" t="s">
        <v>80</v>
      </c>
      <c r="B26" s="140" t="s">
        <v>81</v>
      </c>
      <c r="C26" s="141" t="s">
        <v>54</v>
      </c>
      <c r="D26" s="141" t="s">
        <v>15</v>
      </c>
      <c r="E26" s="142"/>
      <c r="F26" s="142"/>
      <c r="G26" s="147" t="s">
        <v>82</v>
      </c>
      <c r="H26" s="142"/>
      <c r="I26" s="144">
        <v>200</v>
      </c>
      <c r="J26" s="145">
        <v>620</v>
      </c>
      <c r="K26" s="142"/>
    </row>
    <row r="27" spans="1:11" ht="13.95" hidden="1" customHeight="1" outlineLevel="1" x14ac:dyDescent="0.3">
      <c r="A27" s="146" t="s">
        <v>83</v>
      </c>
      <c r="B27" s="140" t="s">
        <v>84</v>
      </c>
      <c r="C27" s="141" t="s">
        <v>54</v>
      </c>
      <c r="D27" s="141" t="s">
        <v>15</v>
      </c>
      <c r="E27" s="142"/>
      <c r="F27" s="142"/>
      <c r="G27" s="147" t="s">
        <v>85</v>
      </c>
      <c r="H27" s="142"/>
      <c r="I27" s="144">
        <v>100</v>
      </c>
      <c r="J27" s="145">
        <v>330</v>
      </c>
      <c r="K27" s="142"/>
    </row>
    <row r="28" spans="1:11" ht="13.95" hidden="1" customHeight="1" outlineLevel="1" x14ac:dyDescent="0.3">
      <c r="A28" s="146" t="s">
        <v>86</v>
      </c>
      <c r="B28" s="140" t="s">
        <v>87</v>
      </c>
      <c r="C28" s="141" t="s">
        <v>54</v>
      </c>
      <c r="D28" s="141" t="s">
        <v>15</v>
      </c>
      <c r="E28" s="142"/>
      <c r="F28" s="142"/>
      <c r="G28" s="147" t="s">
        <v>88</v>
      </c>
      <c r="H28" s="142"/>
      <c r="I28" s="144">
        <v>150</v>
      </c>
      <c r="J28" s="145">
        <v>457.50000000000011</v>
      </c>
      <c r="K28" s="142"/>
    </row>
    <row r="29" spans="1:11" ht="13.95" hidden="1" customHeight="1" outlineLevel="1" x14ac:dyDescent="0.3">
      <c r="A29" s="146" t="s">
        <v>89</v>
      </c>
      <c r="B29" s="140" t="s">
        <v>90</v>
      </c>
      <c r="C29" s="141" t="s">
        <v>54</v>
      </c>
      <c r="D29" s="141" t="s">
        <v>15</v>
      </c>
      <c r="E29" s="142"/>
      <c r="F29" s="142"/>
      <c r="G29" s="147" t="s">
        <v>91</v>
      </c>
      <c r="H29" s="142"/>
      <c r="I29" s="144">
        <v>100</v>
      </c>
      <c r="J29" s="145">
        <v>353</v>
      </c>
      <c r="K29" s="142"/>
    </row>
    <row r="30" spans="1:11" ht="13.95" hidden="1" customHeight="1" outlineLevel="1" x14ac:dyDescent="0.3">
      <c r="A30" s="146" t="s">
        <v>92</v>
      </c>
      <c r="B30" s="140" t="s">
        <v>93</v>
      </c>
      <c r="C30" s="141" t="s">
        <v>54</v>
      </c>
      <c r="D30" s="141" t="s">
        <v>15</v>
      </c>
      <c r="E30" s="142"/>
      <c r="F30" s="142"/>
      <c r="G30" s="148" t="s">
        <v>94</v>
      </c>
      <c r="H30" s="142"/>
      <c r="I30" s="144">
        <v>500</v>
      </c>
      <c r="J30" s="145">
        <v>3000</v>
      </c>
      <c r="K30" s="142"/>
    </row>
    <row r="31" spans="1:11" ht="13.95" hidden="1" customHeight="1" outlineLevel="1" x14ac:dyDescent="0.3">
      <c r="A31" s="146" t="s">
        <v>95</v>
      </c>
      <c r="B31" s="140" t="s">
        <v>96</v>
      </c>
      <c r="C31" s="141" t="s">
        <v>54</v>
      </c>
      <c r="D31" s="141" t="s">
        <v>15</v>
      </c>
      <c r="E31" s="142"/>
      <c r="F31" s="142"/>
      <c r="G31" s="148" t="s">
        <v>97</v>
      </c>
      <c r="H31" s="142"/>
      <c r="I31" s="144">
        <v>500</v>
      </c>
      <c r="J31" s="145">
        <v>2800</v>
      </c>
      <c r="K31" s="142"/>
    </row>
    <row r="32" spans="1:11" ht="13.95" hidden="1" customHeight="1" outlineLevel="1" x14ac:dyDescent="0.3">
      <c r="A32" s="146" t="s">
        <v>98</v>
      </c>
      <c r="B32" s="140" t="s">
        <v>99</v>
      </c>
      <c r="C32" s="141" t="s">
        <v>54</v>
      </c>
      <c r="D32" s="141" t="s">
        <v>15</v>
      </c>
      <c r="E32" s="142"/>
      <c r="F32" s="142"/>
      <c r="G32" s="148" t="s">
        <v>100</v>
      </c>
      <c r="H32" s="142"/>
      <c r="I32" s="144">
        <v>1000</v>
      </c>
      <c r="J32" s="145">
        <v>4570</v>
      </c>
      <c r="K32" s="142"/>
    </row>
    <row r="33" spans="1:11" ht="13.95" hidden="1" customHeight="1" outlineLevel="1" x14ac:dyDescent="0.3">
      <c r="A33" s="146" t="s">
        <v>101</v>
      </c>
      <c r="B33" s="140" t="s">
        <v>102</v>
      </c>
      <c r="C33" s="141" t="s">
        <v>54</v>
      </c>
      <c r="D33" s="141" t="s">
        <v>15</v>
      </c>
      <c r="E33" s="142"/>
      <c r="F33" s="142"/>
      <c r="G33" s="148" t="s">
        <v>103</v>
      </c>
      <c r="H33" s="142"/>
      <c r="I33" s="144">
        <v>1000</v>
      </c>
      <c r="J33" s="145">
        <v>4570</v>
      </c>
      <c r="K33" s="142"/>
    </row>
    <row r="34" spans="1:11" ht="13.95" hidden="1" customHeight="1" outlineLevel="1" x14ac:dyDescent="0.3">
      <c r="A34" s="146" t="s">
        <v>104</v>
      </c>
      <c r="B34" s="140" t="s">
        <v>105</v>
      </c>
      <c r="C34" s="141" t="s">
        <v>54</v>
      </c>
      <c r="D34" s="141" t="s">
        <v>15</v>
      </c>
      <c r="E34" s="142"/>
      <c r="F34" s="142"/>
      <c r="G34" s="148" t="s">
        <v>106</v>
      </c>
      <c r="H34" s="142"/>
      <c r="I34" s="144">
        <v>1000</v>
      </c>
      <c r="J34" s="145">
        <v>4570</v>
      </c>
      <c r="K34" s="142"/>
    </row>
    <row r="35" spans="1:11" ht="13.95" hidden="1" customHeight="1" outlineLevel="1" x14ac:dyDescent="0.3">
      <c r="A35" s="146" t="s">
        <v>107</v>
      </c>
      <c r="B35" s="140" t="s">
        <v>108</v>
      </c>
      <c r="C35" s="141" t="s">
        <v>54</v>
      </c>
      <c r="D35" s="141" t="s">
        <v>15</v>
      </c>
      <c r="E35" s="142"/>
      <c r="F35" s="142"/>
      <c r="G35" s="148" t="s">
        <v>109</v>
      </c>
      <c r="H35" s="142"/>
      <c r="I35" s="144">
        <v>80</v>
      </c>
      <c r="J35" s="145">
        <v>1520</v>
      </c>
      <c r="K35" s="142"/>
    </row>
    <row r="36" spans="1:11" ht="13.95" hidden="1" customHeight="1" outlineLevel="1" x14ac:dyDescent="0.3">
      <c r="A36" s="146" t="s">
        <v>110</v>
      </c>
      <c r="B36" s="140" t="s">
        <v>111</v>
      </c>
      <c r="C36" s="141" t="s">
        <v>54</v>
      </c>
      <c r="D36" s="141" t="s">
        <v>15</v>
      </c>
      <c r="E36" s="142"/>
      <c r="F36" s="142"/>
      <c r="G36" s="149" t="s">
        <v>112</v>
      </c>
      <c r="H36" s="142"/>
      <c r="I36" s="144">
        <v>20</v>
      </c>
      <c r="J36" s="145">
        <v>380</v>
      </c>
      <c r="K36" s="142"/>
    </row>
    <row r="37" spans="1:11" ht="13.95" hidden="1" customHeight="1" outlineLevel="1" x14ac:dyDescent="0.3">
      <c r="A37" s="146" t="s">
        <v>113</v>
      </c>
      <c r="B37" s="140" t="s">
        <v>114</v>
      </c>
      <c r="C37" s="141" t="s">
        <v>54</v>
      </c>
      <c r="D37" s="141" t="s">
        <v>15</v>
      </c>
      <c r="E37" s="142"/>
      <c r="F37" s="142"/>
      <c r="G37" s="148" t="s">
        <v>115</v>
      </c>
      <c r="H37" s="142"/>
      <c r="I37" s="144">
        <v>40</v>
      </c>
      <c r="J37" s="145">
        <v>128</v>
      </c>
      <c r="K37" s="142"/>
    </row>
    <row r="38" spans="1:11" ht="13.95" hidden="1" customHeight="1" outlineLevel="1" x14ac:dyDescent="0.3">
      <c r="A38" s="146" t="s">
        <v>116</v>
      </c>
      <c r="B38" s="140" t="s">
        <v>117</v>
      </c>
      <c r="C38" s="141" t="s">
        <v>54</v>
      </c>
      <c r="D38" s="141" t="s">
        <v>15</v>
      </c>
      <c r="E38" s="142"/>
      <c r="F38" s="142"/>
      <c r="G38" s="149" t="s">
        <v>118</v>
      </c>
      <c r="H38" s="142"/>
      <c r="I38" s="144">
        <v>50</v>
      </c>
      <c r="J38" s="145">
        <v>155</v>
      </c>
      <c r="K38" s="142"/>
    </row>
    <row r="39" spans="1:11" ht="13.95" hidden="1" customHeight="1" outlineLevel="1" x14ac:dyDescent="0.3">
      <c r="A39" s="146" t="s">
        <v>119</v>
      </c>
      <c r="B39" s="140" t="s">
        <v>120</v>
      </c>
      <c r="C39" s="141" t="s">
        <v>54</v>
      </c>
      <c r="D39" s="141" t="s">
        <v>15</v>
      </c>
      <c r="E39" s="142"/>
      <c r="F39" s="142"/>
      <c r="G39" s="148" t="s">
        <v>121</v>
      </c>
      <c r="H39" s="142"/>
      <c r="I39" s="144">
        <v>170</v>
      </c>
      <c r="J39" s="145">
        <v>1173</v>
      </c>
      <c r="K39" s="142"/>
    </row>
    <row r="40" spans="1:11" ht="13.95" hidden="1" customHeight="1" outlineLevel="1" x14ac:dyDescent="0.3">
      <c r="A40" s="146" t="s">
        <v>122</v>
      </c>
      <c r="B40" s="140" t="s">
        <v>123</v>
      </c>
      <c r="C40" s="141" t="s">
        <v>54</v>
      </c>
      <c r="D40" s="141" t="s">
        <v>15</v>
      </c>
      <c r="E40" s="142"/>
      <c r="F40" s="142"/>
      <c r="G40" s="148" t="s">
        <v>124</v>
      </c>
      <c r="H40" s="142"/>
      <c r="I40" s="144">
        <v>100</v>
      </c>
      <c r="J40" s="145">
        <v>290</v>
      </c>
      <c r="K40" s="142"/>
    </row>
    <row r="41" spans="1:11" ht="13.95" hidden="1" customHeight="1" outlineLevel="1" x14ac:dyDescent="0.3">
      <c r="A41" s="146" t="s">
        <v>125</v>
      </c>
      <c r="B41" s="140" t="s">
        <v>126</v>
      </c>
      <c r="C41" s="141" t="s">
        <v>54</v>
      </c>
      <c r="D41" s="141" t="s">
        <v>15</v>
      </c>
      <c r="E41" s="142"/>
      <c r="F41" s="142"/>
      <c r="G41" s="148" t="s">
        <v>127</v>
      </c>
      <c r="H41" s="142"/>
      <c r="I41" s="144">
        <v>100</v>
      </c>
      <c r="J41" s="145">
        <v>330</v>
      </c>
      <c r="K41" s="142"/>
    </row>
    <row r="42" spans="1:11" ht="13.95" hidden="1" customHeight="1" outlineLevel="1" x14ac:dyDescent="0.3">
      <c r="A42" s="146" t="s">
        <v>128</v>
      </c>
      <c r="B42" s="140" t="s">
        <v>129</v>
      </c>
      <c r="C42" s="141" t="s">
        <v>54</v>
      </c>
      <c r="D42" s="141" t="s">
        <v>15</v>
      </c>
      <c r="E42" s="142"/>
      <c r="F42" s="142"/>
      <c r="G42" s="150" t="s">
        <v>130</v>
      </c>
      <c r="H42" s="142"/>
      <c r="I42" s="144">
        <v>100</v>
      </c>
      <c r="J42" s="145">
        <v>330</v>
      </c>
      <c r="K42" s="142"/>
    </row>
    <row r="43" spans="1:11" ht="13.95" hidden="1" customHeight="1" outlineLevel="1" x14ac:dyDescent="0.3">
      <c r="A43" s="146" t="s">
        <v>131</v>
      </c>
      <c r="B43" s="140" t="s">
        <v>132</v>
      </c>
      <c r="C43" s="141" t="s">
        <v>54</v>
      </c>
      <c r="D43" s="141" t="s">
        <v>15</v>
      </c>
      <c r="E43" s="142"/>
      <c r="F43" s="142"/>
      <c r="G43" s="149" t="s">
        <v>133</v>
      </c>
      <c r="H43" s="142"/>
      <c r="I43" s="144">
        <v>100</v>
      </c>
      <c r="J43" s="145">
        <v>330</v>
      </c>
      <c r="K43" s="142"/>
    </row>
    <row r="44" spans="1:11" ht="13.95" hidden="1" customHeight="1" outlineLevel="1" x14ac:dyDescent="0.3">
      <c r="A44" s="146" t="s">
        <v>134</v>
      </c>
      <c r="B44" s="140" t="s">
        <v>135</v>
      </c>
      <c r="C44" s="141" t="s">
        <v>54</v>
      </c>
      <c r="D44" s="141" t="s">
        <v>15</v>
      </c>
      <c r="E44" s="142"/>
      <c r="F44" s="142"/>
      <c r="G44" s="149" t="s">
        <v>136</v>
      </c>
      <c r="H44" s="142"/>
      <c r="I44" s="144">
        <v>120</v>
      </c>
      <c r="J44" s="145">
        <v>366.00000000000011</v>
      </c>
      <c r="K44" s="142"/>
    </row>
    <row r="45" spans="1:11" ht="13.95" hidden="1" customHeight="1" outlineLevel="1" x14ac:dyDescent="0.3">
      <c r="A45" s="146" t="s">
        <v>137</v>
      </c>
      <c r="B45" s="140" t="s">
        <v>138</v>
      </c>
      <c r="C45" s="141" t="s">
        <v>54</v>
      </c>
      <c r="D45" s="141" t="s">
        <v>15</v>
      </c>
      <c r="E45" s="142"/>
      <c r="F45" s="142"/>
      <c r="G45" s="148" t="s">
        <v>139</v>
      </c>
      <c r="H45" s="142"/>
      <c r="I45" s="144">
        <v>150</v>
      </c>
      <c r="J45" s="145">
        <v>457.50000000000011</v>
      </c>
      <c r="K45" s="142"/>
    </row>
    <row r="46" spans="1:11" ht="13.95" hidden="1" customHeight="1" outlineLevel="1" x14ac:dyDescent="0.3">
      <c r="A46" s="146" t="s">
        <v>140</v>
      </c>
      <c r="B46" s="140" t="s">
        <v>141</v>
      </c>
      <c r="C46" s="141" t="s">
        <v>54</v>
      </c>
      <c r="D46" s="141" t="s">
        <v>15</v>
      </c>
      <c r="E46" s="142"/>
      <c r="F46" s="142"/>
      <c r="G46" s="149" t="s">
        <v>142</v>
      </c>
      <c r="H46" s="142"/>
      <c r="I46" s="144">
        <v>100</v>
      </c>
      <c r="J46" s="145">
        <v>305</v>
      </c>
      <c r="K46" s="142"/>
    </row>
    <row r="47" spans="1:11" ht="13.95" hidden="1" customHeight="1" outlineLevel="1" x14ac:dyDescent="0.3">
      <c r="A47" s="146" t="s">
        <v>143</v>
      </c>
      <c r="B47" s="140" t="s">
        <v>144</v>
      </c>
      <c r="C47" s="141" t="s">
        <v>54</v>
      </c>
      <c r="D47" s="141" t="s">
        <v>15</v>
      </c>
      <c r="E47" s="142"/>
      <c r="F47" s="142"/>
      <c r="G47" s="150" t="s">
        <v>145</v>
      </c>
      <c r="H47" s="142"/>
      <c r="I47" s="144">
        <v>40</v>
      </c>
      <c r="J47" s="145">
        <v>122</v>
      </c>
      <c r="K47" s="142"/>
    </row>
    <row r="48" spans="1:11" ht="13.95" hidden="1" customHeight="1" outlineLevel="1" x14ac:dyDescent="0.3">
      <c r="A48" s="146" t="s">
        <v>146</v>
      </c>
      <c r="B48" s="140" t="s">
        <v>147</v>
      </c>
      <c r="C48" s="141" t="s">
        <v>54</v>
      </c>
      <c r="D48" s="141" t="s">
        <v>15</v>
      </c>
      <c r="E48" s="142"/>
      <c r="F48" s="142"/>
      <c r="G48" s="149" t="s">
        <v>148</v>
      </c>
      <c r="H48" s="142"/>
      <c r="I48" s="144">
        <v>300</v>
      </c>
      <c r="J48" s="145">
        <v>1710</v>
      </c>
      <c r="K48" s="142"/>
    </row>
    <row r="49" spans="1:11" ht="13.95" hidden="1" customHeight="1" outlineLevel="1" x14ac:dyDescent="0.3">
      <c r="A49" s="146" t="s">
        <v>149</v>
      </c>
      <c r="B49" s="140" t="s">
        <v>150</v>
      </c>
      <c r="C49" s="141" t="s">
        <v>54</v>
      </c>
      <c r="D49" s="141" t="s">
        <v>15</v>
      </c>
      <c r="E49" s="142"/>
      <c r="F49" s="142"/>
      <c r="G49" s="150" t="s">
        <v>151</v>
      </c>
      <c r="H49" s="142"/>
      <c r="I49" s="144">
        <v>100</v>
      </c>
      <c r="J49" s="145">
        <v>353</v>
      </c>
      <c r="K49" s="142"/>
    </row>
    <row r="50" spans="1:11" ht="13.95" hidden="1" customHeight="1" outlineLevel="1" x14ac:dyDescent="0.3">
      <c r="A50" s="146" t="s">
        <v>152</v>
      </c>
      <c r="B50" s="140" t="s">
        <v>153</v>
      </c>
      <c r="C50" s="141" t="s">
        <v>54</v>
      </c>
      <c r="D50" s="141" t="s">
        <v>15</v>
      </c>
      <c r="E50" s="142"/>
      <c r="F50" s="142"/>
      <c r="G50" s="148" t="s">
        <v>154</v>
      </c>
      <c r="H50" s="142"/>
      <c r="I50" s="144">
        <v>50</v>
      </c>
      <c r="J50" s="145">
        <v>2915</v>
      </c>
      <c r="K50" s="142"/>
    </row>
    <row r="51" spans="1:11" ht="16.05" customHeight="1" collapsed="1" x14ac:dyDescent="0.3">
      <c r="A51" s="48" t="s">
        <v>155</v>
      </c>
      <c r="B51" s="71" t="s">
        <v>53</v>
      </c>
      <c r="C51" s="57" t="s">
        <v>54</v>
      </c>
      <c r="D51" s="57" t="s">
        <v>15</v>
      </c>
      <c r="E51" s="136" t="s">
        <v>156</v>
      </c>
      <c r="F51" s="71">
        <v>15</v>
      </c>
      <c r="G51" s="57">
        <v>6</v>
      </c>
      <c r="H51" s="76">
        <v>1</v>
      </c>
      <c r="I51" s="58">
        <v>5070</v>
      </c>
      <c r="J51" s="137">
        <v>41734</v>
      </c>
      <c r="K51" s="138" t="s">
        <v>17</v>
      </c>
    </row>
    <row r="52" spans="1:11" ht="13.95" hidden="1" customHeight="1" outlineLevel="1" x14ac:dyDescent="0.3">
      <c r="A52" s="139" t="s">
        <v>157</v>
      </c>
      <c r="B52" s="140" t="s">
        <v>158</v>
      </c>
      <c r="C52" s="141" t="s">
        <v>54</v>
      </c>
      <c r="D52" s="141" t="s">
        <v>15</v>
      </c>
      <c r="E52" s="142"/>
      <c r="F52" s="142"/>
      <c r="G52" s="143" t="s">
        <v>159</v>
      </c>
      <c r="H52" s="142"/>
      <c r="I52" s="144">
        <v>600</v>
      </c>
      <c r="J52" s="145">
        <v>3510</v>
      </c>
      <c r="K52" s="142"/>
    </row>
    <row r="53" spans="1:11" ht="13.95" hidden="1" customHeight="1" outlineLevel="1" x14ac:dyDescent="0.3">
      <c r="A53" s="139" t="s">
        <v>160</v>
      </c>
      <c r="B53" s="140" t="s">
        <v>161</v>
      </c>
      <c r="C53" s="141" t="s">
        <v>54</v>
      </c>
      <c r="D53" s="141" t="s">
        <v>15</v>
      </c>
      <c r="E53" s="142"/>
      <c r="F53" s="142"/>
      <c r="G53" s="143" t="s">
        <v>20</v>
      </c>
      <c r="H53" s="142"/>
      <c r="I53" s="144">
        <v>100</v>
      </c>
      <c r="J53" s="145">
        <v>2035</v>
      </c>
      <c r="K53" s="142"/>
    </row>
    <row r="54" spans="1:11" ht="13.95" hidden="1" customHeight="1" outlineLevel="1" x14ac:dyDescent="0.3">
      <c r="A54" s="139" t="s">
        <v>162</v>
      </c>
      <c r="B54" s="140" t="s">
        <v>163</v>
      </c>
      <c r="C54" s="141" t="s">
        <v>54</v>
      </c>
      <c r="D54" s="141" t="s">
        <v>15</v>
      </c>
      <c r="E54" s="142"/>
      <c r="F54" s="142"/>
      <c r="G54" s="143" t="s">
        <v>20</v>
      </c>
      <c r="H54" s="142"/>
      <c r="I54" s="144">
        <v>100</v>
      </c>
      <c r="J54" s="145">
        <v>2110</v>
      </c>
      <c r="K54" s="142"/>
    </row>
    <row r="55" spans="1:11" ht="13.95" hidden="1" customHeight="1" outlineLevel="1" x14ac:dyDescent="0.3">
      <c r="A55" s="139" t="s">
        <v>164</v>
      </c>
      <c r="B55" s="140" t="s">
        <v>165</v>
      </c>
      <c r="C55" s="141" t="s">
        <v>54</v>
      </c>
      <c r="D55" s="141" t="s">
        <v>15</v>
      </c>
      <c r="E55" s="142"/>
      <c r="F55" s="142"/>
      <c r="G55" s="143" t="s">
        <v>20</v>
      </c>
      <c r="H55" s="142"/>
      <c r="I55" s="144">
        <v>100</v>
      </c>
      <c r="J55" s="145">
        <v>2195</v>
      </c>
      <c r="K55" s="142"/>
    </row>
    <row r="56" spans="1:11" ht="13.95" hidden="1" customHeight="1" outlineLevel="1" x14ac:dyDescent="0.3">
      <c r="A56" s="139" t="s">
        <v>166</v>
      </c>
      <c r="B56" s="140" t="s">
        <v>167</v>
      </c>
      <c r="C56" s="141" t="s">
        <v>54</v>
      </c>
      <c r="D56" s="141" t="s">
        <v>15</v>
      </c>
      <c r="E56" s="142"/>
      <c r="F56" s="142"/>
      <c r="G56" s="143" t="s">
        <v>168</v>
      </c>
      <c r="H56" s="142"/>
      <c r="I56" s="144">
        <v>300</v>
      </c>
      <c r="J56" s="145">
        <v>8964</v>
      </c>
      <c r="K56" s="142"/>
    </row>
    <row r="57" spans="1:11" ht="13.95" hidden="1" customHeight="1" outlineLevel="1" x14ac:dyDescent="0.3">
      <c r="A57" s="139" t="s">
        <v>169</v>
      </c>
      <c r="B57" s="140" t="s">
        <v>170</v>
      </c>
      <c r="C57" s="141" t="s">
        <v>54</v>
      </c>
      <c r="D57" s="141" t="s">
        <v>15</v>
      </c>
      <c r="E57" s="142"/>
      <c r="F57" s="142"/>
      <c r="G57" s="143" t="s">
        <v>20</v>
      </c>
      <c r="H57" s="142"/>
      <c r="I57" s="144">
        <v>250</v>
      </c>
      <c r="J57" s="145">
        <v>6450</v>
      </c>
      <c r="K57" s="142"/>
    </row>
    <row r="58" spans="1:11" ht="13.95" hidden="1" customHeight="1" outlineLevel="1" x14ac:dyDescent="0.3">
      <c r="A58" s="146" t="s">
        <v>171</v>
      </c>
      <c r="B58" s="140" t="s">
        <v>172</v>
      </c>
      <c r="C58" s="141" t="s">
        <v>54</v>
      </c>
      <c r="D58" s="141" t="s">
        <v>15</v>
      </c>
      <c r="E58" s="142"/>
      <c r="F58" s="142"/>
      <c r="G58" s="147" t="s">
        <v>173</v>
      </c>
      <c r="H58" s="142"/>
      <c r="I58" s="144">
        <v>20</v>
      </c>
      <c r="J58" s="145">
        <v>1300</v>
      </c>
      <c r="K58" s="142"/>
    </row>
    <row r="59" spans="1:11" ht="13.95" hidden="1" customHeight="1" outlineLevel="1" x14ac:dyDescent="0.3">
      <c r="A59" s="146" t="s">
        <v>174</v>
      </c>
      <c r="B59" s="140" t="s">
        <v>175</v>
      </c>
      <c r="C59" s="141" t="s">
        <v>54</v>
      </c>
      <c r="D59" s="141" t="s">
        <v>15</v>
      </c>
      <c r="E59" s="142"/>
      <c r="F59" s="142"/>
      <c r="G59" s="148" t="s">
        <v>176</v>
      </c>
      <c r="H59" s="142"/>
      <c r="I59" s="144">
        <v>100</v>
      </c>
      <c r="J59" s="145">
        <v>2165</v>
      </c>
      <c r="K59" s="142"/>
    </row>
    <row r="60" spans="1:11" ht="13.95" hidden="1" customHeight="1" outlineLevel="1" x14ac:dyDescent="0.3">
      <c r="A60" s="146" t="s">
        <v>177</v>
      </c>
      <c r="B60" s="140" t="s">
        <v>178</v>
      </c>
      <c r="C60" s="141" t="s">
        <v>54</v>
      </c>
      <c r="D60" s="141" t="s">
        <v>15</v>
      </c>
      <c r="E60" s="142"/>
      <c r="F60" s="142"/>
      <c r="G60" s="149" t="s">
        <v>179</v>
      </c>
      <c r="H60" s="142"/>
      <c r="I60" s="144">
        <v>500</v>
      </c>
      <c r="J60" s="145">
        <v>1990</v>
      </c>
      <c r="K60" s="142"/>
    </row>
    <row r="61" spans="1:11" ht="13.95" hidden="1" customHeight="1" outlineLevel="1" x14ac:dyDescent="0.3">
      <c r="A61" s="146" t="s">
        <v>180</v>
      </c>
      <c r="B61" s="140" t="s">
        <v>181</v>
      </c>
      <c r="C61" s="141" t="s">
        <v>54</v>
      </c>
      <c r="D61" s="141" t="s">
        <v>15</v>
      </c>
      <c r="E61" s="142"/>
      <c r="F61" s="142"/>
      <c r="G61" s="149" t="s">
        <v>182</v>
      </c>
      <c r="H61" s="142"/>
      <c r="I61" s="144">
        <v>500</v>
      </c>
      <c r="J61" s="145">
        <v>1990</v>
      </c>
      <c r="K61" s="142"/>
    </row>
    <row r="62" spans="1:11" ht="13.95" hidden="1" customHeight="1" outlineLevel="1" x14ac:dyDescent="0.3">
      <c r="A62" s="146" t="s">
        <v>183</v>
      </c>
      <c r="B62" s="140" t="s">
        <v>184</v>
      </c>
      <c r="C62" s="141" t="s">
        <v>54</v>
      </c>
      <c r="D62" s="141" t="s">
        <v>15</v>
      </c>
      <c r="E62" s="142"/>
      <c r="F62" s="142"/>
      <c r="G62" s="151" t="s">
        <v>185</v>
      </c>
      <c r="H62" s="142"/>
      <c r="I62" s="144">
        <v>500</v>
      </c>
      <c r="J62" s="145">
        <v>1805</v>
      </c>
      <c r="K62" s="142"/>
    </row>
    <row r="63" spans="1:11" ht="13.95" hidden="1" customHeight="1" outlineLevel="1" x14ac:dyDescent="0.3">
      <c r="A63" s="146" t="s">
        <v>186</v>
      </c>
      <c r="B63" s="140" t="s">
        <v>187</v>
      </c>
      <c r="C63" s="141" t="s">
        <v>54</v>
      </c>
      <c r="D63" s="141" t="s">
        <v>15</v>
      </c>
      <c r="E63" s="142"/>
      <c r="F63" s="142"/>
      <c r="G63" s="151" t="s">
        <v>185</v>
      </c>
      <c r="H63" s="142"/>
      <c r="I63" s="144">
        <v>500</v>
      </c>
      <c r="J63" s="145">
        <v>1805</v>
      </c>
      <c r="K63" s="142"/>
    </row>
    <row r="64" spans="1:11" ht="13.95" hidden="1" customHeight="1" outlineLevel="1" x14ac:dyDescent="0.3">
      <c r="A64" s="146" t="s">
        <v>188</v>
      </c>
      <c r="B64" s="140" t="s">
        <v>189</v>
      </c>
      <c r="C64" s="141" t="s">
        <v>54</v>
      </c>
      <c r="D64" s="141" t="s">
        <v>15</v>
      </c>
      <c r="E64" s="142"/>
      <c r="F64" s="142"/>
      <c r="G64" s="151" t="s">
        <v>185</v>
      </c>
      <c r="H64" s="142"/>
      <c r="I64" s="144">
        <v>500</v>
      </c>
      <c r="J64" s="145">
        <v>1805</v>
      </c>
      <c r="K64" s="142"/>
    </row>
    <row r="65" spans="1:11" ht="13.95" hidden="1" customHeight="1" outlineLevel="1" x14ac:dyDescent="0.3">
      <c r="A65" s="146" t="s">
        <v>190</v>
      </c>
      <c r="B65" s="140" t="s">
        <v>191</v>
      </c>
      <c r="C65" s="141" t="s">
        <v>54</v>
      </c>
      <c r="D65" s="141" t="s">
        <v>15</v>
      </c>
      <c r="E65" s="142"/>
      <c r="F65" s="142"/>
      <c r="G65" s="151" t="s">
        <v>185</v>
      </c>
      <c r="H65" s="142"/>
      <c r="I65" s="144">
        <v>500</v>
      </c>
      <c r="J65" s="145">
        <v>1805</v>
      </c>
      <c r="K65" s="142"/>
    </row>
    <row r="66" spans="1:11" ht="13.95" hidden="1" customHeight="1" outlineLevel="1" x14ac:dyDescent="0.3">
      <c r="A66" s="146" t="s">
        <v>192</v>
      </c>
      <c r="B66" s="140" t="s">
        <v>193</v>
      </c>
      <c r="C66" s="141" t="s">
        <v>54</v>
      </c>
      <c r="D66" s="141" t="s">
        <v>15</v>
      </c>
      <c r="E66" s="142"/>
      <c r="F66" s="142"/>
      <c r="G66" s="151" t="s">
        <v>185</v>
      </c>
      <c r="H66" s="142"/>
      <c r="I66" s="144">
        <v>500</v>
      </c>
      <c r="J66" s="145">
        <v>1805</v>
      </c>
      <c r="K66" s="142"/>
    </row>
    <row r="67" spans="1:11" ht="16.05" customHeight="1" collapsed="1" x14ac:dyDescent="0.3">
      <c r="A67" s="48" t="s">
        <v>194</v>
      </c>
      <c r="B67" s="71" t="s">
        <v>195</v>
      </c>
      <c r="C67" s="57" t="s">
        <v>196</v>
      </c>
      <c r="D67" s="57" t="s">
        <v>197</v>
      </c>
      <c r="E67" s="136" t="s">
        <v>198</v>
      </c>
      <c r="F67" s="71">
        <v>50</v>
      </c>
      <c r="G67" s="57">
        <v>16</v>
      </c>
      <c r="H67" s="76">
        <v>12</v>
      </c>
      <c r="I67" s="58">
        <v>7329</v>
      </c>
      <c r="J67" s="137">
        <v>61655</v>
      </c>
      <c r="K67" s="138" t="s">
        <v>17</v>
      </c>
    </row>
    <row r="68" spans="1:11" ht="13.95" hidden="1" customHeight="1" outlineLevel="1" x14ac:dyDescent="0.3">
      <c r="A68" s="139" t="s">
        <v>199</v>
      </c>
      <c r="B68" s="140" t="s">
        <v>200</v>
      </c>
      <c r="C68" s="141" t="s">
        <v>196</v>
      </c>
      <c r="D68" s="141" t="s">
        <v>197</v>
      </c>
      <c r="E68" s="142"/>
      <c r="F68" s="142"/>
      <c r="G68" s="143" t="s">
        <v>201</v>
      </c>
      <c r="H68" s="142"/>
      <c r="I68" s="144">
        <v>100</v>
      </c>
      <c r="J68" s="145">
        <v>330</v>
      </c>
      <c r="K68" s="142"/>
    </row>
    <row r="69" spans="1:11" ht="13.95" hidden="1" customHeight="1" outlineLevel="1" x14ac:dyDescent="0.3">
      <c r="A69" s="139" t="s">
        <v>202</v>
      </c>
      <c r="B69" s="140" t="s">
        <v>203</v>
      </c>
      <c r="C69" s="141" t="s">
        <v>196</v>
      </c>
      <c r="D69" s="141" t="s">
        <v>197</v>
      </c>
      <c r="E69" s="142"/>
      <c r="F69" s="142"/>
      <c r="G69" s="143" t="s">
        <v>204</v>
      </c>
      <c r="H69" s="142"/>
      <c r="I69" s="144">
        <v>156</v>
      </c>
      <c r="J69" s="145">
        <v>366.6</v>
      </c>
      <c r="K69" s="142"/>
    </row>
    <row r="70" spans="1:11" ht="13.95" hidden="1" customHeight="1" outlineLevel="1" x14ac:dyDescent="0.3">
      <c r="A70" s="139" t="s">
        <v>205</v>
      </c>
      <c r="B70" s="140" t="s">
        <v>206</v>
      </c>
      <c r="C70" s="141" t="s">
        <v>196</v>
      </c>
      <c r="D70" s="141" t="s">
        <v>197</v>
      </c>
      <c r="E70" s="142"/>
      <c r="F70" s="142"/>
      <c r="G70" s="143" t="s">
        <v>207</v>
      </c>
      <c r="H70" s="142"/>
      <c r="I70" s="144">
        <v>200</v>
      </c>
      <c r="J70" s="145">
        <v>600</v>
      </c>
      <c r="K70" s="142"/>
    </row>
    <row r="71" spans="1:11" ht="13.95" hidden="1" customHeight="1" outlineLevel="1" x14ac:dyDescent="0.3">
      <c r="A71" s="139" t="s">
        <v>208</v>
      </c>
      <c r="B71" s="140" t="s">
        <v>209</v>
      </c>
      <c r="C71" s="141" t="s">
        <v>196</v>
      </c>
      <c r="D71" s="141" t="s">
        <v>197</v>
      </c>
      <c r="E71" s="142"/>
      <c r="F71" s="142"/>
      <c r="G71" s="143" t="s">
        <v>20</v>
      </c>
      <c r="H71" s="142"/>
      <c r="I71" s="144">
        <v>301</v>
      </c>
      <c r="J71" s="145">
        <v>421.4</v>
      </c>
      <c r="K71" s="142"/>
    </row>
    <row r="72" spans="1:11" ht="13.95" hidden="1" customHeight="1" outlineLevel="1" x14ac:dyDescent="0.3">
      <c r="A72" s="139" t="s">
        <v>210</v>
      </c>
      <c r="B72" s="140" t="s">
        <v>211</v>
      </c>
      <c r="C72" s="141" t="s">
        <v>196</v>
      </c>
      <c r="D72" s="141" t="s">
        <v>197</v>
      </c>
      <c r="E72" s="142"/>
      <c r="F72" s="142"/>
      <c r="G72" s="143" t="s">
        <v>212</v>
      </c>
      <c r="H72" s="142"/>
      <c r="I72" s="144">
        <v>204</v>
      </c>
      <c r="J72" s="145">
        <v>2805</v>
      </c>
      <c r="K72" s="142"/>
    </row>
    <row r="73" spans="1:11" ht="13.95" hidden="1" customHeight="1" outlineLevel="1" x14ac:dyDescent="0.3">
      <c r="A73" s="139" t="s">
        <v>213</v>
      </c>
      <c r="B73" s="140" t="s">
        <v>214</v>
      </c>
      <c r="C73" s="141" t="s">
        <v>196</v>
      </c>
      <c r="D73" s="141" t="s">
        <v>197</v>
      </c>
      <c r="E73" s="142"/>
      <c r="F73" s="142"/>
      <c r="G73" s="143" t="s">
        <v>215</v>
      </c>
      <c r="H73" s="142"/>
      <c r="I73" s="144">
        <v>150</v>
      </c>
      <c r="J73" s="145">
        <v>3105</v>
      </c>
      <c r="K73" s="142"/>
    </row>
    <row r="74" spans="1:11" ht="13.95" hidden="1" customHeight="1" outlineLevel="1" x14ac:dyDescent="0.3">
      <c r="A74" s="139" t="s">
        <v>216</v>
      </c>
      <c r="B74" s="140" t="s">
        <v>217</v>
      </c>
      <c r="C74" s="141" t="s">
        <v>196</v>
      </c>
      <c r="D74" s="141" t="s">
        <v>197</v>
      </c>
      <c r="E74" s="142"/>
      <c r="F74" s="142"/>
      <c r="G74" s="143" t="s">
        <v>218</v>
      </c>
      <c r="H74" s="142"/>
      <c r="I74" s="144">
        <v>86</v>
      </c>
      <c r="J74" s="145">
        <v>559</v>
      </c>
      <c r="K74" s="142"/>
    </row>
    <row r="75" spans="1:11" ht="13.95" hidden="1" customHeight="1" outlineLevel="1" x14ac:dyDescent="0.3">
      <c r="A75" s="139" t="s">
        <v>219</v>
      </c>
      <c r="B75" s="140" t="s">
        <v>220</v>
      </c>
      <c r="C75" s="141" t="s">
        <v>196</v>
      </c>
      <c r="D75" s="141" t="s">
        <v>197</v>
      </c>
      <c r="E75" s="142"/>
      <c r="F75" s="142"/>
      <c r="G75" s="143" t="s">
        <v>20</v>
      </c>
      <c r="H75" s="142"/>
      <c r="I75" s="144">
        <v>50</v>
      </c>
      <c r="J75" s="145">
        <v>397.5</v>
      </c>
      <c r="K75" s="142"/>
    </row>
    <row r="76" spans="1:11" ht="13.95" hidden="1" customHeight="1" outlineLevel="1" x14ac:dyDescent="0.3">
      <c r="A76" s="139" t="s">
        <v>221</v>
      </c>
      <c r="B76" s="140" t="s">
        <v>222</v>
      </c>
      <c r="C76" s="141" t="s">
        <v>196</v>
      </c>
      <c r="D76" s="141" t="s">
        <v>197</v>
      </c>
      <c r="E76" s="142"/>
      <c r="F76" s="142"/>
      <c r="G76" s="143" t="s">
        <v>20</v>
      </c>
      <c r="H76" s="142"/>
      <c r="I76" s="144">
        <v>50</v>
      </c>
      <c r="J76" s="145">
        <v>397.5</v>
      </c>
      <c r="K76" s="142"/>
    </row>
    <row r="77" spans="1:11" ht="13.95" hidden="1" customHeight="1" outlineLevel="1" x14ac:dyDescent="0.3">
      <c r="A77" s="139" t="s">
        <v>223</v>
      </c>
      <c r="B77" s="140" t="s">
        <v>224</v>
      </c>
      <c r="C77" s="141" t="s">
        <v>196</v>
      </c>
      <c r="D77" s="141" t="s">
        <v>197</v>
      </c>
      <c r="E77" s="142"/>
      <c r="F77" s="142"/>
      <c r="G77" s="143" t="s">
        <v>225</v>
      </c>
      <c r="H77" s="142"/>
      <c r="I77" s="144">
        <v>111</v>
      </c>
      <c r="J77" s="145">
        <v>1320.9</v>
      </c>
      <c r="K77" s="142"/>
    </row>
    <row r="78" spans="1:11" ht="13.95" hidden="1" customHeight="1" outlineLevel="1" x14ac:dyDescent="0.3">
      <c r="A78" s="139" t="s">
        <v>226</v>
      </c>
      <c r="B78" s="140" t="s">
        <v>227</v>
      </c>
      <c r="C78" s="141" t="s">
        <v>196</v>
      </c>
      <c r="D78" s="141" t="s">
        <v>197</v>
      </c>
      <c r="E78" s="142"/>
      <c r="F78" s="142"/>
      <c r="G78" s="143" t="s">
        <v>228</v>
      </c>
      <c r="H78" s="142"/>
      <c r="I78" s="144">
        <v>92</v>
      </c>
      <c r="J78" s="145">
        <v>446.2</v>
      </c>
      <c r="K78" s="142"/>
    </row>
    <row r="79" spans="1:11" ht="13.95" hidden="1" customHeight="1" outlineLevel="1" x14ac:dyDescent="0.3">
      <c r="A79" s="139" t="s">
        <v>229</v>
      </c>
      <c r="B79" s="140" t="s">
        <v>230</v>
      </c>
      <c r="C79" s="141" t="s">
        <v>196</v>
      </c>
      <c r="D79" s="141" t="s">
        <v>197</v>
      </c>
      <c r="E79" s="142"/>
      <c r="F79" s="142"/>
      <c r="G79" s="143" t="s">
        <v>20</v>
      </c>
      <c r="H79" s="142"/>
      <c r="I79" s="144">
        <v>200</v>
      </c>
      <c r="J79" s="145">
        <v>1010</v>
      </c>
      <c r="K79" s="142"/>
    </row>
    <row r="80" spans="1:11" ht="13.95" hidden="1" customHeight="1" outlineLevel="1" x14ac:dyDescent="0.3">
      <c r="A80" s="139" t="s">
        <v>231</v>
      </c>
      <c r="B80" s="140" t="s">
        <v>232</v>
      </c>
      <c r="C80" s="141" t="s">
        <v>196</v>
      </c>
      <c r="D80" s="141" t="s">
        <v>197</v>
      </c>
      <c r="E80" s="142"/>
      <c r="F80" s="142"/>
      <c r="G80" s="143" t="s">
        <v>20</v>
      </c>
      <c r="H80" s="142"/>
      <c r="I80" s="144">
        <v>200</v>
      </c>
      <c r="J80" s="145">
        <v>890</v>
      </c>
      <c r="K80" s="142"/>
    </row>
    <row r="81" spans="1:11" ht="13.95" hidden="1" customHeight="1" outlineLevel="1" x14ac:dyDescent="0.3">
      <c r="A81" s="139" t="s">
        <v>233</v>
      </c>
      <c r="B81" s="140" t="s">
        <v>234</v>
      </c>
      <c r="C81" s="141" t="s">
        <v>196</v>
      </c>
      <c r="D81" s="141" t="s">
        <v>197</v>
      </c>
      <c r="E81" s="142"/>
      <c r="F81" s="142"/>
      <c r="G81" s="143" t="s">
        <v>235</v>
      </c>
      <c r="H81" s="142"/>
      <c r="I81" s="144">
        <v>300</v>
      </c>
      <c r="J81" s="145">
        <v>2640</v>
      </c>
      <c r="K81" s="142"/>
    </row>
    <row r="82" spans="1:11" ht="13.95" hidden="1" customHeight="1" outlineLevel="1" x14ac:dyDescent="0.3">
      <c r="A82" s="139" t="s">
        <v>236</v>
      </c>
      <c r="B82" s="140" t="s">
        <v>237</v>
      </c>
      <c r="C82" s="141" t="s">
        <v>196</v>
      </c>
      <c r="D82" s="141" t="s">
        <v>197</v>
      </c>
      <c r="E82" s="142"/>
      <c r="F82" s="142"/>
      <c r="G82" s="143" t="s">
        <v>159</v>
      </c>
      <c r="H82" s="142"/>
      <c r="I82" s="144">
        <v>150</v>
      </c>
      <c r="J82" s="145">
        <v>1725</v>
      </c>
      <c r="K82" s="142"/>
    </row>
    <row r="83" spans="1:11" ht="13.95" hidden="1" customHeight="1" outlineLevel="1" x14ac:dyDescent="0.3">
      <c r="A83" s="139" t="s">
        <v>238</v>
      </c>
      <c r="B83" s="140" t="s">
        <v>239</v>
      </c>
      <c r="C83" s="141" t="s">
        <v>196</v>
      </c>
      <c r="D83" s="141" t="s">
        <v>197</v>
      </c>
      <c r="E83" s="142"/>
      <c r="F83" s="142"/>
      <c r="G83" s="143" t="s">
        <v>240</v>
      </c>
      <c r="H83" s="142"/>
      <c r="I83" s="144">
        <v>200</v>
      </c>
      <c r="J83" s="145">
        <v>919.99999999999989</v>
      </c>
      <c r="K83" s="142"/>
    </row>
    <row r="84" spans="1:11" ht="13.95" hidden="1" customHeight="1" outlineLevel="1" x14ac:dyDescent="0.3">
      <c r="A84" s="146" t="s">
        <v>241</v>
      </c>
      <c r="B84" s="140" t="s">
        <v>242</v>
      </c>
      <c r="C84" s="141" t="s">
        <v>196</v>
      </c>
      <c r="D84" s="141" t="s">
        <v>197</v>
      </c>
      <c r="E84" s="142"/>
      <c r="F84" s="142"/>
      <c r="G84" s="147" t="s">
        <v>173</v>
      </c>
      <c r="H84" s="142"/>
      <c r="I84" s="144">
        <v>100</v>
      </c>
      <c r="J84" s="145">
        <v>330</v>
      </c>
      <c r="K84" s="142"/>
    </row>
    <row r="85" spans="1:11" ht="13.95" hidden="1" customHeight="1" outlineLevel="1" x14ac:dyDescent="0.3">
      <c r="A85" s="146" t="s">
        <v>243</v>
      </c>
      <c r="B85" s="140" t="s">
        <v>244</v>
      </c>
      <c r="C85" s="141" t="s">
        <v>196</v>
      </c>
      <c r="D85" s="141" t="s">
        <v>197</v>
      </c>
      <c r="E85" s="142"/>
      <c r="F85" s="142"/>
      <c r="G85" s="147" t="s">
        <v>245</v>
      </c>
      <c r="H85" s="142"/>
      <c r="I85" s="144">
        <v>144</v>
      </c>
      <c r="J85" s="145">
        <v>280.8</v>
      </c>
      <c r="K85" s="142"/>
    </row>
    <row r="86" spans="1:11" ht="13.95" hidden="1" customHeight="1" outlineLevel="1" x14ac:dyDescent="0.3">
      <c r="A86" s="146" t="s">
        <v>246</v>
      </c>
      <c r="B86" s="140" t="s">
        <v>247</v>
      </c>
      <c r="C86" s="141" t="s">
        <v>196</v>
      </c>
      <c r="D86" s="141" t="s">
        <v>197</v>
      </c>
      <c r="E86" s="142"/>
      <c r="F86" s="142"/>
      <c r="G86" s="147" t="s">
        <v>248</v>
      </c>
      <c r="H86" s="142"/>
      <c r="I86" s="144">
        <v>150</v>
      </c>
      <c r="J86" s="145">
        <v>1605</v>
      </c>
      <c r="K86" s="142"/>
    </row>
    <row r="87" spans="1:11" ht="13.95" hidden="1" customHeight="1" outlineLevel="1" x14ac:dyDescent="0.3">
      <c r="A87" s="146" t="s">
        <v>249</v>
      </c>
      <c r="B87" s="140" t="s">
        <v>250</v>
      </c>
      <c r="C87" s="141" t="s">
        <v>196</v>
      </c>
      <c r="D87" s="141" t="s">
        <v>197</v>
      </c>
      <c r="E87" s="142"/>
      <c r="F87" s="142"/>
      <c r="G87" s="147" t="s">
        <v>251</v>
      </c>
      <c r="H87" s="142"/>
      <c r="I87" s="144">
        <v>169</v>
      </c>
      <c r="J87" s="145">
        <v>490.1</v>
      </c>
      <c r="K87" s="142"/>
    </row>
    <row r="88" spans="1:11" ht="13.95" hidden="1" customHeight="1" outlineLevel="1" x14ac:dyDescent="0.3">
      <c r="A88" s="146" t="s">
        <v>252</v>
      </c>
      <c r="B88" s="140" t="s">
        <v>253</v>
      </c>
      <c r="C88" s="141" t="s">
        <v>196</v>
      </c>
      <c r="D88" s="141" t="s">
        <v>197</v>
      </c>
      <c r="E88" s="142"/>
      <c r="F88" s="142"/>
      <c r="G88" s="147" t="s">
        <v>254</v>
      </c>
      <c r="H88" s="142"/>
      <c r="I88" s="144">
        <v>97</v>
      </c>
      <c r="J88" s="145">
        <v>339.5</v>
      </c>
      <c r="K88" s="142"/>
    </row>
    <row r="89" spans="1:11" ht="13.95" hidden="1" customHeight="1" outlineLevel="1" x14ac:dyDescent="0.3">
      <c r="A89" s="146" t="s">
        <v>255</v>
      </c>
      <c r="B89" s="140" t="s">
        <v>256</v>
      </c>
      <c r="C89" s="141" t="s">
        <v>196</v>
      </c>
      <c r="D89" s="141" t="s">
        <v>197</v>
      </c>
      <c r="E89" s="142"/>
      <c r="F89" s="142"/>
      <c r="G89" s="147" t="s">
        <v>257</v>
      </c>
      <c r="H89" s="142"/>
      <c r="I89" s="144">
        <v>200</v>
      </c>
      <c r="J89" s="145">
        <v>640</v>
      </c>
      <c r="K89" s="142"/>
    </row>
    <row r="90" spans="1:11" ht="13.95" hidden="1" customHeight="1" outlineLevel="1" x14ac:dyDescent="0.3">
      <c r="A90" s="146" t="s">
        <v>258</v>
      </c>
      <c r="B90" s="140" t="s">
        <v>259</v>
      </c>
      <c r="C90" s="141" t="s">
        <v>196</v>
      </c>
      <c r="D90" s="141" t="s">
        <v>197</v>
      </c>
      <c r="E90" s="142"/>
      <c r="F90" s="142"/>
      <c r="G90" s="147" t="s">
        <v>260</v>
      </c>
      <c r="H90" s="142"/>
      <c r="I90" s="144">
        <v>151</v>
      </c>
      <c r="J90" s="145">
        <v>566.25</v>
      </c>
      <c r="K90" s="142"/>
    </row>
    <row r="91" spans="1:11" ht="13.95" hidden="1" customHeight="1" outlineLevel="1" x14ac:dyDescent="0.3">
      <c r="A91" s="146" t="s">
        <v>261</v>
      </c>
      <c r="B91" s="140" t="s">
        <v>262</v>
      </c>
      <c r="C91" s="141" t="s">
        <v>196</v>
      </c>
      <c r="D91" s="141" t="s">
        <v>197</v>
      </c>
      <c r="E91" s="142"/>
      <c r="F91" s="142"/>
      <c r="G91" s="147" t="s">
        <v>263</v>
      </c>
      <c r="H91" s="142"/>
      <c r="I91" s="144">
        <v>100</v>
      </c>
      <c r="J91" s="145">
        <v>3350</v>
      </c>
      <c r="K91" s="142"/>
    </row>
    <row r="92" spans="1:11" ht="13.95" hidden="1" customHeight="1" outlineLevel="1" x14ac:dyDescent="0.3">
      <c r="A92" s="146" t="s">
        <v>264</v>
      </c>
      <c r="B92" s="140" t="s">
        <v>265</v>
      </c>
      <c r="C92" s="141" t="s">
        <v>196</v>
      </c>
      <c r="D92" s="141" t="s">
        <v>197</v>
      </c>
      <c r="E92" s="142"/>
      <c r="F92" s="142"/>
      <c r="G92" s="147" t="s">
        <v>266</v>
      </c>
      <c r="H92" s="142"/>
      <c r="I92" s="144">
        <v>204</v>
      </c>
      <c r="J92" s="145">
        <v>1295.4000000000001</v>
      </c>
      <c r="K92" s="142"/>
    </row>
    <row r="93" spans="1:11" ht="13.95" hidden="1" customHeight="1" outlineLevel="1" x14ac:dyDescent="0.3">
      <c r="A93" s="146" t="s">
        <v>267</v>
      </c>
      <c r="B93" s="140" t="s">
        <v>268</v>
      </c>
      <c r="C93" s="141" t="s">
        <v>196</v>
      </c>
      <c r="D93" s="141" t="s">
        <v>197</v>
      </c>
      <c r="E93" s="142"/>
      <c r="F93" s="142"/>
      <c r="G93" s="147" t="s">
        <v>269</v>
      </c>
      <c r="H93" s="142"/>
      <c r="I93" s="144">
        <v>300</v>
      </c>
      <c r="J93" s="145">
        <v>1290</v>
      </c>
      <c r="K93" s="142"/>
    </row>
    <row r="94" spans="1:11" ht="13.95" hidden="1" customHeight="1" outlineLevel="1" x14ac:dyDescent="0.3">
      <c r="A94" s="146" t="s">
        <v>270</v>
      </c>
      <c r="B94" s="140" t="s">
        <v>271</v>
      </c>
      <c r="C94" s="141" t="s">
        <v>196</v>
      </c>
      <c r="D94" s="141" t="s">
        <v>197</v>
      </c>
      <c r="E94" s="142"/>
      <c r="F94" s="142"/>
      <c r="G94" s="147" t="s">
        <v>272</v>
      </c>
      <c r="H94" s="142"/>
      <c r="I94" s="144">
        <v>200</v>
      </c>
      <c r="J94" s="145">
        <v>5990</v>
      </c>
      <c r="K94" s="142"/>
    </row>
    <row r="95" spans="1:11" ht="13.95" hidden="1" customHeight="1" outlineLevel="1" x14ac:dyDescent="0.3">
      <c r="A95" s="146" t="s">
        <v>273</v>
      </c>
      <c r="B95" s="140" t="s">
        <v>274</v>
      </c>
      <c r="C95" s="141" t="s">
        <v>196</v>
      </c>
      <c r="D95" s="141" t="s">
        <v>197</v>
      </c>
      <c r="E95" s="142"/>
      <c r="F95" s="142"/>
      <c r="G95" s="147" t="s">
        <v>76</v>
      </c>
      <c r="H95" s="142"/>
      <c r="I95" s="144">
        <v>75</v>
      </c>
      <c r="J95" s="145">
        <v>420</v>
      </c>
      <c r="K95" s="142"/>
    </row>
    <row r="96" spans="1:11" ht="13.95" hidden="1" customHeight="1" outlineLevel="1" x14ac:dyDescent="0.3">
      <c r="A96" s="146" t="s">
        <v>143</v>
      </c>
      <c r="B96" s="140" t="s">
        <v>144</v>
      </c>
      <c r="C96" s="141" t="s">
        <v>196</v>
      </c>
      <c r="D96" s="141" t="s">
        <v>197</v>
      </c>
      <c r="E96" s="142"/>
      <c r="F96" s="142"/>
      <c r="G96" s="150" t="s">
        <v>275</v>
      </c>
      <c r="H96" s="142"/>
      <c r="I96" s="144">
        <v>60</v>
      </c>
      <c r="J96" s="145">
        <v>183</v>
      </c>
      <c r="K96" s="142"/>
    </row>
    <row r="97" spans="1:11" ht="13.95" hidden="1" customHeight="1" outlineLevel="1" x14ac:dyDescent="0.3">
      <c r="A97" s="146" t="s">
        <v>134</v>
      </c>
      <c r="B97" s="140" t="s">
        <v>135</v>
      </c>
      <c r="C97" s="141" t="s">
        <v>196</v>
      </c>
      <c r="D97" s="141" t="s">
        <v>197</v>
      </c>
      <c r="E97" s="142"/>
      <c r="F97" s="142"/>
      <c r="G97" s="150" t="s">
        <v>276</v>
      </c>
      <c r="H97" s="142"/>
      <c r="I97" s="144">
        <v>30</v>
      </c>
      <c r="J97" s="145">
        <v>91.500000000000014</v>
      </c>
      <c r="K97" s="142"/>
    </row>
    <row r="98" spans="1:11" ht="13.95" hidden="1" customHeight="1" outlineLevel="1" x14ac:dyDescent="0.3">
      <c r="A98" s="146" t="s">
        <v>277</v>
      </c>
      <c r="B98" s="140" t="s">
        <v>278</v>
      </c>
      <c r="C98" s="141" t="s">
        <v>196</v>
      </c>
      <c r="D98" s="141" t="s">
        <v>197</v>
      </c>
      <c r="E98" s="142"/>
      <c r="F98" s="142"/>
      <c r="G98" s="150" t="s">
        <v>279</v>
      </c>
      <c r="H98" s="142"/>
      <c r="I98" s="144">
        <v>100</v>
      </c>
      <c r="J98" s="145">
        <v>330</v>
      </c>
      <c r="K98" s="142"/>
    </row>
    <row r="99" spans="1:11" ht="13.95" hidden="1" customHeight="1" outlineLevel="1" x14ac:dyDescent="0.3">
      <c r="A99" s="146" t="s">
        <v>280</v>
      </c>
      <c r="B99" s="140" t="s">
        <v>281</v>
      </c>
      <c r="C99" s="141" t="s">
        <v>196</v>
      </c>
      <c r="D99" s="141" t="s">
        <v>197</v>
      </c>
      <c r="E99" s="142"/>
      <c r="F99" s="142"/>
      <c r="G99" s="149" t="s">
        <v>282</v>
      </c>
      <c r="H99" s="142"/>
      <c r="I99" s="144">
        <v>601</v>
      </c>
      <c r="J99" s="145">
        <v>3125.2</v>
      </c>
      <c r="K99" s="142"/>
    </row>
    <row r="100" spans="1:11" ht="13.95" hidden="1" customHeight="1" outlineLevel="1" x14ac:dyDescent="0.3">
      <c r="A100" s="146" t="s">
        <v>283</v>
      </c>
      <c r="B100" s="140" t="s">
        <v>284</v>
      </c>
      <c r="C100" s="141" t="s">
        <v>196</v>
      </c>
      <c r="D100" s="141" t="s">
        <v>197</v>
      </c>
      <c r="E100" s="142"/>
      <c r="F100" s="142"/>
      <c r="G100" s="149" t="s">
        <v>285</v>
      </c>
      <c r="H100" s="142"/>
      <c r="I100" s="144">
        <v>150</v>
      </c>
      <c r="J100" s="145">
        <v>262.5</v>
      </c>
      <c r="K100" s="142"/>
    </row>
    <row r="101" spans="1:11" ht="13.95" hidden="1" customHeight="1" outlineLevel="1" x14ac:dyDescent="0.3">
      <c r="A101" s="146" t="s">
        <v>286</v>
      </c>
      <c r="B101" s="140" t="s">
        <v>287</v>
      </c>
      <c r="C101" s="141" t="s">
        <v>196</v>
      </c>
      <c r="D101" s="141" t="s">
        <v>197</v>
      </c>
      <c r="E101" s="142"/>
      <c r="F101" s="142"/>
      <c r="G101" s="150" t="s">
        <v>288</v>
      </c>
      <c r="H101" s="142"/>
      <c r="I101" s="144">
        <v>110</v>
      </c>
      <c r="J101" s="145">
        <v>374</v>
      </c>
      <c r="K101" s="142"/>
    </row>
    <row r="102" spans="1:11" ht="13.95" hidden="1" customHeight="1" outlineLevel="1" x14ac:dyDescent="0.3">
      <c r="A102" s="146" t="s">
        <v>289</v>
      </c>
      <c r="B102" s="140" t="s">
        <v>290</v>
      </c>
      <c r="C102" s="141" t="s">
        <v>196</v>
      </c>
      <c r="D102" s="141" t="s">
        <v>197</v>
      </c>
      <c r="E102" s="142"/>
      <c r="F102" s="142"/>
      <c r="G102" s="149" t="s">
        <v>291</v>
      </c>
      <c r="H102" s="142"/>
      <c r="I102" s="144">
        <v>100</v>
      </c>
      <c r="J102" s="145">
        <v>1070</v>
      </c>
      <c r="K102" s="142"/>
    </row>
    <row r="103" spans="1:11" ht="13.95" hidden="1" customHeight="1" outlineLevel="1" x14ac:dyDescent="0.3">
      <c r="A103" s="146" t="s">
        <v>292</v>
      </c>
      <c r="B103" s="140" t="s">
        <v>293</v>
      </c>
      <c r="C103" s="141" t="s">
        <v>196</v>
      </c>
      <c r="D103" s="141" t="s">
        <v>197</v>
      </c>
      <c r="E103" s="142"/>
      <c r="F103" s="142"/>
      <c r="G103" s="149" t="s">
        <v>294</v>
      </c>
      <c r="H103" s="142"/>
      <c r="I103" s="144">
        <v>241</v>
      </c>
      <c r="J103" s="145">
        <v>795.3</v>
      </c>
      <c r="K103" s="142"/>
    </row>
    <row r="104" spans="1:11" ht="13.95" hidden="1" customHeight="1" outlineLevel="1" x14ac:dyDescent="0.3">
      <c r="A104" s="146" t="s">
        <v>295</v>
      </c>
      <c r="B104" s="140" t="s">
        <v>296</v>
      </c>
      <c r="C104" s="141" t="s">
        <v>196</v>
      </c>
      <c r="D104" s="141" t="s">
        <v>197</v>
      </c>
      <c r="E104" s="142"/>
      <c r="F104" s="142"/>
      <c r="G104" s="149" t="s">
        <v>297</v>
      </c>
      <c r="H104" s="142"/>
      <c r="I104" s="144">
        <v>101</v>
      </c>
      <c r="J104" s="145">
        <v>792.85</v>
      </c>
      <c r="K104" s="142"/>
    </row>
    <row r="105" spans="1:11" ht="13.95" hidden="1" customHeight="1" outlineLevel="1" x14ac:dyDescent="0.3">
      <c r="A105" s="146" t="s">
        <v>298</v>
      </c>
      <c r="B105" s="140" t="s">
        <v>299</v>
      </c>
      <c r="C105" s="141" t="s">
        <v>196</v>
      </c>
      <c r="D105" s="141" t="s">
        <v>197</v>
      </c>
      <c r="E105" s="142"/>
      <c r="F105" s="142"/>
      <c r="G105" s="149" t="s">
        <v>300</v>
      </c>
      <c r="H105" s="142"/>
      <c r="I105" s="144">
        <v>100</v>
      </c>
      <c r="J105" s="145">
        <v>220</v>
      </c>
      <c r="K105" s="142"/>
    </row>
    <row r="106" spans="1:11" ht="13.95" hidden="1" customHeight="1" outlineLevel="1" x14ac:dyDescent="0.3">
      <c r="A106" s="146" t="s">
        <v>301</v>
      </c>
      <c r="B106" s="140" t="s">
        <v>302</v>
      </c>
      <c r="C106" s="141" t="s">
        <v>196</v>
      </c>
      <c r="D106" s="141" t="s">
        <v>197</v>
      </c>
      <c r="E106" s="142"/>
      <c r="F106" s="142"/>
      <c r="G106" s="149" t="s">
        <v>303</v>
      </c>
      <c r="H106" s="142"/>
      <c r="I106" s="144">
        <v>304</v>
      </c>
      <c r="J106" s="145">
        <v>881.6</v>
      </c>
      <c r="K106" s="142"/>
    </row>
    <row r="107" spans="1:11" ht="13.95" hidden="1" customHeight="1" outlineLevel="1" x14ac:dyDescent="0.3">
      <c r="A107" s="146" t="s">
        <v>304</v>
      </c>
      <c r="B107" s="140" t="s">
        <v>305</v>
      </c>
      <c r="C107" s="141" t="s">
        <v>196</v>
      </c>
      <c r="D107" s="141" t="s">
        <v>197</v>
      </c>
      <c r="E107" s="142"/>
      <c r="F107" s="142"/>
      <c r="G107" s="148" t="s">
        <v>306</v>
      </c>
      <c r="H107" s="142"/>
      <c r="I107" s="144">
        <v>51</v>
      </c>
      <c r="J107" s="145">
        <v>1912.5</v>
      </c>
      <c r="K107" s="142"/>
    </row>
    <row r="108" spans="1:11" ht="13.95" hidden="1" customHeight="1" outlineLevel="1" x14ac:dyDescent="0.3">
      <c r="A108" s="146" t="s">
        <v>307</v>
      </c>
      <c r="B108" s="140" t="s">
        <v>308</v>
      </c>
      <c r="C108" s="141" t="s">
        <v>196</v>
      </c>
      <c r="D108" s="141" t="s">
        <v>197</v>
      </c>
      <c r="E108" s="142"/>
      <c r="F108" s="142"/>
      <c r="G108" s="149" t="s">
        <v>309</v>
      </c>
      <c r="H108" s="142"/>
      <c r="I108" s="144">
        <v>80</v>
      </c>
      <c r="J108" s="145">
        <v>216</v>
      </c>
      <c r="K108" s="142"/>
    </row>
    <row r="109" spans="1:11" ht="13.95" hidden="1" customHeight="1" outlineLevel="1" x14ac:dyDescent="0.3">
      <c r="A109" s="146" t="s">
        <v>310</v>
      </c>
      <c r="B109" s="140" t="s">
        <v>311</v>
      </c>
      <c r="C109" s="141" t="s">
        <v>196</v>
      </c>
      <c r="D109" s="141" t="s">
        <v>197</v>
      </c>
      <c r="E109" s="142"/>
      <c r="F109" s="142"/>
      <c r="G109" s="149" t="s">
        <v>112</v>
      </c>
      <c r="H109" s="142"/>
      <c r="I109" s="144">
        <v>104</v>
      </c>
      <c r="J109" s="145">
        <v>1508</v>
      </c>
      <c r="K109" s="142"/>
    </row>
    <row r="110" spans="1:11" ht="13.95" hidden="1" customHeight="1" outlineLevel="1" x14ac:dyDescent="0.3">
      <c r="A110" s="146" t="s">
        <v>312</v>
      </c>
      <c r="B110" s="140" t="s">
        <v>313</v>
      </c>
      <c r="C110" s="141" t="s">
        <v>196</v>
      </c>
      <c r="D110" s="141" t="s">
        <v>197</v>
      </c>
      <c r="E110" s="142"/>
      <c r="F110" s="142"/>
      <c r="G110" s="150" t="s">
        <v>314</v>
      </c>
      <c r="H110" s="142"/>
      <c r="I110" s="144">
        <v>56</v>
      </c>
      <c r="J110" s="145">
        <v>851.19999999999993</v>
      </c>
      <c r="K110" s="142"/>
    </row>
    <row r="111" spans="1:11" ht="13.95" hidden="1" customHeight="1" outlineLevel="1" x14ac:dyDescent="0.3">
      <c r="A111" s="146" t="s">
        <v>315</v>
      </c>
      <c r="B111" s="140" t="s">
        <v>316</v>
      </c>
      <c r="C111" s="141" t="s">
        <v>196</v>
      </c>
      <c r="D111" s="141" t="s">
        <v>197</v>
      </c>
      <c r="E111" s="142"/>
      <c r="F111" s="142"/>
      <c r="G111" s="149" t="s">
        <v>317</v>
      </c>
      <c r="H111" s="142"/>
      <c r="I111" s="144">
        <v>153</v>
      </c>
      <c r="J111" s="145">
        <v>3044.7</v>
      </c>
      <c r="K111" s="142"/>
    </row>
    <row r="112" spans="1:11" ht="13.95" hidden="1" customHeight="1" outlineLevel="1" x14ac:dyDescent="0.3">
      <c r="A112" s="146" t="s">
        <v>318</v>
      </c>
      <c r="B112" s="140" t="s">
        <v>319</v>
      </c>
      <c r="C112" s="141" t="s">
        <v>196</v>
      </c>
      <c r="D112" s="141" t="s">
        <v>197</v>
      </c>
      <c r="E112" s="142"/>
      <c r="F112" s="142"/>
      <c r="G112" s="149" t="s">
        <v>320</v>
      </c>
      <c r="H112" s="142"/>
      <c r="I112" s="144">
        <v>51</v>
      </c>
      <c r="J112" s="145">
        <v>234.6</v>
      </c>
      <c r="K112" s="142"/>
    </row>
    <row r="113" spans="1:11" ht="13.95" hidden="1" customHeight="1" outlineLevel="1" x14ac:dyDescent="0.3">
      <c r="A113" s="146" t="s">
        <v>321</v>
      </c>
      <c r="B113" s="140" t="s">
        <v>322</v>
      </c>
      <c r="C113" s="141" t="s">
        <v>196</v>
      </c>
      <c r="D113" s="141" t="s">
        <v>197</v>
      </c>
      <c r="E113" s="142"/>
      <c r="F113" s="142"/>
      <c r="G113" s="149" t="s">
        <v>323</v>
      </c>
      <c r="H113" s="142"/>
      <c r="I113" s="144">
        <v>100</v>
      </c>
      <c r="J113" s="145">
        <v>900</v>
      </c>
      <c r="K113" s="142"/>
    </row>
    <row r="114" spans="1:11" ht="13.95" hidden="1" customHeight="1" outlineLevel="1" x14ac:dyDescent="0.3">
      <c r="A114" s="146" t="s">
        <v>324</v>
      </c>
      <c r="B114" s="140" t="s">
        <v>325</v>
      </c>
      <c r="C114" s="141" t="s">
        <v>196</v>
      </c>
      <c r="D114" s="141" t="s">
        <v>197</v>
      </c>
      <c r="E114" s="142"/>
      <c r="F114" s="142"/>
      <c r="G114" s="149" t="s">
        <v>326</v>
      </c>
      <c r="H114" s="142"/>
      <c r="I114" s="144">
        <v>100</v>
      </c>
      <c r="J114" s="145">
        <v>2995</v>
      </c>
      <c r="K114" s="142"/>
    </row>
    <row r="115" spans="1:11" ht="13.95" hidden="1" customHeight="1" outlineLevel="1" x14ac:dyDescent="0.3">
      <c r="A115" s="146" t="s">
        <v>327</v>
      </c>
      <c r="B115" s="140" t="s">
        <v>328</v>
      </c>
      <c r="C115" s="141" t="s">
        <v>196</v>
      </c>
      <c r="D115" s="141" t="s">
        <v>197</v>
      </c>
      <c r="E115" s="142"/>
      <c r="F115" s="142"/>
      <c r="G115" s="152" t="s">
        <v>329</v>
      </c>
      <c r="H115" s="142"/>
      <c r="I115" s="144">
        <v>99</v>
      </c>
      <c r="J115" s="145">
        <v>2445.3000000000002</v>
      </c>
      <c r="K115" s="142"/>
    </row>
    <row r="116" spans="1:11" ht="13.95" hidden="1" customHeight="1" outlineLevel="1" x14ac:dyDescent="0.3">
      <c r="A116" s="146" t="s">
        <v>330</v>
      </c>
      <c r="B116" s="140" t="s">
        <v>331</v>
      </c>
      <c r="C116" s="141" t="s">
        <v>196</v>
      </c>
      <c r="D116" s="141" t="s">
        <v>197</v>
      </c>
      <c r="E116" s="142"/>
      <c r="F116" s="142"/>
      <c r="G116" s="152" t="s">
        <v>329</v>
      </c>
      <c r="H116" s="142"/>
      <c r="I116" s="144">
        <v>99</v>
      </c>
      <c r="J116" s="145">
        <v>2445.3000000000002</v>
      </c>
      <c r="K116" s="142"/>
    </row>
    <row r="117" spans="1:11" ht="13.95" hidden="1" customHeight="1" outlineLevel="1" x14ac:dyDescent="0.3">
      <c r="A117" s="146" t="s">
        <v>332</v>
      </c>
      <c r="B117" s="140" t="s">
        <v>333</v>
      </c>
      <c r="C117" s="141" t="s">
        <v>196</v>
      </c>
      <c r="D117" s="141" t="s">
        <v>197</v>
      </c>
      <c r="E117" s="142"/>
      <c r="F117" s="142"/>
      <c r="G117" s="152" t="s">
        <v>329</v>
      </c>
      <c r="H117" s="142"/>
      <c r="I117" s="144">
        <v>99</v>
      </c>
      <c r="J117" s="145">
        <v>2445.3000000000002</v>
      </c>
      <c r="K117" s="142"/>
    </row>
    <row r="118" spans="1:11" ht="16.05" customHeight="1" collapsed="1" x14ac:dyDescent="0.3">
      <c r="A118" s="61" t="s">
        <v>334</v>
      </c>
      <c r="B118" s="63" t="s">
        <v>335</v>
      </c>
      <c r="C118" s="57" t="s">
        <v>336</v>
      </c>
      <c r="D118" s="57" t="s">
        <v>197</v>
      </c>
      <c r="E118" s="153" t="s">
        <v>337</v>
      </c>
      <c r="F118" s="63">
        <v>33</v>
      </c>
      <c r="G118" s="57">
        <v>19</v>
      </c>
      <c r="H118" s="63">
        <v>0</v>
      </c>
      <c r="I118" s="64">
        <v>6976</v>
      </c>
      <c r="J118" s="154">
        <v>85750.86</v>
      </c>
      <c r="K118" s="138" t="s">
        <v>17</v>
      </c>
    </row>
    <row r="119" spans="1:11" ht="13.95" hidden="1" customHeight="1" outlineLevel="1" x14ac:dyDescent="0.3">
      <c r="A119" s="139" t="s">
        <v>338</v>
      </c>
      <c r="B119" s="140" t="s">
        <v>339</v>
      </c>
      <c r="C119" s="141" t="s">
        <v>336</v>
      </c>
      <c r="D119" s="141" t="s">
        <v>197</v>
      </c>
      <c r="E119" s="142"/>
      <c r="F119" s="142"/>
      <c r="G119" s="143" t="s">
        <v>20</v>
      </c>
      <c r="H119" s="142"/>
      <c r="I119" s="144">
        <v>196</v>
      </c>
      <c r="J119" s="145">
        <v>1340.64</v>
      </c>
      <c r="K119" s="142"/>
    </row>
    <row r="120" spans="1:11" ht="13.95" hidden="1" customHeight="1" outlineLevel="1" x14ac:dyDescent="0.3">
      <c r="A120" s="139" t="s">
        <v>340</v>
      </c>
      <c r="B120" s="140" t="s">
        <v>341</v>
      </c>
      <c r="C120" s="141" t="s">
        <v>336</v>
      </c>
      <c r="D120" s="141" t="s">
        <v>197</v>
      </c>
      <c r="E120" s="142"/>
      <c r="F120" s="142"/>
      <c r="G120" s="143" t="s">
        <v>20</v>
      </c>
      <c r="H120" s="142"/>
      <c r="I120" s="144">
        <v>198</v>
      </c>
      <c r="J120" s="145">
        <v>1290.96</v>
      </c>
      <c r="K120" s="142"/>
    </row>
    <row r="121" spans="1:11" ht="13.95" hidden="1" customHeight="1" outlineLevel="1" x14ac:dyDescent="0.3">
      <c r="A121" s="139" t="s">
        <v>226</v>
      </c>
      <c r="B121" s="140" t="s">
        <v>227</v>
      </c>
      <c r="C121" s="141" t="s">
        <v>336</v>
      </c>
      <c r="D121" s="141" t="s">
        <v>197</v>
      </c>
      <c r="E121" s="142"/>
      <c r="F121" s="142"/>
      <c r="G121" s="143" t="s">
        <v>228</v>
      </c>
      <c r="H121" s="142"/>
      <c r="I121" s="144">
        <v>108</v>
      </c>
      <c r="J121" s="145">
        <v>527.04000000000008</v>
      </c>
      <c r="K121" s="142"/>
    </row>
    <row r="122" spans="1:11" ht="13.95" hidden="1" customHeight="1" outlineLevel="1" x14ac:dyDescent="0.3">
      <c r="A122" s="139" t="s">
        <v>342</v>
      </c>
      <c r="B122" s="140" t="s">
        <v>343</v>
      </c>
      <c r="C122" s="141" t="s">
        <v>336</v>
      </c>
      <c r="D122" s="141" t="s">
        <v>197</v>
      </c>
      <c r="E122" s="142"/>
      <c r="F122" s="142"/>
      <c r="G122" s="143" t="s">
        <v>344</v>
      </c>
      <c r="H122" s="142"/>
      <c r="I122" s="144">
        <v>140</v>
      </c>
      <c r="J122" s="145">
        <v>1428</v>
      </c>
      <c r="K122" s="142"/>
    </row>
    <row r="123" spans="1:11" ht="13.95" hidden="1" customHeight="1" outlineLevel="1" x14ac:dyDescent="0.3">
      <c r="A123" s="139" t="s">
        <v>345</v>
      </c>
      <c r="B123" s="140" t="s">
        <v>346</v>
      </c>
      <c r="C123" s="141" t="s">
        <v>336</v>
      </c>
      <c r="D123" s="141" t="s">
        <v>197</v>
      </c>
      <c r="E123" s="142"/>
      <c r="F123" s="142"/>
      <c r="G123" s="143" t="s">
        <v>347</v>
      </c>
      <c r="H123" s="142"/>
      <c r="I123" s="144">
        <v>301</v>
      </c>
      <c r="J123" s="145">
        <v>1821.05</v>
      </c>
      <c r="K123" s="142"/>
    </row>
    <row r="124" spans="1:11" ht="13.95" hidden="1" customHeight="1" outlineLevel="1" x14ac:dyDescent="0.3">
      <c r="A124" s="139" t="s">
        <v>348</v>
      </c>
      <c r="B124" s="140" t="s">
        <v>349</v>
      </c>
      <c r="C124" s="141" t="s">
        <v>336</v>
      </c>
      <c r="D124" s="141" t="s">
        <v>197</v>
      </c>
      <c r="E124" s="142"/>
      <c r="F124" s="142"/>
      <c r="G124" s="143" t="s">
        <v>350</v>
      </c>
      <c r="H124" s="142"/>
      <c r="I124" s="144">
        <v>401</v>
      </c>
      <c r="J124" s="145">
        <v>4230.55</v>
      </c>
      <c r="K124" s="142"/>
    </row>
    <row r="125" spans="1:11" ht="13.95" hidden="1" customHeight="1" outlineLevel="1" x14ac:dyDescent="0.3">
      <c r="A125" s="139" t="s">
        <v>351</v>
      </c>
      <c r="B125" s="140" t="s">
        <v>352</v>
      </c>
      <c r="C125" s="141" t="s">
        <v>336</v>
      </c>
      <c r="D125" s="141" t="s">
        <v>197</v>
      </c>
      <c r="E125" s="142"/>
      <c r="F125" s="142"/>
      <c r="G125" s="143" t="s">
        <v>20</v>
      </c>
      <c r="H125" s="142"/>
      <c r="I125" s="144">
        <v>303</v>
      </c>
      <c r="J125" s="145">
        <v>3636</v>
      </c>
      <c r="K125" s="142"/>
    </row>
    <row r="126" spans="1:11" ht="13.95" hidden="1" customHeight="1" outlineLevel="1" x14ac:dyDescent="0.3">
      <c r="A126" s="139" t="s">
        <v>353</v>
      </c>
      <c r="B126" s="140" t="s">
        <v>354</v>
      </c>
      <c r="C126" s="141" t="s">
        <v>336</v>
      </c>
      <c r="D126" s="141" t="s">
        <v>197</v>
      </c>
      <c r="E126" s="142"/>
      <c r="F126" s="142"/>
      <c r="G126" s="143" t="s">
        <v>20</v>
      </c>
      <c r="H126" s="142"/>
      <c r="I126" s="144">
        <v>303</v>
      </c>
      <c r="J126" s="145">
        <v>3787.5</v>
      </c>
      <c r="K126" s="142"/>
    </row>
    <row r="127" spans="1:11" ht="13.95" hidden="1" customHeight="1" outlineLevel="1" x14ac:dyDescent="0.3">
      <c r="A127" s="139" t="s">
        <v>355</v>
      </c>
      <c r="B127" s="140" t="s">
        <v>356</v>
      </c>
      <c r="C127" s="141" t="s">
        <v>336</v>
      </c>
      <c r="D127" s="141" t="s">
        <v>197</v>
      </c>
      <c r="E127" s="142"/>
      <c r="F127" s="142"/>
      <c r="G127" s="143" t="s">
        <v>357</v>
      </c>
      <c r="H127" s="142"/>
      <c r="I127" s="144">
        <v>303</v>
      </c>
      <c r="J127" s="145">
        <v>6060</v>
      </c>
      <c r="K127" s="142"/>
    </row>
    <row r="128" spans="1:11" ht="13.95" hidden="1" customHeight="1" outlineLevel="1" x14ac:dyDescent="0.3">
      <c r="A128" s="139" t="s">
        <v>358</v>
      </c>
      <c r="B128" s="140" t="s">
        <v>359</v>
      </c>
      <c r="C128" s="141" t="s">
        <v>336</v>
      </c>
      <c r="D128" s="141" t="s">
        <v>197</v>
      </c>
      <c r="E128" s="142"/>
      <c r="F128" s="142"/>
      <c r="G128" s="143" t="s">
        <v>360</v>
      </c>
      <c r="H128" s="142"/>
      <c r="I128" s="144">
        <v>303</v>
      </c>
      <c r="J128" s="145">
        <v>3129.99</v>
      </c>
      <c r="K128" s="142"/>
    </row>
    <row r="129" spans="1:11" ht="13.95" hidden="1" customHeight="1" outlineLevel="1" x14ac:dyDescent="0.3">
      <c r="A129" s="139" t="s">
        <v>361</v>
      </c>
      <c r="B129" s="140" t="s">
        <v>362</v>
      </c>
      <c r="C129" s="141" t="s">
        <v>336</v>
      </c>
      <c r="D129" s="141" t="s">
        <v>197</v>
      </c>
      <c r="E129" s="142"/>
      <c r="F129" s="142"/>
      <c r="G129" s="143" t="s">
        <v>218</v>
      </c>
      <c r="H129" s="142"/>
      <c r="I129" s="144">
        <v>303</v>
      </c>
      <c r="J129" s="145">
        <v>3636</v>
      </c>
      <c r="K129" s="142"/>
    </row>
    <row r="130" spans="1:11" ht="13.95" hidden="1" customHeight="1" outlineLevel="1" x14ac:dyDescent="0.3">
      <c r="A130" s="139" t="s">
        <v>363</v>
      </c>
      <c r="B130" s="140" t="s">
        <v>364</v>
      </c>
      <c r="C130" s="141" t="s">
        <v>336</v>
      </c>
      <c r="D130" s="141" t="s">
        <v>197</v>
      </c>
      <c r="E130" s="142"/>
      <c r="F130" s="142"/>
      <c r="G130" s="143" t="s">
        <v>365</v>
      </c>
      <c r="H130" s="142"/>
      <c r="I130" s="144">
        <v>202</v>
      </c>
      <c r="J130" s="145">
        <v>8231.5</v>
      </c>
      <c r="K130" s="142"/>
    </row>
    <row r="131" spans="1:11" ht="13.95" hidden="1" customHeight="1" outlineLevel="1" x14ac:dyDescent="0.3">
      <c r="A131" s="139" t="s">
        <v>366</v>
      </c>
      <c r="B131" s="140" t="s">
        <v>367</v>
      </c>
      <c r="C131" s="141" t="s">
        <v>336</v>
      </c>
      <c r="D131" s="141" t="s">
        <v>197</v>
      </c>
      <c r="E131" s="142"/>
      <c r="F131" s="142"/>
      <c r="G131" s="143" t="s">
        <v>212</v>
      </c>
      <c r="H131" s="142"/>
      <c r="I131" s="144">
        <v>204</v>
      </c>
      <c r="J131" s="145">
        <v>565.08000000000004</v>
      </c>
      <c r="K131" s="142"/>
    </row>
    <row r="132" spans="1:11" ht="13.95" hidden="1" customHeight="1" outlineLevel="1" x14ac:dyDescent="0.3">
      <c r="A132" s="139" t="s">
        <v>368</v>
      </c>
      <c r="B132" s="140" t="s">
        <v>369</v>
      </c>
      <c r="C132" s="141" t="s">
        <v>336</v>
      </c>
      <c r="D132" s="141" t="s">
        <v>197</v>
      </c>
      <c r="E132" s="142"/>
      <c r="F132" s="142"/>
      <c r="G132" s="143" t="s">
        <v>20</v>
      </c>
      <c r="H132" s="142"/>
      <c r="I132" s="144">
        <v>450</v>
      </c>
      <c r="J132" s="145">
        <v>4410</v>
      </c>
      <c r="K132" s="142"/>
    </row>
    <row r="133" spans="1:11" ht="13.95" hidden="1" customHeight="1" outlineLevel="1" x14ac:dyDescent="0.3">
      <c r="A133" s="139" t="s">
        <v>370</v>
      </c>
      <c r="B133" s="140" t="s">
        <v>371</v>
      </c>
      <c r="C133" s="141" t="s">
        <v>336</v>
      </c>
      <c r="D133" s="141" t="s">
        <v>197</v>
      </c>
      <c r="E133" s="142"/>
      <c r="F133" s="142"/>
      <c r="G133" s="143" t="s">
        <v>372</v>
      </c>
      <c r="H133" s="142"/>
      <c r="I133" s="144">
        <v>205</v>
      </c>
      <c r="J133" s="145">
        <v>563.75</v>
      </c>
      <c r="K133" s="142"/>
    </row>
    <row r="134" spans="1:11" ht="13.95" hidden="1" customHeight="1" outlineLevel="1" x14ac:dyDescent="0.3">
      <c r="A134" s="139" t="s">
        <v>373</v>
      </c>
      <c r="B134" s="140" t="s">
        <v>374</v>
      </c>
      <c r="C134" s="141" t="s">
        <v>336</v>
      </c>
      <c r="D134" s="141" t="s">
        <v>197</v>
      </c>
      <c r="E134" s="142"/>
      <c r="F134" s="142"/>
      <c r="G134" s="143" t="s">
        <v>375</v>
      </c>
      <c r="H134" s="142"/>
      <c r="I134" s="144">
        <v>20</v>
      </c>
      <c r="J134" s="145">
        <v>626</v>
      </c>
      <c r="K134" s="142"/>
    </row>
    <row r="135" spans="1:11" ht="13.95" hidden="1" customHeight="1" outlineLevel="1" x14ac:dyDescent="0.3">
      <c r="A135" s="139" t="s">
        <v>376</v>
      </c>
      <c r="B135" s="140" t="s">
        <v>377</v>
      </c>
      <c r="C135" s="141" t="s">
        <v>336</v>
      </c>
      <c r="D135" s="141" t="s">
        <v>197</v>
      </c>
      <c r="E135" s="142"/>
      <c r="F135" s="142"/>
      <c r="G135" s="143" t="s">
        <v>378</v>
      </c>
      <c r="H135" s="142"/>
      <c r="I135" s="144">
        <v>510</v>
      </c>
      <c r="J135" s="145">
        <v>21777</v>
      </c>
      <c r="K135" s="142"/>
    </row>
    <row r="136" spans="1:11" ht="13.95" hidden="1" customHeight="1" outlineLevel="1" x14ac:dyDescent="0.3">
      <c r="A136" s="139" t="s">
        <v>202</v>
      </c>
      <c r="B136" s="140" t="s">
        <v>203</v>
      </c>
      <c r="C136" s="141" t="s">
        <v>336</v>
      </c>
      <c r="D136" s="141" t="s">
        <v>197</v>
      </c>
      <c r="E136" s="142"/>
      <c r="F136" s="142"/>
      <c r="G136" s="143" t="s">
        <v>204</v>
      </c>
      <c r="H136" s="142"/>
      <c r="I136" s="144">
        <v>298</v>
      </c>
      <c r="J136" s="145">
        <v>700.30000000000007</v>
      </c>
      <c r="K136" s="142"/>
    </row>
    <row r="137" spans="1:11" ht="13.95" hidden="1" customHeight="1" outlineLevel="1" x14ac:dyDescent="0.3">
      <c r="A137" s="139" t="s">
        <v>205</v>
      </c>
      <c r="B137" s="140" t="s">
        <v>206</v>
      </c>
      <c r="C137" s="141" t="s">
        <v>336</v>
      </c>
      <c r="D137" s="141" t="s">
        <v>197</v>
      </c>
      <c r="E137" s="142"/>
      <c r="F137" s="142"/>
      <c r="G137" s="143" t="s">
        <v>207</v>
      </c>
      <c r="H137" s="142"/>
      <c r="I137" s="144">
        <v>303</v>
      </c>
      <c r="J137" s="145">
        <v>909</v>
      </c>
      <c r="K137" s="142"/>
    </row>
    <row r="138" spans="1:11" ht="13.95" hidden="1" customHeight="1" outlineLevel="1" x14ac:dyDescent="0.3">
      <c r="A138" s="146" t="s">
        <v>379</v>
      </c>
      <c r="B138" s="140" t="s">
        <v>380</v>
      </c>
      <c r="C138" s="141" t="s">
        <v>336</v>
      </c>
      <c r="D138" s="141" t="s">
        <v>197</v>
      </c>
      <c r="E138" s="142"/>
      <c r="F138" s="142"/>
      <c r="G138" s="150" t="s">
        <v>381</v>
      </c>
      <c r="H138" s="142"/>
      <c r="I138" s="144">
        <v>200</v>
      </c>
      <c r="J138" s="145">
        <v>1360</v>
      </c>
      <c r="K138" s="142"/>
    </row>
    <row r="139" spans="1:11" ht="13.95" hidden="1" customHeight="1" outlineLevel="1" x14ac:dyDescent="0.3">
      <c r="A139" s="146" t="s">
        <v>382</v>
      </c>
      <c r="B139" s="140" t="s">
        <v>383</v>
      </c>
      <c r="C139" s="141" t="s">
        <v>336</v>
      </c>
      <c r="D139" s="141" t="s">
        <v>197</v>
      </c>
      <c r="E139" s="142"/>
      <c r="F139" s="142"/>
      <c r="G139" s="150" t="s">
        <v>384</v>
      </c>
      <c r="H139" s="142"/>
      <c r="I139" s="144">
        <v>100</v>
      </c>
      <c r="J139" s="145">
        <v>680</v>
      </c>
      <c r="K139" s="142"/>
    </row>
    <row r="140" spans="1:11" ht="13.95" hidden="1" customHeight="1" outlineLevel="1" x14ac:dyDescent="0.3">
      <c r="A140" s="146" t="s">
        <v>385</v>
      </c>
      <c r="B140" s="140" t="s">
        <v>386</v>
      </c>
      <c r="C140" s="141" t="s">
        <v>336</v>
      </c>
      <c r="D140" s="141" t="s">
        <v>197</v>
      </c>
      <c r="E140" s="142"/>
      <c r="F140" s="142"/>
      <c r="G140" s="150" t="s">
        <v>387</v>
      </c>
      <c r="H140" s="142"/>
      <c r="I140" s="144">
        <v>100</v>
      </c>
      <c r="J140" s="145">
        <v>680</v>
      </c>
      <c r="K140" s="142"/>
    </row>
    <row r="141" spans="1:11" ht="13.95" hidden="1" customHeight="1" outlineLevel="1" x14ac:dyDescent="0.3">
      <c r="A141" s="146" t="s">
        <v>388</v>
      </c>
      <c r="B141" s="140" t="s">
        <v>389</v>
      </c>
      <c r="C141" s="141" t="s">
        <v>336</v>
      </c>
      <c r="D141" s="141" t="s">
        <v>197</v>
      </c>
      <c r="E141" s="142"/>
      <c r="F141" s="142"/>
      <c r="G141" s="149" t="s">
        <v>390</v>
      </c>
      <c r="H141" s="142"/>
      <c r="I141" s="144">
        <v>100</v>
      </c>
      <c r="J141" s="145">
        <v>881</v>
      </c>
      <c r="K141" s="142"/>
    </row>
    <row r="142" spans="1:11" ht="13.95" hidden="1" customHeight="1" outlineLevel="1" x14ac:dyDescent="0.3">
      <c r="A142" s="146" t="s">
        <v>391</v>
      </c>
      <c r="B142" s="140" t="s">
        <v>392</v>
      </c>
      <c r="C142" s="141" t="s">
        <v>336</v>
      </c>
      <c r="D142" s="141" t="s">
        <v>197</v>
      </c>
      <c r="E142" s="142"/>
      <c r="F142" s="142"/>
      <c r="G142" s="149" t="s">
        <v>393</v>
      </c>
      <c r="H142" s="142"/>
      <c r="I142" s="144">
        <v>301</v>
      </c>
      <c r="J142" s="145">
        <v>1821.05</v>
      </c>
      <c r="K142" s="142"/>
    </row>
    <row r="143" spans="1:11" ht="13.95" hidden="1" customHeight="1" outlineLevel="1" x14ac:dyDescent="0.3">
      <c r="A143" s="146" t="s">
        <v>394</v>
      </c>
      <c r="B143" s="140" t="s">
        <v>395</v>
      </c>
      <c r="C143" s="141" t="s">
        <v>336</v>
      </c>
      <c r="D143" s="141" t="s">
        <v>197</v>
      </c>
      <c r="E143" s="142"/>
      <c r="F143" s="142"/>
      <c r="G143" s="149" t="s">
        <v>396</v>
      </c>
      <c r="H143" s="142"/>
      <c r="I143" s="144">
        <v>1</v>
      </c>
      <c r="J143" s="145">
        <v>6.05</v>
      </c>
      <c r="K143" s="142"/>
    </row>
    <row r="144" spans="1:11" ht="13.95" hidden="1" customHeight="1" outlineLevel="1" x14ac:dyDescent="0.3">
      <c r="A144" s="146" t="s">
        <v>397</v>
      </c>
      <c r="B144" s="140" t="s">
        <v>398</v>
      </c>
      <c r="C144" s="141" t="s">
        <v>336</v>
      </c>
      <c r="D144" s="141" t="s">
        <v>197</v>
      </c>
      <c r="E144" s="142"/>
      <c r="F144" s="142"/>
      <c r="G144" s="149" t="s">
        <v>399</v>
      </c>
      <c r="H144" s="142"/>
      <c r="I144" s="144">
        <v>303</v>
      </c>
      <c r="J144" s="145">
        <v>3636</v>
      </c>
      <c r="K144" s="142"/>
    </row>
    <row r="145" spans="1:11" ht="13.95" hidden="1" customHeight="1" outlineLevel="1" x14ac:dyDescent="0.3">
      <c r="A145" s="146" t="s">
        <v>400</v>
      </c>
      <c r="B145" s="140" t="s">
        <v>401</v>
      </c>
      <c r="C145" s="141" t="s">
        <v>336</v>
      </c>
      <c r="D145" s="141" t="s">
        <v>197</v>
      </c>
      <c r="E145" s="142"/>
      <c r="F145" s="142"/>
      <c r="G145" s="149" t="s">
        <v>402</v>
      </c>
      <c r="H145" s="142"/>
      <c r="I145" s="144">
        <v>300</v>
      </c>
      <c r="J145" s="145">
        <v>5640</v>
      </c>
      <c r="K145" s="142"/>
    </row>
    <row r="146" spans="1:11" ht="13.95" hidden="1" customHeight="1" outlineLevel="1" x14ac:dyDescent="0.3">
      <c r="A146" s="146" t="s">
        <v>403</v>
      </c>
      <c r="B146" s="140" t="s">
        <v>404</v>
      </c>
      <c r="C146" s="141" t="s">
        <v>336</v>
      </c>
      <c r="D146" s="141" t="s">
        <v>197</v>
      </c>
      <c r="E146" s="142"/>
      <c r="F146" s="142"/>
      <c r="G146" s="150" t="s">
        <v>405</v>
      </c>
      <c r="H146" s="142"/>
      <c r="I146" s="144">
        <v>108</v>
      </c>
      <c r="J146" s="145">
        <v>567</v>
      </c>
      <c r="K146" s="142"/>
    </row>
    <row r="147" spans="1:11" ht="13.95" hidden="1" customHeight="1" outlineLevel="1" x14ac:dyDescent="0.3">
      <c r="A147" s="146" t="s">
        <v>406</v>
      </c>
      <c r="B147" s="140" t="s">
        <v>407</v>
      </c>
      <c r="C147" s="141" t="s">
        <v>336</v>
      </c>
      <c r="D147" s="141" t="s">
        <v>197</v>
      </c>
      <c r="E147" s="142"/>
      <c r="F147" s="142"/>
      <c r="G147" s="149" t="s">
        <v>408</v>
      </c>
      <c r="H147" s="142"/>
      <c r="I147" s="144">
        <v>102</v>
      </c>
      <c r="J147" s="145">
        <v>418.2</v>
      </c>
      <c r="K147" s="142"/>
    </row>
    <row r="148" spans="1:11" ht="13.95" hidden="1" customHeight="1" outlineLevel="1" x14ac:dyDescent="0.3">
      <c r="A148" s="146" t="s">
        <v>409</v>
      </c>
      <c r="B148" s="140" t="s">
        <v>410</v>
      </c>
      <c r="C148" s="141" t="s">
        <v>336</v>
      </c>
      <c r="D148" s="141" t="s">
        <v>197</v>
      </c>
      <c r="E148" s="142"/>
      <c r="F148" s="142"/>
      <c r="G148" s="149" t="s">
        <v>411</v>
      </c>
      <c r="H148" s="142"/>
      <c r="I148" s="144">
        <v>107</v>
      </c>
      <c r="J148" s="145">
        <v>438.7</v>
      </c>
      <c r="K148" s="142"/>
    </row>
    <row r="149" spans="1:11" ht="13.95" hidden="1" customHeight="1" outlineLevel="1" x14ac:dyDescent="0.3">
      <c r="A149" s="146" t="s">
        <v>412</v>
      </c>
      <c r="B149" s="140" t="s">
        <v>413</v>
      </c>
      <c r="C149" s="141" t="s">
        <v>336</v>
      </c>
      <c r="D149" s="141" t="s">
        <v>197</v>
      </c>
      <c r="E149" s="142"/>
      <c r="F149" s="142"/>
      <c r="G149" s="149" t="s">
        <v>414</v>
      </c>
      <c r="H149" s="142"/>
      <c r="I149" s="144">
        <v>200</v>
      </c>
      <c r="J149" s="145">
        <v>750</v>
      </c>
      <c r="K149" s="142"/>
    </row>
    <row r="150" spans="1:11" ht="13.95" hidden="1" customHeight="1" outlineLevel="1" x14ac:dyDescent="0.3">
      <c r="A150" s="146" t="s">
        <v>415</v>
      </c>
      <c r="B150" s="140" t="s">
        <v>416</v>
      </c>
      <c r="C150" s="141" t="s">
        <v>336</v>
      </c>
      <c r="D150" s="141" t="s">
        <v>197</v>
      </c>
      <c r="E150" s="142"/>
      <c r="F150" s="142"/>
      <c r="G150" s="151" t="s">
        <v>185</v>
      </c>
      <c r="H150" s="142"/>
      <c r="I150" s="144">
        <v>1</v>
      </c>
      <c r="J150" s="145">
        <v>39.5</v>
      </c>
      <c r="K150" s="142"/>
    </row>
    <row r="151" spans="1:11" ht="13.95" hidden="1" customHeight="1" outlineLevel="1" x14ac:dyDescent="0.3">
      <c r="A151" s="146" t="s">
        <v>417</v>
      </c>
      <c r="B151" s="140" t="s">
        <v>418</v>
      </c>
      <c r="C151" s="141" t="s">
        <v>336</v>
      </c>
      <c r="D151" s="141" t="s">
        <v>197</v>
      </c>
      <c r="E151" s="142"/>
      <c r="F151" s="142"/>
      <c r="G151" s="151" t="s">
        <v>185</v>
      </c>
      <c r="H151" s="142"/>
      <c r="I151" s="144">
        <v>2</v>
      </c>
      <c r="J151" s="145">
        <v>163</v>
      </c>
      <c r="K151" s="142"/>
    </row>
    <row r="152" spans="1:11" ht="16.05" customHeight="1" collapsed="1" x14ac:dyDescent="0.3">
      <c r="A152" s="61" t="s">
        <v>419</v>
      </c>
      <c r="B152" s="63" t="s">
        <v>335</v>
      </c>
      <c r="C152" s="57" t="s">
        <v>336</v>
      </c>
      <c r="D152" s="57" t="s">
        <v>197</v>
      </c>
      <c r="E152" s="153" t="s">
        <v>55</v>
      </c>
      <c r="F152" s="63">
        <v>22</v>
      </c>
      <c r="G152" s="57">
        <v>7</v>
      </c>
      <c r="H152" s="76">
        <v>2</v>
      </c>
      <c r="I152" s="64">
        <v>6818</v>
      </c>
      <c r="J152" s="154">
        <v>72764.570000000007</v>
      </c>
      <c r="K152" s="138" t="s">
        <v>17</v>
      </c>
    </row>
    <row r="153" spans="1:11" ht="13.95" hidden="1" customHeight="1" outlineLevel="1" x14ac:dyDescent="0.3">
      <c r="A153" s="139" t="s">
        <v>223</v>
      </c>
      <c r="B153" s="140" t="s">
        <v>224</v>
      </c>
      <c r="C153" s="141" t="s">
        <v>336</v>
      </c>
      <c r="D153" s="141" t="s">
        <v>197</v>
      </c>
      <c r="E153" s="142"/>
      <c r="F153" s="142"/>
      <c r="G153" s="143" t="s">
        <v>225</v>
      </c>
      <c r="H153" s="142"/>
      <c r="I153" s="144">
        <v>100</v>
      </c>
      <c r="J153" s="145">
        <v>1190</v>
      </c>
      <c r="K153" s="142"/>
    </row>
    <row r="154" spans="1:11" ht="13.95" hidden="1" customHeight="1" outlineLevel="1" x14ac:dyDescent="0.3">
      <c r="A154" s="139" t="s">
        <v>420</v>
      </c>
      <c r="B154" s="140" t="s">
        <v>421</v>
      </c>
      <c r="C154" s="141" t="s">
        <v>336</v>
      </c>
      <c r="D154" s="141" t="s">
        <v>197</v>
      </c>
      <c r="E154" s="142"/>
      <c r="F154" s="142"/>
      <c r="G154" s="143" t="s">
        <v>422</v>
      </c>
      <c r="H154" s="142"/>
      <c r="I154" s="144">
        <v>303</v>
      </c>
      <c r="J154" s="145">
        <v>1484.7</v>
      </c>
      <c r="K154" s="142"/>
    </row>
    <row r="155" spans="1:11" ht="13.95" hidden="1" customHeight="1" outlineLevel="1" x14ac:dyDescent="0.3">
      <c r="A155" s="139" t="s">
        <v>423</v>
      </c>
      <c r="B155" s="140" t="s">
        <v>424</v>
      </c>
      <c r="C155" s="141" t="s">
        <v>336</v>
      </c>
      <c r="D155" s="141" t="s">
        <v>197</v>
      </c>
      <c r="E155" s="142"/>
      <c r="F155" s="142"/>
      <c r="G155" s="143" t="s">
        <v>235</v>
      </c>
      <c r="H155" s="142"/>
      <c r="I155" s="144">
        <v>1003</v>
      </c>
      <c r="J155" s="145">
        <v>17351.900000000001</v>
      </c>
      <c r="K155" s="142"/>
    </row>
    <row r="156" spans="1:11" ht="13.95" hidden="1" customHeight="1" outlineLevel="1" x14ac:dyDescent="0.3">
      <c r="A156" s="139" t="s">
        <v>425</v>
      </c>
      <c r="B156" s="140" t="s">
        <v>426</v>
      </c>
      <c r="C156" s="141" t="s">
        <v>336</v>
      </c>
      <c r="D156" s="141" t="s">
        <v>197</v>
      </c>
      <c r="E156" s="142"/>
      <c r="F156" s="142"/>
      <c r="G156" s="143" t="s">
        <v>20</v>
      </c>
      <c r="H156" s="142"/>
      <c r="I156" s="144">
        <v>1003</v>
      </c>
      <c r="J156" s="145">
        <v>10832.4</v>
      </c>
      <c r="K156" s="142"/>
    </row>
    <row r="157" spans="1:11" ht="13.95" hidden="1" customHeight="1" outlineLevel="1" x14ac:dyDescent="0.3">
      <c r="A157" s="139" t="s">
        <v>427</v>
      </c>
      <c r="B157" s="140" t="s">
        <v>428</v>
      </c>
      <c r="C157" s="141" t="s">
        <v>336</v>
      </c>
      <c r="D157" s="141" t="s">
        <v>197</v>
      </c>
      <c r="E157" s="142"/>
      <c r="F157" s="142"/>
      <c r="G157" s="143" t="s">
        <v>429</v>
      </c>
      <c r="H157" s="142"/>
      <c r="I157" s="144">
        <v>300</v>
      </c>
      <c r="J157" s="145">
        <v>1470</v>
      </c>
      <c r="K157" s="142"/>
    </row>
    <row r="158" spans="1:11" ht="13.95" hidden="1" customHeight="1" outlineLevel="1" x14ac:dyDescent="0.3">
      <c r="A158" s="139" t="s">
        <v>210</v>
      </c>
      <c r="B158" s="140" t="s">
        <v>211</v>
      </c>
      <c r="C158" s="141" t="s">
        <v>336</v>
      </c>
      <c r="D158" s="141" t="s">
        <v>197</v>
      </c>
      <c r="E158" s="142"/>
      <c r="F158" s="142"/>
      <c r="G158" s="143" t="s">
        <v>212</v>
      </c>
      <c r="H158" s="142"/>
      <c r="I158" s="144">
        <v>408</v>
      </c>
      <c r="J158" s="145">
        <v>5610</v>
      </c>
      <c r="K158" s="142"/>
    </row>
    <row r="159" spans="1:11" ht="13.95" hidden="1" customHeight="1" outlineLevel="1" x14ac:dyDescent="0.3">
      <c r="A159" s="139" t="s">
        <v>238</v>
      </c>
      <c r="B159" s="140" t="s">
        <v>239</v>
      </c>
      <c r="C159" s="141" t="s">
        <v>336</v>
      </c>
      <c r="D159" s="141" t="s">
        <v>197</v>
      </c>
      <c r="E159" s="142"/>
      <c r="F159" s="142"/>
      <c r="G159" s="143" t="s">
        <v>240</v>
      </c>
      <c r="H159" s="142"/>
      <c r="I159" s="144">
        <v>126</v>
      </c>
      <c r="J159" s="145">
        <v>579.59999999999991</v>
      </c>
      <c r="K159" s="142"/>
    </row>
    <row r="160" spans="1:11" ht="13.95" hidden="1" customHeight="1" outlineLevel="1" x14ac:dyDescent="0.3">
      <c r="A160" s="146" t="s">
        <v>430</v>
      </c>
      <c r="B160" s="140" t="s">
        <v>431</v>
      </c>
      <c r="C160" s="141" t="s">
        <v>336</v>
      </c>
      <c r="D160" s="141" t="s">
        <v>197</v>
      </c>
      <c r="E160" s="142"/>
      <c r="F160" s="142"/>
      <c r="G160" s="147" t="s">
        <v>432</v>
      </c>
      <c r="H160" s="142"/>
      <c r="I160" s="144">
        <v>299</v>
      </c>
      <c r="J160" s="145">
        <v>5860.4000000000005</v>
      </c>
      <c r="K160" s="142"/>
    </row>
    <row r="161" spans="1:11" ht="13.95" hidden="1" customHeight="1" outlineLevel="1" x14ac:dyDescent="0.3">
      <c r="A161" s="146" t="s">
        <v>59</v>
      </c>
      <c r="B161" s="140" t="s">
        <v>60</v>
      </c>
      <c r="C161" s="141" t="s">
        <v>336</v>
      </c>
      <c r="D161" s="141" t="s">
        <v>197</v>
      </c>
      <c r="E161" s="142"/>
      <c r="F161" s="142"/>
      <c r="G161" s="147" t="s">
        <v>433</v>
      </c>
      <c r="H161" s="142"/>
      <c r="I161" s="144">
        <v>192</v>
      </c>
      <c r="J161" s="145">
        <v>259.2</v>
      </c>
      <c r="K161" s="142"/>
    </row>
    <row r="162" spans="1:11" ht="13.95" hidden="1" customHeight="1" outlineLevel="1" x14ac:dyDescent="0.3">
      <c r="A162" s="146" t="s">
        <v>434</v>
      </c>
      <c r="B162" s="140" t="s">
        <v>435</v>
      </c>
      <c r="C162" s="141" t="s">
        <v>336</v>
      </c>
      <c r="D162" s="141" t="s">
        <v>197</v>
      </c>
      <c r="E162" s="142"/>
      <c r="F162" s="142"/>
      <c r="G162" s="149" t="s">
        <v>436</v>
      </c>
      <c r="H162" s="142"/>
      <c r="I162" s="144">
        <v>500</v>
      </c>
      <c r="J162" s="145">
        <v>3720</v>
      </c>
      <c r="K162" s="142"/>
    </row>
    <row r="163" spans="1:11" ht="13.95" hidden="1" customHeight="1" outlineLevel="1" x14ac:dyDescent="0.3">
      <c r="A163" s="146" t="s">
        <v>74</v>
      </c>
      <c r="B163" s="140" t="s">
        <v>75</v>
      </c>
      <c r="C163" s="141" t="s">
        <v>336</v>
      </c>
      <c r="D163" s="141" t="s">
        <v>197</v>
      </c>
      <c r="E163" s="142"/>
      <c r="F163" s="142"/>
      <c r="G163" s="149" t="s">
        <v>437</v>
      </c>
      <c r="H163" s="142"/>
      <c r="I163" s="144">
        <v>298</v>
      </c>
      <c r="J163" s="145">
        <v>4708.4000000000005</v>
      </c>
      <c r="K163" s="142"/>
    </row>
    <row r="164" spans="1:11" ht="13.95" hidden="1" customHeight="1" outlineLevel="1" x14ac:dyDescent="0.3">
      <c r="A164" s="146" t="s">
        <v>438</v>
      </c>
      <c r="B164" s="140" t="s">
        <v>439</v>
      </c>
      <c r="C164" s="141" t="s">
        <v>336</v>
      </c>
      <c r="D164" s="141" t="s">
        <v>197</v>
      </c>
      <c r="E164" s="142"/>
      <c r="F164" s="142"/>
      <c r="G164" s="149" t="s">
        <v>440</v>
      </c>
      <c r="H164" s="142"/>
      <c r="I164" s="144">
        <v>191</v>
      </c>
      <c r="J164" s="145">
        <v>410.37</v>
      </c>
      <c r="K164" s="142"/>
    </row>
    <row r="165" spans="1:11" ht="13.95" hidden="1" customHeight="1" outlineLevel="1" x14ac:dyDescent="0.3">
      <c r="A165" s="146" t="s">
        <v>441</v>
      </c>
      <c r="B165" s="140" t="s">
        <v>442</v>
      </c>
      <c r="C165" s="141" t="s">
        <v>336</v>
      </c>
      <c r="D165" s="141" t="s">
        <v>197</v>
      </c>
      <c r="E165" s="142"/>
      <c r="F165" s="142"/>
      <c r="G165" s="149" t="s">
        <v>443</v>
      </c>
      <c r="H165" s="142"/>
      <c r="I165" s="144">
        <v>250</v>
      </c>
      <c r="J165" s="145">
        <v>3087.5</v>
      </c>
      <c r="K165" s="142"/>
    </row>
    <row r="166" spans="1:11" ht="13.95" hidden="1" customHeight="1" outlineLevel="1" x14ac:dyDescent="0.3">
      <c r="A166" s="146" t="s">
        <v>49</v>
      </c>
      <c r="B166" s="140" t="s">
        <v>50</v>
      </c>
      <c r="C166" s="141" t="s">
        <v>336</v>
      </c>
      <c r="D166" s="141" t="s">
        <v>197</v>
      </c>
      <c r="E166" s="142"/>
      <c r="F166" s="142"/>
      <c r="G166" s="149" t="s">
        <v>444</v>
      </c>
      <c r="H166" s="142"/>
      <c r="I166" s="144">
        <v>8</v>
      </c>
      <c r="J166" s="145">
        <v>2936</v>
      </c>
      <c r="K166" s="142"/>
    </row>
    <row r="167" spans="1:11" ht="13.95" hidden="1" customHeight="1" outlineLevel="1" x14ac:dyDescent="0.3">
      <c r="A167" s="146" t="s">
        <v>445</v>
      </c>
      <c r="B167" s="140" t="s">
        <v>446</v>
      </c>
      <c r="C167" s="141" t="s">
        <v>336</v>
      </c>
      <c r="D167" s="141" t="s">
        <v>197</v>
      </c>
      <c r="E167" s="142"/>
      <c r="F167" s="142"/>
      <c r="G167" s="149" t="s">
        <v>447</v>
      </c>
      <c r="H167" s="142"/>
      <c r="I167" s="144">
        <v>302</v>
      </c>
      <c r="J167" s="145">
        <v>2869</v>
      </c>
      <c r="K167" s="142"/>
    </row>
    <row r="168" spans="1:11" ht="13.95" hidden="1" customHeight="1" outlineLevel="1" x14ac:dyDescent="0.3">
      <c r="A168" s="146" t="s">
        <v>448</v>
      </c>
      <c r="B168" s="140" t="s">
        <v>421</v>
      </c>
      <c r="C168" s="141" t="s">
        <v>336</v>
      </c>
      <c r="D168" s="141" t="s">
        <v>197</v>
      </c>
      <c r="E168" s="142"/>
      <c r="F168" s="142"/>
      <c r="G168" s="150" t="s">
        <v>449</v>
      </c>
      <c r="H168" s="142"/>
      <c r="I168" s="144">
        <v>303</v>
      </c>
      <c r="J168" s="145">
        <v>1484.7</v>
      </c>
      <c r="K168" s="142"/>
    </row>
    <row r="169" spans="1:11" ht="13.95" hidden="1" customHeight="1" outlineLevel="1" x14ac:dyDescent="0.3">
      <c r="A169" s="146" t="s">
        <v>450</v>
      </c>
      <c r="B169" s="140" t="s">
        <v>451</v>
      </c>
      <c r="C169" s="141" t="s">
        <v>336</v>
      </c>
      <c r="D169" s="141" t="s">
        <v>197</v>
      </c>
      <c r="E169" s="142"/>
      <c r="F169" s="142"/>
      <c r="G169" s="149" t="s">
        <v>452</v>
      </c>
      <c r="H169" s="142"/>
      <c r="I169" s="144">
        <v>204</v>
      </c>
      <c r="J169" s="145">
        <v>2805</v>
      </c>
      <c r="K169" s="142"/>
    </row>
    <row r="170" spans="1:11" ht="13.95" hidden="1" customHeight="1" outlineLevel="1" x14ac:dyDescent="0.3">
      <c r="A170" s="146" t="s">
        <v>453</v>
      </c>
      <c r="B170" s="140" t="s">
        <v>454</v>
      </c>
      <c r="C170" s="141" t="s">
        <v>336</v>
      </c>
      <c r="D170" s="141" t="s">
        <v>197</v>
      </c>
      <c r="E170" s="142"/>
      <c r="F170" s="142"/>
      <c r="G170" s="149" t="s">
        <v>455</v>
      </c>
      <c r="H170" s="142"/>
      <c r="I170" s="144">
        <v>104</v>
      </c>
      <c r="J170" s="145">
        <v>374.4</v>
      </c>
      <c r="K170" s="142"/>
    </row>
    <row r="171" spans="1:11" ht="13.95" hidden="1" customHeight="1" outlineLevel="1" x14ac:dyDescent="0.3">
      <c r="A171" s="146" t="s">
        <v>318</v>
      </c>
      <c r="B171" s="140" t="s">
        <v>319</v>
      </c>
      <c r="C171" s="141" t="s">
        <v>336</v>
      </c>
      <c r="D171" s="141" t="s">
        <v>197</v>
      </c>
      <c r="E171" s="142"/>
      <c r="F171" s="142"/>
      <c r="G171" s="149" t="s">
        <v>320</v>
      </c>
      <c r="H171" s="142"/>
      <c r="I171" s="144">
        <v>120</v>
      </c>
      <c r="J171" s="145">
        <v>552</v>
      </c>
      <c r="K171" s="142"/>
    </row>
    <row r="172" spans="1:11" ht="13.95" hidden="1" customHeight="1" outlineLevel="1" x14ac:dyDescent="0.3">
      <c r="A172" s="146" t="s">
        <v>456</v>
      </c>
      <c r="B172" s="140" t="s">
        <v>457</v>
      </c>
      <c r="C172" s="141" t="s">
        <v>336</v>
      </c>
      <c r="D172" s="141" t="s">
        <v>197</v>
      </c>
      <c r="E172" s="142"/>
      <c r="F172" s="142"/>
      <c r="G172" s="149" t="s">
        <v>458</v>
      </c>
      <c r="H172" s="142"/>
      <c r="I172" s="144">
        <v>200</v>
      </c>
      <c r="J172" s="145">
        <v>660</v>
      </c>
      <c r="K172" s="142"/>
    </row>
    <row r="173" spans="1:11" ht="13.95" hidden="1" customHeight="1" outlineLevel="1" x14ac:dyDescent="0.3">
      <c r="A173" s="146" t="s">
        <v>459</v>
      </c>
      <c r="B173" s="140" t="s">
        <v>460</v>
      </c>
      <c r="C173" s="141" t="s">
        <v>336</v>
      </c>
      <c r="D173" s="141" t="s">
        <v>197</v>
      </c>
      <c r="E173" s="142"/>
      <c r="F173" s="142"/>
      <c r="G173" s="149" t="s">
        <v>461</v>
      </c>
      <c r="H173" s="142"/>
      <c r="I173" s="144">
        <v>100</v>
      </c>
      <c r="J173" s="145">
        <v>235</v>
      </c>
      <c r="K173" s="142"/>
    </row>
    <row r="174" spans="1:11" ht="13.95" hidden="1" customHeight="1" outlineLevel="1" x14ac:dyDescent="0.3">
      <c r="A174" s="146" t="s">
        <v>462</v>
      </c>
      <c r="B174" s="140" t="s">
        <v>463</v>
      </c>
      <c r="C174" s="141" t="s">
        <v>336</v>
      </c>
      <c r="D174" s="141" t="s">
        <v>197</v>
      </c>
      <c r="E174" s="142"/>
      <c r="F174" s="142"/>
      <c r="G174" s="152" t="s">
        <v>329</v>
      </c>
      <c r="H174" s="142"/>
      <c r="I174" s="144">
        <v>504</v>
      </c>
      <c r="J174" s="145">
        <v>4284</v>
      </c>
      <c r="K174" s="142"/>
    </row>
    <row r="175" spans="1:11" ht="16.05" customHeight="1" collapsed="1" x14ac:dyDescent="0.3">
      <c r="A175" s="48" t="s">
        <v>464</v>
      </c>
      <c r="B175" s="71" t="s">
        <v>465</v>
      </c>
      <c r="C175" s="155" t="s">
        <v>466</v>
      </c>
      <c r="D175" s="155" t="s">
        <v>467</v>
      </c>
      <c r="E175" s="136" t="s">
        <v>468</v>
      </c>
      <c r="F175" s="71">
        <v>16</v>
      </c>
      <c r="G175" s="57">
        <v>15</v>
      </c>
      <c r="H175" s="76">
        <v>1</v>
      </c>
      <c r="I175" s="58">
        <v>14670</v>
      </c>
      <c r="J175" s="137">
        <v>87064.7</v>
      </c>
      <c r="K175" s="138" t="s">
        <v>17</v>
      </c>
    </row>
    <row r="176" spans="1:11" ht="13.95" hidden="1" customHeight="1" outlineLevel="1" x14ac:dyDescent="0.3">
      <c r="A176" s="139" t="s">
        <v>166</v>
      </c>
      <c r="B176" s="140" t="s">
        <v>469</v>
      </c>
      <c r="C176" s="148" t="s">
        <v>466</v>
      </c>
      <c r="D176" s="148" t="s">
        <v>467</v>
      </c>
      <c r="E176" s="142"/>
      <c r="F176" s="142"/>
      <c r="G176" s="143" t="s">
        <v>168</v>
      </c>
      <c r="H176" s="142"/>
      <c r="I176" s="144">
        <v>300</v>
      </c>
      <c r="J176" s="145">
        <v>8964</v>
      </c>
      <c r="K176" s="142"/>
    </row>
    <row r="177" spans="1:11" ht="13.95" hidden="1" customHeight="1" outlineLevel="1" x14ac:dyDescent="0.3">
      <c r="A177" s="139" t="s">
        <v>470</v>
      </c>
      <c r="B177" s="140" t="s">
        <v>471</v>
      </c>
      <c r="C177" s="148" t="s">
        <v>466</v>
      </c>
      <c r="D177" s="148" t="s">
        <v>467</v>
      </c>
      <c r="E177" s="142"/>
      <c r="F177" s="142"/>
      <c r="G177" s="143" t="s">
        <v>472</v>
      </c>
      <c r="H177" s="142"/>
      <c r="I177" s="144">
        <v>300</v>
      </c>
      <c r="J177" s="145">
        <v>2091</v>
      </c>
      <c r="K177" s="142"/>
    </row>
    <row r="178" spans="1:11" ht="13.95" hidden="1" customHeight="1" outlineLevel="1" x14ac:dyDescent="0.3">
      <c r="A178" s="139" t="s">
        <v>473</v>
      </c>
      <c r="B178" s="140" t="s">
        <v>474</v>
      </c>
      <c r="C178" s="148" t="s">
        <v>466</v>
      </c>
      <c r="D178" s="148" t="s">
        <v>467</v>
      </c>
      <c r="E178" s="142"/>
      <c r="F178" s="142"/>
      <c r="G178" s="143" t="s">
        <v>20</v>
      </c>
      <c r="H178" s="142"/>
      <c r="I178" s="144">
        <v>500</v>
      </c>
      <c r="J178" s="145">
        <v>2080</v>
      </c>
      <c r="K178" s="142"/>
    </row>
    <row r="179" spans="1:11" ht="13.95" hidden="1" customHeight="1" outlineLevel="1" x14ac:dyDescent="0.3">
      <c r="A179" s="139" t="s">
        <v>475</v>
      </c>
      <c r="B179" s="140" t="s">
        <v>476</v>
      </c>
      <c r="C179" s="148" t="s">
        <v>466</v>
      </c>
      <c r="D179" s="148" t="s">
        <v>467</v>
      </c>
      <c r="E179" s="142"/>
      <c r="F179" s="142"/>
      <c r="G179" s="143" t="s">
        <v>20</v>
      </c>
      <c r="H179" s="142"/>
      <c r="I179" s="144">
        <v>500</v>
      </c>
      <c r="J179" s="145">
        <v>2080</v>
      </c>
      <c r="K179" s="142"/>
    </row>
    <row r="180" spans="1:11" ht="13.95" hidden="1" customHeight="1" outlineLevel="1" x14ac:dyDescent="0.3">
      <c r="A180" s="139" t="s">
        <v>477</v>
      </c>
      <c r="B180" s="140" t="s">
        <v>478</v>
      </c>
      <c r="C180" s="148" t="s">
        <v>466</v>
      </c>
      <c r="D180" s="148" t="s">
        <v>467</v>
      </c>
      <c r="E180" s="142"/>
      <c r="F180" s="142"/>
      <c r="G180" s="143" t="s">
        <v>20</v>
      </c>
      <c r="H180" s="142"/>
      <c r="I180" s="144">
        <v>500</v>
      </c>
      <c r="J180" s="145">
        <v>2080</v>
      </c>
      <c r="K180" s="142"/>
    </row>
    <row r="181" spans="1:11" ht="13.95" hidden="1" customHeight="1" outlineLevel="1" x14ac:dyDescent="0.3">
      <c r="A181" s="139" t="s">
        <v>479</v>
      </c>
      <c r="B181" s="140" t="s">
        <v>480</v>
      </c>
      <c r="C181" s="148" t="s">
        <v>466</v>
      </c>
      <c r="D181" s="148" t="s">
        <v>467</v>
      </c>
      <c r="E181" s="142"/>
      <c r="F181" s="142"/>
      <c r="G181" s="143" t="s">
        <v>20</v>
      </c>
      <c r="H181" s="142"/>
      <c r="I181" s="144">
        <v>500</v>
      </c>
      <c r="J181" s="145">
        <v>2080</v>
      </c>
      <c r="K181" s="142"/>
    </row>
    <row r="182" spans="1:11" ht="13.95" hidden="1" customHeight="1" outlineLevel="1" x14ac:dyDescent="0.3">
      <c r="A182" s="139" t="s">
        <v>481</v>
      </c>
      <c r="B182" s="140" t="s">
        <v>482</v>
      </c>
      <c r="C182" s="148" t="s">
        <v>466</v>
      </c>
      <c r="D182" s="148" t="s">
        <v>467</v>
      </c>
      <c r="E182" s="142"/>
      <c r="F182" s="142"/>
      <c r="G182" s="143" t="s">
        <v>20</v>
      </c>
      <c r="H182" s="142"/>
      <c r="I182" s="144">
        <v>500</v>
      </c>
      <c r="J182" s="145">
        <v>2080</v>
      </c>
      <c r="K182" s="142"/>
    </row>
    <row r="183" spans="1:11" ht="13.95" hidden="1" customHeight="1" outlineLevel="1" x14ac:dyDescent="0.3">
      <c r="A183" s="139" t="s">
        <v>483</v>
      </c>
      <c r="B183" s="140" t="s">
        <v>484</v>
      </c>
      <c r="C183" s="148" t="s">
        <v>466</v>
      </c>
      <c r="D183" s="148" t="s">
        <v>467</v>
      </c>
      <c r="E183" s="142"/>
      <c r="F183" s="142"/>
      <c r="G183" s="143" t="s">
        <v>20</v>
      </c>
      <c r="H183" s="142"/>
      <c r="I183" s="144">
        <v>2195</v>
      </c>
      <c r="J183" s="145">
        <v>9636.0499999999993</v>
      </c>
      <c r="K183" s="142"/>
    </row>
    <row r="184" spans="1:11" ht="13.95" hidden="1" customHeight="1" outlineLevel="1" x14ac:dyDescent="0.3">
      <c r="A184" s="139" t="s">
        <v>485</v>
      </c>
      <c r="B184" s="140" t="s">
        <v>486</v>
      </c>
      <c r="C184" s="148" t="s">
        <v>466</v>
      </c>
      <c r="D184" s="148" t="s">
        <v>467</v>
      </c>
      <c r="E184" s="142"/>
      <c r="F184" s="142"/>
      <c r="G184" s="143" t="s">
        <v>20</v>
      </c>
      <c r="H184" s="142"/>
      <c r="I184" s="144">
        <v>1243</v>
      </c>
      <c r="J184" s="145">
        <v>5456.77</v>
      </c>
      <c r="K184" s="142"/>
    </row>
    <row r="185" spans="1:11" ht="13.95" hidden="1" customHeight="1" outlineLevel="1" x14ac:dyDescent="0.3">
      <c r="A185" s="139" t="s">
        <v>487</v>
      </c>
      <c r="B185" s="140" t="s">
        <v>488</v>
      </c>
      <c r="C185" s="148" t="s">
        <v>466</v>
      </c>
      <c r="D185" s="148" t="s">
        <v>467</v>
      </c>
      <c r="E185" s="142"/>
      <c r="F185" s="142"/>
      <c r="G185" s="143" t="s">
        <v>20</v>
      </c>
      <c r="H185" s="142"/>
      <c r="I185" s="144">
        <v>1242</v>
      </c>
      <c r="J185" s="145">
        <v>5452.3799999999992</v>
      </c>
      <c r="K185" s="142"/>
    </row>
    <row r="186" spans="1:11" ht="13.95" hidden="1" customHeight="1" outlineLevel="1" x14ac:dyDescent="0.3">
      <c r="A186" s="139" t="s">
        <v>489</v>
      </c>
      <c r="B186" s="140" t="s">
        <v>490</v>
      </c>
      <c r="C186" s="148" t="s">
        <v>466</v>
      </c>
      <c r="D186" s="148" t="s">
        <v>467</v>
      </c>
      <c r="E186" s="142"/>
      <c r="F186" s="142"/>
      <c r="G186" s="143" t="s">
        <v>20</v>
      </c>
      <c r="H186" s="142"/>
      <c r="I186" s="144">
        <v>1250</v>
      </c>
      <c r="J186" s="145">
        <v>5437.5</v>
      </c>
      <c r="K186" s="142"/>
    </row>
    <row r="187" spans="1:11" ht="13.95" hidden="1" customHeight="1" outlineLevel="1" x14ac:dyDescent="0.3">
      <c r="A187" s="139" t="s">
        <v>491</v>
      </c>
      <c r="B187" s="140" t="s">
        <v>492</v>
      </c>
      <c r="C187" s="148" t="s">
        <v>466</v>
      </c>
      <c r="D187" s="148" t="s">
        <v>467</v>
      </c>
      <c r="E187" s="142"/>
      <c r="F187" s="142"/>
      <c r="G187" s="143" t="s">
        <v>20</v>
      </c>
      <c r="H187" s="142"/>
      <c r="I187" s="144">
        <v>1250</v>
      </c>
      <c r="J187" s="145">
        <v>5437.5</v>
      </c>
      <c r="K187" s="142"/>
    </row>
    <row r="188" spans="1:11" ht="13.95" hidden="1" customHeight="1" outlineLevel="1" x14ac:dyDescent="0.3">
      <c r="A188" s="139" t="s">
        <v>493</v>
      </c>
      <c r="B188" s="140" t="s">
        <v>494</v>
      </c>
      <c r="C188" s="148" t="s">
        <v>466</v>
      </c>
      <c r="D188" s="148" t="s">
        <v>467</v>
      </c>
      <c r="E188" s="142"/>
      <c r="F188" s="142"/>
      <c r="G188" s="143" t="s">
        <v>20</v>
      </c>
      <c r="H188" s="142"/>
      <c r="I188" s="144">
        <v>1300</v>
      </c>
      <c r="J188" s="145">
        <v>5654.9999999999991</v>
      </c>
      <c r="K188" s="142"/>
    </row>
    <row r="189" spans="1:11" ht="13.95" hidden="1" customHeight="1" outlineLevel="1" x14ac:dyDescent="0.3">
      <c r="A189" s="139" t="s">
        <v>495</v>
      </c>
      <c r="B189" s="140" t="s">
        <v>496</v>
      </c>
      <c r="C189" s="148" t="s">
        <v>466</v>
      </c>
      <c r="D189" s="148" t="s">
        <v>467</v>
      </c>
      <c r="E189" s="142"/>
      <c r="F189" s="142"/>
      <c r="G189" s="143" t="s">
        <v>20</v>
      </c>
      <c r="H189" s="142"/>
      <c r="I189" s="144">
        <v>1300</v>
      </c>
      <c r="J189" s="145">
        <v>5654.9999999999991</v>
      </c>
      <c r="K189" s="142"/>
    </row>
    <row r="190" spans="1:11" ht="13.95" hidden="1" customHeight="1" outlineLevel="1" x14ac:dyDescent="0.3">
      <c r="A190" s="139" t="s">
        <v>497</v>
      </c>
      <c r="B190" s="140" t="s">
        <v>498</v>
      </c>
      <c r="C190" s="148" t="s">
        <v>466</v>
      </c>
      <c r="D190" s="148" t="s">
        <v>467</v>
      </c>
      <c r="E190" s="142"/>
      <c r="F190" s="142"/>
      <c r="G190" s="143" t="s">
        <v>20</v>
      </c>
      <c r="H190" s="142"/>
      <c r="I190" s="144">
        <v>1250</v>
      </c>
      <c r="J190" s="145">
        <v>5437.5</v>
      </c>
      <c r="K190" s="142"/>
    </row>
    <row r="191" spans="1:11" ht="13.95" hidden="1" customHeight="1" outlineLevel="1" x14ac:dyDescent="0.3">
      <c r="A191" s="146" t="s">
        <v>499</v>
      </c>
      <c r="B191" s="140" t="s">
        <v>500</v>
      </c>
      <c r="C191" s="148" t="s">
        <v>466</v>
      </c>
      <c r="D191" s="148" t="s">
        <v>467</v>
      </c>
      <c r="E191" s="142"/>
      <c r="F191" s="142"/>
      <c r="G191" s="147" t="s">
        <v>501</v>
      </c>
      <c r="H191" s="142"/>
      <c r="I191" s="144">
        <v>540</v>
      </c>
      <c r="J191" s="145">
        <v>17442</v>
      </c>
      <c r="K191" s="142"/>
    </row>
    <row r="192" spans="1:11" ht="16.05" customHeight="1" collapsed="1" x14ac:dyDescent="0.3">
      <c r="A192" s="61" t="s">
        <v>502</v>
      </c>
      <c r="B192" s="63" t="s">
        <v>503</v>
      </c>
      <c r="C192" s="155" t="s">
        <v>504</v>
      </c>
      <c r="D192" s="155" t="s">
        <v>467</v>
      </c>
      <c r="E192" s="153" t="s">
        <v>505</v>
      </c>
      <c r="F192" s="63">
        <v>12</v>
      </c>
      <c r="G192" s="57">
        <v>4</v>
      </c>
      <c r="H192" s="76">
        <v>2</v>
      </c>
      <c r="I192" s="64">
        <v>4095</v>
      </c>
      <c r="J192" s="154">
        <v>31190.97</v>
      </c>
      <c r="K192" s="156" t="s">
        <v>506</v>
      </c>
    </row>
    <row r="193" spans="1:11" ht="13.95" hidden="1" customHeight="1" outlineLevel="1" x14ac:dyDescent="0.3">
      <c r="A193" s="139" t="s">
        <v>507</v>
      </c>
      <c r="B193" s="140" t="s">
        <v>508</v>
      </c>
      <c r="C193" s="148" t="s">
        <v>504</v>
      </c>
      <c r="D193" s="148" t="s">
        <v>467</v>
      </c>
      <c r="E193" s="142"/>
      <c r="F193" s="142"/>
      <c r="G193" s="143" t="s">
        <v>70</v>
      </c>
      <c r="H193" s="142"/>
      <c r="I193" s="144">
        <v>100</v>
      </c>
      <c r="J193" s="145">
        <v>2650</v>
      </c>
      <c r="K193" s="142"/>
    </row>
    <row r="194" spans="1:11" ht="13.95" hidden="1" customHeight="1" outlineLevel="1" x14ac:dyDescent="0.3">
      <c r="A194" s="139" t="s">
        <v>238</v>
      </c>
      <c r="B194" s="140" t="s">
        <v>239</v>
      </c>
      <c r="C194" s="148" t="s">
        <v>504</v>
      </c>
      <c r="D194" s="148" t="s">
        <v>467</v>
      </c>
      <c r="E194" s="142"/>
      <c r="F194" s="142"/>
      <c r="G194" s="143" t="s">
        <v>64</v>
      </c>
      <c r="H194" s="142"/>
      <c r="I194" s="144">
        <v>324</v>
      </c>
      <c r="J194" s="145">
        <v>1490.4</v>
      </c>
      <c r="K194" s="142"/>
    </row>
    <row r="195" spans="1:11" ht="13.95" hidden="1" customHeight="1" outlineLevel="1" x14ac:dyDescent="0.3">
      <c r="A195" s="139" t="s">
        <v>28</v>
      </c>
      <c r="B195" s="140" t="s">
        <v>29</v>
      </c>
      <c r="C195" s="148" t="s">
        <v>504</v>
      </c>
      <c r="D195" s="148" t="s">
        <v>467</v>
      </c>
      <c r="E195" s="142"/>
      <c r="F195" s="142"/>
      <c r="G195" s="143" t="s">
        <v>20</v>
      </c>
      <c r="H195" s="142"/>
      <c r="I195" s="144">
        <v>504</v>
      </c>
      <c r="J195" s="145">
        <v>2459.52</v>
      </c>
      <c r="K195" s="142"/>
    </row>
    <row r="196" spans="1:11" ht="13.95" hidden="1" customHeight="1" outlineLevel="1" x14ac:dyDescent="0.3">
      <c r="A196" s="139" t="s">
        <v>25</v>
      </c>
      <c r="B196" s="140" t="s">
        <v>26</v>
      </c>
      <c r="C196" s="148" t="s">
        <v>504</v>
      </c>
      <c r="D196" s="148" t="s">
        <v>467</v>
      </c>
      <c r="E196" s="142"/>
      <c r="F196" s="142"/>
      <c r="G196" s="143" t="s">
        <v>27</v>
      </c>
      <c r="H196" s="142"/>
      <c r="I196" s="144">
        <v>504</v>
      </c>
      <c r="J196" s="145">
        <v>2570.4</v>
      </c>
      <c r="K196" s="142"/>
    </row>
    <row r="197" spans="1:11" ht="13.95" hidden="1" customHeight="1" outlineLevel="1" x14ac:dyDescent="0.3">
      <c r="A197" s="146" t="s">
        <v>74</v>
      </c>
      <c r="B197" s="140" t="s">
        <v>75</v>
      </c>
      <c r="C197" s="148" t="s">
        <v>504</v>
      </c>
      <c r="D197" s="148" t="s">
        <v>467</v>
      </c>
      <c r="E197" s="142"/>
      <c r="F197" s="142"/>
      <c r="G197" s="147" t="s">
        <v>76</v>
      </c>
      <c r="H197" s="142"/>
      <c r="I197" s="144">
        <v>900</v>
      </c>
      <c r="J197" s="145">
        <v>14220</v>
      </c>
      <c r="K197" s="142"/>
    </row>
    <row r="198" spans="1:11" ht="13.95" hidden="1" customHeight="1" outlineLevel="1" x14ac:dyDescent="0.3">
      <c r="A198" s="146" t="s">
        <v>509</v>
      </c>
      <c r="B198" s="140" t="s">
        <v>510</v>
      </c>
      <c r="C198" s="148" t="s">
        <v>504</v>
      </c>
      <c r="D198" s="148" t="s">
        <v>467</v>
      </c>
      <c r="E198" s="142"/>
      <c r="F198" s="142"/>
      <c r="G198" s="147" t="s">
        <v>511</v>
      </c>
      <c r="H198" s="142"/>
      <c r="I198" s="144">
        <v>500</v>
      </c>
      <c r="J198" s="145">
        <v>1700</v>
      </c>
      <c r="K198" s="142"/>
    </row>
    <row r="199" spans="1:11" ht="13.95" hidden="1" customHeight="1" outlineLevel="1" x14ac:dyDescent="0.3">
      <c r="A199" s="146" t="s">
        <v>512</v>
      </c>
      <c r="B199" s="140" t="s">
        <v>513</v>
      </c>
      <c r="C199" s="148" t="s">
        <v>504</v>
      </c>
      <c r="D199" s="148" t="s">
        <v>467</v>
      </c>
      <c r="E199" s="142"/>
      <c r="F199" s="142"/>
      <c r="G199" s="150" t="s">
        <v>514</v>
      </c>
      <c r="H199" s="142"/>
      <c r="I199" s="144">
        <v>304</v>
      </c>
      <c r="J199" s="145">
        <v>1170.4000000000001</v>
      </c>
      <c r="K199" s="142"/>
    </row>
    <row r="200" spans="1:11" ht="13.95" hidden="1" customHeight="1" outlineLevel="1" x14ac:dyDescent="0.3">
      <c r="A200" s="146" t="s">
        <v>515</v>
      </c>
      <c r="B200" s="140" t="s">
        <v>516</v>
      </c>
      <c r="C200" s="148" t="s">
        <v>504</v>
      </c>
      <c r="D200" s="148" t="s">
        <v>467</v>
      </c>
      <c r="E200" s="142"/>
      <c r="F200" s="142"/>
      <c r="G200" s="149" t="s">
        <v>517</v>
      </c>
      <c r="H200" s="142"/>
      <c r="I200" s="144">
        <v>207</v>
      </c>
      <c r="J200" s="145">
        <v>1107.45</v>
      </c>
      <c r="K200" s="142"/>
    </row>
    <row r="201" spans="1:11" ht="13.95" hidden="1" customHeight="1" outlineLevel="1" x14ac:dyDescent="0.3">
      <c r="A201" s="146" t="s">
        <v>273</v>
      </c>
      <c r="B201" s="140" t="s">
        <v>274</v>
      </c>
      <c r="C201" s="148" t="s">
        <v>504</v>
      </c>
      <c r="D201" s="148" t="s">
        <v>467</v>
      </c>
      <c r="E201" s="142"/>
      <c r="F201" s="142"/>
      <c r="G201" s="149" t="s">
        <v>518</v>
      </c>
      <c r="H201" s="142"/>
      <c r="I201" s="144">
        <v>150</v>
      </c>
      <c r="J201" s="145">
        <v>840</v>
      </c>
      <c r="K201" s="142"/>
    </row>
    <row r="202" spans="1:11" ht="13.95" hidden="1" customHeight="1" outlineLevel="1" x14ac:dyDescent="0.3">
      <c r="A202" s="146" t="s">
        <v>519</v>
      </c>
      <c r="B202" s="140" t="s">
        <v>520</v>
      </c>
      <c r="C202" s="148" t="s">
        <v>504</v>
      </c>
      <c r="D202" s="148" t="s">
        <v>467</v>
      </c>
      <c r="E202" s="142"/>
      <c r="F202" s="142"/>
      <c r="G202" s="150" t="s">
        <v>521</v>
      </c>
      <c r="H202" s="142"/>
      <c r="I202" s="144">
        <v>300</v>
      </c>
      <c r="J202" s="145">
        <v>885</v>
      </c>
      <c r="K202" s="142"/>
    </row>
    <row r="203" spans="1:11" ht="13.95" hidden="1" customHeight="1" outlineLevel="1" x14ac:dyDescent="0.3">
      <c r="A203" s="146" t="s">
        <v>522</v>
      </c>
      <c r="B203" s="140" t="s">
        <v>523</v>
      </c>
      <c r="C203" s="148" t="s">
        <v>504</v>
      </c>
      <c r="D203" s="148" t="s">
        <v>467</v>
      </c>
      <c r="E203" s="142"/>
      <c r="F203" s="142"/>
      <c r="G203" s="149" t="s">
        <v>524</v>
      </c>
      <c r="H203" s="142"/>
      <c r="I203" s="144">
        <v>200</v>
      </c>
      <c r="J203" s="145">
        <v>1700</v>
      </c>
      <c r="K203" s="142"/>
    </row>
    <row r="204" spans="1:11" ht="13.95" hidden="1" customHeight="1" outlineLevel="1" x14ac:dyDescent="0.3">
      <c r="A204" s="146" t="s">
        <v>525</v>
      </c>
      <c r="B204" s="140" t="s">
        <v>526</v>
      </c>
      <c r="C204" s="148" t="s">
        <v>504</v>
      </c>
      <c r="D204" s="148" t="s">
        <v>467</v>
      </c>
      <c r="E204" s="142"/>
      <c r="F204" s="142"/>
      <c r="G204" s="148" t="s">
        <v>527</v>
      </c>
      <c r="H204" s="142"/>
      <c r="I204" s="144">
        <v>102</v>
      </c>
      <c r="J204" s="145">
        <v>397.8</v>
      </c>
      <c r="K204" s="142"/>
    </row>
    <row r="205" spans="1:11" ht="16.05" customHeight="1" collapsed="1" x14ac:dyDescent="0.3">
      <c r="A205" s="48" t="s">
        <v>528</v>
      </c>
      <c r="B205" s="71"/>
      <c r="C205" s="55"/>
      <c r="D205" s="55"/>
      <c r="E205" s="136" t="s">
        <v>529</v>
      </c>
      <c r="F205" s="71">
        <v>25</v>
      </c>
      <c r="G205" s="71">
        <v>0</v>
      </c>
      <c r="H205" s="71">
        <v>0</v>
      </c>
      <c r="I205" s="58">
        <v>25</v>
      </c>
      <c r="J205" s="137">
        <v>160.75</v>
      </c>
      <c r="K205" s="81" t="s">
        <v>530</v>
      </c>
    </row>
    <row r="206" spans="1:11" ht="13.95" hidden="1" customHeight="1" outlineLevel="1" x14ac:dyDescent="0.3">
      <c r="A206" s="146" t="s">
        <v>531</v>
      </c>
      <c r="B206" s="140" t="s">
        <v>532</v>
      </c>
      <c r="C206" s="157"/>
      <c r="D206" s="157"/>
      <c r="E206" s="142"/>
      <c r="F206" s="142"/>
      <c r="G206" s="151" t="s">
        <v>185</v>
      </c>
      <c r="H206" s="142"/>
      <c r="I206" s="144">
        <v>1</v>
      </c>
      <c r="J206" s="145">
        <v>8</v>
      </c>
      <c r="K206" s="142"/>
    </row>
    <row r="207" spans="1:11" ht="13.95" hidden="1" customHeight="1" outlineLevel="1" x14ac:dyDescent="0.3">
      <c r="A207" s="146" t="s">
        <v>533</v>
      </c>
      <c r="B207" s="140" t="s">
        <v>534</v>
      </c>
      <c r="C207" s="157"/>
      <c r="D207" s="157"/>
      <c r="E207" s="142"/>
      <c r="F207" s="142"/>
      <c r="G207" s="151" t="s">
        <v>185</v>
      </c>
      <c r="H207" s="142"/>
      <c r="I207" s="144">
        <v>1</v>
      </c>
      <c r="J207" s="145">
        <v>7</v>
      </c>
      <c r="K207" s="142"/>
    </row>
    <row r="208" spans="1:11" ht="13.95" hidden="1" customHeight="1" outlineLevel="1" x14ac:dyDescent="0.3">
      <c r="A208" s="146" t="s">
        <v>535</v>
      </c>
      <c r="B208" s="140" t="s">
        <v>536</v>
      </c>
      <c r="C208" s="157"/>
      <c r="D208" s="157"/>
      <c r="E208" s="142"/>
      <c r="F208" s="142"/>
      <c r="G208" s="151" t="s">
        <v>185</v>
      </c>
      <c r="H208" s="142"/>
      <c r="I208" s="144">
        <v>1</v>
      </c>
      <c r="J208" s="145">
        <v>8</v>
      </c>
      <c r="K208" s="142"/>
    </row>
    <row r="209" spans="1:11" ht="13.95" hidden="1" customHeight="1" outlineLevel="1" x14ac:dyDescent="0.3">
      <c r="A209" s="146" t="s">
        <v>537</v>
      </c>
      <c r="B209" s="140" t="s">
        <v>538</v>
      </c>
      <c r="C209" s="157"/>
      <c r="D209" s="157"/>
      <c r="E209" s="142"/>
      <c r="F209" s="142"/>
      <c r="G209" s="151" t="s">
        <v>185</v>
      </c>
      <c r="H209" s="142"/>
      <c r="I209" s="144">
        <v>1</v>
      </c>
      <c r="J209" s="145">
        <v>7</v>
      </c>
      <c r="K209" s="142"/>
    </row>
    <row r="210" spans="1:11" ht="13.95" hidden="1" customHeight="1" outlineLevel="1" x14ac:dyDescent="0.3">
      <c r="A210" s="146" t="s">
        <v>539</v>
      </c>
      <c r="B210" s="140" t="s">
        <v>540</v>
      </c>
      <c r="C210" s="157"/>
      <c r="D210" s="157"/>
      <c r="E210" s="142"/>
      <c r="F210" s="142"/>
      <c r="G210" s="151" t="s">
        <v>185</v>
      </c>
      <c r="H210" s="142"/>
      <c r="I210" s="144">
        <v>1</v>
      </c>
      <c r="J210" s="145">
        <v>23</v>
      </c>
      <c r="K210" s="142"/>
    </row>
    <row r="211" spans="1:11" ht="13.95" hidden="1" customHeight="1" outlineLevel="1" x14ac:dyDescent="0.3">
      <c r="A211" s="146" t="s">
        <v>541</v>
      </c>
      <c r="B211" s="140" t="s">
        <v>542</v>
      </c>
      <c r="C211" s="157"/>
      <c r="D211" s="157"/>
      <c r="E211" s="142"/>
      <c r="F211" s="142"/>
      <c r="G211" s="151" t="s">
        <v>185</v>
      </c>
      <c r="H211" s="142"/>
      <c r="I211" s="144">
        <v>1</v>
      </c>
      <c r="J211" s="145">
        <v>15</v>
      </c>
      <c r="K211" s="142"/>
    </row>
    <row r="212" spans="1:11" ht="13.95" hidden="1" customHeight="1" outlineLevel="1" x14ac:dyDescent="0.3">
      <c r="A212" s="146" t="s">
        <v>543</v>
      </c>
      <c r="B212" s="140" t="s">
        <v>544</v>
      </c>
      <c r="C212" s="157"/>
      <c r="D212" s="157"/>
      <c r="E212" s="142"/>
      <c r="F212" s="142"/>
      <c r="G212" s="151" t="s">
        <v>185</v>
      </c>
      <c r="H212" s="142"/>
      <c r="I212" s="144">
        <v>1</v>
      </c>
      <c r="J212" s="145">
        <v>8.15</v>
      </c>
      <c r="K212" s="142"/>
    </row>
    <row r="213" spans="1:11" ht="13.95" hidden="1" customHeight="1" outlineLevel="1" x14ac:dyDescent="0.3">
      <c r="A213" s="146" t="s">
        <v>545</v>
      </c>
      <c r="B213" s="140" t="s">
        <v>546</v>
      </c>
      <c r="C213" s="157"/>
      <c r="D213" s="157"/>
      <c r="E213" s="142"/>
      <c r="F213" s="142"/>
      <c r="G213" s="151" t="s">
        <v>185</v>
      </c>
      <c r="H213" s="142"/>
      <c r="I213" s="144">
        <v>1</v>
      </c>
      <c r="J213" s="145">
        <v>4.7</v>
      </c>
      <c r="K213" s="142"/>
    </row>
    <row r="214" spans="1:11" ht="13.95" hidden="1" customHeight="1" outlineLevel="1" x14ac:dyDescent="0.3">
      <c r="A214" s="146" t="s">
        <v>547</v>
      </c>
      <c r="B214" s="140" t="s">
        <v>548</v>
      </c>
      <c r="C214" s="157"/>
      <c r="D214" s="157"/>
      <c r="E214" s="142"/>
      <c r="F214" s="142"/>
      <c r="G214" s="151" t="s">
        <v>185</v>
      </c>
      <c r="H214" s="142"/>
      <c r="I214" s="144">
        <v>1</v>
      </c>
      <c r="J214" s="145">
        <v>4.7</v>
      </c>
      <c r="K214" s="142"/>
    </row>
    <row r="215" spans="1:11" ht="13.95" hidden="1" customHeight="1" outlineLevel="1" x14ac:dyDescent="0.3">
      <c r="A215" s="146" t="s">
        <v>549</v>
      </c>
      <c r="B215" s="140" t="s">
        <v>550</v>
      </c>
      <c r="C215" s="157"/>
      <c r="D215" s="157"/>
      <c r="E215" s="142"/>
      <c r="F215" s="142"/>
      <c r="G215" s="151" t="s">
        <v>185</v>
      </c>
      <c r="H215" s="142"/>
      <c r="I215" s="144">
        <v>1</v>
      </c>
      <c r="J215" s="145">
        <v>4.7</v>
      </c>
      <c r="K215" s="142"/>
    </row>
    <row r="216" spans="1:11" ht="13.95" hidden="1" customHeight="1" outlineLevel="1" x14ac:dyDescent="0.3">
      <c r="A216" s="146" t="s">
        <v>551</v>
      </c>
      <c r="B216" s="140" t="s">
        <v>552</v>
      </c>
      <c r="C216" s="157"/>
      <c r="D216" s="157"/>
      <c r="E216" s="142"/>
      <c r="F216" s="142"/>
      <c r="G216" s="151" t="s">
        <v>185</v>
      </c>
      <c r="H216" s="142"/>
      <c r="I216" s="144">
        <v>1</v>
      </c>
      <c r="J216" s="145">
        <v>4.7</v>
      </c>
      <c r="K216" s="142"/>
    </row>
    <row r="217" spans="1:11" ht="13.95" hidden="1" customHeight="1" outlineLevel="1" x14ac:dyDescent="0.3">
      <c r="A217" s="146" t="s">
        <v>553</v>
      </c>
      <c r="B217" s="140" t="s">
        <v>554</v>
      </c>
      <c r="C217" s="157"/>
      <c r="D217" s="157"/>
      <c r="E217" s="142"/>
      <c r="F217" s="142"/>
      <c r="G217" s="151" t="s">
        <v>185</v>
      </c>
      <c r="H217" s="142"/>
      <c r="I217" s="144">
        <v>1</v>
      </c>
      <c r="J217" s="145">
        <v>4.7</v>
      </c>
      <c r="K217" s="142"/>
    </row>
    <row r="218" spans="1:11" ht="13.95" hidden="1" customHeight="1" outlineLevel="1" x14ac:dyDescent="0.3">
      <c r="A218" s="146" t="s">
        <v>555</v>
      </c>
      <c r="B218" s="140" t="s">
        <v>556</v>
      </c>
      <c r="C218" s="157"/>
      <c r="D218" s="157"/>
      <c r="E218" s="142"/>
      <c r="F218" s="142"/>
      <c r="G218" s="151" t="s">
        <v>185</v>
      </c>
      <c r="H218" s="142"/>
      <c r="I218" s="144">
        <v>1</v>
      </c>
      <c r="J218" s="145">
        <v>4.7</v>
      </c>
      <c r="K218" s="142"/>
    </row>
    <row r="219" spans="1:11" ht="13.95" hidden="1" customHeight="1" outlineLevel="1" x14ac:dyDescent="0.3">
      <c r="A219" s="146" t="s">
        <v>557</v>
      </c>
      <c r="B219" s="140" t="s">
        <v>558</v>
      </c>
      <c r="C219" s="157"/>
      <c r="D219" s="157"/>
      <c r="E219" s="142"/>
      <c r="F219" s="142"/>
      <c r="G219" s="151" t="s">
        <v>185</v>
      </c>
      <c r="H219" s="142"/>
      <c r="I219" s="144">
        <v>1</v>
      </c>
      <c r="J219" s="145">
        <v>4.7</v>
      </c>
      <c r="K219" s="142"/>
    </row>
    <row r="220" spans="1:11" ht="13.95" hidden="1" customHeight="1" outlineLevel="1" x14ac:dyDescent="0.3">
      <c r="A220" s="146" t="s">
        <v>559</v>
      </c>
      <c r="B220" s="140" t="s">
        <v>560</v>
      </c>
      <c r="C220" s="157"/>
      <c r="D220" s="157"/>
      <c r="E220" s="142"/>
      <c r="F220" s="142"/>
      <c r="G220" s="151" t="s">
        <v>185</v>
      </c>
      <c r="H220" s="142"/>
      <c r="I220" s="144">
        <v>1</v>
      </c>
      <c r="J220" s="145">
        <v>4.7</v>
      </c>
      <c r="K220" s="142"/>
    </row>
    <row r="221" spans="1:11" ht="13.95" hidden="1" customHeight="1" outlineLevel="1" x14ac:dyDescent="0.3">
      <c r="A221" s="146" t="s">
        <v>561</v>
      </c>
      <c r="B221" s="140" t="s">
        <v>562</v>
      </c>
      <c r="C221" s="157"/>
      <c r="D221" s="157"/>
      <c r="E221" s="142"/>
      <c r="F221" s="142"/>
      <c r="G221" s="151" t="s">
        <v>185</v>
      </c>
      <c r="H221" s="142"/>
      <c r="I221" s="144">
        <v>1</v>
      </c>
      <c r="J221" s="145">
        <v>4.7</v>
      </c>
      <c r="K221" s="142"/>
    </row>
    <row r="222" spans="1:11" ht="13.95" hidden="1" customHeight="1" outlineLevel="1" x14ac:dyDescent="0.3">
      <c r="A222" s="146" t="s">
        <v>563</v>
      </c>
      <c r="B222" s="140" t="s">
        <v>564</v>
      </c>
      <c r="C222" s="157"/>
      <c r="D222" s="157"/>
      <c r="E222" s="142"/>
      <c r="F222" s="142"/>
      <c r="G222" s="151" t="s">
        <v>185</v>
      </c>
      <c r="H222" s="142"/>
      <c r="I222" s="144">
        <v>1</v>
      </c>
      <c r="J222" s="145">
        <v>4.7</v>
      </c>
      <c r="K222" s="142"/>
    </row>
    <row r="223" spans="1:11" ht="13.95" hidden="1" customHeight="1" outlineLevel="1" x14ac:dyDescent="0.3">
      <c r="A223" s="146" t="s">
        <v>565</v>
      </c>
      <c r="B223" s="140" t="s">
        <v>566</v>
      </c>
      <c r="C223" s="157"/>
      <c r="D223" s="157"/>
      <c r="E223" s="142"/>
      <c r="F223" s="142"/>
      <c r="G223" s="151" t="s">
        <v>185</v>
      </c>
      <c r="H223" s="142"/>
      <c r="I223" s="144">
        <v>1</v>
      </c>
      <c r="J223" s="145">
        <v>4.7</v>
      </c>
      <c r="K223" s="142"/>
    </row>
    <row r="224" spans="1:11" ht="13.95" hidden="1" customHeight="1" outlineLevel="1" x14ac:dyDescent="0.3">
      <c r="A224" s="146" t="s">
        <v>567</v>
      </c>
      <c r="B224" s="140" t="s">
        <v>568</v>
      </c>
      <c r="C224" s="157"/>
      <c r="D224" s="157"/>
      <c r="E224" s="142"/>
      <c r="F224" s="142"/>
      <c r="G224" s="151" t="s">
        <v>185</v>
      </c>
      <c r="H224" s="142"/>
      <c r="I224" s="144">
        <v>1</v>
      </c>
      <c r="J224" s="145">
        <v>4.7</v>
      </c>
      <c r="K224" s="142"/>
    </row>
    <row r="225" spans="1:11" ht="13.95" hidden="1" customHeight="1" outlineLevel="1" x14ac:dyDescent="0.3">
      <c r="A225" s="146" t="s">
        <v>569</v>
      </c>
      <c r="B225" s="140" t="s">
        <v>570</v>
      </c>
      <c r="C225" s="157"/>
      <c r="D225" s="157"/>
      <c r="E225" s="142"/>
      <c r="F225" s="142"/>
      <c r="G225" s="151" t="s">
        <v>185</v>
      </c>
      <c r="H225" s="142"/>
      <c r="I225" s="144">
        <v>1</v>
      </c>
      <c r="J225" s="145">
        <v>4.7</v>
      </c>
      <c r="K225" s="142"/>
    </row>
    <row r="226" spans="1:11" ht="13.95" hidden="1" customHeight="1" outlineLevel="1" x14ac:dyDescent="0.3">
      <c r="A226" s="146" t="s">
        <v>571</v>
      </c>
      <c r="B226" s="140" t="s">
        <v>572</v>
      </c>
      <c r="C226" s="157"/>
      <c r="D226" s="157"/>
      <c r="E226" s="142"/>
      <c r="F226" s="142"/>
      <c r="G226" s="151" t="s">
        <v>185</v>
      </c>
      <c r="H226" s="142"/>
      <c r="I226" s="144">
        <v>1</v>
      </c>
      <c r="J226" s="145">
        <v>4.7</v>
      </c>
      <c r="K226" s="142"/>
    </row>
    <row r="227" spans="1:11" ht="13.95" hidden="1" customHeight="1" outlineLevel="1" x14ac:dyDescent="0.3">
      <c r="A227" s="146" t="s">
        <v>573</v>
      </c>
      <c r="B227" s="140" t="s">
        <v>574</v>
      </c>
      <c r="C227" s="157"/>
      <c r="D227" s="157"/>
      <c r="E227" s="142"/>
      <c r="F227" s="142"/>
      <c r="G227" s="151" t="s">
        <v>185</v>
      </c>
      <c r="H227" s="142"/>
      <c r="I227" s="144">
        <v>1</v>
      </c>
      <c r="J227" s="145">
        <v>4.7</v>
      </c>
      <c r="K227" s="142"/>
    </row>
    <row r="228" spans="1:11" ht="13.95" hidden="1" customHeight="1" outlineLevel="1" x14ac:dyDescent="0.3">
      <c r="A228" s="146" t="s">
        <v>575</v>
      </c>
      <c r="B228" s="140" t="s">
        <v>576</v>
      </c>
      <c r="C228" s="157"/>
      <c r="D228" s="157"/>
      <c r="E228" s="142"/>
      <c r="F228" s="142"/>
      <c r="G228" s="151" t="s">
        <v>185</v>
      </c>
      <c r="H228" s="142"/>
      <c r="I228" s="144">
        <v>1</v>
      </c>
      <c r="J228" s="145">
        <v>4.7</v>
      </c>
      <c r="K228" s="142"/>
    </row>
    <row r="229" spans="1:11" ht="13.95" hidden="1" customHeight="1" outlineLevel="1" x14ac:dyDescent="0.3">
      <c r="A229" s="146" t="s">
        <v>577</v>
      </c>
      <c r="B229" s="140" t="s">
        <v>578</v>
      </c>
      <c r="C229" s="157"/>
      <c r="D229" s="157"/>
      <c r="E229" s="142"/>
      <c r="F229" s="142"/>
      <c r="G229" s="151" t="s">
        <v>185</v>
      </c>
      <c r="H229" s="142"/>
      <c r="I229" s="144">
        <v>1</v>
      </c>
      <c r="J229" s="145">
        <v>4.7</v>
      </c>
      <c r="K229" s="142"/>
    </row>
    <row r="230" spans="1:11" ht="13.95" hidden="1" customHeight="1" outlineLevel="1" x14ac:dyDescent="0.3">
      <c r="A230" s="146" t="s">
        <v>579</v>
      </c>
      <c r="B230" s="140" t="s">
        <v>580</v>
      </c>
      <c r="C230" s="157"/>
      <c r="D230" s="157"/>
      <c r="E230" s="142"/>
      <c r="F230" s="142"/>
      <c r="G230" s="151" t="s">
        <v>185</v>
      </c>
      <c r="H230" s="142"/>
      <c r="I230" s="144">
        <v>1</v>
      </c>
      <c r="J230" s="145">
        <v>4.7</v>
      </c>
      <c r="K230" s="142"/>
    </row>
    <row r="231" spans="1:11" ht="18" customHeight="1" x14ac:dyDescent="0.3">
      <c r="A231" s="67" t="s">
        <v>581</v>
      </c>
      <c r="B231" s="67"/>
      <c r="C231" s="67"/>
      <c r="D231" s="67"/>
      <c r="E231" s="67" t="s">
        <v>582</v>
      </c>
      <c r="F231" s="67"/>
      <c r="G231" s="67"/>
      <c r="H231" s="67"/>
      <c r="I231" s="69">
        <v>55542</v>
      </c>
      <c r="J231" s="158">
        <v>463129.53</v>
      </c>
      <c r="K231" s="67"/>
    </row>
  </sheetData>
  <autoFilter ref="A2:K230" xr:uid="{00000000-0009-0000-0000-000009000000}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7"/>
  <sheetViews>
    <sheetView workbookViewId="0">
      <pane ySplit="2" topLeftCell="A6" activePane="bottomLeft" state="frozen"/>
      <selection pane="bottomLeft" activeCell="A15" sqref="A15:F19"/>
    </sheetView>
  </sheetViews>
  <sheetFormatPr baseColWidth="10" defaultColWidth="8.88671875" defaultRowHeight="14.4" x14ac:dyDescent="0.3"/>
  <cols>
    <col min="1" max="1" width="14" customWidth="1"/>
    <col min="2" max="2" width="44" customWidth="1"/>
    <col min="3" max="3" width="18" customWidth="1"/>
    <col min="4" max="4" width="11" customWidth="1"/>
    <col min="5" max="5" width="14" customWidth="1"/>
    <col min="6" max="6" width="12" customWidth="1"/>
  </cols>
  <sheetData>
    <row r="1" spans="1:6" ht="24" customHeight="1" x14ac:dyDescent="0.3">
      <c r="A1" s="197" t="s">
        <v>1327</v>
      </c>
      <c r="B1" s="172"/>
      <c r="C1" s="172"/>
      <c r="D1" s="172"/>
      <c r="E1" s="172"/>
      <c r="F1" s="172"/>
    </row>
    <row r="2" spans="1:6" ht="37.950000000000003" customHeight="1" x14ac:dyDescent="0.3">
      <c r="A2" s="39" t="s">
        <v>676</v>
      </c>
      <c r="B2" s="39" t="s">
        <v>898</v>
      </c>
      <c r="C2" s="39" t="s">
        <v>638</v>
      </c>
      <c r="D2" s="39" t="s">
        <v>4</v>
      </c>
      <c r="E2" s="39" t="s">
        <v>1328</v>
      </c>
      <c r="F2" s="39" t="s">
        <v>1329</v>
      </c>
    </row>
    <row r="3" spans="1:6" ht="16.95" customHeight="1" x14ac:dyDescent="0.3">
      <c r="A3" s="194" t="s">
        <v>1330</v>
      </c>
      <c r="B3" s="195"/>
      <c r="C3" s="195"/>
      <c r="D3" s="195"/>
      <c r="E3" s="195"/>
      <c r="F3" s="196"/>
    </row>
    <row r="4" spans="1:6" ht="15" customHeight="1" x14ac:dyDescent="0.3">
      <c r="A4" s="63" t="s">
        <v>1331</v>
      </c>
      <c r="B4" s="77" t="s">
        <v>19</v>
      </c>
      <c r="C4" s="77" t="s">
        <v>649</v>
      </c>
      <c r="D4" s="81" t="s">
        <v>15</v>
      </c>
      <c r="E4" s="63" t="s">
        <v>14</v>
      </c>
      <c r="F4" s="159">
        <v>30</v>
      </c>
    </row>
    <row r="5" spans="1:6" ht="15" customHeight="1" x14ac:dyDescent="0.3">
      <c r="A5" s="71" t="s">
        <v>1332</v>
      </c>
      <c r="B5" s="70" t="s">
        <v>34</v>
      </c>
      <c r="C5" s="70" t="s">
        <v>646</v>
      </c>
      <c r="D5" s="81" t="s">
        <v>15</v>
      </c>
      <c r="E5" s="71" t="s">
        <v>14</v>
      </c>
      <c r="F5" s="159">
        <v>99</v>
      </c>
    </row>
    <row r="6" spans="1:6" ht="15" customHeight="1" x14ac:dyDescent="0.3">
      <c r="A6" s="63" t="s">
        <v>1333</v>
      </c>
      <c r="B6" s="77" t="s">
        <v>36</v>
      </c>
      <c r="C6" s="77" t="s">
        <v>646</v>
      </c>
      <c r="D6" s="81" t="s">
        <v>15</v>
      </c>
      <c r="E6" s="63" t="s">
        <v>14</v>
      </c>
      <c r="F6" s="159">
        <v>99</v>
      </c>
    </row>
    <row r="7" spans="1:6" ht="15" customHeight="1" x14ac:dyDescent="0.3">
      <c r="A7" s="71" t="s">
        <v>1334</v>
      </c>
      <c r="B7" s="70" t="s">
        <v>24</v>
      </c>
      <c r="C7" s="70" t="s">
        <v>595</v>
      </c>
      <c r="D7" s="81" t="s">
        <v>15</v>
      </c>
      <c r="E7" s="71" t="s">
        <v>14</v>
      </c>
      <c r="F7" s="159">
        <v>199</v>
      </c>
    </row>
    <row r="8" spans="1:6" ht="15" customHeight="1" x14ac:dyDescent="0.3">
      <c r="A8" s="63" t="s">
        <v>1335</v>
      </c>
      <c r="B8" s="77" t="s">
        <v>22</v>
      </c>
      <c r="C8" s="77" t="s">
        <v>595</v>
      </c>
      <c r="D8" s="81" t="s">
        <v>15</v>
      </c>
      <c r="E8" s="63" t="s">
        <v>14</v>
      </c>
      <c r="F8" s="159">
        <v>199</v>
      </c>
    </row>
    <row r="9" spans="1:6" ht="15" customHeight="1" x14ac:dyDescent="0.3">
      <c r="A9" s="71" t="s">
        <v>1336</v>
      </c>
      <c r="B9" s="70" t="s">
        <v>29</v>
      </c>
      <c r="C9" s="70" t="s">
        <v>595</v>
      </c>
      <c r="D9" s="81" t="s">
        <v>15</v>
      </c>
      <c r="E9" s="71" t="s">
        <v>14</v>
      </c>
      <c r="F9" s="159">
        <v>300</v>
      </c>
    </row>
    <row r="10" spans="1:6" ht="15" customHeight="1" x14ac:dyDescent="0.3">
      <c r="A10" s="63" t="s">
        <v>1322</v>
      </c>
      <c r="B10" s="77" t="s">
        <v>153</v>
      </c>
      <c r="C10" s="77" t="s">
        <v>594</v>
      </c>
      <c r="D10" s="81" t="s">
        <v>15</v>
      </c>
      <c r="E10" s="63" t="s">
        <v>54</v>
      </c>
      <c r="F10" s="159">
        <v>50</v>
      </c>
    </row>
    <row r="11" spans="1:6" ht="15" customHeight="1" x14ac:dyDescent="0.3">
      <c r="A11" s="71" t="s">
        <v>1337</v>
      </c>
      <c r="B11" s="70" t="s">
        <v>161</v>
      </c>
      <c r="C11" s="70" t="s">
        <v>647</v>
      </c>
      <c r="D11" s="81" t="s">
        <v>15</v>
      </c>
      <c r="E11" s="71" t="s">
        <v>54</v>
      </c>
      <c r="F11" s="159">
        <v>100</v>
      </c>
    </row>
    <row r="12" spans="1:6" ht="15" customHeight="1" x14ac:dyDescent="0.3">
      <c r="A12" s="63" t="s">
        <v>1338</v>
      </c>
      <c r="B12" s="77" t="s">
        <v>163</v>
      </c>
      <c r="C12" s="77" t="s">
        <v>647</v>
      </c>
      <c r="D12" s="81" t="s">
        <v>15</v>
      </c>
      <c r="E12" s="63" t="s">
        <v>54</v>
      </c>
      <c r="F12" s="159">
        <v>100</v>
      </c>
    </row>
    <row r="13" spans="1:6" ht="15" customHeight="1" x14ac:dyDescent="0.3">
      <c r="A13" s="71" t="s">
        <v>1339</v>
      </c>
      <c r="B13" s="70" t="s">
        <v>165</v>
      </c>
      <c r="C13" s="70" t="s">
        <v>647</v>
      </c>
      <c r="D13" s="81" t="s">
        <v>15</v>
      </c>
      <c r="E13" s="71" t="s">
        <v>54</v>
      </c>
      <c r="F13" s="159">
        <v>100</v>
      </c>
    </row>
    <row r="14" spans="1:6" ht="15" customHeight="1" x14ac:dyDescent="0.3">
      <c r="A14" s="63" t="s">
        <v>1316</v>
      </c>
      <c r="B14" s="77" t="s">
        <v>175</v>
      </c>
      <c r="C14" s="77" t="s">
        <v>647</v>
      </c>
      <c r="D14" s="81" t="s">
        <v>15</v>
      </c>
      <c r="E14" s="63" t="s">
        <v>54</v>
      </c>
      <c r="F14" s="159">
        <v>100</v>
      </c>
    </row>
    <row r="15" spans="1:6" ht="16.95" customHeight="1" x14ac:dyDescent="0.3">
      <c r="A15" s="63" t="s">
        <v>1340</v>
      </c>
      <c r="B15" s="77" t="s">
        <v>187</v>
      </c>
      <c r="C15" s="77" t="s">
        <v>594</v>
      </c>
      <c r="D15" s="81" t="s">
        <v>15</v>
      </c>
      <c r="E15" s="63" t="s">
        <v>54</v>
      </c>
      <c r="F15" s="159">
        <v>500</v>
      </c>
    </row>
    <row r="16" spans="1:6" ht="15" customHeight="1" x14ac:dyDescent="0.3">
      <c r="A16" s="63" t="s">
        <v>1341</v>
      </c>
      <c r="B16" s="77" t="s">
        <v>184</v>
      </c>
      <c r="C16" s="77" t="s">
        <v>594</v>
      </c>
      <c r="D16" s="81" t="s">
        <v>15</v>
      </c>
      <c r="E16" s="63" t="s">
        <v>54</v>
      </c>
      <c r="F16" s="159">
        <v>500</v>
      </c>
    </row>
    <row r="17" spans="1:6" ht="15" customHeight="1" x14ac:dyDescent="0.3">
      <c r="A17" s="71" t="s">
        <v>1342</v>
      </c>
      <c r="B17" s="70" t="s">
        <v>193</v>
      </c>
      <c r="C17" s="70" t="s">
        <v>594</v>
      </c>
      <c r="D17" s="81" t="s">
        <v>15</v>
      </c>
      <c r="E17" s="71" t="s">
        <v>54</v>
      </c>
      <c r="F17" s="159">
        <v>500</v>
      </c>
    </row>
    <row r="18" spans="1:6" ht="15" customHeight="1" x14ac:dyDescent="0.3">
      <c r="A18" s="63" t="s">
        <v>1343</v>
      </c>
      <c r="B18" s="77" t="s">
        <v>191</v>
      </c>
      <c r="C18" s="77" t="s">
        <v>594</v>
      </c>
      <c r="D18" s="81" t="s">
        <v>15</v>
      </c>
      <c r="E18" s="63" t="s">
        <v>54</v>
      </c>
      <c r="F18" s="159">
        <v>500</v>
      </c>
    </row>
    <row r="19" spans="1:6" ht="15" customHeight="1" x14ac:dyDescent="0.3">
      <c r="A19" s="71" t="s">
        <v>1344</v>
      </c>
      <c r="B19" s="70" t="s">
        <v>189</v>
      </c>
      <c r="C19" s="70" t="s">
        <v>594</v>
      </c>
      <c r="D19" s="81" t="s">
        <v>15</v>
      </c>
      <c r="E19" s="71" t="s">
        <v>54</v>
      </c>
      <c r="F19" s="159">
        <v>500</v>
      </c>
    </row>
    <row r="20" spans="1:6" ht="15" customHeight="1" x14ac:dyDescent="0.3">
      <c r="A20" s="63" t="s">
        <v>1345</v>
      </c>
      <c r="B20" s="77"/>
      <c r="C20" s="77"/>
      <c r="D20" s="81"/>
      <c r="E20" s="63"/>
      <c r="F20" s="159"/>
    </row>
    <row r="21" spans="1:6" ht="15" customHeight="1" x14ac:dyDescent="0.3">
      <c r="A21" s="71" t="s">
        <v>1346</v>
      </c>
      <c r="B21" s="70" t="s">
        <v>328</v>
      </c>
      <c r="C21" s="70" t="s">
        <v>594</v>
      </c>
      <c r="D21" s="81" t="s">
        <v>197</v>
      </c>
      <c r="E21" s="71" t="s">
        <v>196</v>
      </c>
      <c r="F21" s="159">
        <v>99</v>
      </c>
    </row>
    <row r="22" spans="1:6" ht="15" customHeight="1" x14ac:dyDescent="0.3">
      <c r="A22" s="63" t="s">
        <v>1347</v>
      </c>
      <c r="B22" s="77" t="s">
        <v>333</v>
      </c>
      <c r="C22" s="77" t="s">
        <v>594</v>
      </c>
      <c r="D22" s="81" t="s">
        <v>197</v>
      </c>
      <c r="E22" s="63" t="s">
        <v>196</v>
      </c>
      <c r="F22" s="159">
        <v>99</v>
      </c>
    </row>
    <row r="23" spans="1:6" ht="15" customHeight="1" x14ac:dyDescent="0.3">
      <c r="A23" s="71" t="s">
        <v>1348</v>
      </c>
      <c r="B23" s="70" t="s">
        <v>331</v>
      </c>
      <c r="C23" s="70" t="s">
        <v>594</v>
      </c>
      <c r="D23" s="81" t="s">
        <v>197</v>
      </c>
      <c r="E23" s="71" t="s">
        <v>196</v>
      </c>
      <c r="F23" s="159">
        <v>99</v>
      </c>
    </row>
    <row r="24" spans="1:6" ht="15" customHeight="1" x14ac:dyDescent="0.3">
      <c r="A24" s="63" t="s">
        <v>1349</v>
      </c>
      <c r="B24" s="77" t="s">
        <v>268</v>
      </c>
      <c r="C24" s="77" t="s">
        <v>646</v>
      </c>
      <c r="D24" s="81" t="s">
        <v>197</v>
      </c>
      <c r="E24" s="63" t="s">
        <v>196</v>
      </c>
      <c r="F24" s="159">
        <v>300</v>
      </c>
    </row>
    <row r="25" spans="1:6" ht="15" customHeight="1" x14ac:dyDescent="0.3">
      <c r="A25" s="71" t="s">
        <v>1350</v>
      </c>
      <c r="B25" s="70" t="s">
        <v>234</v>
      </c>
      <c r="C25" s="70" t="s">
        <v>646</v>
      </c>
      <c r="D25" s="81" t="s">
        <v>197</v>
      </c>
      <c r="E25" s="71" t="s">
        <v>196</v>
      </c>
      <c r="F25" s="159">
        <v>300</v>
      </c>
    </row>
    <row r="26" spans="1:6" ht="15" customHeight="1" x14ac:dyDescent="0.3">
      <c r="A26" s="63" t="s">
        <v>1351</v>
      </c>
      <c r="B26" s="77" t="s">
        <v>230</v>
      </c>
      <c r="C26" s="77" t="s">
        <v>595</v>
      </c>
      <c r="D26" s="81" t="s">
        <v>197</v>
      </c>
      <c r="E26" s="63" t="s">
        <v>196</v>
      </c>
      <c r="F26" s="159">
        <v>200</v>
      </c>
    </row>
    <row r="27" spans="1:6" ht="15" customHeight="1" x14ac:dyDescent="0.3">
      <c r="A27" s="71" t="s">
        <v>1352</v>
      </c>
      <c r="B27" s="70" t="s">
        <v>232</v>
      </c>
      <c r="C27" s="70" t="s">
        <v>595</v>
      </c>
      <c r="D27" s="81" t="s">
        <v>197</v>
      </c>
      <c r="E27" s="71" t="s">
        <v>196</v>
      </c>
      <c r="F27" s="159">
        <v>200</v>
      </c>
    </row>
    <row r="28" spans="1:6" ht="15" customHeight="1" x14ac:dyDescent="0.3">
      <c r="A28" s="63" t="s">
        <v>1353</v>
      </c>
      <c r="B28" s="77" t="s">
        <v>319</v>
      </c>
      <c r="C28" s="77" t="s">
        <v>647</v>
      </c>
      <c r="D28" s="81" t="s">
        <v>197</v>
      </c>
      <c r="E28" s="63" t="s">
        <v>196</v>
      </c>
      <c r="F28" s="159">
        <v>51</v>
      </c>
    </row>
    <row r="29" spans="1:6" ht="15" customHeight="1" x14ac:dyDescent="0.3">
      <c r="A29" s="71" t="s">
        <v>1354</v>
      </c>
      <c r="B29" s="70" t="s">
        <v>274</v>
      </c>
      <c r="C29" s="70" t="s">
        <v>647</v>
      </c>
      <c r="D29" s="81" t="s">
        <v>197</v>
      </c>
      <c r="E29" s="71" t="s">
        <v>196</v>
      </c>
      <c r="F29" s="159">
        <v>75</v>
      </c>
    </row>
    <row r="30" spans="1:6" ht="15" customHeight="1" x14ac:dyDescent="0.3">
      <c r="A30" s="63" t="s">
        <v>1355</v>
      </c>
      <c r="B30" s="77" t="s">
        <v>426</v>
      </c>
      <c r="C30" s="77" t="s">
        <v>646</v>
      </c>
      <c r="D30" s="81" t="s">
        <v>197</v>
      </c>
      <c r="E30" s="63" t="s">
        <v>336</v>
      </c>
      <c r="F30" s="159">
        <v>1003</v>
      </c>
    </row>
    <row r="31" spans="1:6" ht="15" customHeight="1" x14ac:dyDescent="0.3">
      <c r="A31" s="71" t="s">
        <v>1356</v>
      </c>
      <c r="B31" s="70" t="s">
        <v>369</v>
      </c>
      <c r="C31" s="70" t="s">
        <v>595</v>
      </c>
      <c r="D31" s="81" t="s">
        <v>197</v>
      </c>
      <c r="E31" s="71" t="s">
        <v>336</v>
      </c>
      <c r="F31" s="159">
        <v>300</v>
      </c>
    </row>
    <row r="32" spans="1:6" ht="15" customHeight="1" x14ac:dyDescent="0.3">
      <c r="A32" s="63" t="s">
        <v>1356</v>
      </c>
      <c r="B32" s="77" t="s">
        <v>369</v>
      </c>
      <c r="C32" s="77" t="s">
        <v>595</v>
      </c>
      <c r="D32" s="81" t="s">
        <v>197</v>
      </c>
      <c r="E32" s="63" t="s">
        <v>336</v>
      </c>
      <c r="F32" s="159">
        <v>150</v>
      </c>
    </row>
    <row r="33" spans="1:6" ht="15" customHeight="1" x14ac:dyDescent="0.3">
      <c r="A33" s="71" t="s">
        <v>1357</v>
      </c>
      <c r="B33" s="70" t="s">
        <v>463</v>
      </c>
      <c r="C33" s="70" t="s">
        <v>595</v>
      </c>
      <c r="D33" s="81" t="s">
        <v>197</v>
      </c>
      <c r="E33" s="71" t="s">
        <v>336</v>
      </c>
      <c r="F33" s="159">
        <v>504</v>
      </c>
    </row>
    <row r="34" spans="1:6" ht="16.95" customHeight="1" x14ac:dyDescent="0.3">
      <c r="A34" s="194" t="s">
        <v>1358</v>
      </c>
      <c r="B34" s="195"/>
      <c r="C34" s="195"/>
      <c r="D34" s="195"/>
      <c r="E34" s="195"/>
      <c r="F34" s="196"/>
    </row>
    <row r="35" spans="1:6" ht="15" customHeight="1" x14ac:dyDescent="0.3">
      <c r="A35" s="71" t="s">
        <v>1359</v>
      </c>
      <c r="B35" s="70" t="s">
        <v>431</v>
      </c>
      <c r="C35" s="70" t="s">
        <v>595</v>
      </c>
      <c r="D35" s="81" t="s">
        <v>197</v>
      </c>
      <c r="E35" s="71" t="s">
        <v>336</v>
      </c>
      <c r="F35" s="159">
        <v>299</v>
      </c>
    </row>
    <row r="36" spans="1:6" ht="15" customHeight="1" x14ac:dyDescent="0.3">
      <c r="A36" s="63" t="s">
        <v>1360</v>
      </c>
      <c r="B36" s="77" t="s">
        <v>339</v>
      </c>
      <c r="C36" s="77" t="s">
        <v>595</v>
      </c>
      <c r="D36" s="81" t="s">
        <v>197</v>
      </c>
      <c r="E36" s="63" t="s">
        <v>336</v>
      </c>
      <c r="F36" s="159">
        <v>196</v>
      </c>
    </row>
    <row r="37" spans="1:6" ht="15" customHeight="1" x14ac:dyDescent="0.3">
      <c r="A37" s="71" t="s">
        <v>1361</v>
      </c>
      <c r="B37" s="70" t="s">
        <v>341</v>
      </c>
      <c r="C37" s="70" t="s">
        <v>595</v>
      </c>
      <c r="D37" s="81" t="s">
        <v>197</v>
      </c>
      <c r="E37" s="71" t="s">
        <v>336</v>
      </c>
      <c r="F37" s="159">
        <v>198</v>
      </c>
    </row>
    <row r="38" spans="1:6" ht="15" customHeight="1" x14ac:dyDescent="0.3">
      <c r="A38" s="63" t="s">
        <v>1353</v>
      </c>
      <c r="B38" s="77" t="s">
        <v>319</v>
      </c>
      <c r="C38" s="77" t="s">
        <v>647</v>
      </c>
      <c r="D38" s="81" t="s">
        <v>197</v>
      </c>
      <c r="E38" s="63" t="s">
        <v>336</v>
      </c>
      <c r="F38" s="159">
        <v>120</v>
      </c>
    </row>
    <row r="39" spans="1:6" ht="15" customHeight="1" x14ac:dyDescent="0.3">
      <c r="A39" s="71" t="s">
        <v>1362</v>
      </c>
      <c r="B39" s="70"/>
      <c r="C39" s="70"/>
      <c r="D39" s="81"/>
      <c r="E39" s="71"/>
      <c r="F39" s="159"/>
    </row>
    <row r="40" spans="1:6" ht="15" customHeight="1" x14ac:dyDescent="0.3">
      <c r="A40" s="63" t="s">
        <v>1363</v>
      </c>
      <c r="B40" s="77" t="s">
        <v>476</v>
      </c>
      <c r="C40" s="77" t="s">
        <v>594</v>
      </c>
      <c r="D40" s="81" t="s">
        <v>467</v>
      </c>
      <c r="E40" s="63" t="s">
        <v>466</v>
      </c>
      <c r="F40" s="159">
        <v>500</v>
      </c>
    </row>
    <row r="41" spans="1:6" ht="15" customHeight="1" x14ac:dyDescent="0.3">
      <c r="A41" s="71" t="s">
        <v>1364</v>
      </c>
      <c r="B41" s="70" t="s">
        <v>474</v>
      </c>
      <c r="C41" s="70" t="s">
        <v>594</v>
      </c>
      <c r="D41" s="81" t="s">
        <v>467</v>
      </c>
      <c r="E41" s="71" t="s">
        <v>466</v>
      </c>
      <c r="F41" s="159">
        <v>500</v>
      </c>
    </row>
    <row r="42" spans="1:6" ht="15" customHeight="1" x14ac:dyDescent="0.3">
      <c r="A42" s="63" t="s">
        <v>1365</v>
      </c>
      <c r="B42" s="77" t="s">
        <v>482</v>
      </c>
      <c r="C42" s="77" t="s">
        <v>594</v>
      </c>
      <c r="D42" s="81" t="s">
        <v>467</v>
      </c>
      <c r="E42" s="63" t="s">
        <v>466</v>
      </c>
      <c r="F42" s="159">
        <v>500</v>
      </c>
    </row>
    <row r="43" spans="1:6" ht="15" customHeight="1" x14ac:dyDescent="0.3">
      <c r="A43" s="71" t="s">
        <v>1366</v>
      </c>
      <c r="B43" s="70" t="s">
        <v>480</v>
      </c>
      <c r="C43" s="70" t="s">
        <v>594</v>
      </c>
      <c r="D43" s="81" t="s">
        <v>467</v>
      </c>
      <c r="E43" s="71" t="s">
        <v>466</v>
      </c>
      <c r="F43" s="159">
        <v>500</v>
      </c>
    </row>
    <row r="44" spans="1:6" ht="15" customHeight="1" x14ac:dyDescent="0.3">
      <c r="A44" s="63" t="s">
        <v>1367</v>
      </c>
      <c r="B44" s="77" t="s">
        <v>478</v>
      </c>
      <c r="C44" s="77" t="s">
        <v>594</v>
      </c>
      <c r="D44" s="81" t="s">
        <v>467</v>
      </c>
      <c r="E44" s="63" t="s">
        <v>466</v>
      </c>
      <c r="F44" s="159">
        <v>500</v>
      </c>
    </row>
    <row r="45" spans="1:6" ht="15" customHeight="1" x14ac:dyDescent="0.3">
      <c r="A45" s="71" t="s">
        <v>1368</v>
      </c>
      <c r="B45" s="70" t="s">
        <v>498</v>
      </c>
      <c r="C45" s="70" t="s">
        <v>651</v>
      </c>
      <c r="D45" s="81" t="s">
        <v>467</v>
      </c>
      <c r="E45" s="71" t="s">
        <v>466</v>
      </c>
      <c r="F45" s="159">
        <v>1250</v>
      </c>
    </row>
    <row r="46" spans="1:6" ht="15" customHeight="1" x14ac:dyDescent="0.3">
      <c r="A46" s="63" t="s">
        <v>1369</v>
      </c>
      <c r="B46" s="77" t="s">
        <v>496</v>
      </c>
      <c r="C46" s="77" t="s">
        <v>651</v>
      </c>
      <c r="D46" s="81" t="s">
        <v>467</v>
      </c>
      <c r="E46" s="63" t="s">
        <v>466</v>
      </c>
      <c r="F46" s="159">
        <v>1300</v>
      </c>
    </row>
    <row r="47" spans="1:6" ht="15" customHeight="1" x14ac:dyDescent="0.3">
      <c r="A47" s="71" t="s">
        <v>1370</v>
      </c>
      <c r="B47" s="70" t="s">
        <v>484</v>
      </c>
      <c r="C47" s="70" t="s">
        <v>651</v>
      </c>
      <c r="D47" s="81" t="s">
        <v>467</v>
      </c>
      <c r="E47" s="71" t="s">
        <v>466</v>
      </c>
      <c r="F47" s="159">
        <v>2195</v>
      </c>
    </row>
    <row r="48" spans="1:6" ht="15" customHeight="1" x14ac:dyDescent="0.3">
      <c r="A48" s="63" t="s">
        <v>1371</v>
      </c>
      <c r="B48" s="77" t="s">
        <v>488</v>
      </c>
      <c r="C48" s="77" t="s">
        <v>651</v>
      </c>
      <c r="D48" s="81" t="s">
        <v>467</v>
      </c>
      <c r="E48" s="63" t="s">
        <v>466</v>
      </c>
      <c r="F48" s="159">
        <v>1242</v>
      </c>
    </row>
    <row r="49" spans="1:6" ht="15" customHeight="1" x14ac:dyDescent="0.3">
      <c r="A49" s="71" t="s">
        <v>1372</v>
      </c>
      <c r="B49" s="70" t="s">
        <v>486</v>
      </c>
      <c r="C49" s="70" t="s">
        <v>651</v>
      </c>
      <c r="D49" s="81" t="s">
        <v>467</v>
      </c>
      <c r="E49" s="71" t="s">
        <v>466</v>
      </c>
      <c r="F49" s="159">
        <v>1243</v>
      </c>
    </row>
    <row r="50" spans="1:6" ht="15" customHeight="1" x14ac:dyDescent="0.3">
      <c r="A50" s="63" t="s">
        <v>1373</v>
      </c>
      <c r="B50" s="77" t="s">
        <v>492</v>
      </c>
      <c r="C50" s="77" t="s">
        <v>651</v>
      </c>
      <c r="D50" s="81" t="s">
        <v>467</v>
      </c>
      <c r="E50" s="63" t="s">
        <v>466</v>
      </c>
      <c r="F50" s="159">
        <v>1250</v>
      </c>
    </row>
    <row r="51" spans="1:6" ht="15" customHeight="1" x14ac:dyDescent="0.3">
      <c r="A51" s="71" t="s">
        <v>1374</v>
      </c>
      <c r="B51" s="70" t="s">
        <v>494</v>
      </c>
      <c r="C51" s="70" t="s">
        <v>651</v>
      </c>
      <c r="D51" s="81" t="s">
        <v>467</v>
      </c>
      <c r="E51" s="71" t="s">
        <v>466</v>
      </c>
      <c r="F51" s="159">
        <v>1300</v>
      </c>
    </row>
    <row r="52" spans="1:6" ht="18" customHeight="1" x14ac:dyDescent="0.3">
      <c r="A52" s="67" t="s">
        <v>1375</v>
      </c>
      <c r="B52" s="67" t="s">
        <v>490</v>
      </c>
      <c r="C52" s="67" t="s">
        <v>651</v>
      </c>
      <c r="D52" s="67" t="s">
        <v>467</v>
      </c>
      <c r="E52" s="67" t="s">
        <v>466</v>
      </c>
      <c r="F52" s="69">
        <v>1250</v>
      </c>
    </row>
    <row r="53" spans="1:6" x14ac:dyDescent="0.3">
      <c r="A53" t="s">
        <v>1376</v>
      </c>
      <c r="B53" t="s">
        <v>471</v>
      </c>
      <c r="C53" t="s">
        <v>647</v>
      </c>
      <c r="D53" t="s">
        <v>467</v>
      </c>
      <c r="E53" t="s">
        <v>466</v>
      </c>
      <c r="F53">
        <v>300</v>
      </c>
    </row>
    <row r="54" spans="1:6" x14ac:dyDescent="0.3">
      <c r="A54" t="s">
        <v>1336</v>
      </c>
      <c r="B54" t="s">
        <v>29</v>
      </c>
      <c r="C54" t="s">
        <v>595</v>
      </c>
      <c r="D54" t="s">
        <v>467</v>
      </c>
      <c r="E54" t="s">
        <v>504</v>
      </c>
      <c r="F54">
        <v>504</v>
      </c>
    </row>
    <row r="55" spans="1:6" x14ac:dyDescent="0.3">
      <c r="A55" t="s">
        <v>1354</v>
      </c>
      <c r="B55" t="s">
        <v>274</v>
      </c>
      <c r="C55" t="s">
        <v>647</v>
      </c>
      <c r="D55" t="s">
        <v>467</v>
      </c>
      <c r="E55" t="s">
        <v>504</v>
      </c>
      <c r="F55">
        <v>150</v>
      </c>
    </row>
    <row r="56" spans="1:6" x14ac:dyDescent="0.3">
      <c r="A56" t="s">
        <v>1311</v>
      </c>
      <c r="B56" t="s">
        <v>526</v>
      </c>
      <c r="C56" t="s">
        <v>647</v>
      </c>
      <c r="D56" t="s">
        <v>467</v>
      </c>
      <c r="E56" t="s">
        <v>504</v>
      </c>
      <c r="F56">
        <v>102</v>
      </c>
    </row>
    <row r="57" spans="1:6" x14ac:dyDescent="0.3">
      <c r="A57" t="s">
        <v>581</v>
      </c>
      <c r="C57" t="s">
        <v>1377</v>
      </c>
      <c r="F57">
        <v>22905</v>
      </c>
    </row>
  </sheetData>
  <autoFilter ref="A2:F51" xr:uid="{00000000-0009-0000-0000-00000A000000}"/>
  <mergeCells count="3">
    <mergeCell ref="A3:F3"/>
    <mergeCell ref="A1:F1"/>
    <mergeCell ref="A34:F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X452"/>
  <sheetViews>
    <sheetView topLeftCell="A2" zoomScaleNormal="100" workbookViewId="0">
      <pane xSplit="5" ySplit="5" topLeftCell="P7" activePane="bottomRight" state="frozen"/>
      <selection activeCell="A2" sqref="A2"/>
      <selection pane="topRight" activeCell="F2" sqref="F2"/>
      <selection pane="bottomLeft" activeCell="A7" sqref="A7"/>
      <selection pane="bottomRight" activeCell="P23" sqref="P23"/>
    </sheetView>
  </sheetViews>
  <sheetFormatPr baseColWidth="10" defaultRowHeight="14.4" x14ac:dyDescent="0.3"/>
  <cols>
    <col min="1" max="1" width="17.77734375" style="161" bestFit="1" customWidth="1"/>
    <col min="2" max="2" width="19.5546875" style="161" bestFit="1" customWidth="1"/>
    <col min="3" max="3" width="20.21875" style="162" customWidth="1"/>
    <col min="4" max="4" width="18.109375" style="162" bestFit="1" customWidth="1"/>
    <col min="5" max="5" width="13.21875" style="161" bestFit="1" customWidth="1"/>
    <col min="6" max="6" width="10.109375" style="161" bestFit="1" customWidth="1"/>
    <col min="7" max="7" width="13.44140625" style="161" bestFit="1" customWidth="1"/>
    <col min="8" max="8" width="23.21875" style="161" bestFit="1" customWidth="1"/>
    <col min="9" max="9" width="16.44140625" style="161" bestFit="1" customWidth="1"/>
    <col min="10" max="10" width="17.33203125" style="161" bestFit="1" customWidth="1"/>
    <col min="11" max="11" width="17.88671875" style="161" bestFit="1" customWidth="1"/>
    <col min="12" max="12" width="14.44140625" style="161" bestFit="1" customWidth="1"/>
    <col min="13" max="13" width="24.21875" style="161" bestFit="1" customWidth="1"/>
    <col min="14" max="14" width="17.44140625" style="161" bestFit="1" customWidth="1"/>
    <col min="15" max="15" width="18.33203125" style="161" bestFit="1" customWidth="1"/>
    <col min="16" max="16" width="17.33203125" style="161" bestFit="1" customWidth="1"/>
    <col min="17" max="17" width="13.88671875" style="161" bestFit="1" customWidth="1"/>
    <col min="18" max="18" width="23.6640625" style="161" bestFit="1" customWidth="1"/>
    <col min="19" max="19" width="16.88671875" style="161" bestFit="1" customWidth="1"/>
    <col min="20" max="34" width="17.77734375" style="161" bestFit="1" customWidth="1"/>
    <col min="35" max="43" width="17.5546875" style="161" bestFit="1" customWidth="1"/>
    <col min="44" max="48" width="11.5546875" style="161" customWidth="1"/>
    <col min="49" max="16384" width="11.5546875" style="161"/>
  </cols>
  <sheetData>
    <row r="1" spans="1:24" x14ac:dyDescent="0.3">
      <c r="A1" s="161" t="s">
        <v>581</v>
      </c>
      <c r="B1" s="161" t="s">
        <v>1378</v>
      </c>
    </row>
    <row r="2" spans="1:24" x14ac:dyDescent="0.3">
      <c r="A2" s="161" t="s">
        <v>1379</v>
      </c>
      <c r="B2" s="161" t="s">
        <v>1380</v>
      </c>
    </row>
    <row r="3" spans="1:24" x14ac:dyDescent="0.3">
      <c r="A3" s="161" t="s">
        <v>1381</v>
      </c>
      <c r="B3" s="161" t="s">
        <v>1380</v>
      </c>
      <c r="D3" s="163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</row>
    <row r="4" spans="1:24" x14ac:dyDescent="0.3">
      <c r="C4" s="161"/>
    </row>
    <row r="5" spans="1:24" ht="16.2" customHeight="1" x14ac:dyDescent="0.3">
      <c r="C5" s="161"/>
      <c r="D5" s="161"/>
      <c r="F5" s="161" t="s">
        <v>1382</v>
      </c>
    </row>
    <row r="6" spans="1:24" x14ac:dyDescent="0.3">
      <c r="A6" s="161" t="s">
        <v>638</v>
      </c>
      <c r="B6" s="161" t="s">
        <v>1383</v>
      </c>
      <c r="C6" s="161" t="s">
        <v>1384</v>
      </c>
      <c r="D6" s="161" t="s">
        <v>1385</v>
      </c>
      <c r="E6" s="161" t="s">
        <v>677</v>
      </c>
      <c r="F6" s="161" t="s">
        <v>1386</v>
      </c>
      <c r="G6" s="161" t="s">
        <v>1387</v>
      </c>
      <c r="H6" s="161" t="s">
        <v>1388</v>
      </c>
      <c r="I6" s="161" t="s">
        <v>1389</v>
      </c>
      <c r="J6" s="161" t="s">
        <v>1390</v>
      </c>
      <c r="K6" s="161" t="s">
        <v>1391</v>
      </c>
      <c r="L6" s="161" t="s">
        <v>1387</v>
      </c>
      <c r="M6" s="161" t="s">
        <v>1388</v>
      </c>
      <c r="N6" s="161" t="s">
        <v>1389</v>
      </c>
      <c r="O6" s="161" t="s">
        <v>1390</v>
      </c>
      <c r="P6" s="161" t="s">
        <v>1392</v>
      </c>
      <c r="Q6" s="161" t="s">
        <v>1393</v>
      </c>
      <c r="R6" s="161" t="s">
        <v>1394</v>
      </c>
      <c r="S6" s="161" t="s">
        <v>1395</v>
      </c>
      <c r="T6" s="161" t="s">
        <v>1396</v>
      </c>
    </row>
    <row r="7" spans="1:24" x14ac:dyDescent="0.3">
      <c r="A7" s="161" t="s">
        <v>594</v>
      </c>
      <c r="C7" s="161"/>
      <c r="D7" s="161"/>
      <c r="F7" s="165">
        <v>58043</v>
      </c>
      <c r="G7" s="165">
        <v>14250</v>
      </c>
      <c r="H7" s="165">
        <v>59988</v>
      </c>
      <c r="I7" s="165">
        <v>8230.3499999999985</v>
      </c>
      <c r="J7" s="166">
        <v>8.1228786018632206</v>
      </c>
      <c r="K7" s="165">
        <v>52323.149999999987</v>
      </c>
      <c r="L7" s="165">
        <v>16354.98620689655</v>
      </c>
      <c r="M7" s="165">
        <v>68678.136206896568</v>
      </c>
      <c r="N7" s="165">
        <v>7357.42</v>
      </c>
      <c r="O7" s="166">
        <v>9.6127057170039372</v>
      </c>
      <c r="P7" s="165">
        <v>52835.489999999983</v>
      </c>
      <c r="Q7" s="165">
        <v>2700</v>
      </c>
      <c r="R7" s="165">
        <v>69940.476206896536</v>
      </c>
      <c r="S7" s="165">
        <v>6567.4299999999976</v>
      </c>
      <c r="T7" s="166">
        <v>9.9780357556063475</v>
      </c>
    </row>
    <row r="8" spans="1:24" x14ac:dyDescent="0.3">
      <c r="A8" s="161" t="s">
        <v>595</v>
      </c>
      <c r="C8" s="161"/>
      <c r="D8" s="161"/>
      <c r="F8" s="165">
        <v>30490</v>
      </c>
      <c r="G8" s="165">
        <v>18274</v>
      </c>
      <c r="H8" s="165">
        <v>33953</v>
      </c>
      <c r="I8" s="165">
        <v>10405.299999999999</v>
      </c>
      <c r="J8" s="166">
        <v>3.389097950750128</v>
      </c>
      <c r="K8" s="165">
        <v>24702.7</v>
      </c>
      <c r="L8" s="165">
        <v>9055</v>
      </c>
      <c r="M8" s="165">
        <v>33322.699999999997</v>
      </c>
      <c r="N8" s="165">
        <v>10485</v>
      </c>
      <c r="O8" s="166">
        <v>3.127776004805797</v>
      </c>
      <c r="P8" s="165">
        <v>20138.3</v>
      </c>
      <c r="Q8" s="165">
        <v>9146</v>
      </c>
      <c r="R8" s="165">
        <v>30465.30000000001</v>
      </c>
      <c r="S8" s="165">
        <v>9164.5999999999985</v>
      </c>
      <c r="T8" s="166">
        <v>2.9054694578227092</v>
      </c>
    </row>
    <row r="9" spans="1:24" ht="16.2" customHeight="1" x14ac:dyDescent="0.3">
      <c r="A9" s="161" t="s">
        <v>646</v>
      </c>
      <c r="C9" s="161"/>
      <c r="D9" s="161"/>
      <c r="F9" s="165">
        <v>10544</v>
      </c>
      <c r="G9" s="165">
        <v>4031</v>
      </c>
      <c r="H9" s="165">
        <v>12772</v>
      </c>
      <c r="I9" s="165">
        <v>3855</v>
      </c>
      <c r="J9" s="166">
        <v>4.0180369127516782</v>
      </c>
      <c r="K9" s="165">
        <v>9387</v>
      </c>
      <c r="L9" s="165">
        <v>5044.7241379310344</v>
      </c>
      <c r="M9" s="165">
        <v>14431.724137931031</v>
      </c>
      <c r="N9" s="165">
        <v>3240</v>
      </c>
      <c r="O9" s="166">
        <v>4.5819845924217493</v>
      </c>
      <c r="P9" s="165">
        <v>8660</v>
      </c>
      <c r="Q9" s="165">
        <v>458</v>
      </c>
      <c r="R9" s="165">
        <v>12688.724137931031</v>
      </c>
      <c r="S9" s="165">
        <v>2441</v>
      </c>
      <c r="T9" s="166">
        <v>3.4318583135406691</v>
      </c>
    </row>
    <row r="10" spans="1:24" x14ac:dyDescent="0.3">
      <c r="A10" s="161" t="s">
        <v>647</v>
      </c>
      <c r="C10" s="161"/>
      <c r="D10" s="161"/>
      <c r="F10" s="165">
        <v>1084</v>
      </c>
      <c r="G10" s="165">
        <v>1440</v>
      </c>
      <c r="H10" s="165">
        <v>1382</v>
      </c>
      <c r="I10" s="165">
        <v>680.5</v>
      </c>
      <c r="J10" s="166">
        <v>1.6739679014837989</v>
      </c>
      <c r="K10" s="165">
        <v>981.5</v>
      </c>
      <c r="L10" s="165">
        <v>1290</v>
      </c>
      <c r="M10" s="165">
        <v>2271.5</v>
      </c>
      <c r="N10" s="165">
        <v>818.5</v>
      </c>
      <c r="O10" s="166">
        <v>2.1464682258445551</v>
      </c>
      <c r="P10" s="165">
        <v>1449</v>
      </c>
      <c r="Q10" s="165">
        <v>2200</v>
      </c>
      <c r="R10" s="165">
        <v>2419</v>
      </c>
      <c r="S10" s="165">
        <v>977.75</v>
      </c>
      <c r="T10" s="166">
        <v>1.9397260273972601</v>
      </c>
    </row>
    <row r="11" spans="1:24" x14ac:dyDescent="0.3">
      <c r="A11" s="161" t="s">
        <v>648</v>
      </c>
      <c r="C11" s="161"/>
      <c r="D11" s="161"/>
      <c r="F11" s="165">
        <v>862</v>
      </c>
      <c r="G11" s="165">
        <v>1110</v>
      </c>
      <c r="H11" s="165">
        <v>1316</v>
      </c>
      <c r="I11" s="165">
        <v>400.5</v>
      </c>
      <c r="J11" s="166">
        <v>3.472906403940887</v>
      </c>
      <c r="K11" s="165">
        <v>916.5</v>
      </c>
      <c r="L11" s="165">
        <v>250</v>
      </c>
      <c r="M11" s="165">
        <v>1166.5</v>
      </c>
      <c r="N11" s="165">
        <v>395.5</v>
      </c>
      <c r="O11" s="166">
        <v>3.319263966612918</v>
      </c>
      <c r="P11" s="165">
        <v>623</v>
      </c>
      <c r="Q11" s="165">
        <v>0</v>
      </c>
      <c r="R11" s="165">
        <v>873</v>
      </c>
      <c r="S11" s="165">
        <v>340.8</v>
      </c>
      <c r="T11" s="166">
        <v>2.256202618883528</v>
      </c>
    </row>
    <row r="12" spans="1:24" x14ac:dyDescent="0.3">
      <c r="A12" s="161" t="s">
        <v>650</v>
      </c>
      <c r="C12" s="161"/>
      <c r="D12" s="161"/>
      <c r="F12" s="165">
        <v>575</v>
      </c>
      <c r="G12" s="165">
        <v>200</v>
      </c>
      <c r="H12" s="165">
        <v>1058</v>
      </c>
      <c r="I12" s="165">
        <v>330</v>
      </c>
      <c r="J12" s="166">
        <v>3.3410526315789468</v>
      </c>
      <c r="K12" s="165">
        <v>728</v>
      </c>
      <c r="L12" s="165">
        <v>0</v>
      </c>
      <c r="M12" s="165">
        <v>728</v>
      </c>
      <c r="N12" s="165">
        <v>310</v>
      </c>
      <c r="O12" s="166">
        <v>1.56</v>
      </c>
      <c r="P12" s="165">
        <v>511</v>
      </c>
      <c r="Q12" s="165">
        <v>3200</v>
      </c>
      <c r="R12" s="165">
        <v>711</v>
      </c>
      <c r="S12" s="165">
        <v>310</v>
      </c>
      <c r="T12" s="166">
        <v>1.2119318181818179</v>
      </c>
    </row>
    <row r="13" spans="1:24" x14ac:dyDescent="0.3">
      <c r="A13" s="161" t="s">
        <v>649</v>
      </c>
      <c r="C13" s="161"/>
      <c r="D13" s="161"/>
      <c r="F13" s="165">
        <v>1741</v>
      </c>
      <c r="G13" s="165">
        <v>1075</v>
      </c>
      <c r="H13" s="165">
        <v>2119</v>
      </c>
      <c r="I13" s="165">
        <v>602.09999999999991</v>
      </c>
      <c r="J13" s="166">
        <v>3.478141927012091</v>
      </c>
      <c r="K13" s="165">
        <v>1606.9</v>
      </c>
      <c r="L13" s="165">
        <v>0</v>
      </c>
      <c r="M13" s="165">
        <v>1606.9</v>
      </c>
      <c r="N13" s="165">
        <v>882.40000000000009</v>
      </c>
      <c r="O13" s="166">
        <v>2.6964425550956479</v>
      </c>
      <c r="P13" s="165">
        <v>1029.0999999999999</v>
      </c>
      <c r="Q13" s="165">
        <v>380</v>
      </c>
      <c r="R13" s="165">
        <v>1029.0999999999999</v>
      </c>
      <c r="S13" s="165">
        <v>343.2</v>
      </c>
      <c r="T13" s="166">
        <v>1.664402393660035</v>
      </c>
    </row>
    <row r="14" spans="1:24" x14ac:dyDescent="0.3">
      <c r="A14" s="161" t="s">
        <v>651</v>
      </c>
      <c r="C14" s="161"/>
      <c r="D14" s="161"/>
      <c r="F14" s="165">
        <v>9721</v>
      </c>
      <c r="G14" s="165">
        <v>0</v>
      </c>
      <c r="H14" s="165">
        <v>10028</v>
      </c>
      <c r="I14" s="165">
        <v>389.5</v>
      </c>
      <c r="J14" s="166">
        <v>27.453914947983201</v>
      </c>
      <c r="K14" s="165">
        <v>9638.5</v>
      </c>
      <c r="L14" s="165">
        <v>0</v>
      </c>
      <c r="M14" s="165">
        <v>9638.5</v>
      </c>
      <c r="N14" s="165">
        <v>319.5</v>
      </c>
      <c r="O14" s="166">
        <v>22.479592630024101</v>
      </c>
      <c r="P14" s="165">
        <v>9319</v>
      </c>
      <c r="Q14" s="165">
        <v>0</v>
      </c>
      <c r="R14" s="165">
        <v>9319</v>
      </c>
      <c r="S14" s="165">
        <v>386.80000000000018</v>
      </c>
      <c r="T14" s="166">
        <v>17.596299093655588</v>
      </c>
    </row>
    <row r="15" spans="1:24" x14ac:dyDescent="0.3">
      <c r="A15" s="161" t="s">
        <v>1397</v>
      </c>
      <c r="C15" s="161"/>
      <c r="D15" s="161"/>
      <c r="F15" s="165">
        <v>113060</v>
      </c>
      <c r="G15" s="165">
        <v>40380</v>
      </c>
      <c r="H15" s="165">
        <v>122616</v>
      </c>
      <c r="I15" s="165">
        <v>24893.25</v>
      </c>
      <c r="J15" s="166">
        <v>5.3131772857366757</v>
      </c>
      <c r="K15" s="165">
        <v>100284.25</v>
      </c>
      <c r="L15" s="165">
        <v>31994.710344827588</v>
      </c>
      <c r="M15" s="165">
        <v>131843.96034482759</v>
      </c>
      <c r="N15" s="165">
        <v>23808.32</v>
      </c>
      <c r="O15" s="166">
        <v>5.5282727187332954</v>
      </c>
      <c r="P15" s="165">
        <v>94564.889999999985</v>
      </c>
      <c r="Q15" s="165">
        <v>18084</v>
      </c>
      <c r="R15" s="165">
        <v>127445.6003448276</v>
      </c>
      <c r="S15" s="165">
        <v>20531.579999999991</v>
      </c>
      <c r="T15" s="166">
        <v>5.1889714099924653</v>
      </c>
    </row>
    <row r="16" spans="1:24" x14ac:dyDescent="0.3">
      <c r="C16" s="161"/>
      <c r="D16" s="161"/>
    </row>
    <row r="17" s="161" customFormat="1" x14ac:dyDescent="0.3"/>
    <row r="18" s="161" customFormat="1" x14ac:dyDescent="0.3"/>
    <row r="19" s="161" customFormat="1" x14ac:dyDescent="0.3"/>
    <row r="20" s="161" customFormat="1" x14ac:dyDescent="0.3"/>
    <row r="21" s="161" customFormat="1" x14ac:dyDescent="0.3"/>
    <row r="22" s="161" customFormat="1" x14ac:dyDescent="0.3"/>
    <row r="23" s="161" customFormat="1" x14ac:dyDescent="0.3"/>
    <row r="24" s="161" customFormat="1" x14ac:dyDescent="0.3"/>
    <row r="25" s="161" customFormat="1" x14ac:dyDescent="0.3"/>
    <row r="26" s="161" customFormat="1" x14ac:dyDescent="0.3"/>
    <row r="27" s="161" customFormat="1" x14ac:dyDescent="0.3"/>
    <row r="28" s="161" customFormat="1" x14ac:dyDescent="0.3"/>
    <row r="29" s="161" customFormat="1" x14ac:dyDescent="0.3"/>
    <row r="30" s="161" customFormat="1" x14ac:dyDescent="0.3"/>
    <row r="31" s="161" customFormat="1" x14ac:dyDescent="0.3"/>
    <row r="32" s="161" customFormat="1" x14ac:dyDescent="0.3"/>
    <row r="33" s="161" customFormat="1" x14ac:dyDescent="0.3"/>
    <row r="34" s="161" customFormat="1" x14ac:dyDescent="0.3"/>
    <row r="35" s="161" customFormat="1" x14ac:dyDescent="0.3"/>
    <row r="36" s="161" customFormat="1" x14ac:dyDescent="0.3"/>
    <row r="37" s="161" customFormat="1" x14ac:dyDescent="0.3"/>
    <row r="38" s="161" customFormat="1" x14ac:dyDescent="0.3"/>
    <row r="39" s="161" customFormat="1" x14ac:dyDescent="0.3"/>
    <row r="40" s="161" customFormat="1" x14ac:dyDescent="0.3"/>
    <row r="41" s="161" customFormat="1" x14ac:dyDescent="0.3"/>
    <row r="42" s="161" customFormat="1" x14ac:dyDescent="0.3"/>
    <row r="43" s="161" customFormat="1" x14ac:dyDescent="0.3"/>
    <row r="44" s="161" customFormat="1" x14ac:dyDescent="0.3"/>
    <row r="45" s="161" customFormat="1" x14ac:dyDescent="0.3"/>
    <row r="46" s="161" customFormat="1" x14ac:dyDescent="0.3"/>
    <row r="47" s="161" customFormat="1" x14ac:dyDescent="0.3"/>
    <row r="48" s="161" customFormat="1" x14ac:dyDescent="0.3"/>
    <row r="49" s="161" customFormat="1" x14ac:dyDescent="0.3"/>
    <row r="50" s="161" customFormat="1" x14ac:dyDescent="0.3"/>
    <row r="51" s="161" customFormat="1" x14ac:dyDescent="0.3"/>
    <row r="52" s="161" customFormat="1" x14ac:dyDescent="0.3"/>
    <row r="53" s="161" customFormat="1" x14ac:dyDescent="0.3"/>
    <row r="54" s="161" customFormat="1" x14ac:dyDescent="0.3"/>
    <row r="55" s="161" customFormat="1" x14ac:dyDescent="0.3"/>
    <row r="56" s="161" customFormat="1" x14ac:dyDescent="0.3"/>
    <row r="57" s="161" customFormat="1" x14ac:dyDescent="0.3"/>
    <row r="58" s="161" customFormat="1" x14ac:dyDescent="0.3"/>
    <row r="59" s="161" customFormat="1" x14ac:dyDescent="0.3"/>
    <row r="60" s="161" customFormat="1" x14ac:dyDescent="0.3"/>
    <row r="61" s="161" customFormat="1" x14ac:dyDescent="0.3"/>
    <row r="62" s="161" customFormat="1" x14ac:dyDescent="0.3"/>
    <row r="63" s="161" customFormat="1" x14ac:dyDescent="0.3"/>
    <row r="64" s="161" customFormat="1" x14ac:dyDescent="0.3"/>
    <row r="65" s="161" customFormat="1" x14ac:dyDescent="0.3"/>
    <row r="66" s="161" customFormat="1" x14ac:dyDescent="0.3"/>
    <row r="67" s="161" customFormat="1" x14ac:dyDescent="0.3"/>
    <row r="68" s="161" customFormat="1" x14ac:dyDescent="0.3"/>
    <row r="69" s="161" customFormat="1" x14ac:dyDescent="0.3"/>
    <row r="70" s="161" customFormat="1" x14ac:dyDescent="0.3"/>
    <row r="71" s="161" customFormat="1" x14ac:dyDescent="0.3"/>
    <row r="72" s="161" customFormat="1" x14ac:dyDescent="0.3"/>
    <row r="73" s="161" customFormat="1" x14ac:dyDescent="0.3"/>
    <row r="74" s="161" customFormat="1" x14ac:dyDescent="0.3"/>
    <row r="75" s="161" customFormat="1" x14ac:dyDescent="0.3"/>
    <row r="76" s="161" customFormat="1" x14ac:dyDescent="0.3"/>
    <row r="77" s="161" customFormat="1" x14ac:dyDescent="0.3"/>
    <row r="78" s="161" customFormat="1" x14ac:dyDescent="0.3"/>
    <row r="79" s="161" customFormat="1" x14ac:dyDescent="0.3"/>
    <row r="80" s="161" customFormat="1" x14ac:dyDescent="0.3"/>
    <row r="81" spans="3:4" x14ac:dyDescent="0.3">
      <c r="C81" s="161"/>
      <c r="D81" s="161"/>
    </row>
    <row r="82" spans="3:4" x14ac:dyDescent="0.3">
      <c r="C82" s="161"/>
      <c r="D82" s="161"/>
    </row>
    <row r="83" spans="3:4" x14ac:dyDescent="0.3">
      <c r="C83" s="161"/>
      <c r="D83" s="161"/>
    </row>
    <row r="84" spans="3:4" x14ac:dyDescent="0.3">
      <c r="C84" s="161"/>
      <c r="D84" s="161"/>
    </row>
    <row r="85" spans="3:4" x14ac:dyDescent="0.3">
      <c r="C85" s="161"/>
      <c r="D85" s="161"/>
    </row>
    <row r="86" spans="3:4" x14ac:dyDescent="0.3">
      <c r="C86" s="161"/>
    </row>
    <row r="87" spans="3:4" x14ac:dyDescent="0.3">
      <c r="C87" s="161"/>
    </row>
    <row r="88" spans="3:4" x14ac:dyDescent="0.3">
      <c r="C88" s="161"/>
    </row>
    <row r="89" spans="3:4" x14ac:dyDescent="0.3">
      <c r="C89" s="161"/>
    </row>
    <row r="90" spans="3:4" x14ac:dyDescent="0.3">
      <c r="C90" s="161"/>
    </row>
    <row r="91" spans="3:4" x14ac:dyDescent="0.3">
      <c r="C91" s="161"/>
    </row>
    <row r="92" spans="3:4" x14ac:dyDescent="0.3">
      <c r="C92" s="161"/>
    </row>
    <row r="93" spans="3:4" x14ac:dyDescent="0.3">
      <c r="C93" s="161"/>
    </row>
    <row r="94" spans="3:4" x14ac:dyDescent="0.3">
      <c r="C94" s="161"/>
    </row>
    <row r="95" spans="3:4" x14ac:dyDescent="0.3">
      <c r="C95" s="161"/>
    </row>
    <row r="96" spans="3:4" x14ac:dyDescent="0.3">
      <c r="C96" s="161"/>
    </row>
    <row r="97" spans="3:3" x14ac:dyDescent="0.3">
      <c r="C97" s="161"/>
    </row>
    <row r="98" spans="3:3" x14ac:dyDescent="0.3">
      <c r="C98" s="161"/>
    </row>
    <row r="99" spans="3:3" x14ac:dyDescent="0.3">
      <c r="C99" s="161"/>
    </row>
    <row r="100" spans="3:3" x14ac:dyDescent="0.3">
      <c r="C100" s="161"/>
    </row>
    <row r="101" spans="3:3" x14ac:dyDescent="0.3">
      <c r="C101" s="161"/>
    </row>
    <row r="102" spans="3:3" x14ac:dyDescent="0.3">
      <c r="C102" s="161"/>
    </row>
    <row r="103" spans="3:3" x14ac:dyDescent="0.3">
      <c r="C103" s="161"/>
    </row>
    <row r="104" spans="3:3" x14ac:dyDescent="0.3">
      <c r="C104" s="161"/>
    </row>
    <row r="105" spans="3:3" x14ac:dyDescent="0.3">
      <c r="C105" s="161"/>
    </row>
    <row r="106" spans="3:3" x14ac:dyDescent="0.3">
      <c r="C106" s="161"/>
    </row>
    <row r="107" spans="3:3" x14ac:dyDescent="0.3">
      <c r="C107" s="161"/>
    </row>
    <row r="108" spans="3:3" x14ac:dyDescent="0.3">
      <c r="C108" s="161"/>
    </row>
    <row r="109" spans="3:3" x14ac:dyDescent="0.3">
      <c r="C109" s="161"/>
    </row>
    <row r="110" spans="3:3" x14ac:dyDescent="0.3">
      <c r="C110" s="161"/>
    </row>
    <row r="111" spans="3:3" x14ac:dyDescent="0.3">
      <c r="C111" s="161"/>
    </row>
    <row r="112" spans="3:3" x14ac:dyDescent="0.3">
      <c r="C112" s="161"/>
    </row>
    <row r="113" spans="3:3" x14ac:dyDescent="0.3">
      <c r="C113" s="161"/>
    </row>
    <row r="114" spans="3:3" x14ac:dyDescent="0.3">
      <c r="C114" s="161"/>
    </row>
    <row r="115" spans="3:3" x14ac:dyDescent="0.3">
      <c r="C115" s="161"/>
    </row>
    <row r="116" spans="3:3" x14ac:dyDescent="0.3">
      <c r="C116" s="161"/>
    </row>
    <row r="117" spans="3:3" x14ac:dyDescent="0.3">
      <c r="C117" s="161"/>
    </row>
    <row r="118" spans="3:3" x14ac:dyDescent="0.3">
      <c r="C118" s="161"/>
    </row>
    <row r="119" spans="3:3" x14ac:dyDescent="0.3">
      <c r="C119" s="161"/>
    </row>
    <row r="120" spans="3:3" x14ac:dyDescent="0.3">
      <c r="C120" s="161"/>
    </row>
    <row r="121" spans="3:3" x14ac:dyDescent="0.3">
      <c r="C121" s="161"/>
    </row>
    <row r="122" spans="3:3" x14ac:dyDescent="0.3">
      <c r="C122" s="161"/>
    </row>
    <row r="123" spans="3:3" x14ac:dyDescent="0.3">
      <c r="C123" s="161"/>
    </row>
    <row r="124" spans="3:3" x14ac:dyDescent="0.3">
      <c r="C124" s="161"/>
    </row>
    <row r="125" spans="3:3" x14ac:dyDescent="0.3">
      <c r="C125" s="161"/>
    </row>
    <row r="126" spans="3:3" x14ac:dyDescent="0.3">
      <c r="C126" s="161"/>
    </row>
    <row r="127" spans="3:3" x14ac:dyDescent="0.3">
      <c r="C127" s="161"/>
    </row>
    <row r="128" spans="3:3" x14ac:dyDescent="0.3">
      <c r="C128" s="161"/>
    </row>
    <row r="129" spans="3:3" x14ac:dyDescent="0.3">
      <c r="C129" s="161"/>
    </row>
    <row r="130" spans="3:3" x14ac:dyDescent="0.3">
      <c r="C130" s="161"/>
    </row>
    <row r="131" spans="3:3" x14ac:dyDescent="0.3">
      <c r="C131" s="161"/>
    </row>
    <row r="132" spans="3:3" x14ac:dyDescent="0.3">
      <c r="C132" s="161"/>
    </row>
    <row r="133" spans="3:3" x14ac:dyDescent="0.3">
      <c r="C133" s="161"/>
    </row>
    <row r="134" spans="3:3" x14ac:dyDescent="0.3">
      <c r="C134" s="161"/>
    </row>
    <row r="135" spans="3:3" x14ac:dyDescent="0.3">
      <c r="C135" s="161"/>
    </row>
    <row r="136" spans="3:3" x14ac:dyDescent="0.3">
      <c r="C136" s="161"/>
    </row>
    <row r="137" spans="3:3" x14ac:dyDescent="0.3">
      <c r="C137" s="161"/>
    </row>
    <row r="138" spans="3:3" x14ac:dyDescent="0.3">
      <c r="C138" s="161"/>
    </row>
    <row r="139" spans="3:3" x14ac:dyDescent="0.3">
      <c r="C139" s="161"/>
    </row>
    <row r="140" spans="3:3" x14ac:dyDescent="0.3">
      <c r="C140" s="161"/>
    </row>
    <row r="141" spans="3:3" x14ac:dyDescent="0.3">
      <c r="C141" s="161"/>
    </row>
    <row r="142" spans="3:3" x14ac:dyDescent="0.3">
      <c r="C142" s="161"/>
    </row>
    <row r="143" spans="3:3" x14ac:dyDescent="0.3">
      <c r="C143" s="161"/>
    </row>
    <row r="144" spans="3:3" x14ac:dyDescent="0.3">
      <c r="C144" s="161"/>
    </row>
    <row r="145" spans="3:3" x14ac:dyDescent="0.3">
      <c r="C145" s="161"/>
    </row>
    <row r="146" spans="3:3" x14ac:dyDescent="0.3">
      <c r="C146" s="161"/>
    </row>
    <row r="147" spans="3:3" x14ac:dyDescent="0.3">
      <c r="C147" s="161"/>
    </row>
    <row r="148" spans="3:3" x14ac:dyDescent="0.3">
      <c r="C148" s="161"/>
    </row>
    <row r="149" spans="3:3" x14ac:dyDescent="0.3">
      <c r="C149" s="161"/>
    </row>
    <row r="150" spans="3:3" x14ac:dyDescent="0.3">
      <c r="C150" s="161"/>
    </row>
    <row r="151" spans="3:3" x14ac:dyDescent="0.3">
      <c r="C151" s="161"/>
    </row>
    <row r="152" spans="3:3" x14ac:dyDescent="0.3">
      <c r="C152" s="161"/>
    </row>
    <row r="153" spans="3:3" x14ac:dyDescent="0.3">
      <c r="C153" s="161"/>
    </row>
    <row r="154" spans="3:3" x14ac:dyDescent="0.3">
      <c r="C154" s="161"/>
    </row>
    <row r="155" spans="3:3" x14ac:dyDescent="0.3">
      <c r="C155" s="161"/>
    </row>
    <row r="156" spans="3:3" x14ac:dyDescent="0.3">
      <c r="C156" s="161"/>
    </row>
    <row r="157" spans="3:3" x14ac:dyDescent="0.3">
      <c r="C157" s="161"/>
    </row>
    <row r="158" spans="3:3" x14ac:dyDescent="0.3">
      <c r="C158" s="161"/>
    </row>
    <row r="159" spans="3:3" x14ac:dyDescent="0.3">
      <c r="C159" s="161"/>
    </row>
    <row r="160" spans="3:3" x14ac:dyDescent="0.3">
      <c r="C160" s="161"/>
    </row>
    <row r="161" spans="3:3" x14ac:dyDescent="0.3">
      <c r="C161" s="161"/>
    </row>
    <row r="162" spans="3:3" x14ac:dyDescent="0.3">
      <c r="C162" s="161"/>
    </row>
    <row r="163" spans="3:3" x14ac:dyDescent="0.3">
      <c r="C163" s="161"/>
    </row>
    <row r="164" spans="3:3" x14ac:dyDescent="0.3">
      <c r="C164" s="161"/>
    </row>
    <row r="165" spans="3:3" x14ac:dyDescent="0.3">
      <c r="C165" s="161"/>
    </row>
    <row r="166" spans="3:3" x14ac:dyDescent="0.3">
      <c r="C166" s="161"/>
    </row>
    <row r="167" spans="3:3" x14ac:dyDescent="0.3">
      <c r="C167" s="161"/>
    </row>
    <row r="168" spans="3:3" x14ac:dyDescent="0.3">
      <c r="C168" s="161"/>
    </row>
    <row r="169" spans="3:3" x14ac:dyDescent="0.3">
      <c r="C169" s="161"/>
    </row>
    <row r="170" spans="3:3" x14ac:dyDescent="0.3">
      <c r="C170" s="161"/>
    </row>
    <row r="171" spans="3:3" x14ac:dyDescent="0.3">
      <c r="C171" s="161"/>
    </row>
    <row r="172" spans="3:3" x14ac:dyDescent="0.3">
      <c r="C172" s="161"/>
    </row>
    <row r="173" spans="3:3" x14ac:dyDescent="0.3">
      <c r="C173" s="161"/>
    </row>
    <row r="174" spans="3:3" x14ac:dyDescent="0.3">
      <c r="C174" s="161"/>
    </row>
    <row r="175" spans="3:3" x14ac:dyDescent="0.3">
      <c r="C175" s="161"/>
    </row>
    <row r="176" spans="3:3" x14ac:dyDescent="0.3">
      <c r="C176" s="161"/>
    </row>
    <row r="177" spans="3:3" x14ac:dyDescent="0.3">
      <c r="C177" s="161"/>
    </row>
    <row r="178" spans="3:3" x14ac:dyDescent="0.3">
      <c r="C178" s="161"/>
    </row>
    <row r="179" spans="3:3" x14ac:dyDescent="0.3">
      <c r="C179" s="161"/>
    </row>
    <row r="180" spans="3:3" x14ac:dyDescent="0.3">
      <c r="C180" s="161"/>
    </row>
    <row r="181" spans="3:3" x14ac:dyDescent="0.3">
      <c r="C181" s="161"/>
    </row>
    <row r="182" spans="3:3" x14ac:dyDescent="0.3">
      <c r="C182" s="161"/>
    </row>
    <row r="183" spans="3:3" x14ac:dyDescent="0.3">
      <c r="C183" s="161"/>
    </row>
    <row r="184" spans="3:3" x14ac:dyDescent="0.3">
      <c r="C184" s="161"/>
    </row>
    <row r="185" spans="3:3" x14ac:dyDescent="0.3">
      <c r="C185" s="161"/>
    </row>
    <row r="186" spans="3:3" x14ac:dyDescent="0.3">
      <c r="C186" s="161"/>
    </row>
    <row r="187" spans="3:3" x14ac:dyDescent="0.3">
      <c r="C187" s="161"/>
    </row>
    <row r="188" spans="3:3" x14ac:dyDescent="0.3">
      <c r="C188" s="161"/>
    </row>
    <row r="189" spans="3:3" x14ac:dyDescent="0.3">
      <c r="C189" s="161"/>
    </row>
    <row r="190" spans="3:3" x14ac:dyDescent="0.3">
      <c r="C190" s="161"/>
    </row>
    <row r="191" spans="3:3" x14ac:dyDescent="0.3">
      <c r="C191" s="161"/>
    </row>
    <row r="192" spans="3:3" x14ac:dyDescent="0.3">
      <c r="C192" s="161"/>
    </row>
    <row r="193" spans="3:3" x14ac:dyDescent="0.3">
      <c r="C193" s="161"/>
    </row>
    <row r="194" spans="3:3" x14ac:dyDescent="0.3">
      <c r="C194" s="161"/>
    </row>
    <row r="195" spans="3:3" x14ac:dyDescent="0.3">
      <c r="C195" s="161"/>
    </row>
    <row r="196" spans="3:3" x14ac:dyDescent="0.3">
      <c r="C196" s="161"/>
    </row>
    <row r="197" spans="3:3" x14ac:dyDescent="0.3">
      <c r="C197" s="161"/>
    </row>
    <row r="198" spans="3:3" x14ac:dyDescent="0.3">
      <c r="C198" s="161"/>
    </row>
    <row r="199" spans="3:3" x14ac:dyDescent="0.3">
      <c r="C199" s="161"/>
    </row>
    <row r="200" spans="3:3" x14ac:dyDescent="0.3">
      <c r="C200" s="161"/>
    </row>
    <row r="201" spans="3:3" x14ac:dyDescent="0.3">
      <c r="C201" s="161"/>
    </row>
    <row r="202" spans="3:3" x14ac:dyDescent="0.3">
      <c r="C202" s="161"/>
    </row>
    <row r="203" spans="3:3" x14ac:dyDescent="0.3">
      <c r="C203" s="161"/>
    </row>
    <row r="204" spans="3:3" x14ac:dyDescent="0.3">
      <c r="C204" s="161"/>
    </row>
    <row r="205" spans="3:3" x14ac:dyDescent="0.3">
      <c r="C205" s="161"/>
    </row>
    <row r="206" spans="3:3" x14ac:dyDescent="0.3">
      <c r="C206" s="161"/>
    </row>
    <row r="207" spans="3:3" x14ac:dyDescent="0.3">
      <c r="C207" s="161"/>
    </row>
    <row r="208" spans="3:3" x14ac:dyDescent="0.3">
      <c r="C208" s="161"/>
    </row>
    <row r="209" spans="3:3" x14ac:dyDescent="0.3">
      <c r="C209" s="161"/>
    </row>
    <row r="210" spans="3:3" x14ac:dyDescent="0.3">
      <c r="C210" s="161"/>
    </row>
    <row r="211" spans="3:3" x14ac:dyDescent="0.3">
      <c r="C211" s="161"/>
    </row>
    <row r="212" spans="3:3" x14ac:dyDescent="0.3">
      <c r="C212" s="161"/>
    </row>
    <row r="213" spans="3:3" x14ac:dyDescent="0.3">
      <c r="C213" s="161"/>
    </row>
    <row r="214" spans="3:3" x14ac:dyDescent="0.3">
      <c r="C214" s="161"/>
    </row>
    <row r="215" spans="3:3" x14ac:dyDescent="0.3">
      <c r="C215" s="161"/>
    </row>
    <row r="216" spans="3:3" x14ac:dyDescent="0.3">
      <c r="C216" s="161"/>
    </row>
    <row r="217" spans="3:3" x14ac:dyDescent="0.3">
      <c r="C217" s="161"/>
    </row>
    <row r="218" spans="3:3" x14ac:dyDescent="0.3">
      <c r="C218" s="161"/>
    </row>
    <row r="219" spans="3:3" x14ac:dyDescent="0.3">
      <c r="C219" s="161"/>
    </row>
    <row r="220" spans="3:3" x14ac:dyDescent="0.3">
      <c r="C220" s="161"/>
    </row>
    <row r="221" spans="3:3" x14ac:dyDescent="0.3">
      <c r="C221" s="161"/>
    </row>
    <row r="222" spans="3:3" x14ac:dyDescent="0.3">
      <c r="C222" s="161"/>
    </row>
    <row r="223" spans="3:3" x14ac:dyDescent="0.3">
      <c r="C223" s="161"/>
    </row>
    <row r="224" spans="3:3" x14ac:dyDescent="0.3">
      <c r="C224" s="161"/>
    </row>
    <row r="225" spans="3:3" x14ac:dyDescent="0.3">
      <c r="C225" s="161"/>
    </row>
    <row r="226" spans="3:3" x14ac:dyDescent="0.3">
      <c r="C226" s="161"/>
    </row>
    <row r="227" spans="3:3" x14ac:dyDescent="0.3">
      <c r="C227" s="161"/>
    </row>
    <row r="228" spans="3:3" x14ac:dyDescent="0.3">
      <c r="C228" s="161"/>
    </row>
    <row r="229" spans="3:3" x14ac:dyDescent="0.3">
      <c r="C229" s="161"/>
    </row>
    <row r="230" spans="3:3" x14ac:dyDescent="0.3">
      <c r="C230" s="161"/>
    </row>
    <row r="231" spans="3:3" x14ac:dyDescent="0.3">
      <c r="C231" s="161"/>
    </row>
    <row r="232" spans="3:3" x14ac:dyDescent="0.3">
      <c r="C232" s="161"/>
    </row>
    <row r="233" spans="3:3" x14ac:dyDescent="0.3">
      <c r="C233" s="161"/>
    </row>
    <row r="234" spans="3:3" x14ac:dyDescent="0.3">
      <c r="C234" s="161"/>
    </row>
    <row r="235" spans="3:3" x14ac:dyDescent="0.3">
      <c r="C235" s="161"/>
    </row>
    <row r="236" spans="3:3" x14ac:dyDescent="0.3">
      <c r="C236" s="161"/>
    </row>
    <row r="237" spans="3:3" x14ac:dyDescent="0.3">
      <c r="C237" s="161"/>
    </row>
    <row r="238" spans="3:3" x14ac:dyDescent="0.3">
      <c r="C238" s="161"/>
    </row>
    <row r="239" spans="3:3" x14ac:dyDescent="0.3">
      <c r="C239" s="161"/>
    </row>
    <row r="240" spans="3:3" x14ac:dyDescent="0.3">
      <c r="C240" s="161"/>
    </row>
    <row r="241" spans="3:3" x14ac:dyDescent="0.3">
      <c r="C241" s="161"/>
    </row>
    <row r="242" spans="3:3" x14ac:dyDescent="0.3">
      <c r="C242" s="161"/>
    </row>
    <row r="243" spans="3:3" x14ac:dyDescent="0.3">
      <c r="C243" s="161"/>
    </row>
    <row r="244" spans="3:3" x14ac:dyDescent="0.3">
      <c r="C244" s="161"/>
    </row>
    <row r="245" spans="3:3" x14ac:dyDescent="0.3">
      <c r="C245" s="161"/>
    </row>
    <row r="246" spans="3:3" x14ac:dyDescent="0.3">
      <c r="C246" s="161"/>
    </row>
    <row r="247" spans="3:3" x14ac:dyDescent="0.3">
      <c r="C247" s="161"/>
    </row>
    <row r="248" spans="3:3" x14ac:dyDescent="0.3">
      <c r="C248" s="161"/>
    </row>
    <row r="249" spans="3:3" x14ac:dyDescent="0.3">
      <c r="C249" s="161"/>
    </row>
    <row r="250" spans="3:3" x14ac:dyDescent="0.3">
      <c r="C250" s="161"/>
    </row>
    <row r="251" spans="3:3" x14ac:dyDescent="0.3">
      <c r="C251" s="161"/>
    </row>
    <row r="252" spans="3:3" x14ac:dyDescent="0.3">
      <c r="C252" s="161"/>
    </row>
    <row r="253" spans="3:3" x14ac:dyDescent="0.3">
      <c r="C253" s="161"/>
    </row>
    <row r="254" spans="3:3" x14ac:dyDescent="0.3">
      <c r="C254" s="161"/>
    </row>
    <row r="255" spans="3:3" x14ac:dyDescent="0.3">
      <c r="C255" s="161"/>
    </row>
    <row r="256" spans="3:3" x14ac:dyDescent="0.3">
      <c r="C256" s="161"/>
    </row>
    <row r="257" spans="3:3" x14ac:dyDescent="0.3">
      <c r="C257" s="161"/>
    </row>
    <row r="258" spans="3:3" x14ac:dyDescent="0.3">
      <c r="C258" s="161"/>
    </row>
    <row r="259" spans="3:3" x14ac:dyDescent="0.3">
      <c r="C259" s="161"/>
    </row>
    <row r="260" spans="3:3" x14ac:dyDescent="0.3">
      <c r="C260" s="161"/>
    </row>
    <row r="261" spans="3:3" x14ac:dyDescent="0.3">
      <c r="C261" s="161"/>
    </row>
    <row r="262" spans="3:3" x14ac:dyDescent="0.3">
      <c r="C262" s="161"/>
    </row>
    <row r="263" spans="3:3" x14ac:dyDescent="0.3">
      <c r="C263" s="161"/>
    </row>
    <row r="264" spans="3:3" x14ac:dyDescent="0.3">
      <c r="C264" s="161"/>
    </row>
    <row r="265" spans="3:3" x14ac:dyDescent="0.3">
      <c r="C265" s="161"/>
    </row>
    <row r="266" spans="3:3" x14ac:dyDescent="0.3">
      <c r="C266" s="161"/>
    </row>
    <row r="267" spans="3:3" x14ac:dyDescent="0.3">
      <c r="C267" s="161"/>
    </row>
    <row r="268" spans="3:3" x14ac:dyDescent="0.3">
      <c r="C268" s="161"/>
    </row>
    <row r="269" spans="3:3" x14ac:dyDescent="0.3">
      <c r="C269" s="161"/>
    </row>
    <row r="270" spans="3:3" x14ac:dyDescent="0.3">
      <c r="C270" s="161"/>
    </row>
    <row r="271" spans="3:3" x14ac:dyDescent="0.3">
      <c r="C271" s="161"/>
    </row>
    <row r="272" spans="3:3" x14ac:dyDescent="0.3">
      <c r="C272" s="161"/>
    </row>
    <row r="273" spans="3:3" x14ac:dyDescent="0.3">
      <c r="C273" s="161"/>
    </row>
    <row r="274" spans="3:3" x14ac:dyDescent="0.3">
      <c r="C274" s="161"/>
    </row>
    <row r="275" spans="3:3" x14ac:dyDescent="0.3">
      <c r="C275" s="161"/>
    </row>
    <row r="276" spans="3:3" x14ac:dyDescent="0.3">
      <c r="C276" s="161"/>
    </row>
    <row r="277" spans="3:3" x14ac:dyDescent="0.3">
      <c r="C277" s="161"/>
    </row>
    <row r="278" spans="3:3" x14ac:dyDescent="0.3">
      <c r="C278" s="161"/>
    </row>
    <row r="279" spans="3:3" x14ac:dyDescent="0.3">
      <c r="C279" s="161"/>
    </row>
    <row r="280" spans="3:3" x14ac:dyDescent="0.3">
      <c r="C280" s="161"/>
    </row>
    <row r="281" spans="3:3" x14ac:dyDescent="0.3">
      <c r="C281" s="161"/>
    </row>
    <row r="282" spans="3:3" x14ac:dyDescent="0.3">
      <c r="C282" s="161"/>
    </row>
    <row r="283" spans="3:3" x14ac:dyDescent="0.3">
      <c r="C283" s="161"/>
    </row>
    <row r="284" spans="3:3" x14ac:dyDescent="0.3">
      <c r="C284" s="161"/>
    </row>
    <row r="285" spans="3:3" x14ac:dyDescent="0.3">
      <c r="C285" s="161"/>
    </row>
    <row r="286" spans="3:3" x14ac:dyDescent="0.3">
      <c r="C286" s="161"/>
    </row>
    <row r="287" spans="3:3" x14ac:dyDescent="0.3">
      <c r="C287" s="161"/>
    </row>
    <row r="288" spans="3:3" x14ac:dyDescent="0.3">
      <c r="C288" s="161"/>
    </row>
    <row r="289" spans="3:3" x14ac:dyDescent="0.3">
      <c r="C289" s="161"/>
    </row>
    <row r="290" spans="3:3" x14ac:dyDescent="0.3">
      <c r="C290" s="161"/>
    </row>
    <row r="291" spans="3:3" x14ac:dyDescent="0.3">
      <c r="C291" s="161"/>
    </row>
    <row r="292" spans="3:3" x14ac:dyDescent="0.3">
      <c r="C292" s="161"/>
    </row>
    <row r="293" spans="3:3" x14ac:dyDescent="0.3">
      <c r="C293" s="161"/>
    </row>
    <row r="294" spans="3:3" x14ac:dyDescent="0.3">
      <c r="C294" s="161"/>
    </row>
    <row r="295" spans="3:3" x14ac:dyDescent="0.3">
      <c r="C295" s="161"/>
    </row>
    <row r="296" spans="3:3" x14ac:dyDescent="0.3">
      <c r="C296" s="161"/>
    </row>
    <row r="297" spans="3:3" x14ac:dyDescent="0.3">
      <c r="C297" s="161"/>
    </row>
    <row r="298" spans="3:3" x14ac:dyDescent="0.3">
      <c r="C298" s="161"/>
    </row>
    <row r="299" spans="3:3" x14ac:dyDescent="0.3">
      <c r="C299" s="161"/>
    </row>
    <row r="300" spans="3:3" x14ac:dyDescent="0.3">
      <c r="C300" s="161"/>
    </row>
    <row r="301" spans="3:3" x14ac:dyDescent="0.3">
      <c r="C301" s="161"/>
    </row>
    <row r="302" spans="3:3" x14ac:dyDescent="0.3">
      <c r="C302" s="161"/>
    </row>
    <row r="303" spans="3:3" x14ac:dyDescent="0.3">
      <c r="C303" s="161"/>
    </row>
    <row r="304" spans="3:3" x14ac:dyDescent="0.3">
      <c r="C304" s="161"/>
    </row>
    <row r="305" spans="3:3" x14ac:dyDescent="0.3">
      <c r="C305" s="161"/>
    </row>
    <row r="306" spans="3:3" x14ac:dyDescent="0.3">
      <c r="C306" s="161"/>
    </row>
    <row r="307" spans="3:3" x14ac:dyDescent="0.3">
      <c r="C307" s="161"/>
    </row>
    <row r="308" spans="3:3" x14ac:dyDescent="0.3">
      <c r="C308" s="161"/>
    </row>
    <row r="309" spans="3:3" x14ac:dyDescent="0.3">
      <c r="C309" s="161"/>
    </row>
    <row r="310" spans="3:3" x14ac:dyDescent="0.3">
      <c r="C310" s="161"/>
    </row>
    <row r="311" spans="3:3" x14ac:dyDescent="0.3">
      <c r="C311" s="161"/>
    </row>
    <row r="312" spans="3:3" x14ac:dyDescent="0.3">
      <c r="C312" s="161"/>
    </row>
    <row r="313" spans="3:3" x14ac:dyDescent="0.3">
      <c r="C313" s="161"/>
    </row>
    <row r="314" spans="3:3" x14ac:dyDescent="0.3">
      <c r="C314" s="161"/>
    </row>
    <row r="315" spans="3:3" x14ac:dyDescent="0.3">
      <c r="C315" s="161"/>
    </row>
    <row r="316" spans="3:3" x14ac:dyDescent="0.3">
      <c r="C316" s="161"/>
    </row>
    <row r="317" spans="3:3" x14ac:dyDescent="0.3">
      <c r="C317" s="161"/>
    </row>
    <row r="318" spans="3:3" x14ac:dyDescent="0.3">
      <c r="C318" s="161"/>
    </row>
    <row r="319" spans="3:3" x14ac:dyDescent="0.3">
      <c r="C319" s="161"/>
    </row>
    <row r="320" spans="3:3" x14ac:dyDescent="0.3">
      <c r="C320" s="161"/>
    </row>
    <row r="321" spans="3:3" x14ac:dyDescent="0.3">
      <c r="C321" s="161"/>
    </row>
    <row r="322" spans="3:3" x14ac:dyDescent="0.3">
      <c r="C322" s="161"/>
    </row>
    <row r="323" spans="3:3" x14ac:dyDescent="0.3">
      <c r="C323" s="161"/>
    </row>
    <row r="324" spans="3:3" x14ac:dyDescent="0.3">
      <c r="C324" s="161"/>
    </row>
    <row r="325" spans="3:3" x14ac:dyDescent="0.3">
      <c r="C325" s="161"/>
    </row>
    <row r="326" spans="3:3" x14ac:dyDescent="0.3">
      <c r="C326" s="161"/>
    </row>
    <row r="327" spans="3:3" x14ac:dyDescent="0.3">
      <c r="C327" s="161"/>
    </row>
    <row r="328" spans="3:3" x14ac:dyDescent="0.3">
      <c r="C328" s="161"/>
    </row>
    <row r="329" spans="3:3" x14ac:dyDescent="0.3">
      <c r="C329" s="161"/>
    </row>
    <row r="330" spans="3:3" x14ac:dyDescent="0.3">
      <c r="C330" s="161"/>
    </row>
    <row r="331" spans="3:3" x14ac:dyDescent="0.3">
      <c r="C331" s="161"/>
    </row>
    <row r="332" spans="3:3" x14ac:dyDescent="0.3">
      <c r="C332" s="161"/>
    </row>
    <row r="333" spans="3:3" x14ac:dyDescent="0.3">
      <c r="C333" s="161"/>
    </row>
    <row r="334" spans="3:3" x14ac:dyDescent="0.3">
      <c r="C334" s="161"/>
    </row>
    <row r="335" spans="3:3" x14ac:dyDescent="0.3">
      <c r="C335" s="161"/>
    </row>
    <row r="336" spans="3:3" x14ac:dyDescent="0.3">
      <c r="C336" s="161"/>
    </row>
    <row r="337" spans="3:3" x14ac:dyDescent="0.3">
      <c r="C337" s="161"/>
    </row>
    <row r="338" spans="3:3" x14ac:dyDescent="0.3">
      <c r="C338" s="161"/>
    </row>
    <row r="339" spans="3:3" x14ac:dyDescent="0.3">
      <c r="C339" s="161"/>
    </row>
    <row r="340" spans="3:3" x14ac:dyDescent="0.3">
      <c r="C340" s="161"/>
    </row>
    <row r="341" spans="3:3" x14ac:dyDescent="0.3">
      <c r="C341" s="161"/>
    </row>
    <row r="342" spans="3:3" x14ac:dyDescent="0.3">
      <c r="C342" s="161"/>
    </row>
    <row r="343" spans="3:3" x14ac:dyDescent="0.3">
      <c r="C343" s="161"/>
    </row>
    <row r="344" spans="3:3" x14ac:dyDescent="0.3">
      <c r="C344" s="161"/>
    </row>
    <row r="345" spans="3:3" x14ac:dyDescent="0.3">
      <c r="C345" s="161"/>
    </row>
    <row r="346" spans="3:3" x14ac:dyDescent="0.3">
      <c r="C346" s="161"/>
    </row>
    <row r="347" spans="3:3" x14ac:dyDescent="0.3">
      <c r="C347" s="161"/>
    </row>
    <row r="348" spans="3:3" x14ac:dyDescent="0.3">
      <c r="C348" s="161"/>
    </row>
    <row r="349" spans="3:3" x14ac:dyDescent="0.3">
      <c r="C349" s="161"/>
    </row>
    <row r="350" spans="3:3" x14ac:dyDescent="0.3">
      <c r="C350" s="161"/>
    </row>
    <row r="351" spans="3:3" x14ac:dyDescent="0.3">
      <c r="C351" s="161"/>
    </row>
    <row r="352" spans="3:3" x14ac:dyDescent="0.3">
      <c r="C352" s="161"/>
    </row>
    <row r="353" spans="3:3" x14ac:dyDescent="0.3">
      <c r="C353" s="161"/>
    </row>
    <row r="354" spans="3:3" x14ac:dyDescent="0.3">
      <c r="C354" s="161"/>
    </row>
    <row r="355" spans="3:3" x14ac:dyDescent="0.3">
      <c r="C355" s="161"/>
    </row>
    <row r="356" spans="3:3" x14ac:dyDescent="0.3">
      <c r="C356" s="161"/>
    </row>
    <row r="357" spans="3:3" x14ac:dyDescent="0.3">
      <c r="C357" s="161"/>
    </row>
    <row r="358" spans="3:3" x14ac:dyDescent="0.3">
      <c r="C358" s="161"/>
    </row>
    <row r="359" spans="3:3" x14ac:dyDescent="0.3">
      <c r="C359" s="161"/>
    </row>
    <row r="360" spans="3:3" x14ac:dyDescent="0.3">
      <c r="C360" s="161"/>
    </row>
    <row r="361" spans="3:3" x14ac:dyDescent="0.3">
      <c r="C361" s="161"/>
    </row>
    <row r="362" spans="3:3" x14ac:dyDescent="0.3">
      <c r="C362" s="161"/>
    </row>
    <row r="363" spans="3:3" x14ac:dyDescent="0.3">
      <c r="C363" s="161"/>
    </row>
    <row r="364" spans="3:3" x14ac:dyDescent="0.3">
      <c r="C364" s="161"/>
    </row>
    <row r="365" spans="3:3" x14ac:dyDescent="0.3">
      <c r="C365" s="161"/>
    </row>
    <row r="366" spans="3:3" x14ac:dyDescent="0.3">
      <c r="C366" s="161"/>
    </row>
    <row r="367" spans="3:3" x14ac:dyDescent="0.3">
      <c r="C367" s="161"/>
    </row>
    <row r="368" spans="3:3" x14ac:dyDescent="0.3">
      <c r="C368" s="161"/>
    </row>
    <row r="369" spans="3:3" x14ac:dyDescent="0.3">
      <c r="C369" s="161"/>
    </row>
    <row r="370" spans="3:3" x14ac:dyDescent="0.3">
      <c r="C370" s="161"/>
    </row>
    <row r="371" spans="3:3" x14ac:dyDescent="0.3">
      <c r="C371" s="161"/>
    </row>
    <row r="372" spans="3:3" x14ac:dyDescent="0.3">
      <c r="C372" s="161"/>
    </row>
    <row r="373" spans="3:3" x14ac:dyDescent="0.3">
      <c r="C373" s="161"/>
    </row>
    <row r="374" spans="3:3" x14ac:dyDescent="0.3">
      <c r="C374" s="161"/>
    </row>
    <row r="375" spans="3:3" x14ac:dyDescent="0.3">
      <c r="C375" s="161"/>
    </row>
    <row r="376" spans="3:3" x14ac:dyDescent="0.3">
      <c r="C376" s="161"/>
    </row>
    <row r="377" spans="3:3" x14ac:dyDescent="0.3">
      <c r="C377" s="161"/>
    </row>
    <row r="378" spans="3:3" x14ac:dyDescent="0.3">
      <c r="C378" s="161"/>
    </row>
    <row r="379" spans="3:3" x14ac:dyDescent="0.3">
      <c r="C379" s="161"/>
    </row>
    <row r="380" spans="3:3" x14ac:dyDescent="0.3">
      <c r="C380" s="161"/>
    </row>
    <row r="381" spans="3:3" x14ac:dyDescent="0.3">
      <c r="C381" s="161"/>
    </row>
    <row r="382" spans="3:3" x14ac:dyDescent="0.3">
      <c r="C382" s="161"/>
    </row>
    <row r="383" spans="3:3" x14ac:dyDescent="0.3">
      <c r="C383" s="161"/>
    </row>
    <row r="384" spans="3:3" x14ac:dyDescent="0.3">
      <c r="C384" s="161"/>
    </row>
    <row r="385" spans="3:3" x14ac:dyDescent="0.3">
      <c r="C385" s="161"/>
    </row>
    <row r="386" spans="3:3" x14ac:dyDescent="0.3">
      <c r="C386" s="161"/>
    </row>
    <row r="387" spans="3:3" x14ac:dyDescent="0.3">
      <c r="C387" s="161"/>
    </row>
    <row r="388" spans="3:3" x14ac:dyDescent="0.3">
      <c r="C388" s="161"/>
    </row>
    <row r="389" spans="3:3" x14ac:dyDescent="0.3">
      <c r="C389" s="161"/>
    </row>
    <row r="390" spans="3:3" x14ac:dyDescent="0.3">
      <c r="C390" s="161"/>
    </row>
    <row r="391" spans="3:3" x14ac:dyDescent="0.3">
      <c r="C391" s="161"/>
    </row>
    <row r="392" spans="3:3" x14ac:dyDescent="0.3">
      <c r="C392" s="161"/>
    </row>
    <row r="393" spans="3:3" x14ac:dyDescent="0.3">
      <c r="C393" s="161"/>
    </row>
    <row r="394" spans="3:3" x14ac:dyDescent="0.3">
      <c r="C394" s="161"/>
    </row>
    <row r="395" spans="3:3" x14ac:dyDescent="0.3">
      <c r="C395" s="161"/>
    </row>
    <row r="396" spans="3:3" x14ac:dyDescent="0.3">
      <c r="C396" s="161"/>
    </row>
    <row r="397" spans="3:3" x14ac:dyDescent="0.3">
      <c r="C397" s="161"/>
    </row>
    <row r="398" spans="3:3" x14ac:dyDescent="0.3">
      <c r="C398" s="161"/>
    </row>
    <row r="399" spans="3:3" x14ac:dyDescent="0.3">
      <c r="C399" s="161"/>
    </row>
    <row r="400" spans="3:3" x14ac:dyDescent="0.3">
      <c r="C400" s="161"/>
    </row>
    <row r="401" spans="3:3" x14ac:dyDescent="0.3">
      <c r="C401" s="161"/>
    </row>
    <row r="402" spans="3:3" x14ac:dyDescent="0.3">
      <c r="C402" s="161"/>
    </row>
    <row r="403" spans="3:3" x14ac:dyDescent="0.3">
      <c r="C403" s="161"/>
    </row>
    <row r="404" spans="3:3" x14ac:dyDescent="0.3">
      <c r="C404" s="161"/>
    </row>
    <row r="405" spans="3:3" x14ac:dyDescent="0.3">
      <c r="C405" s="161"/>
    </row>
    <row r="406" spans="3:3" x14ac:dyDescent="0.3">
      <c r="C406" s="161"/>
    </row>
    <row r="407" spans="3:3" x14ac:dyDescent="0.3">
      <c r="C407" s="161"/>
    </row>
    <row r="408" spans="3:3" x14ac:dyDescent="0.3">
      <c r="C408" s="161"/>
    </row>
    <row r="409" spans="3:3" x14ac:dyDescent="0.3">
      <c r="C409" s="161"/>
    </row>
    <row r="410" spans="3:3" x14ac:dyDescent="0.3">
      <c r="C410" s="161"/>
    </row>
    <row r="411" spans="3:3" x14ac:dyDescent="0.3">
      <c r="C411" s="161"/>
    </row>
    <row r="412" spans="3:3" x14ac:dyDescent="0.3">
      <c r="C412" s="161"/>
    </row>
    <row r="413" spans="3:3" x14ac:dyDescent="0.3">
      <c r="C413" s="161"/>
    </row>
    <row r="414" spans="3:3" x14ac:dyDescent="0.3">
      <c r="C414" s="161"/>
    </row>
    <row r="415" spans="3:3" x14ac:dyDescent="0.3">
      <c r="C415" s="161"/>
    </row>
    <row r="416" spans="3:3" x14ac:dyDescent="0.3">
      <c r="C416" s="161"/>
    </row>
    <row r="417" spans="3:3" x14ac:dyDescent="0.3">
      <c r="C417" s="161"/>
    </row>
    <row r="418" spans="3:3" x14ac:dyDescent="0.3">
      <c r="C418" s="161"/>
    </row>
    <row r="419" spans="3:3" x14ac:dyDescent="0.3">
      <c r="C419" s="161"/>
    </row>
    <row r="420" spans="3:3" x14ac:dyDescent="0.3">
      <c r="C420" s="161"/>
    </row>
    <row r="421" spans="3:3" x14ac:dyDescent="0.3">
      <c r="C421" s="161"/>
    </row>
    <row r="422" spans="3:3" x14ac:dyDescent="0.3">
      <c r="C422" s="161"/>
    </row>
    <row r="423" spans="3:3" x14ac:dyDescent="0.3">
      <c r="C423" s="161"/>
    </row>
    <row r="424" spans="3:3" x14ac:dyDescent="0.3">
      <c r="C424" s="161"/>
    </row>
    <row r="425" spans="3:3" x14ac:dyDescent="0.3">
      <c r="C425" s="161"/>
    </row>
    <row r="426" spans="3:3" x14ac:dyDescent="0.3">
      <c r="C426" s="161"/>
    </row>
    <row r="427" spans="3:3" x14ac:dyDescent="0.3">
      <c r="C427" s="161"/>
    </row>
    <row r="428" spans="3:3" x14ac:dyDescent="0.3">
      <c r="C428" s="161"/>
    </row>
    <row r="429" spans="3:3" x14ac:dyDescent="0.3">
      <c r="C429" s="161"/>
    </row>
    <row r="430" spans="3:3" x14ac:dyDescent="0.3">
      <c r="C430" s="161"/>
    </row>
    <row r="431" spans="3:3" x14ac:dyDescent="0.3">
      <c r="C431" s="161"/>
    </row>
    <row r="432" spans="3:3" x14ac:dyDescent="0.3">
      <c r="C432" s="161"/>
    </row>
    <row r="433" spans="3:3" x14ac:dyDescent="0.3">
      <c r="C433" s="161"/>
    </row>
    <row r="434" spans="3:3" x14ac:dyDescent="0.3">
      <c r="C434" s="161"/>
    </row>
    <row r="435" spans="3:3" x14ac:dyDescent="0.3">
      <c r="C435" s="161"/>
    </row>
    <row r="436" spans="3:3" x14ac:dyDescent="0.3">
      <c r="C436" s="161"/>
    </row>
    <row r="437" spans="3:3" x14ac:dyDescent="0.3">
      <c r="C437" s="161"/>
    </row>
    <row r="438" spans="3:3" x14ac:dyDescent="0.3">
      <c r="C438" s="161"/>
    </row>
    <row r="439" spans="3:3" x14ac:dyDescent="0.3">
      <c r="C439" s="161"/>
    </row>
    <row r="440" spans="3:3" x14ac:dyDescent="0.3">
      <c r="C440" s="161"/>
    </row>
    <row r="441" spans="3:3" x14ac:dyDescent="0.3">
      <c r="C441" s="161"/>
    </row>
    <row r="442" spans="3:3" x14ac:dyDescent="0.3">
      <c r="C442" s="161"/>
    </row>
    <row r="443" spans="3:3" x14ac:dyDescent="0.3">
      <c r="C443" s="161"/>
    </row>
    <row r="444" spans="3:3" x14ac:dyDescent="0.3">
      <c r="C444" s="161"/>
    </row>
    <row r="445" spans="3:3" x14ac:dyDescent="0.3">
      <c r="C445" s="161"/>
    </row>
    <row r="446" spans="3:3" x14ac:dyDescent="0.3">
      <c r="C446" s="161"/>
    </row>
    <row r="447" spans="3:3" x14ac:dyDescent="0.3">
      <c r="C447" s="161"/>
    </row>
    <row r="448" spans="3:3" x14ac:dyDescent="0.3">
      <c r="C448" s="161"/>
    </row>
    <row r="449" spans="3:3" x14ac:dyDescent="0.3">
      <c r="C449" s="161"/>
    </row>
    <row r="450" spans="3:3" x14ac:dyDescent="0.3">
      <c r="C450" s="161"/>
    </row>
    <row r="451" spans="3:3" x14ac:dyDescent="0.3">
      <c r="C451" s="161"/>
    </row>
    <row r="452" spans="3:3" x14ac:dyDescent="0.3">
      <c r="C452" s="1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Cómo Vamos Julio</vt:lpstr>
      <vt:lpstr>Comp. Marcas</vt:lpstr>
      <vt:lpstr>Comp. Canales</vt:lpstr>
      <vt:lpstr>CST x Marca</vt:lpstr>
      <vt:lpstr>Critico x Marca</vt:lpstr>
      <vt:lpstr>Detalle Critico</vt:lpstr>
      <vt:lpstr>Sin Reposición &lt; Oct</vt:lpstr>
      <vt:lpstr>Sobrestock x SKU Padre</vt:lpstr>
      <vt:lpstr>Sobrestock c-Llegada</vt:lpstr>
      <vt:lpstr>Tránsitos por Embarque</vt:lpstr>
      <vt:lpstr>Nuevos en Tránsito</vt:lpstr>
      <vt:lpstr>TD REPORTES UNID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Caballero Blanco</cp:lastModifiedBy>
  <dcterms:created xsi:type="dcterms:W3CDTF">2026-07-21T14:35:14Z</dcterms:created>
  <dcterms:modified xsi:type="dcterms:W3CDTF">2026-08-03T22:21:34Z</dcterms:modified>
</cp:coreProperties>
</file>