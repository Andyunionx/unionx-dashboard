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lip\Desktop\UNIONX\FORECAST FINAL SKU\Analisis Planificacion\"/>
    </mc:Choice>
  </mc:AlternateContent>
  <xr:revisionPtr revIDLastSave="0" documentId="13_ncr:1_{6A3FEAA6-3576-4372-8490-797613C3C211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Cómo Vamos Julio" sheetId="12" r:id="rId1"/>
    <sheet name="Comp. Marcas" sheetId="11" r:id="rId2"/>
    <sheet name="Comp. Canales" sheetId="10" r:id="rId3"/>
    <sheet name="CST x Marca" sheetId="1" r:id="rId4"/>
    <sheet name="Critico x Marca" sheetId="2" r:id="rId5"/>
    <sheet name="Detalle Critico" sheetId="3" r:id="rId6"/>
    <sheet name="Sin Reposición &lt; Oct" sheetId="4" r:id="rId7"/>
    <sheet name="Sobrestock x SKU Padre" sheetId="5" r:id="rId8"/>
    <sheet name="Sobrestock c-Llegada" sheetId="6" r:id="rId9"/>
    <sheet name="Tránsitos por Embarque" sheetId="7" r:id="rId10"/>
    <sheet name="Nuevos en Tránsito" sheetId="8" r:id="rId11"/>
    <sheet name="TD REPORTES UNID" sheetId="9" r:id="rId12"/>
  </sheets>
  <definedNames>
    <definedName name="_xlnm._FilterDatabase" localSheetId="4" hidden="1">'Critico x Marca'!$A$2:$J$10</definedName>
    <definedName name="_xlnm._FilterDatabase" localSheetId="3" hidden="1">'CST x Marca'!$A$3:$W$11</definedName>
    <definedName name="_xlnm._FilterDatabase" localSheetId="5" hidden="1">'Detalle Critico'!$A$2:$T$119</definedName>
    <definedName name="_xlnm._FilterDatabase" localSheetId="10" hidden="1">'Nuevos en Tránsito'!$A$2:$F$76</definedName>
    <definedName name="_xlnm._FilterDatabase" localSheetId="6" hidden="1">'Sin Reposición &lt; Oct'!$A$2:$S$77</definedName>
    <definedName name="_xlnm._FilterDatabase" localSheetId="8" hidden="1">'Sobrestock c-Llegada'!$A$2:$J$16</definedName>
    <definedName name="_xlnm._FilterDatabase" localSheetId="9" hidden="1">'Tránsitos por Embarque'!$A$2:$K$194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9" i="11" l="1"/>
  <c r="T29" i="11"/>
  <c r="V29" i="11" s="1"/>
  <c r="R29" i="11"/>
  <c r="Q29" i="11"/>
  <c r="S29" i="11" s="1"/>
  <c r="O29" i="11"/>
  <c r="N29" i="11"/>
  <c r="P29" i="11" s="1"/>
  <c r="L29" i="11"/>
  <c r="K29" i="11"/>
  <c r="M29" i="11" s="1"/>
  <c r="J29" i="11"/>
  <c r="I29" i="11"/>
  <c r="H29" i="11"/>
  <c r="F29" i="11"/>
  <c r="E29" i="11"/>
  <c r="G29" i="11" s="1"/>
  <c r="C29" i="11"/>
  <c r="B29" i="11"/>
  <c r="D29" i="11" s="1"/>
  <c r="X28" i="11"/>
  <c r="W28" i="11"/>
  <c r="Y28" i="11" s="1"/>
  <c r="V28" i="11"/>
  <c r="S28" i="11"/>
  <c r="P28" i="11"/>
  <c r="M28" i="11"/>
  <c r="J28" i="11"/>
  <c r="G28" i="11"/>
  <c r="D28" i="11"/>
  <c r="X27" i="11"/>
  <c r="W27" i="11"/>
  <c r="Y27" i="11" s="1"/>
  <c r="V27" i="11"/>
  <c r="S27" i="11"/>
  <c r="P27" i="11"/>
  <c r="M27" i="11"/>
  <c r="J27" i="11"/>
  <c r="G27" i="11"/>
  <c r="D27" i="11"/>
  <c r="X26" i="11"/>
  <c r="Y26" i="11" s="1"/>
  <c r="W26" i="11"/>
  <c r="V26" i="11"/>
  <c r="S26" i="11"/>
  <c r="P26" i="11"/>
  <c r="M26" i="11"/>
  <c r="J26" i="11"/>
  <c r="G26" i="11"/>
  <c r="D26" i="11"/>
  <c r="X25" i="11"/>
  <c r="W25" i="11"/>
  <c r="Y25" i="11" s="1"/>
  <c r="V25" i="11"/>
  <c r="S25" i="11"/>
  <c r="P25" i="11"/>
  <c r="M25" i="11"/>
  <c r="J25" i="11"/>
  <c r="G25" i="11"/>
  <c r="D25" i="11"/>
  <c r="X24" i="11"/>
  <c r="W24" i="11"/>
  <c r="Y24" i="11" s="1"/>
  <c r="V24" i="11"/>
  <c r="S24" i="11"/>
  <c r="P24" i="11"/>
  <c r="M24" i="11"/>
  <c r="J24" i="11"/>
  <c r="G24" i="11"/>
  <c r="D24" i="11"/>
  <c r="X23" i="11"/>
  <c r="W23" i="11"/>
  <c r="Y23" i="11" s="1"/>
  <c r="V23" i="11"/>
  <c r="S23" i="11"/>
  <c r="P23" i="11"/>
  <c r="M23" i="11"/>
  <c r="J23" i="11"/>
  <c r="G23" i="11"/>
  <c r="D23" i="11"/>
  <c r="X22" i="11"/>
  <c r="W22" i="11"/>
  <c r="Y22" i="11" s="1"/>
  <c r="V22" i="11"/>
  <c r="S22" i="11"/>
  <c r="P22" i="11"/>
  <c r="M22" i="11"/>
  <c r="J22" i="11"/>
  <c r="G22" i="11"/>
  <c r="D22" i="11"/>
  <c r="X21" i="11"/>
  <c r="X29" i="11" s="1"/>
  <c r="W21" i="11"/>
  <c r="W29" i="11" s="1"/>
  <c r="Y29" i="11" s="1"/>
  <c r="V21" i="11"/>
  <c r="S21" i="11"/>
  <c r="P21" i="11"/>
  <c r="M21" i="11"/>
  <c r="J21" i="11"/>
  <c r="G21" i="11"/>
  <c r="D21" i="11"/>
  <c r="U15" i="11"/>
  <c r="T15" i="11"/>
  <c r="V15" i="11" s="1"/>
  <c r="R15" i="11"/>
  <c r="S15" i="11" s="1"/>
  <c r="Q15" i="11"/>
  <c r="O15" i="11"/>
  <c r="N15" i="11"/>
  <c r="P15" i="11" s="1"/>
  <c r="M15" i="11"/>
  <c r="L15" i="11"/>
  <c r="K15" i="11"/>
  <c r="I15" i="11"/>
  <c r="H15" i="11"/>
  <c r="J15" i="11" s="1"/>
  <c r="F15" i="11"/>
  <c r="E15" i="11"/>
  <c r="G15" i="11" s="1"/>
  <c r="C15" i="11"/>
  <c r="B15" i="11"/>
  <c r="D15" i="11" s="1"/>
  <c r="X14" i="11"/>
  <c r="W14" i="11"/>
  <c r="Y14" i="11" s="1"/>
  <c r="V14" i="11"/>
  <c r="S14" i="11"/>
  <c r="P14" i="11"/>
  <c r="M14" i="11"/>
  <c r="J14" i="11"/>
  <c r="G14" i="11"/>
  <c r="D14" i="11"/>
  <c r="X13" i="11"/>
  <c r="W13" i="11"/>
  <c r="Y13" i="11" s="1"/>
  <c r="V13" i="11"/>
  <c r="S13" i="11"/>
  <c r="P13" i="11"/>
  <c r="M13" i="11"/>
  <c r="J13" i="11"/>
  <c r="G13" i="11"/>
  <c r="D13" i="11"/>
  <c r="Y12" i="11"/>
  <c r="X12" i="11"/>
  <c r="W12" i="11"/>
  <c r="V12" i="11"/>
  <c r="S12" i="11"/>
  <c r="P12" i="11"/>
  <c r="M12" i="11"/>
  <c r="J12" i="11"/>
  <c r="G12" i="11"/>
  <c r="D12" i="11"/>
  <c r="X11" i="11"/>
  <c r="Y11" i="11" s="1"/>
  <c r="W11" i="11"/>
  <c r="V11" i="11"/>
  <c r="S11" i="11"/>
  <c r="P11" i="11"/>
  <c r="M11" i="11"/>
  <c r="J11" i="11"/>
  <c r="G11" i="11"/>
  <c r="D11" i="11"/>
  <c r="X10" i="11"/>
  <c r="W10" i="11"/>
  <c r="Y10" i="11" s="1"/>
  <c r="V10" i="11"/>
  <c r="S10" i="11"/>
  <c r="P10" i="11"/>
  <c r="M10" i="11"/>
  <c r="J10" i="11"/>
  <c r="G10" i="11"/>
  <c r="D10" i="11"/>
  <c r="X9" i="11"/>
  <c r="W9" i="11"/>
  <c r="Y9" i="11" s="1"/>
  <c r="V9" i="11"/>
  <c r="S9" i="11"/>
  <c r="P9" i="11"/>
  <c r="M9" i="11"/>
  <c r="J9" i="11"/>
  <c r="G9" i="11"/>
  <c r="D9" i="11"/>
  <c r="Y8" i="11"/>
  <c r="X8" i="11"/>
  <c r="X15" i="11" s="1"/>
  <c r="W8" i="11"/>
  <c r="W15" i="11" s="1"/>
  <c r="Y15" i="11" s="1"/>
  <c r="V8" i="11"/>
  <c r="S8" i="11"/>
  <c r="P8" i="11"/>
  <c r="M8" i="11"/>
  <c r="J8" i="11"/>
  <c r="G8" i="11"/>
  <c r="D8" i="11"/>
  <c r="X7" i="11"/>
  <c r="W7" i="11"/>
  <c r="Y7" i="11" s="1"/>
  <c r="V7" i="11"/>
  <c r="S7" i="11"/>
  <c r="P7" i="11"/>
  <c r="M7" i="11"/>
  <c r="J7" i="11"/>
  <c r="G7" i="11"/>
  <c r="D7" i="11"/>
  <c r="U28" i="10"/>
  <c r="T28" i="10"/>
  <c r="V28" i="10" s="1"/>
  <c r="R28" i="10"/>
  <c r="Q28" i="10"/>
  <c r="S28" i="10" s="1"/>
  <c r="O28" i="10"/>
  <c r="N28" i="10"/>
  <c r="P28" i="10" s="1"/>
  <c r="L28" i="10"/>
  <c r="K28" i="10"/>
  <c r="M28" i="10" s="1"/>
  <c r="J28" i="10"/>
  <c r="I28" i="10"/>
  <c r="H28" i="10"/>
  <c r="F28" i="10"/>
  <c r="E28" i="10"/>
  <c r="G28" i="10" s="1"/>
  <c r="D28" i="10"/>
  <c r="C28" i="10"/>
  <c r="B28" i="10"/>
  <c r="X27" i="10"/>
  <c r="W27" i="10"/>
  <c r="Y27" i="10" s="1"/>
  <c r="V27" i="10"/>
  <c r="S27" i="10"/>
  <c r="P27" i="10"/>
  <c r="M27" i="10"/>
  <c r="J27" i="10"/>
  <c r="G27" i="10"/>
  <c r="D27" i="10"/>
  <c r="X26" i="10"/>
  <c r="W26" i="10"/>
  <c r="Y26" i="10" s="1"/>
  <c r="V26" i="10"/>
  <c r="S26" i="10"/>
  <c r="P26" i="10"/>
  <c r="M26" i="10"/>
  <c r="J26" i="10"/>
  <c r="G26" i="10"/>
  <c r="D26" i="10"/>
  <c r="X25" i="10"/>
  <c r="W25" i="10"/>
  <c r="Y25" i="10" s="1"/>
  <c r="V25" i="10"/>
  <c r="S25" i="10"/>
  <c r="P25" i="10"/>
  <c r="M25" i="10"/>
  <c r="J25" i="10"/>
  <c r="G25" i="10"/>
  <c r="D25" i="10"/>
  <c r="X24" i="10"/>
  <c r="W24" i="10"/>
  <c r="Y24" i="10" s="1"/>
  <c r="V24" i="10"/>
  <c r="S24" i="10"/>
  <c r="P24" i="10"/>
  <c r="M24" i="10"/>
  <c r="J24" i="10"/>
  <c r="G24" i="10"/>
  <c r="D24" i="10"/>
  <c r="X23" i="10"/>
  <c r="W23" i="10"/>
  <c r="Y23" i="10" s="1"/>
  <c r="V23" i="10"/>
  <c r="S23" i="10"/>
  <c r="P23" i="10"/>
  <c r="M23" i="10"/>
  <c r="J23" i="10"/>
  <c r="G23" i="10"/>
  <c r="D23" i="10"/>
  <c r="X22" i="10"/>
  <c r="W22" i="10"/>
  <c r="Y22" i="10" s="1"/>
  <c r="V22" i="10"/>
  <c r="S22" i="10"/>
  <c r="P22" i="10"/>
  <c r="M22" i="10"/>
  <c r="J22" i="10"/>
  <c r="G22" i="10"/>
  <c r="D22" i="10"/>
  <c r="X21" i="10"/>
  <c r="X28" i="10" s="1"/>
  <c r="W21" i="10"/>
  <c r="W28" i="10" s="1"/>
  <c r="Y28" i="10" s="1"/>
  <c r="V21" i="10"/>
  <c r="S21" i="10"/>
  <c r="P21" i="10"/>
  <c r="M21" i="10"/>
  <c r="J21" i="10"/>
  <c r="G21" i="10"/>
  <c r="D21" i="10"/>
  <c r="U15" i="10"/>
  <c r="T15" i="10"/>
  <c r="V15" i="10" s="1"/>
  <c r="R15" i="10"/>
  <c r="S15" i="10" s="1"/>
  <c r="Q15" i="10"/>
  <c r="O15" i="10"/>
  <c r="N15" i="10"/>
  <c r="P15" i="10" s="1"/>
  <c r="L15" i="10"/>
  <c r="K15" i="10"/>
  <c r="M15" i="10" s="1"/>
  <c r="I15" i="10"/>
  <c r="J15" i="10" s="1"/>
  <c r="H15" i="10"/>
  <c r="F15" i="10"/>
  <c r="E15" i="10"/>
  <c r="G15" i="10" s="1"/>
  <c r="C15" i="10"/>
  <c r="B15" i="10"/>
  <c r="D15" i="10" s="1"/>
  <c r="X14" i="10"/>
  <c r="W14" i="10"/>
  <c r="Y14" i="10" s="1"/>
  <c r="V14" i="10"/>
  <c r="S14" i="10"/>
  <c r="P14" i="10"/>
  <c r="M14" i="10"/>
  <c r="J14" i="10"/>
  <c r="G14" i="10"/>
  <c r="D14" i="10"/>
  <c r="X13" i="10"/>
  <c r="W13" i="10"/>
  <c r="Y13" i="10" s="1"/>
  <c r="V13" i="10"/>
  <c r="S13" i="10"/>
  <c r="P13" i="10"/>
  <c r="M13" i="10"/>
  <c r="J13" i="10"/>
  <c r="G13" i="10"/>
  <c r="D13" i="10"/>
  <c r="X12" i="10"/>
  <c r="W12" i="10"/>
  <c r="Y12" i="10" s="1"/>
  <c r="V12" i="10"/>
  <c r="S12" i="10"/>
  <c r="P12" i="10"/>
  <c r="M12" i="10"/>
  <c r="J12" i="10"/>
  <c r="G12" i="10"/>
  <c r="D12" i="10"/>
  <c r="X11" i="10"/>
  <c r="Y11" i="10" s="1"/>
  <c r="W11" i="10"/>
  <c r="V11" i="10"/>
  <c r="S11" i="10"/>
  <c r="P11" i="10"/>
  <c r="M11" i="10"/>
  <c r="J11" i="10"/>
  <c r="G11" i="10"/>
  <c r="D11" i="10"/>
  <c r="Y10" i="10"/>
  <c r="X10" i="10"/>
  <c r="X15" i="10" s="1"/>
  <c r="W10" i="10"/>
  <c r="V10" i="10"/>
  <c r="S10" i="10"/>
  <c r="P10" i="10"/>
  <c r="M10" i="10"/>
  <c r="J10" i="10"/>
  <c r="G10" i="10"/>
  <c r="D10" i="10"/>
  <c r="X9" i="10"/>
  <c r="W9" i="10"/>
  <c r="Y9" i="10" s="1"/>
  <c r="V9" i="10"/>
  <c r="S9" i="10"/>
  <c r="P9" i="10"/>
  <c r="M9" i="10"/>
  <c r="J9" i="10"/>
  <c r="G9" i="10"/>
  <c r="D9" i="10"/>
  <c r="X8" i="10"/>
  <c r="W8" i="10"/>
  <c r="W15" i="10" s="1"/>
  <c r="Y15" i="10" s="1"/>
  <c r="V8" i="10"/>
  <c r="S8" i="10"/>
  <c r="P8" i="10"/>
  <c r="M8" i="10"/>
  <c r="J8" i="10"/>
  <c r="G8" i="10"/>
  <c r="D8" i="10"/>
  <c r="Y21" i="11" l="1"/>
  <c r="Y21" i="10"/>
  <c r="Y8" i="10"/>
</calcChain>
</file>

<file path=xl/sharedStrings.xml><?xml version="1.0" encoding="utf-8"?>
<sst xmlns="http://schemas.openxmlformats.org/spreadsheetml/2006/main" count="3789" uniqueCount="1375">
  <si>
    <t>REPORTE CST x MARCA — COBERTURA Y FLUJO 2026  (valores en $M CLP)</t>
  </si>
  <si>
    <t>STOCK HOY</t>
  </si>
  <si>
    <t>JULIO 26</t>
  </si>
  <si>
    <t>AGOSTO 26</t>
  </si>
  <si>
    <t>SEPTIEMBRE 26</t>
  </si>
  <si>
    <t>OCTUBRE 26</t>
  </si>
  <si>
    <t>Marca</t>
  </si>
  <si>
    <t>Stock Hoy
CST ($M)</t>
  </si>
  <si>
    <t>Cobert.
ACT</t>
  </si>
  <si>
    <t>StkIni
($M)</t>
  </si>
  <si>
    <t>Llegadas
($M)</t>
  </si>
  <si>
    <t>Stk+Ped
($M)</t>
  </si>
  <si>
    <t>Venta
($M)</t>
  </si>
  <si>
    <t>Cobert.</t>
  </si>
  <si>
    <t>Lhotse</t>
  </si>
  <si>
    <t>Simplit</t>
  </si>
  <si>
    <t>Levo</t>
  </si>
  <si>
    <t>Xroad</t>
  </si>
  <si>
    <t>Dynamo</t>
  </si>
  <si>
    <t>Bandú</t>
  </si>
  <si>
    <t>T-Care</t>
  </si>
  <si>
    <t>UMA</t>
  </si>
  <si>
    <t>TOTAL PROPIA</t>
  </si>
  <si>
    <t>PROV. NACIONALES</t>
  </si>
  <si>
    <t>TOTAL EMPRESA</t>
  </si>
  <si>
    <t>Valores en millones de pesos CLP ($M).  Cobert. = Stk+Ped / Venta del mes.  Colores: 🔴 &lt;1m  🟠 1-2m  🟢 2-4m  🔵 4-6m  🟣 &gt;6m</t>
  </si>
  <si>
    <t>CRÍTICO x MARCA — Cobertura &lt; 1 mes | JUL 2026</t>
  </si>
  <si>
    <t>SKUs</t>
  </si>
  <si>
    <t>Cob.
Prom</t>
  </si>
  <si>
    <t>Sin
Stock</t>
  </si>
  <si>
    <t>Stock Hoy
Unidades</t>
  </si>
  <si>
    <t>Venta PPTO
JUL26 Unid</t>
  </si>
  <si>
    <t>Stock Hoy
CST</t>
  </si>
  <si>
    <t>Venta CST
JUL26</t>
  </si>
  <si>
    <t>Llegadas
JUL26 Unid</t>
  </si>
  <si>
    <t>Detalle Llegadas</t>
  </si>
  <si>
    <t>AGO26: 1 | SEP26: 2</t>
  </si>
  <si>
    <t>AGO26: 3 | SEP26: 4 | OCT26: 1</t>
  </si>
  <si>
    <t>AGO26: 15 | SEP26: 7 | OCT26: 2 | Sin embarque: 32</t>
  </si>
  <si>
    <t>Purito</t>
  </si>
  <si>
    <t>Sin embarque: 6</t>
  </si>
  <si>
    <t>AGO26: 8 | SEP26: 14 | Sin embarque: 2</t>
  </si>
  <si>
    <t>SEP26: 1</t>
  </si>
  <si>
    <t>OCT26: 8</t>
  </si>
  <si>
    <t>AGO26: 4 | SEP26: 7</t>
  </si>
  <si>
    <t>TOTAL</t>
  </si>
  <si>
    <t>DETALLE CRITICOS — Cobertura &lt; 1 mes | Costo + Unidades | JUL 2026</t>
  </si>
  <si>
    <t>Cat. Comercial</t>
  </si>
  <si>
    <t>Cat. Padre</t>
  </si>
  <si>
    <t>Cat. Hijo</t>
  </si>
  <si>
    <t>Ranking
Comercial</t>
  </si>
  <si>
    <t>SKU</t>
  </si>
  <si>
    <t>Descripcion</t>
  </si>
  <si>
    <t>Cobert.
ACT 26</t>
  </si>
  <si>
    <t>Stock
Unid</t>
  </si>
  <si>
    <t>Venta PPTO
JUL Unid</t>
  </si>
  <si>
    <t>Stock
CST</t>
  </si>
  <si>
    <t>Venta
CST JUL</t>
  </si>
  <si>
    <t>Llegadas
JUL Unid</t>
  </si>
  <si>
    <t>Llegadas
AGO Unid</t>
  </si>
  <si>
    <t>Llegadas
SEP Unid</t>
  </si>
  <si>
    <t>Llegadas
OCT Unid</t>
  </si>
  <si>
    <t>Prox.
Llegada</t>
  </si>
  <si>
    <t>PI
Embarque</t>
  </si>
  <si>
    <t>ETA
Bodega</t>
  </si>
  <si>
    <t>Fecha Máx.
de Carga</t>
  </si>
  <si>
    <t>Diamante</t>
  </si>
  <si>
    <t>Jueguetes de Rol</t>
  </si>
  <si>
    <t>Cocina y Accesorios</t>
  </si>
  <si>
    <t>BDCOCPQMD</t>
  </si>
  <si>
    <t>Cocina de Juguete Infantil Niños Madera Rosada con Acc Bandú</t>
  </si>
  <si>
    <t>SEP26</t>
  </si>
  <si>
    <t>07/07/2026</t>
  </si>
  <si>
    <t>Juegos de Oficio</t>
  </si>
  <si>
    <t>BDSETDOC</t>
  </si>
  <si>
    <t>Set Juego de Roles Doctor Niños Madera 12 pcs Bandú</t>
  </si>
  <si>
    <t>Nuevo</t>
  </si>
  <si>
    <t>Juguetes de Motricidad</t>
  </si>
  <si>
    <t>Escalada y Equilibrio</t>
  </si>
  <si>
    <t>BDTORRAPR</t>
  </si>
  <si>
    <t>Torre Aprendizaje Plegable Montesori Madera 3 Niveles Bandú</t>
  </si>
  <si>
    <t>AGO26</t>
  </si>
  <si>
    <t>26TP0528PI</t>
  </si>
  <si>
    <t>02/08/2026</t>
  </si>
  <si>
    <t>Bronce</t>
  </si>
  <si>
    <t>Accesorios</t>
  </si>
  <si>
    <t>Cable Cargador</t>
  </si>
  <si>
    <t>LVCABTCLIGH-WH</t>
  </si>
  <si>
    <t>Cable de Carga USB-C a Lightning 1 Mt Blanco LEVO</t>
  </si>
  <si>
    <t>OCT26</t>
  </si>
  <si>
    <t>22/07/2026</t>
  </si>
  <si>
    <t>Perifericos de Computacion</t>
  </si>
  <si>
    <t>Gaming</t>
  </si>
  <si>
    <t>66436804863605</t>
  </si>
  <si>
    <t>Control Joystick Inalámbrico doble Shock P4 Rojo LEVO</t>
  </si>
  <si>
    <t>26TP0608PI</t>
  </si>
  <si>
    <t>26/08/2026</t>
  </si>
  <si>
    <t>LVTECMCL-BK</t>
  </si>
  <si>
    <t>Teclado Gamer NovaBlade Red Switch Mecánico Español RGB LEVO</t>
  </si>
  <si>
    <t>22/05/2026</t>
  </si>
  <si>
    <t>Mochilas y Fundas</t>
  </si>
  <si>
    <t>Mochilas</t>
  </si>
  <si>
    <t>LVMOPRL-BK</t>
  </si>
  <si>
    <t>Mochila Notebook Prime Lite 15,6” Negra LEVO</t>
  </si>
  <si>
    <t>LVMOVEL-BK</t>
  </si>
  <si>
    <t>Mochila Notebook Velar Lite 15,6” Negra LEVO</t>
  </si>
  <si>
    <t>Soportes</t>
  </si>
  <si>
    <t>Soporte Computacion</t>
  </si>
  <si>
    <t>LVSPBRX2MN</t>
  </si>
  <si>
    <t>Soporte Brazo Doble Monitor Notebook Escritorio Negro LEVO</t>
  </si>
  <si>
    <t>Plata</t>
  </si>
  <si>
    <t>1659990828178</t>
  </si>
  <si>
    <t>Control Joystick Inalámbrico doble Shock P4 Negro LEVO</t>
  </si>
  <si>
    <t>1659990788079</t>
  </si>
  <si>
    <t>Control Joystick Controller Compatible Nintendo Switch LEVO</t>
  </si>
  <si>
    <t>Vestuario</t>
  </si>
  <si>
    <t>Pantalones y Shorts</t>
  </si>
  <si>
    <t>LTS26-WPT0644-BK</t>
  </si>
  <si>
    <t>Pantalón Trekking Desmontable Mujer UV50+ Lukla-W Lhotse</t>
  </si>
  <si>
    <t>Sin embarque</t>
  </si>
  <si>
    <t>Hidratación</t>
  </si>
  <si>
    <t>Botellas Termicas</t>
  </si>
  <si>
    <t>LHSHNUCO-BG</t>
  </si>
  <si>
    <t>Shaker Vaso Proteina Acero Inox NutriCore 500ml Beige Lhotse</t>
  </si>
  <si>
    <t>LHSHNUCO-NY</t>
  </si>
  <si>
    <t>Shaker Vaso Proteina Acero Inox NutriCore 500ml Blue Lhotse</t>
  </si>
  <si>
    <t>Equipamiento</t>
  </si>
  <si>
    <t>LHMOMAK-GR</t>
  </si>
  <si>
    <t>Mochila Urbana Roll Top Impermeable Porta Notebook 22L Makalu Green Lhotse</t>
  </si>
  <si>
    <t>26TP0702PI</t>
  </si>
  <si>
    <t>04/09/2026</t>
  </si>
  <si>
    <t>LHBOHYCO-BG</t>
  </si>
  <si>
    <t>Botella Termica Acero Inox 3 Tapas 1L HydroCore Beige Lhotse</t>
  </si>
  <si>
    <t>06/08/2026</t>
  </si>
  <si>
    <t>LHBOHYCO-NY</t>
  </si>
  <si>
    <t>Botella Termica Acero Inox 3 Tapas 1L HydroCore Navy Lhotse</t>
  </si>
  <si>
    <t>LHMOPUM-GR</t>
  </si>
  <si>
    <t>Mochila Urbana Impermeable Porta Notebook 22L Pumori Green Lhotse</t>
  </si>
  <si>
    <t>LHMOBROBK</t>
  </si>
  <si>
    <t>Mochila Viaje Impermeable Porta Notebook 17.3" 40L Broadpeak Black Lhotse</t>
  </si>
  <si>
    <t>Bolsos deportivos</t>
  </si>
  <si>
    <t>LHBOLDUFNV-60</t>
  </si>
  <si>
    <t>Bolso Deportivo Impermeable Duffel 60L Traveller Navy Lhotse</t>
  </si>
  <si>
    <t>LHBOHYTK750-BK</t>
  </si>
  <si>
    <t>Botella Termica Agua Hydrotek 750 ml Acero Inox Black</t>
  </si>
  <si>
    <t>06/06/2026</t>
  </si>
  <si>
    <t>LHBOHYTK750-PK</t>
  </si>
  <si>
    <t>Botella Termica Agua Hydrotek 750 ml Acero Inox Pink</t>
  </si>
  <si>
    <t>LHBOHYTK750-GR</t>
  </si>
  <si>
    <t>Botella Termica Agua Hydrotek 750 ml Acero Inox Green</t>
  </si>
  <si>
    <t>LHBOHYTK750-NY</t>
  </si>
  <si>
    <t>Botella Termica Agua Hydrotek 750 ml Acero Inox Navy</t>
  </si>
  <si>
    <t>LHBOHYTK750-BG</t>
  </si>
  <si>
    <t>Botella Termica Agua Hydrotek 750 ml Acero Inox Beige</t>
  </si>
  <si>
    <t>LHMUTER590-BK</t>
  </si>
  <si>
    <t>Mug Térmico para Café Termicup 590 ml Acero Inox Black</t>
  </si>
  <si>
    <t>LHMUTER590-PK</t>
  </si>
  <si>
    <t>Mug Térmico para Café Termicup 590 ml Acero Inox Pink</t>
  </si>
  <si>
    <t>LHMUTER590-GR</t>
  </si>
  <si>
    <t>Mug Térmico para Café Termicup 590 ml Acero Inox Green</t>
  </si>
  <si>
    <t>LHMUTER590-BG</t>
  </si>
  <si>
    <t>Mug Térmico para Café Termicup 590 ml Acero Inox Beige</t>
  </si>
  <si>
    <t>LHMUTER590-NY</t>
  </si>
  <si>
    <t>Mug Térmico para Café Termicup 590 ml Acero Inox Navy</t>
  </si>
  <si>
    <t>Smartwatch</t>
  </si>
  <si>
    <t>LHSWAPEX-BK</t>
  </si>
  <si>
    <t>Reloj Smartwatch Lhotse Apex 01 GPS Black</t>
  </si>
  <si>
    <t>LHSWAPEX-PK</t>
  </si>
  <si>
    <t>Reloj Smartwatch Lhotse Apex 01 GPS Pink</t>
  </si>
  <si>
    <t>LHSWAPEX-OR</t>
  </si>
  <si>
    <t>Reloj Smartwatch Lhotse Apex 01 GPS Rust</t>
  </si>
  <si>
    <t>Accesorio Vestuario</t>
  </si>
  <si>
    <t>Pantuflas</t>
  </si>
  <si>
    <t>LHPANIMBKCM-36/37</t>
  </si>
  <si>
    <t>Pantuflas Térmicas Nimbus Suela CloudGrip Outdoor Black Camo 36/37</t>
  </si>
  <si>
    <t>LHPANIMBKCM-38/39</t>
  </si>
  <si>
    <t>Pantuflas Térmicas Nimbus Suela CloudGrip Outdoor Black Camo 38/39</t>
  </si>
  <si>
    <t>LHPANIMBKCM-40/41</t>
  </si>
  <si>
    <t>Pantuflas Térmicas Nimbus Suela CloudGrip Outdoor Black Camo 40/41</t>
  </si>
  <si>
    <t>LHPANIMBKCM-42/43</t>
  </si>
  <si>
    <t>Pantuflas Térmicas Nimbus Suela CloudGrip Outdoor Black Camo 42/43</t>
  </si>
  <si>
    <t>LHPANIMBKCM-44/45</t>
  </si>
  <si>
    <t>Pantuflas Térmicas Nimbus Suela CloudGrip Outdoor Black Camo 44/45</t>
  </si>
  <si>
    <t>LHPANIMBKBK-36/37</t>
  </si>
  <si>
    <t>Pantuflas Térmicas Nimbus Suela CloudGrip Outdoor Black 36/37</t>
  </si>
  <si>
    <t>LHPANIMBKBK-38/39</t>
  </si>
  <si>
    <t>Pantuflas Térmicas Nimbus Suela CloudGrip Outdoor Black 38/39</t>
  </si>
  <si>
    <t>LHPANIMBKBK-40/41</t>
  </si>
  <si>
    <t>Pantuflas Térmicas Nimbus Suela CloudGrip Outdoor Black 40/41</t>
  </si>
  <si>
    <t>LHPANIMBKBK-42/43</t>
  </si>
  <si>
    <t>Pantuflas Térmicas Nimbus Suela CloudGrip Outdoor Black 42/43</t>
  </si>
  <si>
    <t>LHPANIMBKBK-44/45</t>
  </si>
  <si>
    <t>Pantuflas Térmicas Nimbus Suela CloudGrip Outdoor Black 44/45</t>
  </si>
  <si>
    <t>LHPANIMPK-34/35</t>
  </si>
  <si>
    <t>Pantuflas Térmicas Nimbus Suela CloudGrip Outdoor Pink 34/35</t>
  </si>
  <si>
    <t>LHPANIMPK-36/37</t>
  </si>
  <si>
    <t>Pantuflas Térmicas Nimbus Suela CloudGrip Outdoor Pink 36/37</t>
  </si>
  <si>
    <t>LHPANIMPK-38/39</t>
  </si>
  <si>
    <t>Pantuflas Térmicas Nimbus Suela CloudGrip Outdoor Pink 38/39</t>
  </si>
  <si>
    <t>LHPANIMPK-40/41</t>
  </si>
  <si>
    <t>Pantuflas Térmicas Nimbus Suela CloudGrip Outdoor Pink 40/41</t>
  </si>
  <si>
    <t>LHPANIMSLIL-34/35</t>
  </si>
  <si>
    <t>Pantuflas Térmicas Nimbus Suela CloudGrip Outdoor Smoky Lila 34/35</t>
  </si>
  <si>
    <t>LHPANIMSLIL-36/37</t>
  </si>
  <si>
    <t>Pantuflas Térmicas Nimbus Suela CloudGrip Outdoor Smoky Lila 36/37</t>
  </si>
  <si>
    <t>LHPANIMSLIL-38/39</t>
  </si>
  <si>
    <t>Pantuflas Térmicas Nimbus Suela CloudGrip Outdoor Smoky Lila 38/39</t>
  </si>
  <si>
    <t>LHPANIMSLIL-40/41</t>
  </si>
  <si>
    <t>Pantuflas Térmicas Nimbus Suela CloudGrip Outdoor Smoky Lila 40/41</t>
  </si>
  <si>
    <t>LHPANIMSGR-36/37</t>
  </si>
  <si>
    <t>Pantuflas Térmicas Nimbus Suela CloudGrip Outdoor Smoky Green 36/37</t>
  </si>
  <si>
    <t>LHPANIMSGR-38/39</t>
  </si>
  <si>
    <t>Pantuflas Térmicas Nimbus Suela CloudGrip Outdoor Smoky Green 38/39</t>
  </si>
  <si>
    <t>LHPANIMSGR-40/41</t>
  </si>
  <si>
    <t>Pantuflas Térmicas Nimbus Suela CloudGrip Outdoor Smoky Green 40/41</t>
  </si>
  <si>
    <t>LHPANIMSGR-42/43</t>
  </si>
  <si>
    <t>Pantuflas Térmicas Nimbus Suela CloudGrip Outdoor Smoky Green 42/43</t>
  </si>
  <si>
    <t>LHPANIMSGR-44/45</t>
  </si>
  <si>
    <t>Pantuflas Térmicas Nimbus Suela CloudGrip Outdoor Smoky Green 44/45</t>
  </si>
  <si>
    <t>Oro</t>
  </si>
  <si>
    <t>Neceser</t>
  </si>
  <si>
    <t>LHNECKHUM-GR</t>
  </si>
  <si>
    <t>Neceser Viaje Waterproof 5L Khumbu Lhotse</t>
  </si>
  <si>
    <t>LHTRMU-BK</t>
  </si>
  <si>
    <t>Botella Termica Insulada 900ml Travel Mug Black Lhotse</t>
  </si>
  <si>
    <t>LHBOADV-BL</t>
  </si>
  <si>
    <t>Botella Termica Insulada 650ml Adventure Blue Lhotse</t>
  </si>
  <si>
    <t>26TP0604PI</t>
  </si>
  <si>
    <t>04/08/2026</t>
  </si>
  <si>
    <t>Audio Menor</t>
  </si>
  <si>
    <t>Parlantes</t>
  </si>
  <si>
    <t>LHPARJOUR-BL</t>
  </si>
  <si>
    <t>Parlante Portatil Inalambrico Bluetooth Journey Blue Lhotse</t>
  </si>
  <si>
    <t>Poleras y Primeras Capas</t>
  </si>
  <si>
    <t>LTS26-MTS01XL-GR</t>
  </si>
  <si>
    <t>Polera Deportiva Manga Corta Hombre Boyak DryCool Lhotse</t>
  </si>
  <si>
    <t>LTS26-MTS01XL-BL</t>
  </si>
  <si>
    <t>LTS26-MTS01XL-BK</t>
  </si>
  <si>
    <t>Polar y Polerones</t>
  </si>
  <si>
    <t>LTS26-WKF04S-BK</t>
  </si>
  <si>
    <t>Polar Segunda Capa Mujer Lobuche Cap Lhotse</t>
  </si>
  <si>
    <t>LTS26-WKF04M-BK</t>
  </si>
  <si>
    <t>LTS26-WKF04S-PK</t>
  </si>
  <si>
    <t>LTS26-MTS01L-BK</t>
  </si>
  <si>
    <t>Belleza</t>
  </si>
  <si>
    <t>Cosmetica</t>
  </si>
  <si>
    <t>3304.99-1000</t>
  </si>
  <si>
    <t>PURITO Wonder Releaf Centella Serum Unscented</t>
  </si>
  <si>
    <t>PURITO Wonder Releaf Centella Toner Unscented</t>
  </si>
  <si>
    <t>PURITO Wonder Releaf Centella Cream Unscented</t>
  </si>
  <si>
    <t>PURITO Wonder Releaf Centella Mini Kit Unscented</t>
  </si>
  <si>
    <t>PURITO Mighty Bamboo Panthenol Cream</t>
  </si>
  <si>
    <t>PURITO Oat-in Calming Gel Cream</t>
  </si>
  <si>
    <t>Menaje de Cocina</t>
  </si>
  <si>
    <t>Baterías de cocina</t>
  </si>
  <si>
    <t>SMBATOXBG</t>
  </si>
  <si>
    <t>Batería de Cocina Antiadherente Oxford Granito 15 pcs Beige</t>
  </si>
  <si>
    <t>SMBATOXBK</t>
  </si>
  <si>
    <t>Batería de Cocina Antiadherente Oxford Granito 15pcs Simplit</t>
  </si>
  <si>
    <t>26TP0616PI</t>
  </si>
  <si>
    <t>Cristalería y Bar</t>
  </si>
  <si>
    <t>Vasos</t>
  </si>
  <si>
    <t>67933856404072</t>
  </si>
  <si>
    <t>Set 6 Vasos Corto Vintage Charlotte 200ml Simplit</t>
  </si>
  <si>
    <t>Organización</t>
  </si>
  <si>
    <t>Contenedores</t>
  </si>
  <si>
    <t>1627418212924</t>
  </si>
  <si>
    <t>Set de 7 Contenedores Herméticos Plástico Simplit</t>
  </si>
  <si>
    <t>Cuchilleria</t>
  </si>
  <si>
    <t>SIMCUSTA-5</t>
  </si>
  <si>
    <t>Set Cuchillos Stahl 5 pcs Acero Inoxidable + Taco Simplit</t>
  </si>
  <si>
    <t>67933857637909</t>
  </si>
  <si>
    <t>Set 6 Vasos Largo Vintage Charlotte 350ml Simplit</t>
  </si>
  <si>
    <t>SIMOREXBAS-WD</t>
  </si>
  <si>
    <t>Organizador Cubiertos Expandible Madera Acasia Basel Simplit</t>
  </si>
  <si>
    <t>Mundo Café</t>
  </si>
  <si>
    <t>Cafeteras</t>
  </si>
  <si>
    <t>SMCFIT4LC-GR</t>
  </si>
  <si>
    <t>Cafetera Italiana Lucca 4 Tazas Simplit</t>
  </si>
  <si>
    <t>SMCFIT4SV-WH</t>
  </si>
  <si>
    <t>Cafetera Italiana Savannah 4 Tazas Simplit</t>
  </si>
  <si>
    <t>SMCFIT12LC-GR</t>
  </si>
  <si>
    <t>Cafetera Italiana Lucca 12 Tazas Simplit</t>
  </si>
  <si>
    <t>SMCFIT12SV-WH</t>
  </si>
  <si>
    <t>Cafetera Italiana Savannah 12 Tazas Simplit</t>
  </si>
  <si>
    <t>SIMOREXOSL-WD</t>
  </si>
  <si>
    <t>Organizador de cubiertos expandible Oslo Simplit</t>
  </si>
  <si>
    <t>Basureros</t>
  </si>
  <si>
    <t>SIMBASLUC-GR</t>
  </si>
  <si>
    <t>Basurero Cocina Lucca 12Lt Pedal Acero Inox Simplit</t>
  </si>
  <si>
    <t>SIMBASLIV-BK</t>
  </si>
  <si>
    <t>Basurero Cocina Livorno 12Lt Pedal Acero Inox Simplit</t>
  </si>
  <si>
    <t>SIMCUTOL-2</t>
  </si>
  <si>
    <t>Set Parrillero Toledo Cuchillo y Tenedor Acero Inox Simplit</t>
  </si>
  <si>
    <t>22/06/2026</t>
  </si>
  <si>
    <t>SIMCUPAR-BK</t>
  </si>
  <si>
    <t>Set de Cuchillería 24 pcs Cubiertos Paris Simplit</t>
  </si>
  <si>
    <t>SMCONTVIDR4</t>
  </si>
  <si>
    <t>Set 4 contenedores vidrio</t>
  </si>
  <si>
    <t>SIMCUMAR-BK</t>
  </si>
  <si>
    <t>Set Cuchillos 5 pcs Paris Acero Inoxidable Simplit</t>
  </si>
  <si>
    <t>Bar</t>
  </si>
  <si>
    <t>SIMHIECHAR</t>
  </si>
  <si>
    <t>Hielera Vidrio Charlotte Tapa Madera 3,8lts Simplit</t>
  </si>
  <si>
    <t>1629726159155</t>
  </si>
  <si>
    <t>Cafetera Italiana Negra Granito 4 Tazas Simplit</t>
  </si>
  <si>
    <t>Vajilla</t>
  </si>
  <si>
    <t>Fuentes</t>
  </si>
  <si>
    <t>1661872956577</t>
  </si>
  <si>
    <t>Set 3 Fuentes de Cerámica para Horno Celeste Simplit</t>
  </si>
  <si>
    <t>SMVABOR4</t>
  </si>
  <si>
    <t>Set 4 Vasos Vidrio Borosilicato 550 ml Simplit</t>
  </si>
  <si>
    <t>Juegos de Mesa</t>
  </si>
  <si>
    <t>1628018206370</t>
  </si>
  <si>
    <t>Juego De 4 Cachos Eco Cuero Negro Simplit</t>
  </si>
  <si>
    <t>1654207372101</t>
  </si>
  <si>
    <t>Set 2 Vasos Vidrio Borosilicato 550 ml Simplit</t>
  </si>
  <si>
    <t>Cuidado Personal</t>
  </si>
  <si>
    <t>Secadores</t>
  </si>
  <si>
    <t>TCMULTSTY5N1</t>
  </si>
  <si>
    <t>Secador de pelo Multistyler T-Care 5 en 1</t>
  </si>
  <si>
    <t>Botellas Plasticas</t>
  </si>
  <si>
    <t>MTHWLGBT750-BK</t>
  </si>
  <si>
    <t>Botella Térmica Insulada Hot Wheels Legends Finish Black 750 ml UMA</t>
  </si>
  <si>
    <t>26TP0706PI</t>
  </si>
  <si>
    <t>11/09/2026</t>
  </si>
  <si>
    <t>MTHWLGBT750-YW</t>
  </si>
  <si>
    <t>Botella Térmica Insulada Hot Wheels Legends Torque Yellow 750 ml UMA</t>
  </si>
  <si>
    <t>MTHWLGBT750-BY</t>
  </si>
  <si>
    <t>Botella Térmica Insulada Hot Wheels Legends Drift Yellow Lid 750 ml UMA</t>
  </si>
  <si>
    <t>MTHWLGVT590-YW</t>
  </si>
  <si>
    <t>Vaso Térmico para Café Mug Hot Wheels Legends Turbo Yellow 590 ml UMA</t>
  </si>
  <si>
    <t>MTHWLGVT590-BG</t>
  </si>
  <si>
    <t>Vaso Térmico para Café Mug Hot Wheels Legends Tour Beige 590 ml UMA</t>
  </si>
  <si>
    <t>MTHWLGVT590-BK</t>
  </si>
  <si>
    <t>Vaso Térmico para Café Mug Hot Wheels Legends Champ Black 590 ml UMA</t>
  </si>
  <si>
    <t>MTHWLGBT590-BK</t>
  </si>
  <si>
    <t>Botella Termica Isulada Hot Wheels Legends Loop 2 en 1 Black 590ml UMA</t>
  </si>
  <si>
    <t>MTHWLGBT590-AM</t>
  </si>
  <si>
    <t>Botella Termica Insulada Hot Wheels Legends Nitro 2 en 1 Yellow 590ml UMA</t>
  </si>
  <si>
    <t>Accesorios de Viaje</t>
  </si>
  <si>
    <t>Accesorios de Camping</t>
  </si>
  <si>
    <t>XRCOOLPORT-GR</t>
  </si>
  <si>
    <t>Cooler Eléctrico Portátil 30L 12V Gris Xroad</t>
  </si>
  <si>
    <t>Accesorios de Instalacion</t>
  </si>
  <si>
    <t>Toldos y Carpas</t>
  </si>
  <si>
    <t>XRTOLLAT270-BG</t>
  </si>
  <si>
    <t>Toldo Camping Lateral Para Auto Techo 270° Xroad</t>
  </si>
  <si>
    <t>Barras y Portaequipajes</t>
  </si>
  <si>
    <t>XRBARRUN-122</t>
  </si>
  <si>
    <t>Barra Portaequipaje Enganche Universal 122cm Xroad</t>
  </si>
  <si>
    <t>XRBARRUN-129</t>
  </si>
  <si>
    <t>Barra Portaequipaje Enganche Universal 129cm Xroad</t>
  </si>
  <si>
    <t>XRBARRUN-139</t>
  </si>
  <si>
    <t>Barra Portaequipaje Enganche Universal 139cm Xroad</t>
  </si>
  <si>
    <t>XRCOOLPORT40-GR</t>
  </si>
  <si>
    <t>Cooler Eléctrico Portátil 40L 12V Gris Xroad</t>
  </si>
  <si>
    <t>XRCOOLPOR50-BK</t>
  </si>
  <si>
    <t>Cooler Portátil 50L con Ruedas Negro Xroad</t>
  </si>
  <si>
    <t>XRCOOLPORTF40-GR</t>
  </si>
  <si>
    <t>Cooler Freezer Eléctrico Portátil 40L 12V Gris Xroad</t>
  </si>
  <si>
    <t>XRCARINF34-CL</t>
  </si>
  <si>
    <t>Carpa Inflable 3-4 Personas 3 Estaciones Beige Xroad</t>
  </si>
  <si>
    <t>XRCARRTRACT-CL</t>
  </si>
  <si>
    <t>Carro de Transporte con Techo 150 KG Negro Xroad</t>
  </si>
  <si>
    <t>Accesorios de Automovil</t>
  </si>
  <si>
    <t>Cobertores y Tapices</t>
  </si>
  <si>
    <t>1656603353038</t>
  </si>
  <si>
    <t>Funda Cubre Asiento de Auto Impermeable Mascotas Negra Xroad</t>
  </si>
  <si>
    <t>SIN REPOSICIÓN HASTA OCT — Cobertura &lt; 2.5 meses | Sin llegadas JUL-AGO-SEP | JUL 2026</t>
  </si>
  <si>
    <t>Juguetes de Armado</t>
  </si>
  <si>
    <t>Pistas y Vehiculos</t>
  </si>
  <si>
    <t>BDHELMAD</t>
  </si>
  <si>
    <t>Juego Heladería Infantil Niños Madera Bandú</t>
  </si>
  <si>
    <t>LVMOVITR-BK</t>
  </si>
  <si>
    <t>Mochila Viaje Impermeable Notebook 30L Aerosuite Negra LEVO</t>
  </si>
  <si>
    <t>Oficina</t>
  </si>
  <si>
    <t>LVTECOFSL-GR</t>
  </si>
  <si>
    <t>Teclado Inalámbrico Cygna Slim Grafito LEVO</t>
  </si>
  <si>
    <t>Soportes de Television</t>
  </si>
  <si>
    <t>LVSPTVUN</t>
  </si>
  <si>
    <t>Soporte de Television Ajustable 32" a 72" LEVO</t>
  </si>
  <si>
    <t>LTS26-WPT0642-PT</t>
  </si>
  <si>
    <t>LTS26-WPT0644-PT</t>
  </si>
  <si>
    <t>LTS26-WLG02XL-BK</t>
  </si>
  <si>
    <t>Calza Deportiva Mujer Biker Dhara Lhotse</t>
  </si>
  <si>
    <t>LTS26-WPT0642-BK</t>
  </si>
  <si>
    <t>LTS26-MSW03OR-XL</t>
  </si>
  <si>
    <t>Polerón Unisex Sweatshirt Origin Lhotse</t>
  </si>
  <si>
    <t>Calzas y Petos</t>
  </si>
  <si>
    <t>LTS26-WLG03XL-BK</t>
  </si>
  <si>
    <t>Calza Deportiva Mujer Legging Bergenia Lhotse</t>
  </si>
  <si>
    <t>LTS26-WLG03M-BK</t>
  </si>
  <si>
    <t>LTS26-WLG03L-BK</t>
  </si>
  <si>
    <t>LTS26-WSB01XL-BK</t>
  </si>
  <si>
    <t>Peto Deportivo Mujer Middle Kalo Lhotse</t>
  </si>
  <si>
    <t>LTS26-MWS0644-BK</t>
  </si>
  <si>
    <t>Short Hombre Cargo Adventure Barun UV50+ Lhotse</t>
  </si>
  <si>
    <t>Audífonos</t>
  </si>
  <si>
    <t>LHHEDBEMA-KH</t>
  </si>
  <si>
    <t>Audifonos Bluetooth Inalambrico ANC BeatMaster Kaki Lhotse</t>
  </si>
  <si>
    <t>LHSHNUCO-GR</t>
  </si>
  <si>
    <t>Shaker Vaso Proteina Acero Inox 500ml NutriCore Green Lhotse</t>
  </si>
  <si>
    <t>LHMOPUM-BK</t>
  </si>
  <si>
    <t>Mochila Urbana Impermeable Porta Notebook 22L Pumori Black Lhotse</t>
  </si>
  <si>
    <t>LHNECTRRIM-BK</t>
  </si>
  <si>
    <t>Neceser Estuche de Viaje Travel Rimo Impermeable 5L Lhotse</t>
  </si>
  <si>
    <t>Maletas</t>
  </si>
  <si>
    <t>LHMALEXPBK-70</t>
  </si>
  <si>
    <t>Maleta Trolley Impermeable Duffel 70L Expedition Black Lhotse</t>
  </si>
  <si>
    <t>LHTRMU-WH</t>
  </si>
  <si>
    <t>Botella Termica Insulada 900ml Travel Mug White Lhotse</t>
  </si>
  <si>
    <t>LHPARJOUR-BK</t>
  </si>
  <si>
    <t>Parlante Portatil Inalambrico Bluetooth Journey Black Lhotse</t>
  </si>
  <si>
    <t>LTS26-MTS02BMUXL-GR</t>
  </si>
  <si>
    <t>Polera Manga Corta Hombre Amanita Muscaria Lhotse</t>
  </si>
  <si>
    <t>LTS26-MTS02BDL-BK</t>
  </si>
  <si>
    <t>Polera Manga Corta Hombre Digueñe Lhotse</t>
  </si>
  <si>
    <t>LTS26-MTS02BMUL-GR</t>
  </si>
  <si>
    <t>LTS26-MTS01L-BL</t>
  </si>
  <si>
    <t>Cubetas de hielo</t>
  </si>
  <si>
    <t>66800506435054</t>
  </si>
  <si>
    <t>Cubeta de Hielo Silicona 160 Mini Hielos Simplit</t>
  </si>
  <si>
    <t>CAPITAL INMOVILIZADO EN SOBRESTOCK  |  Total exceso sobre 4 meses óptimos: $330,727,227</t>
  </si>
  <si>
    <t>Marca / Cat. Padre / Cat. Hijo / SKU</t>
  </si>
  <si>
    <t>Descripción</t>
  </si>
  <si>
    <t>Cobert.
ACT (m)</t>
  </si>
  <si>
    <t>Meses
Exceso</t>
  </si>
  <si>
    <t>Stock CST
($)</t>
  </si>
  <si>
    <t>Venta CST
Prom JUL-SEP ($)</t>
  </si>
  <si>
    <t>Stock
Óptimo ($)</t>
  </si>
  <si>
    <t>Capital
Inmovil.($)</t>
  </si>
  <si>
    <t>Tiene
Llegadas</t>
  </si>
  <si>
    <t>▶  Lhotse</t>
  </si>
  <si>
    <t>7/54 c/llegada</t>
  </si>
  <si>
    <t xml:space="preserve">   ▸  Audio Menor</t>
  </si>
  <si>
    <t>5/19</t>
  </si>
  <si>
    <t xml:space="preserve">         ▹  Audífonos</t>
  </si>
  <si>
    <t>2/13</t>
  </si>
  <si>
    <t xml:space="preserve">               ↳  1566335721736</t>
  </si>
  <si>
    <t>Audifonos Bluetooth Inalambrico RM12 Light Blue Lhotse</t>
  </si>
  <si>
    <t>No</t>
  </si>
  <si>
    <t xml:space="preserve">               ↳  1592492799236</t>
  </si>
  <si>
    <t>Audifonos Bluetooth Inalambrico RM12 Pink Lhotse</t>
  </si>
  <si>
    <t xml:space="preserve">               ↳  1597086499840</t>
  </si>
  <si>
    <t>Audifonos Bluetooth Inalambrico RM7 Pro White Lhotse</t>
  </si>
  <si>
    <t xml:space="preserve">               ↳  68658866289861</t>
  </si>
  <si>
    <t>Audifonos Bluetooth Inalambrico RM7 Pro Pink Lhotse</t>
  </si>
  <si>
    <t xml:space="preserve">               ↳  1564150627423</t>
  </si>
  <si>
    <t>Audifonos Bluetooth Inalambrico RM12 White Lhotse</t>
  </si>
  <si>
    <t xml:space="preserve">               ↳  68658868763602</t>
  </si>
  <si>
    <t>Audifonos Bluetooth Inalambrico RM7 Pro Light Blue Lhotse</t>
  </si>
  <si>
    <t xml:space="preserve">               ↳  1597098592591</t>
  </si>
  <si>
    <t>Audifonos Bluetooth Inalambrico RM7 Pro Black Lhotse</t>
  </si>
  <si>
    <t xml:space="preserve">               ↳  LHHEDWEPR-BK</t>
  </si>
  <si>
    <t>Audifonos Bluetooth Inalambrico Over Ear WavePro Black Lhotse</t>
  </si>
  <si>
    <t xml:space="preserve">               ↳  LHHEDBEMA-BK</t>
  </si>
  <si>
    <t>Audifonos Bluetooth Inalambrico ANC BeatMaster Black Lhotse</t>
  </si>
  <si>
    <t xml:space="preserve">               ↳  1564150661249</t>
  </si>
  <si>
    <t>Audifonos Bluetooth Inalambrico RM12 Black Lhotse</t>
  </si>
  <si>
    <t xml:space="preserve">               ↳  LHRMPLU-WH</t>
  </si>
  <si>
    <t>Audifonos Bluetooth TWS Pantalla Touch ANC RMPLUS+ White Lhotse</t>
  </si>
  <si>
    <t>⚠ SÍ</t>
  </si>
  <si>
    <t xml:space="preserve">               ↳  LHRMPLU-BK</t>
  </si>
  <si>
    <t>Audifonos Bluetooth TWS Pantalla Touch ANC RMPLUS+ Black Lhotse</t>
  </si>
  <si>
    <t xml:space="preserve">               ↳  LHHEDWEPR-KH</t>
  </si>
  <si>
    <t>Audifonos Bluetooth Inalambrico Over Ear WavePro White Lhotse</t>
  </si>
  <si>
    <t xml:space="preserve">         ▹  Parlantes</t>
  </si>
  <si>
    <t>3/6</t>
  </si>
  <si>
    <t xml:space="preserve">               ↳  67933833934278</t>
  </si>
  <si>
    <t>Parlante Portatil Inalambrico Bluetooth Tune Up Red Lhotse</t>
  </si>
  <si>
    <t xml:space="preserve">               ↳  67933835121467</t>
  </si>
  <si>
    <t>Parlante Portatil Inalambrico Bluetooth Tune Up Blue Lhotse</t>
  </si>
  <si>
    <t xml:space="preserve">               ↳  67933835988925</t>
  </si>
  <si>
    <t>Parlante Portatil Inalambrico Bluetooth Tune Up Green Lhotse</t>
  </si>
  <si>
    <t xml:space="preserve">               ↳  67933831843970</t>
  </si>
  <si>
    <t>Parlante Portatil Inalambrico Bluetooth Tune Up Black Lhotse</t>
  </si>
  <si>
    <t xml:space="preserve">               ↳  LHPARTRGO-RD</t>
  </si>
  <si>
    <t>Parlante Portatil Inalambrico Bluetooth TripGo Red Lhotse</t>
  </si>
  <si>
    <t xml:space="preserve">               ↳  LHPARPULS-RD</t>
  </si>
  <si>
    <t>Parlante Portatil Inalambrico Bluetooth Pulse On Red Lhotse</t>
  </si>
  <si>
    <t xml:space="preserve">   ▸  Equipamiento</t>
  </si>
  <si>
    <t>—</t>
  </si>
  <si>
    <t xml:space="preserve">         ▹  Bolsos deportivos</t>
  </si>
  <si>
    <t xml:space="preserve">               ↳  LHBOLDUFGR-60</t>
  </si>
  <si>
    <t>Bolso Deportivo Impermeable Duffel 60L Traveller Green Lhotse</t>
  </si>
  <si>
    <t xml:space="preserve">               ↳  LHBOLDUFNV-30</t>
  </si>
  <si>
    <t>Bolso Deportivo Impermeable Duffel 30L Traveller Navy Lhotse</t>
  </si>
  <si>
    <t xml:space="preserve">               ↳  LHBOLDUFGR-30</t>
  </si>
  <si>
    <t>Bolso Deportivo Impermeable Duffel 30L Traveller Green Lhotse</t>
  </si>
  <si>
    <t xml:space="preserve">         ▹  Mochilas</t>
  </si>
  <si>
    <t xml:space="preserve">               ↳  1623703690011</t>
  </si>
  <si>
    <t>Mochila Outdoor Plegable 25L Black Lhotse</t>
  </si>
  <si>
    <t xml:space="preserve">               ↳  LHMOBI001-BK</t>
  </si>
  <si>
    <t>Mochila Outdoor con Bolsa de Agua HydroRoad Black Lhotse</t>
  </si>
  <si>
    <t xml:space="preserve">         ▹  Bananos</t>
  </si>
  <si>
    <t xml:space="preserve">               ↳  LHBANK2BK</t>
  </si>
  <si>
    <t>Banano Outdoor Impermeable K2 Negro 2L Lhotse</t>
  </si>
  <si>
    <t xml:space="preserve">               ↳  LHBANHIM-BK</t>
  </si>
  <si>
    <t>Banano Outdoor Golight 1Lt Himalaya Lhotse</t>
  </si>
  <si>
    <t xml:space="preserve">   ▸  Video</t>
  </si>
  <si>
    <t>1/2</t>
  </si>
  <si>
    <t xml:space="preserve">         ▹  Cámaras de acción</t>
  </si>
  <si>
    <t xml:space="preserve">               ↳  LHCAMACXPL</t>
  </si>
  <si>
    <t>Cámara de acción doble pantalla 4k 30ftps Xplore Lhotse</t>
  </si>
  <si>
    <t xml:space="preserve">               ↳  LHCAMACSUM</t>
  </si>
  <si>
    <t>Cámara de Acción Deportiva Summit 5k 30fps Accesorios</t>
  </si>
  <si>
    <t xml:space="preserve">   ▸  Hidratación</t>
  </si>
  <si>
    <t>1/8</t>
  </si>
  <si>
    <t xml:space="preserve">         ▹  Botellas Termicas</t>
  </si>
  <si>
    <t xml:space="preserve">               ↳  LHBIGMU-PKN</t>
  </si>
  <si>
    <t>Vaso Termico Tumbler Acero Inox Antiderrame 1180ml Pink Lhotse</t>
  </si>
  <si>
    <t xml:space="preserve">               ↳  LHBIGMU-GRN</t>
  </si>
  <si>
    <t>Vaso Termico Tumbler Acero Inox Antiderrame 1180ml Light Green Lhotse</t>
  </si>
  <si>
    <t xml:space="preserve">               ↳  LHBIGMU-CRN</t>
  </si>
  <si>
    <t>Vaso Termico Tumbler Acero Inox Antiderrame 1180ml Sand Lhotse</t>
  </si>
  <si>
    <t xml:space="preserve">               ↳  LHTRMU-BL</t>
  </si>
  <si>
    <t>Botella Termica Insulada 900ml Travel Mug Blue Lhotse</t>
  </si>
  <si>
    <t xml:space="preserve">         ▹  Termos líquidos</t>
  </si>
  <si>
    <t xml:space="preserve">               ↳  LHTHCLA-WH</t>
  </si>
  <si>
    <t>Termo Liquido Acero Inoxidable Classic 1,3 lts White Lhotse</t>
  </si>
  <si>
    <t xml:space="preserve">         ▹  Tazas y vasos</t>
  </si>
  <si>
    <t>1/3</t>
  </si>
  <si>
    <t xml:space="preserve">               ↳  LHCAMU-WH</t>
  </si>
  <si>
    <t>Taza Térmica Insulada Camping White 350ml</t>
  </si>
  <si>
    <t xml:space="preserve">               ↳  LHCAMU-BK</t>
  </si>
  <si>
    <t>Taza Térmica Insulada Camping Black 350ml</t>
  </si>
  <si>
    <t xml:space="preserve">               ↳  LHCAMU-GR</t>
  </si>
  <si>
    <t>Taza Térmica Insulada Camping Green 350ml</t>
  </si>
  <si>
    <t xml:space="preserve">   ▸  Accesorio Vestuario</t>
  </si>
  <si>
    <t xml:space="preserve">         ▹  Calcetines</t>
  </si>
  <si>
    <t xml:space="preserve">               ↳  LHCALMEDGRML-XL</t>
  </si>
  <si>
    <t>Calcetin Corte Medio Andor Gray Melange L-XL</t>
  </si>
  <si>
    <t xml:space="preserve">               ↳  LHCALMEDEAS-M</t>
  </si>
  <si>
    <t>Calcetin Corte Medio Andor Earth S-M</t>
  </si>
  <si>
    <t xml:space="preserve">               ↳  LHCALMEDEAL-XL</t>
  </si>
  <si>
    <t>Calcetin Corte Medio Andor Earth L-XL</t>
  </si>
  <si>
    <t xml:space="preserve">               ↳  LHCALMEDGRMS-M</t>
  </si>
  <si>
    <t>Calcetin Corte Medio Andor Gray Melange S-M</t>
  </si>
  <si>
    <t xml:space="preserve">               ↳  LHCALMEDBLL-XL</t>
  </si>
  <si>
    <t>Calcetin Corte Medio Andor Blue L-XL</t>
  </si>
  <si>
    <t xml:space="preserve">               ↳  LHCALTOBGRES-M</t>
  </si>
  <si>
    <t>Calcetin Corte Tobillo Numa Green S-M</t>
  </si>
  <si>
    <t xml:space="preserve">               ↳  LHCALTOBGREL-XL</t>
  </si>
  <si>
    <t>Calcetin Corte Tobillo Numa Green L-XL</t>
  </si>
  <si>
    <t xml:space="preserve">               ↳  LHCALTOBBKS-M</t>
  </si>
  <si>
    <t>Calcetin Corte Tobillo Numa Black S-M</t>
  </si>
  <si>
    <t xml:space="preserve">               ↳  LHCALMEDBLS-M</t>
  </si>
  <si>
    <t>Calcetin Corte Medio Andor Blue S-M</t>
  </si>
  <si>
    <t xml:space="preserve">               ↳  LHCALTOBGRS-M</t>
  </si>
  <si>
    <t>Calcetin Corte Tobillo Numa Gray S-M</t>
  </si>
  <si>
    <t xml:space="preserve">               ↳  LHCALTOBGRL-XL</t>
  </si>
  <si>
    <t>Calcetin Corte Tobillo Numa Gray L-XL</t>
  </si>
  <si>
    <t xml:space="preserve">               ↳  LHCALTOBBKL-XL</t>
  </si>
  <si>
    <t>Calcetin Deportivo Corte Medio Trail Numa Lhotse</t>
  </si>
  <si>
    <t xml:space="preserve">               ↳  LHCALBAJBKS-M</t>
  </si>
  <si>
    <t>Calcetin Corte Bajo Vora Running Black S-M</t>
  </si>
  <si>
    <t xml:space="preserve">               ↳  LHCALBAJGRML-XL</t>
  </si>
  <si>
    <t>Calcetin Corte Bajo Vora Running Gray Melange L-XL</t>
  </si>
  <si>
    <t xml:space="preserve">               ↳  LHCALBAJWHS-M</t>
  </si>
  <si>
    <t>Calcetin Corte Bajo Vora Running White S-M</t>
  </si>
  <si>
    <t xml:space="preserve">               ↳  LHCALBAJWHL-XL</t>
  </si>
  <si>
    <t>Calcetin Corte Bajo Vora Running White L-XL</t>
  </si>
  <si>
    <t xml:space="preserve">               ↳  LHCALBAJGRMS-M</t>
  </si>
  <si>
    <t>Calcetin Corte Bajo Vora Running Gray Melange S-M</t>
  </si>
  <si>
    <t xml:space="preserve">               ↳  LHCALBAJBKL-XL</t>
  </si>
  <si>
    <t>Calcetin Corte Bajo Vora Running Black L-XL</t>
  </si>
  <si>
    <t>▶  Simplit</t>
  </si>
  <si>
    <t>1/34 c/llegada</t>
  </si>
  <si>
    <t xml:space="preserve">   ▸  Organización</t>
  </si>
  <si>
    <t>1/17</t>
  </si>
  <si>
    <t xml:space="preserve">         ▹  Secadores de platos</t>
  </si>
  <si>
    <t xml:space="preserve">               ↳  1660858341796</t>
  </si>
  <si>
    <t>Secaplatos Escurridor 2 Niveles Acero Inox Negro Simplit</t>
  </si>
  <si>
    <t xml:space="preserve">               ↳  1660858356962</t>
  </si>
  <si>
    <t>Secaplatos Escurridor 2 Niveles Acero Inox Blanco Simplit</t>
  </si>
  <si>
    <t xml:space="preserve">               ↳  68540048936286</t>
  </si>
  <si>
    <t>Secaplatos Escurridor 1 Nivel Acero Inox Negro Simplit</t>
  </si>
  <si>
    <t xml:space="preserve">               ↳  SIMSECVALWH</t>
  </si>
  <si>
    <t>Secaplatos Escurridor Acero Inox Valencia 2 Niveles Simplit</t>
  </si>
  <si>
    <t xml:space="preserve">               ↳  68540051413139</t>
  </si>
  <si>
    <t>Secaplatos Escurridor 1 Nivel Acero Inox Blanco Simplit</t>
  </si>
  <si>
    <t xml:space="preserve">               ↳  SIMSECBILWH</t>
  </si>
  <si>
    <t>Secaplatos Escurridor Acero Inox Bilbao 2 Niveles</t>
  </si>
  <si>
    <t xml:space="preserve">         ▹  Contenedores</t>
  </si>
  <si>
    <t xml:space="preserve">               ↳  1654189204021</t>
  </si>
  <si>
    <t>Organizador Refrigerador con Drenaje L Simplit</t>
  </si>
  <si>
    <t xml:space="preserve">               ↳  1660858416606</t>
  </si>
  <si>
    <t>Panera Metálica con Tapa Bamboo Blanca Simplit</t>
  </si>
  <si>
    <t xml:space="preserve">               ↳  1660858844449</t>
  </si>
  <si>
    <t>Contenedor de Cerámica Hermético Tapa Madera L Simplit</t>
  </si>
  <si>
    <t xml:space="preserve">               ↳  1660858793429</t>
  </si>
  <si>
    <t xml:space="preserve">               ↳  SIMTUPSILBEI</t>
  </si>
  <si>
    <t>Contenedor Plástico Hermético Bento Box</t>
  </si>
  <si>
    <t xml:space="preserve">               ↳  SIMTUPSILRD</t>
  </si>
  <si>
    <t xml:space="preserve">               ↳  1660858812938</t>
  </si>
  <si>
    <t>Contenedor de Cerámica Hermético Tapa Madera S Simplit</t>
  </si>
  <si>
    <t xml:space="preserve">               ↳  1660858776726</t>
  </si>
  <si>
    <t>Contenedor de Cerámica Hermético Tapa Madera M Simplit</t>
  </si>
  <si>
    <t xml:space="preserve">               ↳  1660858756233</t>
  </si>
  <si>
    <t xml:space="preserve">         ▹  Basureros</t>
  </si>
  <si>
    <t>1/1</t>
  </si>
  <si>
    <t xml:space="preserve">               ↳  SIMBACOUR-30</t>
  </si>
  <si>
    <t>Basurero Cocina Urban 30lts Pedal Acero Inox Simplit</t>
  </si>
  <si>
    <t xml:space="preserve">         ▹  Especieros</t>
  </si>
  <si>
    <t xml:space="preserve">               ↳  SIMMOLVER-WD</t>
  </si>
  <si>
    <t>Set 2 Molinillos Sal Pimienta Madera Verona Simplit</t>
  </si>
  <si>
    <t xml:space="preserve">   ▸  Menaje de Cocina</t>
  </si>
  <si>
    <t xml:space="preserve">         ▹  Baterías de cocina</t>
  </si>
  <si>
    <t xml:space="preserve">               ↳  SMBATPMGR</t>
  </si>
  <si>
    <t>Batería de Cocina Antiadherente Pompei Granito 7 Piezas Simplit</t>
  </si>
  <si>
    <t xml:space="preserve">               ↳  SMBATCOPBK</t>
  </si>
  <si>
    <t>Batería de Cocina Antiadherente Black Copper 7 Pzs Simplit</t>
  </si>
  <si>
    <t xml:space="preserve">         ▹  Cuchilleria</t>
  </si>
  <si>
    <t xml:space="preserve">               ↳  SIMCUCER-24</t>
  </si>
  <si>
    <t>Set de Cuchillería 24 pcs Acero Inoxidable Cerdeña Simplit</t>
  </si>
  <si>
    <t xml:space="preserve">         ▹  Sartenes y Ollas</t>
  </si>
  <si>
    <t xml:space="preserve">               ↳  1635956592996</t>
  </si>
  <si>
    <t>Sartén Antiadherente Tapa 28cm Copper Simplit</t>
  </si>
  <si>
    <t xml:space="preserve">               ↳  1635956597983</t>
  </si>
  <si>
    <t>Sartén Antiadherente 24cm Copper Simplit</t>
  </si>
  <si>
    <t xml:space="preserve">         ▹  Utensilios de cocina</t>
  </si>
  <si>
    <t xml:space="preserve">               ↳  SIMTABCUT-WD</t>
  </si>
  <si>
    <t>Tabla Para Picar Cortar Madera 40x28cm Cutte Simplit</t>
  </si>
  <si>
    <t xml:space="preserve">   ▸  Cristalería y Bar</t>
  </si>
  <si>
    <t xml:space="preserve">         ▹  Vasos</t>
  </si>
  <si>
    <t xml:space="preserve">               ↳  SIMCOPVINALSA</t>
  </si>
  <si>
    <t>Set 6 Copas Vino Blanco 400ml Cristal Alsacia Simplit</t>
  </si>
  <si>
    <t xml:space="preserve">               ↳  SIMCOPGINLDN</t>
  </si>
  <si>
    <t>Set 6 Copas Gin 650ml Cristal London Simplit</t>
  </si>
  <si>
    <t xml:space="preserve">               ↳  SIMCOPESPMON</t>
  </si>
  <si>
    <t>Set 6 Copas Espumante 200ml Cristal Monaco Simplit</t>
  </si>
  <si>
    <t xml:space="preserve">               ↳  1654207352499</t>
  </si>
  <si>
    <t>Set 2 Vasos Vidrio Doble Pared 400 ml Simplit</t>
  </si>
  <si>
    <t xml:space="preserve">               ↳  67933860407346</t>
  </si>
  <si>
    <t>Set 6 Vasos Whisky Kentucky 270ml Simplit</t>
  </si>
  <si>
    <t xml:space="preserve">               ↳  SIMVASCORGINE</t>
  </si>
  <si>
    <t>Set 6 Vasos Cortos 380ml Vidrio Ginebra Simplit</t>
  </si>
  <si>
    <t xml:space="preserve">         ▹  Cubetas de hielo</t>
  </si>
  <si>
    <t xml:space="preserve">               ↳  66800510263382</t>
  </si>
  <si>
    <t>Cubeta de Hielo Silicona 6 Hielos Grandes Simplit</t>
  </si>
  <si>
    <t xml:space="preserve">               ↳  66800507665930</t>
  </si>
  <si>
    <t>Cubeta de Hielo Silicona 15 Hielos Simplit</t>
  </si>
  <si>
    <t xml:space="preserve">         ▹  Bar</t>
  </si>
  <si>
    <t xml:space="preserve">               ↳  SIMDECCHA</t>
  </si>
  <si>
    <t>Decantador Aireador Vino Chateau 1650ml</t>
  </si>
  <si>
    <t xml:space="preserve">   ▸  Vajilla</t>
  </si>
  <si>
    <t xml:space="preserve">         ▹  Loza Granel</t>
  </si>
  <si>
    <t xml:space="preserve">               ↳  SIMBOWAMA-4</t>
  </si>
  <si>
    <t>Set 4 Bowls Cerámica 8,5cm Amalfi Simplit</t>
  </si>
  <si>
    <t xml:space="preserve">               ↳  SIMBOWTAZ-4</t>
  </si>
  <si>
    <t>Set 4 Tazas Cerámica 330ml Amalfi Simplit</t>
  </si>
  <si>
    <t>▶  Levo</t>
  </si>
  <si>
    <t>4/21 c/llegada</t>
  </si>
  <si>
    <t xml:space="preserve">   ▸  Perifericos de Computacion</t>
  </si>
  <si>
    <t>1/9</t>
  </si>
  <si>
    <t xml:space="preserve">         ▹  Oficina</t>
  </si>
  <si>
    <t xml:space="preserve">               ↳  67898087132855</t>
  </si>
  <si>
    <t>Silla Escritorio Oficina Ejecutiva Reclinable Comfort LEVO</t>
  </si>
  <si>
    <t xml:space="preserve">               ↳  LVSILLERGO-BL</t>
  </si>
  <si>
    <t>Silla Escritorio Oficina Ergonómica Reclinable Ergotech LEVO</t>
  </si>
  <si>
    <t xml:space="preserve">               ↳  LVMSVEL-GR</t>
  </si>
  <si>
    <t>Mouse Inalámbrico Ultra Slim Silencioso Velar Grafito LEVO</t>
  </si>
  <si>
    <t xml:space="preserve">         ▹  Gaming</t>
  </si>
  <si>
    <t>1/6</t>
  </si>
  <si>
    <t xml:space="preserve">               ↳  LVTECMCC-BK</t>
  </si>
  <si>
    <t>Teclado Gamer NovaBlade TKL Red Switch Mecánico Español RGB LEVO</t>
  </si>
  <si>
    <t xml:space="preserve">               ↳  LVMPADBML-BK</t>
  </si>
  <si>
    <t>Mousepad Battlemat L 45x40 cm Antideslizante Negro LEVO</t>
  </si>
  <si>
    <t xml:space="preserve">               ↳  LVMPADOFS-BK</t>
  </si>
  <si>
    <t>Mousepad Officepad S 23x20 cm Antideslizante Negro LEVO</t>
  </si>
  <si>
    <t xml:space="preserve">               ↳  LVMSGMNS-BK</t>
  </si>
  <si>
    <t>Mouse Gamer Inalambrico RGB NovaStrike Negro LEVO</t>
  </si>
  <si>
    <t xml:space="preserve">               ↳  LVCONJOY-RB</t>
  </si>
  <si>
    <t>Control Joystick Inalámbrico Compatible Switch Joy-Con LEVO</t>
  </si>
  <si>
    <t xml:space="preserve">               ↳  1658329968514</t>
  </si>
  <si>
    <t>Vr Box Ultra + Audífonos Lentes de Realidad Virtual  LEVO</t>
  </si>
  <si>
    <t xml:space="preserve">   ▸  Telones y Proyectores</t>
  </si>
  <si>
    <t xml:space="preserve">         ▹  Telones Proyector</t>
  </si>
  <si>
    <t xml:space="preserve">               ↳  1659991971809</t>
  </si>
  <si>
    <t>Telón Proyector 100 pulgadas 200 x 150 cm LEVO</t>
  </si>
  <si>
    <t xml:space="preserve">               ↳  LVTEL-80</t>
  </si>
  <si>
    <t>Telón Proyector 80 pulgadas 165 x 125 cm LEVO</t>
  </si>
  <si>
    <t xml:space="preserve">               ↳  LVTELBK-80</t>
  </si>
  <si>
    <t>Telón Proyector 80 pulgadas 165 x 125 cm Negro LEVO</t>
  </si>
  <si>
    <t xml:space="preserve">   ▸  Accesorios</t>
  </si>
  <si>
    <t xml:space="preserve">         ▹  Cargador de Celular</t>
  </si>
  <si>
    <t xml:space="preserve">               ↳  LVCAR45W-BK</t>
  </si>
  <si>
    <t>Cargador Ultra Rapido De Pared 45W USB-C Negro LEVO</t>
  </si>
  <si>
    <t xml:space="preserve">               ↳  LVCAR25W-BK</t>
  </si>
  <si>
    <t>Cargador Super Rapido De Pared 25W USB-C Negro LEVO</t>
  </si>
  <si>
    <t xml:space="preserve">               ↳  LVCAR25W-WH</t>
  </si>
  <si>
    <t>Cargador Super Rapido De Pared 25W USB-C Blanco LEVO</t>
  </si>
  <si>
    <t xml:space="preserve">               ↳  LVCAR45W-WH</t>
  </si>
  <si>
    <t>Cargador Ultra Rapido De Pared 45W USB-C Blanco LEVO</t>
  </si>
  <si>
    <t xml:space="preserve">         ▹  Cargador Automovil</t>
  </si>
  <si>
    <t xml:space="preserve">               ↳  1652825203439</t>
  </si>
  <si>
    <t>Cargador Inalámbrico Carga Rápida Magnético Auto VO1 LEVO</t>
  </si>
  <si>
    <t xml:space="preserve">               ↳  1650299083874</t>
  </si>
  <si>
    <t>Cargador Inalámbrico Carga Rapida iPhone 12/13 Auto V+ LEVO</t>
  </si>
  <si>
    <t xml:space="preserve">         ▹  Cable Cargador</t>
  </si>
  <si>
    <t xml:space="preserve">               ↳  LVCABTC-WH</t>
  </si>
  <si>
    <t>Cable de Carga Rápida USB-C 100W 5A 1Mt Blanco LEVO</t>
  </si>
  <si>
    <t xml:space="preserve">         ▹  Dispositivo Multipuerto</t>
  </si>
  <si>
    <t xml:space="preserve">               ↳  LVHUBMP-5</t>
  </si>
  <si>
    <t>Hub USB-C Adaptador Multipuerto 5 en 1 Macbook Windows LEVO</t>
  </si>
  <si>
    <t xml:space="preserve">   ▸  Mochilas y Fundas</t>
  </si>
  <si>
    <t xml:space="preserve">               ↳  1659999392257</t>
  </si>
  <si>
    <t>Mochila Notebook Puerto USB 15,6" Gris LEVO</t>
  </si>
  <si>
    <t>▶  UMA</t>
  </si>
  <si>
    <t>Sin llegadas</t>
  </si>
  <si>
    <t xml:space="preserve">               ↳  MTBOBSHI590</t>
  </si>
  <si>
    <t>Botella Termica Niños Barbie Shine 2 en 1 590ml Acero Inox UMA</t>
  </si>
  <si>
    <t xml:space="preserve">               ↳  MTBOBMA450</t>
  </si>
  <si>
    <t>Botella Termica Niños Barbie Malibu 450ml Acero Inox UMA</t>
  </si>
  <si>
    <t xml:space="preserve">               ↳  MTBOBIC450</t>
  </si>
  <si>
    <t>Botella Termica Niños Barbie Iconic 450ml Acero Inox UMA</t>
  </si>
  <si>
    <t xml:space="preserve">               ↳  MTBOBBA450</t>
  </si>
  <si>
    <t>Botella Termica Niños Barbie 450ml Acero Inox UMA</t>
  </si>
  <si>
    <t xml:space="preserve">               ↳  MTBOBINS590</t>
  </si>
  <si>
    <t>Botella Termica Niños Barbie Inspire 2 en 1 590ml Acero Inox UMA</t>
  </si>
  <si>
    <t xml:space="preserve">               ↳  MTVTUMBVI590</t>
  </si>
  <si>
    <t>Vaso Termico Tumbler Mug Barbie Vibes 590ml Acero Inox UMA</t>
  </si>
  <si>
    <t xml:space="preserve">               ↳  MTVTUMBDR590</t>
  </si>
  <si>
    <t>Vaso Termico Tumbler Mug Barbie Dreams 590ml Acero Inox UMA</t>
  </si>
  <si>
    <t xml:space="preserve">               ↳  MTVTUMBLO590</t>
  </si>
  <si>
    <t>Vaso Termico Tumbler Mug Barbie Love 590ml Acero Inox UMA</t>
  </si>
  <si>
    <t xml:space="preserve">               ↳  MTBOHWFA590</t>
  </si>
  <si>
    <t>Botella Termica Niños Hot Wheels Fast 2 en 1 590ml Acero Inox UMA</t>
  </si>
  <si>
    <t xml:space="preserve">               ↳  MTBOHWCOM590</t>
  </si>
  <si>
    <t>Botella Termica Niños Hot Wheels Comic 2 en 1 590ml Acero Inox UMA</t>
  </si>
  <si>
    <t xml:space="preserve">               ↳  MTBOHWCL450</t>
  </si>
  <si>
    <t>Botella Termica Niños Hot Wheels Class 450ml Acero Inox UMA</t>
  </si>
  <si>
    <t xml:space="preserve">               ↳  MTBOHWTR450</t>
  </si>
  <si>
    <t>Botella Termica Niños Hot Wheels Trucks 450ml Acero Inox UMA</t>
  </si>
  <si>
    <t xml:space="preserve">               ↳  MTBOHWRA450</t>
  </si>
  <si>
    <t>Botella Termica Niños Hot Wheels Race 450ml Acero Inox UMA</t>
  </si>
  <si>
    <t xml:space="preserve">         ▹  Botellas Plasticas</t>
  </si>
  <si>
    <t xml:space="preserve">               ↳  MTBOBPET420</t>
  </si>
  <si>
    <t>Botella Agua Niños Barbie &amp; Pets 420ml con Bombilla UMA</t>
  </si>
  <si>
    <t xml:space="preserve">               ↳  MTBOBLOV420</t>
  </si>
  <si>
    <t>Botella Agua Niños Barbie Love 420ml con Bombilla UMA</t>
  </si>
  <si>
    <t xml:space="preserve">               ↳  MTBOHWRAC420</t>
  </si>
  <si>
    <t>Botella Agua Niños Hot Wheels Race 420ml con Bombilla UMA</t>
  </si>
  <si>
    <t xml:space="preserve">               ↳  MTBOHWMON420</t>
  </si>
  <si>
    <t>Botella Agua Niños Hot Wheels Monster Truck 420ml con Bombilla UMA</t>
  </si>
  <si>
    <t xml:space="preserve">   ▸  Termos</t>
  </si>
  <si>
    <t xml:space="preserve">         ▹  Termos de comida</t>
  </si>
  <si>
    <t xml:space="preserve">               ↳  MTTCBFUN450</t>
  </si>
  <si>
    <t>Termo Comida Barbie Fun + Cuchara 450ml Acero Inox UMA</t>
  </si>
  <si>
    <t xml:space="preserve">               ↳  MTTCBFRI450</t>
  </si>
  <si>
    <t>Termo Comida Barbie &amp; Friends + Cuchara 450ml Acero Inox UMA</t>
  </si>
  <si>
    <t xml:space="preserve">               ↳  MTTCHWCLA330</t>
  </si>
  <si>
    <t>Termo Comida Hot Wheels Class + Cuchara 330ml Acero Inox UMA</t>
  </si>
  <si>
    <t xml:space="preserve">               ↳  MTTCHWTRU330</t>
  </si>
  <si>
    <t>Termo Comida Hot Wheels Truck + Cuchara 330ml Acero Inox UMA</t>
  </si>
  <si>
    <t>▶  Xroad</t>
  </si>
  <si>
    <t>1/5 c/llegada</t>
  </si>
  <si>
    <t xml:space="preserve">   ▸  Accesorios de Instalacion</t>
  </si>
  <si>
    <t xml:space="preserve">         ▹  Barras y Portaequipajes</t>
  </si>
  <si>
    <t xml:space="preserve">               ↳  1650302273911</t>
  </si>
  <si>
    <t>Parrilla Para Auto Aluminio Portaequipaje Universal Gris Xroad</t>
  </si>
  <si>
    <t xml:space="preserve">               ↳  XRPARREQ-BK</t>
  </si>
  <si>
    <t>Parrilla Para Auto Aluminio Portaequipaje Universal Negra Xroad</t>
  </si>
  <si>
    <t xml:space="preserve">   ▸  Accesorios de Viaje</t>
  </si>
  <si>
    <t xml:space="preserve">         ▹  Accesorios de Camping</t>
  </si>
  <si>
    <t xml:space="preserve">               ↳  XRESTAENER-OG</t>
  </si>
  <si>
    <t>Estación de Energía Portátil 300W 248WH 80.000mAh 220V Xroad</t>
  </si>
  <si>
    <t xml:space="preserve">   ▸  Accesorios de Automovil</t>
  </si>
  <si>
    <t xml:space="preserve">         ▹  Cobertores y Tapices</t>
  </si>
  <si>
    <t xml:space="preserve">               ↳  XRPISUNIS3-BK</t>
  </si>
  <si>
    <t>Alfombra Piso de Goma para auto Universal 3 piezas Xroad</t>
  </si>
  <si>
    <t xml:space="preserve">               ↳  XRPISUNIS-BK</t>
  </si>
  <si>
    <t>Alfombra Piso de Goma para auto Universal 4 piezas Xroad</t>
  </si>
  <si>
    <t>▶  Dynamo</t>
  </si>
  <si>
    <t>1/4 c/llegada</t>
  </si>
  <si>
    <t xml:space="preserve">   ▸  Herramientas Eléctricas</t>
  </si>
  <si>
    <t>1/4</t>
  </si>
  <si>
    <t xml:space="preserve">         ▹  Taladro y Atornilladores</t>
  </si>
  <si>
    <t xml:space="preserve">               ↳  DYNLLAIMP</t>
  </si>
  <si>
    <t>Llave de Impacto Inalámbrica Dynamo 21V + 2 Baterias y Acss</t>
  </si>
  <si>
    <t xml:space="preserve">               ↳  DYNTALIMPA</t>
  </si>
  <si>
    <t>Pack Taladro Percutor + Atornillador de Impacto 21V Dynamo</t>
  </si>
  <si>
    <t xml:space="preserve">               ↳  DYNTALPOW</t>
  </si>
  <si>
    <t>Taladro Inalámbrico Dynamo Rotomartillo Percutor 2 Baterías</t>
  </si>
  <si>
    <t xml:space="preserve">               ↳  DYNTALSCA</t>
  </si>
  <si>
    <t>Kit Taladro Destornillador Inalámbrico Dynamo 21V 2 baterías</t>
  </si>
  <si>
    <t>▶  Bandú</t>
  </si>
  <si>
    <t xml:space="preserve">   ▸  Juguetes de Motricidad</t>
  </si>
  <si>
    <t xml:space="preserve">         ▹  Andador y Correpasillos</t>
  </si>
  <si>
    <t xml:space="preserve">               ↳  BDANDDIDAC-PK</t>
  </si>
  <si>
    <t>Andador Correpasillos Bebe Didáctico Madera Bandú</t>
  </si>
  <si>
    <t>SOBRESTOCK CON LLEGADA ENCIMA  |  14 SKUs con &gt;6 meses de cobertura recibiendo más stock</t>
  </si>
  <si>
    <t>Stock
CST ($)</t>
  </si>
  <si>
    <t>Venta Prom.
JUL-SEP ($)</t>
  </si>
  <si>
    <t>67933835988925</t>
  </si>
  <si>
    <t>67933833934278</t>
  </si>
  <si>
    <t>67933835121467</t>
  </si>
  <si>
    <t>XRPARREQ-BK</t>
  </si>
  <si>
    <t>LHCAMU-BK</t>
  </si>
  <si>
    <t>LHRMPLU-WH</t>
  </si>
  <si>
    <t>SIMBACOUR-30</t>
  </si>
  <si>
    <t>1659991971809</t>
  </si>
  <si>
    <t>LHRMPLU-BK</t>
  </si>
  <si>
    <t>LVHUBMP-5</t>
  </si>
  <si>
    <t>1659999392257</t>
  </si>
  <si>
    <t>DYNTALSCA</t>
  </si>
  <si>
    <t>LHCAMACSUM</t>
  </si>
  <si>
    <t>1658329968514</t>
  </si>
  <si>
    <t>TRÁNSITOS POR EMBARQUE  —  [+] para ver SKUs  |  Cobertura: 🔴&lt;1m  🟠1-2m  🟢2-4m  🔵4-6m  🟣&gt;6m  |  JUL 2026</t>
  </si>
  <si>
    <t>PI / Embarque</t>
  </si>
  <si>
    <t>ETA Chile  |  Descripción SKU</t>
  </si>
  <si>
    <t>Mes
Llegada</t>
  </si>
  <si>
    <t>Marcas</t>
  </si>
  <si>
    <t>SKUs
Distintos</t>
  </si>
  <si>
    <t>Críticos
&lt;1m</t>
  </si>
  <si>
    <t>Inquiet.
1-2m</t>
  </si>
  <si>
    <t>Unidades</t>
  </si>
  <si>
    <t>Valor USD</t>
  </si>
  <si>
    <t>Nivel
Riesgo</t>
  </si>
  <si>
    <t>28/07/2026</t>
  </si>
  <si>
    <t>Bandú, Levo, Lhotse, Simplit</t>
  </si>
  <si>
    <t>ALTO</t>
  </si>
  <si>
    <t xml:space="preserve">  ↳  BDTORRAPR</t>
  </si>
  <si>
    <t>Sin stock</t>
  </si>
  <si>
    <t xml:space="preserve">  ↳  SIMBASLUC-GR</t>
  </si>
  <si>
    <t xml:space="preserve">  ↳  SIMBASLIV-BK</t>
  </si>
  <si>
    <t xml:space="preserve">  ↳  SIMOREXBAS-WD</t>
  </si>
  <si>
    <t>0.87</t>
  </si>
  <si>
    <t xml:space="preserve">  ↳  SIMOREXOSL-WD</t>
  </si>
  <si>
    <t xml:space="preserve">  ↳  SIMCUSTA-5</t>
  </si>
  <si>
    <t>0.78</t>
  </si>
  <si>
    <t xml:space="preserve">  ↳  LVMOPRL-BK</t>
  </si>
  <si>
    <t xml:space="preserve">  ↳  LVMOVEL-BK</t>
  </si>
  <si>
    <t xml:space="preserve">  ↳  1623703942966</t>
  </si>
  <si>
    <t>Banano Lhotse Impermeable Negro</t>
  </si>
  <si>
    <t>1.85</t>
  </si>
  <si>
    <t xml:space="preserve">  ↳  LVPANTOTPUB-43</t>
  </si>
  <si>
    <t>Pantalla Totem Publicitario 43" Touch Android Wifi Usb LEVO</t>
  </si>
  <si>
    <t>1.21</t>
  </si>
  <si>
    <t xml:space="preserve">  ↳  LVPANTOTPUB-50</t>
  </si>
  <si>
    <t>Pantalla Totem Publicitario 50" Touch Android Wifi Usb LEVO</t>
  </si>
  <si>
    <t>1.20</t>
  </si>
  <si>
    <t xml:space="preserve">  ↳  SIMBACOIR-40</t>
  </si>
  <si>
    <t>Basurero Cocina Iron 40lts Pedal Acero Inox Simplit</t>
  </si>
  <si>
    <t>3.13</t>
  </si>
  <si>
    <t xml:space="preserve">  ↳  1659999410637</t>
  </si>
  <si>
    <t>Mochila Notebook Puerto USB 15,6" Negra LEVO</t>
  </si>
  <si>
    <t>2.30</t>
  </si>
  <si>
    <t>30/07/2026</t>
  </si>
  <si>
    <t>Levo, Lhotse, Simplit, Xroad</t>
  </si>
  <si>
    <t>MEDIO</t>
  </si>
  <si>
    <t xml:space="preserve">  ↳  1628018206370</t>
  </si>
  <si>
    <t>0.81</t>
  </si>
  <si>
    <t xml:space="preserve">  ↳  LHBOADV-BL</t>
  </si>
  <si>
    <t>0.97</t>
  </si>
  <si>
    <t xml:space="preserve">  ↳  LHAUDFIBUD-BK</t>
  </si>
  <si>
    <t>Audifonos Inalámbricos Bluetooth Deportivos FitBuds Lhotse</t>
  </si>
  <si>
    <t>1.39</t>
  </si>
  <si>
    <t xml:space="preserve">  ↳  SIMTAZSIE-4</t>
  </si>
  <si>
    <t>Set 4 Tazas Cerámica 330ml Siena Simplit</t>
  </si>
  <si>
    <t>1.08</t>
  </si>
  <si>
    <t xml:space="preserve">  ↳  SIMJULZBRU-30</t>
  </si>
  <si>
    <t>Juego de Loza 30 pcs Cerámica Bruselas 6 personas Simplit</t>
  </si>
  <si>
    <t>1.78</t>
  </si>
  <si>
    <t xml:space="preserve">  ↳  1479750635184</t>
  </si>
  <si>
    <t>Vr Box + Control Lentes de Realidad Virtual LEVO</t>
  </si>
  <si>
    <t>1.99</t>
  </si>
  <si>
    <t xml:space="preserve">  ↳  LVCAMSEGEX-BK</t>
  </si>
  <si>
    <t>Cámara de Seguridad Impermeable Wifi 5G 2MP GuardPro X5 LEVO</t>
  </si>
  <si>
    <t>1.12</t>
  </si>
  <si>
    <t xml:space="preserve">  ↳  XRPARTBAT-GR</t>
  </si>
  <si>
    <t>Partidor de Batería Portátil con Compresor de Aire 12V Xroad</t>
  </si>
  <si>
    <t>1.03</t>
  </si>
  <si>
    <t xml:space="preserve">  ↳  1538141129434</t>
  </si>
  <si>
    <t>Pesa Digital Balanza Baño Bluetooth Inteligente Negra LEVO</t>
  </si>
  <si>
    <t>1.31</t>
  </si>
  <si>
    <t xml:space="preserve">  ↳  LHRMPLU-BK</t>
  </si>
  <si>
    <t>7.56</t>
  </si>
  <si>
    <t xml:space="preserve">  ↳  LHRMPLU-WH</t>
  </si>
  <si>
    <t>9.49</t>
  </si>
  <si>
    <t xml:space="preserve">  ↳  67933835988925</t>
  </si>
  <si>
    <t>43.30</t>
  </si>
  <si>
    <t xml:space="preserve">  ↳  67933835121467</t>
  </si>
  <si>
    <t>25.36</t>
  </si>
  <si>
    <t xml:space="preserve">  ↳  67933833934278</t>
  </si>
  <si>
    <t>37.21</t>
  </si>
  <si>
    <t xml:space="preserve">  ↳  SIMJULZSIE-30</t>
  </si>
  <si>
    <t>Juego Loza Cerámica 30 pcs Siena 6 personas Simplit</t>
  </si>
  <si>
    <t>2.17</t>
  </si>
  <si>
    <t xml:space="preserve">  ↳  1659991971809</t>
  </si>
  <si>
    <t>7.95</t>
  </si>
  <si>
    <t xml:space="preserve">  ↳  LVTELBK-100</t>
  </si>
  <si>
    <t>Telón Proyector 100 pulgadas 200 x 150 cm Negro LEVO</t>
  </si>
  <si>
    <t>3.23</t>
  </si>
  <si>
    <t xml:space="preserve">  ↳  LVTELELE-60</t>
  </si>
  <si>
    <t>Telón Proyector 60 pulgadas Eléctrico 120 x 90 cm LEVO</t>
  </si>
  <si>
    <t>2.61</t>
  </si>
  <si>
    <t xml:space="preserve">  ↳  LVHUBMP-5</t>
  </si>
  <si>
    <t>7.41</t>
  </si>
  <si>
    <t xml:space="preserve">  ↳  LVHUBMP-6</t>
  </si>
  <si>
    <t>Hub USB-C Adaptador Multipuerto 6 en 1 Macbook Windows LEVO</t>
  </si>
  <si>
    <t>3.78</t>
  </si>
  <si>
    <t xml:space="preserve">  ↳  1658329968514</t>
  </si>
  <si>
    <t>Vr Box Ultra + Audífonos Lentes de Realidad Virtual LEVO</t>
  </si>
  <si>
    <t>6.23</t>
  </si>
  <si>
    <t xml:space="preserve">  ↳  LHCAMU-BK</t>
  </si>
  <si>
    <t>11.26</t>
  </si>
  <si>
    <t xml:space="preserve">  ↳  LHBOADV-BK</t>
  </si>
  <si>
    <t>Botella Termica Insulada 650ml Adventure Black Lhotse</t>
  </si>
  <si>
    <t>5.97</t>
  </si>
  <si>
    <t xml:space="preserve">  ↳  LHBOADV-WH</t>
  </si>
  <si>
    <t>Botella Termica Insulada 650ml Adventure White Lhotse</t>
  </si>
  <si>
    <t>5.17</t>
  </si>
  <si>
    <t xml:space="preserve">  ↳  LHBOADV-PK</t>
  </si>
  <si>
    <t>Botella Termica Insulada 650ml Adventure Pink Lhotse</t>
  </si>
  <si>
    <t>4.36</t>
  </si>
  <si>
    <t xml:space="preserve">  ↳  LHMAMU-BK</t>
  </si>
  <si>
    <t>Mate Acero Inoxidable con Bombilla Black Lhotse</t>
  </si>
  <si>
    <t>2.93</t>
  </si>
  <si>
    <t xml:space="preserve">  ↳  LHMAMU-GR</t>
  </si>
  <si>
    <t>Mate Acero Inoxidable con Bombilla Green Lhotse</t>
  </si>
  <si>
    <t>5.37</t>
  </si>
  <si>
    <t xml:space="preserve">  ↳  LHMAMU-LPK</t>
  </si>
  <si>
    <t>Mate Acero Inoxidable con Bombilla Light Pink Lhotse</t>
  </si>
  <si>
    <t>2.42</t>
  </si>
  <si>
    <t xml:space="preserve">  ↳  LHMAMU-PK</t>
  </si>
  <si>
    <t>Mate Acero Inoxidable con Bombilla Pink Lhotse</t>
  </si>
  <si>
    <t>2.82</t>
  </si>
  <si>
    <t xml:space="preserve">  ↳  LHMAMU-RD</t>
  </si>
  <si>
    <t>Mate Acero Inoxidable con Bombilla Red Lhotse</t>
  </si>
  <si>
    <t>2.78</t>
  </si>
  <si>
    <t xml:space="preserve">  ↳  1660857800718</t>
  </si>
  <si>
    <t>Especiero Condimentos de Madera 8 Frascos Vidrio Simplit</t>
  </si>
  <si>
    <t xml:space="preserve">  ↳  1543406075297</t>
  </si>
  <si>
    <t>Pesa Digital Balanza Baño Bluetooth Inteligente Blanca LEVO</t>
  </si>
  <si>
    <t>4.34</t>
  </si>
  <si>
    <t xml:space="preserve">  ↳  LHCAMACSUM</t>
  </si>
  <si>
    <t>6.34</t>
  </si>
  <si>
    <t>0.0, Lhotse, Simplit, Xroad</t>
  </si>
  <si>
    <t xml:space="preserve">  ↳  1627418212924</t>
  </si>
  <si>
    <t>0.68</t>
  </si>
  <si>
    <t xml:space="preserve">  ↳  XRBARRUN-122</t>
  </si>
  <si>
    <t xml:space="preserve">  ↳  XRBARRUN-129</t>
  </si>
  <si>
    <t xml:space="preserve">  ↳  XRBARRUN-139</t>
  </si>
  <si>
    <t xml:space="preserve">  ↳  SMBATOXBK</t>
  </si>
  <si>
    <t>0.48</t>
  </si>
  <si>
    <t xml:space="preserve">  ↳  XRCOOLPORT-GR</t>
  </si>
  <si>
    <t>0.15</t>
  </si>
  <si>
    <t xml:space="preserve">  ↳  1650302269777</t>
  </si>
  <si>
    <t>Toldo Camping Lateral Para Auto Techo Xroad</t>
  </si>
  <si>
    <t>1.93</t>
  </si>
  <si>
    <t xml:space="preserve">  ↳  XRFUNCASUN-BK</t>
  </si>
  <si>
    <t>Fundas Cubreasientos Ecocuero Universal Negro XRoad</t>
  </si>
  <si>
    <t>5.05</t>
  </si>
  <si>
    <t xml:space="preserve">  ↳  LHSHNUCO-BK</t>
  </si>
  <si>
    <t>Shaker Vaso Proteina Acero Inox 500ml NutriCore Black Lhotse</t>
  </si>
  <si>
    <t>3.33</t>
  </si>
  <si>
    <t xml:space="preserve">  ↳  LHSHNUCO-PK</t>
  </si>
  <si>
    <t>Shaker Vaso Proteina Acero Inox 500ml NutriCore Pink Lhotse</t>
  </si>
  <si>
    <t xml:space="preserve">  ↳  LHVASOTERMIUP-BK</t>
  </si>
  <si>
    <t xml:space="preserve">  ↳  LHVASOTERMIUP-BG</t>
  </si>
  <si>
    <t xml:space="preserve">  ↳  LHVASOTERMIUP-PK</t>
  </si>
  <si>
    <t xml:space="preserve">  ↳  LHVASOTERMIUP-NY</t>
  </si>
  <si>
    <t xml:space="preserve">  ↳  LHVASOTERMIUP-GR</t>
  </si>
  <si>
    <t>21/08/2026</t>
  </si>
  <si>
    <t>0.0, Dynamo, Levo, Lhotse, Simplit, Xroad</t>
  </si>
  <si>
    <t xml:space="preserve">  ↳  1629726159155</t>
  </si>
  <si>
    <t>0.77</t>
  </si>
  <si>
    <t xml:space="preserve">  ↳  SMCFIT4LC-GR</t>
  </si>
  <si>
    <t xml:space="preserve">  ↳  SMCFIT4SV-WH</t>
  </si>
  <si>
    <t xml:space="preserve">  ↳  1660859424566</t>
  </si>
  <si>
    <t>Carpa Funda Cubre Auto Impermeable Premium con Felpa Xroad</t>
  </si>
  <si>
    <t>0.93</t>
  </si>
  <si>
    <t xml:space="preserve">  ↳  67933856404072</t>
  </si>
  <si>
    <t>1.16</t>
  </si>
  <si>
    <t xml:space="preserve">  ↳  67933857637909</t>
  </si>
  <si>
    <t>1.73</t>
  </si>
  <si>
    <t xml:space="preserve">  ↳  1660859171584</t>
  </si>
  <si>
    <t>Espumador de Leche 4 en 1 Negro Simplit</t>
  </si>
  <si>
    <t>1.48</t>
  </si>
  <si>
    <t xml:space="preserve">  ↳  1659990788079</t>
  </si>
  <si>
    <t>1.86</t>
  </si>
  <si>
    <t xml:space="preserve">  ↳  1659990828178</t>
  </si>
  <si>
    <t>1.09</t>
  </si>
  <si>
    <t xml:space="preserve">  ↳  66436804863605</t>
  </si>
  <si>
    <t>1.07</t>
  </si>
  <si>
    <t xml:space="preserve">  ↳  1615383366170</t>
  </si>
  <si>
    <t>Pick-up Pad Lhotse Porta 6 Bicicletas</t>
  </si>
  <si>
    <t>1.74</t>
  </si>
  <si>
    <t xml:space="preserve">  ↳  1652825295706</t>
  </si>
  <si>
    <t>Cafetera Italiana Negra Granito 12 Tazas Simplit</t>
  </si>
  <si>
    <t>1.47</t>
  </si>
  <si>
    <t xml:space="preserve">  ↳  SIMBACOHA-55</t>
  </si>
  <si>
    <t>Basurero Cocina Handy 55lts Táctil Acero Inox Simplit</t>
  </si>
  <si>
    <t>1.97</t>
  </si>
  <si>
    <t xml:space="preserve">  ↳  XRCOBMOT-BS</t>
  </si>
  <si>
    <t>Carpa Funda Cubre Moto Impermeable Premium con Felpa Xroad</t>
  </si>
  <si>
    <t>1.76</t>
  </si>
  <si>
    <t xml:space="preserve">  ↳  LHSWVIBBK</t>
  </si>
  <si>
    <t>Reloj Smartwatch Lhotse Vibe 05 GPS Black 45mm</t>
  </si>
  <si>
    <t>1.80</t>
  </si>
  <si>
    <t xml:space="preserve">  ↳  XRCOBSUV-BS</t>
  </si>
  <si>
    <t>Carpa Funda Cubre SUV Impermeable Premium con Felpa Xroad</t>
  </si>
  <si>
    <t>7.14</t>
  </si>
  <si>
    <t>8.97</t>
  </si>
  <si>
    <t xml:space="preserve">  ↳  LHTRMU-BK</t>
  </si>
  <si>
    <t>2.22</t>
  </si>
  <si>
    <t xml:space="preserve">  ↳  LHTRMU-GR</t>
  </si>
  <si>
    <t>Botella Termica Insulada 900ml Travel Mug Green Lhotse</t>
  </si>
  <si>
    <t>2.33</t>
  </si>
  <si>
    <t xml:space="preserve">  ↳  LHTRMU-PK</t>
  </si>
  <si>
    <t>Botella Termica Insulada 900ml Travel Mug Pink Lhotse</t>
  </si>
  <si>
    <t>3.08</t>
  </si>
  <si>
    <t xml:space="preserve">  ↳  1650298908518</t>
  </si>
  <si>
    <t>Set 2 Vasos Moscow Mule Mug Cobre + Bombillas Simplit</t>
  </si>
  <si>
    <t>2.90</t>
  </si>
  <si>
    <t xml:space="preserve">  ↳  1654207333519</t>
  </si>
  <si>
    <t>Taza Mug de Vidrio Doble Pared 300 ml Simplit</t>
  </si>
  <si>
    <t>3.59</t>
  </si>
  <si>
    <t xml:space="preserve">  ↳  1660857914743</t>
  </si>
  <si>
    <t>Set 2 Vasos de Vidrio Estilo Japonés 320 ml Simplit</t>
  </si>
  <si>
    <t>2.47</t>
  </si>
  <si>
    <t xml:space="preserve">  ↳  1660858025311</t>
  </si>
  <si>
    <t>Bowl Cortador Rallador de Verduras Multifuncional Simplit</t>
  </si>
  <si>
    <t>2.45</t>
  </si>
  <si>
    <t xml:space="preserve">  ↳  1659999392257</t>
  </si>
  <si>
    <t>3.07</t>
  </si>
  <si>
    <t xml:space="preserve">  ↳  1661873799978</t>
  </si>
  <si>
    <t>Mochila Volcano Lhotse 19 Lt Negra</t>
  </si>
  <si>
    <t xml:space="preserve">  ↳  1661873818029</t>
  </si>
  <si>
    <t>Mochila Volcano Lhotse 19 Lt Verde</t>
  </si>
  <si>
    <t>3.02</t>
  </si>
  <si>
    <t xml:space="preserve">  ↳  1660858101318</t>
  </si>
  <si>
    <t>Mantequillero de Cerámica Tapa Bamboo 300 ml Simplit</t>
  </si>
  <si>
    <t>2.99</t>
  </si>
  <si>
    <t xml:space="preserve">  ↳  1660858118518</t>
  </si>
  <si>
    <t>Mantequillero Cerámica Tapa Bamboo + Cuchillo 600 ml Simplit</t>
  </si>
  <si>
    <t>2.77</t>
  </si>
  <si>
    <t xml:space="preserve">  ↳  SIMMANCC-BK</t>
  </si>
  <si>
    <t>Mantequillero cerámica tapa bamboo con cuchillo 600ml NEGRO</t>
  </si>
  <si>
    <t>2.84</t>
  </si>
  <si>
    <t xml:space="preserve">  ↳  1660859287583</t>
  </si>
  <si>
    <t>Set 4 Contenedores de Vidrio Herméticos Tapa Bamboo Simplit</t>
  </si>
  <si>
    <t xml:space="preserve">  ↳  1650295261109</t>
  </si>
  <si>
    <t>Organizador Refrigerador con Cesta M Simplit</t>
  </si>
  <si>
    <t>3.04</t>
  </si>
  <si>
    <t xml:space="preserve">  ↳  1650295282448</t>
  </si>
  <si>
    <t>Organizador Refrigerador con Cesta L Simplit</t>
  </si>
  <si>
    <t>3.11</t>
  </si>
  <si>
    <t xml:space="preserve">  ↳  1654189048611</t>
  </si>
  <si>
    <t>Organizador Refrigerador con Drenaje S Simplit</t>
  </si>
  <si>
    <t>3.03</t>
  </si>
  <si>
    <t xml:space="preserve">  ↳  XRPARREQ-BK</t>
  </si>
  <si>
    <t>3.06</t>
  </si>
  <si>
    <t xml:space="preserve">  ↳  1650301031879</t>
  </si>
  <si>
    <t>Barras Portaequipaje de Aluminio para Techo Xroad</t>
  </si>
  <si>
    <t>2.86</t>
  </si>
  <si>
    <t xml:space="preserve">  ↳  1639488921197</t>
  </si>
  <si>
    <t>Balanza Pesa Digital Para Cocina Simplit</t>
  </si>
  <si>
    <t>2.75</t>
  </si>
  <si>
    <t xml:space="preserve">  ↳  1659989549286</t>
  </si>
  <si>
    <t>Set Alcuza Cerámica 2 Piezas Cuadrada 500 ml Simplit</t>
  </si>
  <si>
    <t>2.88</t>
  </si>
  <si>
    <t xml:space="preserve">  ↳  67327559384453</t>
  </si>
  <si>
    <t>Cámara HD Auto D3 Frontal, Interior y Trasera LEVO</t>
  </si>
  <si>
    <t>3.00</t>
  </si>
  <si>
    <t xml:space="preserve">  ↳  1615383407099</t>
  </si>
  <si>
    <t>Pick-up Pad Lhotse Porta 2 Bicicletas</t>
  </si>
  <si>
    <t>2.97</t>
  </si>
  <si>
    <t xml:space="preserve">  ↳  LVSPALZNPLE</t>
  </si>
  <si>
    <t>Soporte Base Alzador Notebook Plegable Ajustable Gris LEVO</t>
  </si>
  <si>
    <t>2.87</t>
  </si>
  <si>
    <t xml:space="preserve">  ↳  LVSPBRX2MN</t>
  </si>
  <si>
    <t>2.37</t>
  </si>
  <si>
    <t xml:space="preserve">  ↳  SIMBACOUR-30</t>
  </si>
  <si>
    <t xml:space="preserve">  ↳  DYNTALSCA</t>
  </si>
  <si>
    <t>3.09</t>
  </si>
  <si>
    <t xml:space="preserve">  ↳  DYNTALSPER</t>
  </si>
  <si>
    <t>Kit Taladro Destornillador Inalámbrico Dynamo 21v 2 Baterías</t>
  </si>
  <si>
    <t>2.64</t>
  </si>
  <si>
    <t xml:space="preserve">  ↳  LHSWVIBCR</t>
  </si>
  <si>
    <t>Reloj Smartwatch Lhotse Vibe 05 GPS Cream 42mm</t>
  </si>
  <si>
    <t>2.92</t>
  </si>
  <si>
    <t xml:space="preserve">  ↳  LHSWSHAR-BK</t>
  </si>
  <si>
    <t xml:space="preserve">  ↳  LHSWSHAR-PK</t>
  </si>
  <si>
    <t xml:space="preserve">  ↳  LHSWSHAR-CR</t>
  </si>
  <si>
    <t>30/08/2026</t>
  </si>
  <si>
    <t>0.0, Levo, Lhotse, Simplit, Xroad</t>
  </si>
  <si>
    <t xml:space="preserve">  ↳  SMCFIT12LC-GR</t>
  </si>
  <si>
    <t xml:space="preserve">  ↳  SMCFIT12SV-WH</t>
  </si>
  <si>
    <t xml:space="preserve">  ↳  LHPARTRGO-BK</t>
  </si>
  <si>
    <t>Parlante Portatil Inalambrico Bluetooth TripGo Black Lhotse</t>
  </si>
  <si>
    <t>0.28</t>
  </si>
  <si>
    <t xml:space="preserve">  ↳  LHPARTRGO-BL</t>
  </si>
  <si>
    <t>Parlante Portatil Inalambrico Bluetooth TripGo Blue Lhotse</t>
  </si>
  <si>
    <t>0.24</t>
  </si>
  <si>
    <t xml:space="preserve">  ↳  LHMOMAK-GR</t>
  </si>
  <si>
    <t xml:space="preserve">  ↳  LHMOPUM-GR</t>
  </si>
  <si>
    <t xml:space="preserve">  ↳  LHMOBROBK</t>
  </si>
  <si>
    <t>0.26</t>
  </si>
  <si>
    <t xml:space="preserve">  ↳  LHBOLDUFBK-30</t>
  </si>
  <si>
    <t>Bolso Deportivo Impermeable Duffel 30L Traveller Black Lhotse</t>
  </si>
  <si>
    <t>0.03</t>
  </si>
  <si>
    <t xml:space="preserve">  ↳  LHBOLDUFNV-60</t>
  </si>
  <si>
    <t xml:space="preserve">  ↳  LHMALEXPBK-90</t>
  </si>
  <si>
    <t>Maleta Trolley Impermeable Duffel 90L Expedition Black Lhotse</t>
  </si>
  <si>
    <t>0.29</t>
  </si>
  <si>
    <t xml:space="preserve">  ↳  SIMCUMAR-BK</t>
  </si>
  <si>
    <t>0.05</t>
  </si>
  <si>
    <t xml:space="preserve">  ↳  SIMCUVER-WO</t>
  </si>
  <si>
    <t>Set de Cuchillería 24 pcs Cubiertos Le Mans Simplit</t>
  </si>
  <si>
    <t>0.79</t>
  </si>
  <si>
    <t xml:space="preserve">  ↳  SIMCUMAR-WO</t>
  </si>
  <si>
    <t>Set Cuchillos 5 pcs Marsella Acero Inoxidable Simplit</t>
  </si>
  <si>
    <t>0.57</t>
  </si>
  <si>
    <t xml:space="preserve">  ↳  SIMCENVER-CR</t>
  </si>
  <si>
    <t>Set de Cucharas Ensalada Versalle Acero Inoxidable Simplit</t>
  </si>
  <si>
    <t>0.27</t>
  </si>
  <si>
    <t xml:space="preserve">  ↳  LVPROHEX</t>
  </si>
  <si>
    <t>Proyector Portatil Smart Hexa 8000lm WiFi BT Android LEVO</t>
  </si>
  <si>
    <t xml:space="preserve">  ↳  1661872956577</t>
  </si>
  <si>
    <t>1.24</t>
  </si>
  <si>
    <t xml:space="preserve">  ↳  LHBOLDUFBK-60</t>
  </si>
  <si>
    <t>Bolso Deportivo Impermeable Duffel 60L Traveller Black Lhotse</t>
  </si>
  <si>
    <t>1.17</t>
  </si>
  <si>
    <t xml:space="preserve">  ↳  SIMCUPAR-BK</t>
  </si>
  <si>
    <t>1.05</t>
  </si>
  <si>
    <t xml:space="preserve">  ↳  LHBIGMU-BKN</t>
  </si>
  <si>
    <t>Vaso Termico Tumbler Acero Inox Antiderrame 1180ml Black Lhotse</t>
  </si>
  <si>
    <t>1.91</t>
  </si>
  <si>
    <t xml:space="preserve">  ↳  67933863068841</t>
  </si>
  <si>
    <t>Set 6 Vaso Copa Cerveza Collins 420ml Simplit</t>
  </si>
  <si>
    <t>1.11</t>
  </si>
  <si>
    <t xml:space="preserve">  ↳  LHTHCLA-BK</t>
  </si>
  <si>
    <t>Termo Liquido Acero Inoxidable Classic 1,3 lts Black Lhotse</t>
  </si>
  <si>
    <t>3.17</t>
  </si>
  <si>
    <t xml:space="preserve">  ↳  LHTHCLA-GR</t>
  </si>
  <si>
    <t>Termo Liquido Acero Inoxidable Classic 1,3 lts Green Lhotse</t>
  </si>
  <si>
    <t>3.19</t>
  </si>
  <si>
    <t xml:space="preserve">  ↳  LHTHCLA-PK</t>
  </si>
  <si>
    <t>Termo Liquido Acero Inoxidable Classic 1,3 lts Pink Lhotse</t>
  </si>
  <si>
    <t>3.18</t>
  </si>
  <si>
    <t xml:space="preserve">  ↳  LVFNOTHS13-BK</t>
  </si>
  <si>
    <t>Funda HardShell Notebook 13-14" Negra LEVO</t>
  </si>
  <si>
    <t>2.32</t>
  </si>
  <si>
    <t xml:space="preserve">  ↳  LVFNOTHS15-BK</t>
  </si>
  <si>
    <t>Funda HardShell Notebook 15-16" Negra LEVO</t>
  </si>
  <si>
    <t>2.89</t>
  </si>
  <si>
    <t xml:space="preserve">  ↳  LHPARTRGO-GR</t>
  </si>
  <si>
    <t>Parlante Portatil Inalambrico Bluetooth TripGo Gray Lhotse</t>
  </si>
  <si>
    <t>2.52</t>
  </si>
  <si>
    <t xml:space="preserve">  ↳  XRHYDLAV-OR</t>
  </si>
  <si>
    <t>Hidrolavadora Eléctrica HydroX 1800W 120 Bar Xroad</t>
  </si>
  <si>
    <t>2.94</t>
  </si>
  <si>
    <t xml:space="preserve">  ↳  LHBIGMU-PPN</t>
  </si>
  <si>
    <t>Vaso Termico Tumbler Acero Inox Antiderrame 1180ml Lilac Lhotse</t>
  </si>
  <si>
    <t>2.28</t>
  </si>
  <si>
    <t xml:space="preserve">  ↳  MLLLVMONDOB</t>
  </si>
  <si>
    <t>Muestra Pantalla Monitor doble 15,6"</t>
  </si>
  <si>
    <t xml:space="preserve">  ↳  MLLLVMON17</t>
  </si>
  <si>
    <t>Muestra Pantalla Monitor 17"</t>
  </si>
  <si>
    <t>06/09/2026</t>
  </si>
  <si>
    <t>0.0, Simplit, UMA, Xroad</t>
  </si>
  <si>
    <t>cookware from Lucy
Order No. wechat, Seba, Apr. 14th</t>
  </si>
  <si>
    <t xml:space="preserve">  ↳  MTHWLGBT750-BK</t>
  </si>
  <si>
    <t>Botella Térmica insulada Hot Wheels Legends Black 750 ml UMA</t>
  </si>
  <si>
    <t xml:space="preserve">  ↳  MTHWLGBT750-YW</t>
  </si>
  <si>
    <t>BotellaTermica Insulada Hot Wheels Legends Yellow 750mlUMA</t>
  </si>
  <si>
    <t xml:space="preserve">  ↳  MTHWLGBT750-BY</t>
  </si>
  <si>
    <t>Botella Térmica Insulada Hot Wheels Legends Yellow Lid 750 mlUMA</t>
  </si>
  <si>
    <t xml:space="preserve">  ↳  MTHWLGVT590-YW</t>
  </si>
  <si>
    <t>Vaso Térmico para Cafe Mug Hot Wheels Legends Yellow 590 mIUMA</t>
  </si>
  <si>
    <t xml:space="preserve">  ↳  MTHWLGVT590-BG</t>
  </si>
  <si>
    <t>Vaso Térmico para Café Mug Hot Wheels Legends Beige 590 ml UMA</t>
  </si>
  <si>
    <t xml:space="preserve">  ↳  MTHWLGVT590-BK</t>
  </si>
  <si>
    <t>Vaso Térmico para Cafe Mug Hot Wheels Legends Black 590 mlUMA</t>
  </si>
  <si>
    <t xml:space="preserve">  ↳  MTHWLGBT590-BK</t>
  </si>
  <si>
    <t>Botella Termica Ninos Hot Wheels Legends 2 en 1 Negra 590mlAcero InoxUMA</t>
  </si>
  <si>
    <t xml:space="preserve">  ↳  MTHWLGBT590-AM</t>
  </si>
  <si>
    <t>Botella Termica Ninos Hot Wheels Legends 2 en 1 Amarilla 590ml Acero inoxUMA</t>
  </si>
  <si>
    <t xml:space="preserve">  ↳  SMBATSAV9-CR</t>
  </si>
  <si>
    <t>Bateria de ollas Zavannah 9 Piezas</t>
  </si>
  <si>
    <t>1.70</t>
  </si>
  <si>
    <t xml:space="preserve">  ↳  XRCADCANRR</t>
  </si>
  <si>
    <t>Cadena Antinapoleonica Rueda Repuesto</t>
  </si>
  <si>
    <t xml:space="preserve">  ↳  LHBOTHYDTEK-BK</t>
  </si>
  <si>
    <t>Botella Hydrotek 700ml Black</t>
  </si>
  <si>
    <t xml:space="preserve">  ↳  LHBOTHYDTEK-BG</t>
  </si>
  <si>
    <t>Botella Hydrotek 700ml Beige</t>
  </si>
  <si>
    <t xml:space="preserve">  ↳  LHBOTHYDTEK-PK</t>
  </si>
  <si>
    <t>Botella Hydrotek 700ml Pink</t>
  </si>
  <si>
    <t xml:space="preserve">  ↳  LHBOTHYDTEK-NY</t>
  </si>
  <si>
    <t>Botella Hydrotek 700ml Navy</t>
  </si>
  <si>
    <t xml:space="preserve">  ↳  LHBOTHYDTEK-GR</t>
  </si>
  <si>
    <t>Botella Hydrotek 700ml Green</t>
  </si>
  <si>
    <t>26TP0704PI</t>
  </si>
  <si>
    <t>0.0</t>
  </si>
  <si>
    <t>OK</t>
  </si>
  <si>
    <t xml:space="preserve">  ↳  MLLLHAUDG602</t>
  </si>
  <si>
    <t>MUESTRA Audifono deportivo G602 Chris</t>
  </si>
  <si>
    <t xml:space="preserve">  ↳  MLLLHAUDG202</t>
  </si>
  <si>
    <t>MUESTRA Audifono deportivo G202 Chris</t>
  </si>
  <si>
    <t xml:space="preserve">  ↳  MLLLHAUDG605</t>
  </si>
  <si>
    <t>MUESTRA Audifono deportivo G605 Chris</t>
  </si>
  <si>
    <t xml:space="preserve">  ↳  MLLLHAUDA25</t>
  </si>
  <si>
    <t>MUESTRA Audifono deportivo A25 Chris</t>
  </si>
  <si>
    <t xml:space="preserve">  ↳  MLLLHAUDB09</t>
  </si>
  <si>
    <t>MUESTRA Audifono deportivo B09 Chris</t>
  </si>
  <si>
    <t xml:space="preserve">  ↳  MLLLHAUDB07</t>
  </si>
  <si>
    <t>MUESTRA Audifono deportivo B07 Chris</t>
  </si>
  <si>
    <t xml:space="preserve">  ↳  MLLTCSKINFLOW</t>
  </si>
  <si>
    <t>MUESTRA Afeitadora Rasuradora Facial Masculina SkinFlow T-Care</t>
  </si>
  <si>
    <t xml:space="preserve">  ↳  MLLLHTERMI-BK</t>
  </si>
  <si>
    <t>MUESTRA Mug Térmico para Café Termicup 590 ml Acero Inox Black</t>
  </si>
  <si>
    <t xml:space="preserve">  ↳  MLLLHTERMI-PK</t>
  </si>
  <si>
    <t>MUESTRA Mug Térmico para Café Termicup 590 ml Acero Inox Pink</t>
  </si>
  <si>
    <t xml:space="preserve">  ↳  MLLLHTERMI-GR</t>
  </si>
  <si>
    <t>MUESTRA Mug Térmico para Café Termicup 590 ml Acero Inox Green</t>
  </si>
  <si>
    <t xml:space="preserve">  ↳  MLLLHTERMI-BG</t>
  </si>
  <si>
    <t>MUESTRA Mug Térmico para Café Termicup 590 ml Acero Inox Beige</t>
  </si>
  <si>
    <t xml:space="preserve">  ↳  MLLLHTERMI-NV</t>
  </si>
  <si>
    <t>MUESTRA Mug Térmico para Café Termicup 590 ml Acero Inox Navy</t>
  </si>
  <si>
    <t xml:space="preserve">  ↳  MLLLGHYDROT-BK</t>
  </si>
  <si>
    <t>MUESTRA Botella Termica Agua Hydrotek 750 ml Acero Inox Black</t>
  </si>
  <si>
    <t xml:space="preserve">  ↳  MLLLGHYDROT-PK</t>
  </si>
  <si>
    <t>MUESTRA Botella Termica Agua Hydrotek 750 ml Acero Inox Pink</t>
  </si>
  <si>
    <t xml:space="preserve">  ↳  MLLLGHYDROT-GR</t>
  </si>
  <si>
    <t>MUESTRA Botella Termica Agua Hydrotek 750 ml Acero Inox Green</t>
  </si>
  <si>
    <t xml:space="preserve">  ↳  MLLLGHYDROT-NV</t>
  </si>
  <si>
    <t>MUESTRA Botella Termica Agua Hydrotek 750 ml Acero Inox Navy</t>
  </si>
  <si>
    <t xml:space="preserve">  ↳  MLLLGHYDROT-BG</t>
  </si>
  <si>
    <t>MUESTRA Botella Termica Agua Hydrotek 750 ml Acero Inox Beige</t>
  </si>
  <si>
    <t xml:space="preserve">  ↳  MLLUMAHWLG750-BK</t>
  </si>
  <si>
    <t>MUESTRA Botella Térmica Insulada Hot Wheels Legends Finish Black 750 ml UMA</t>
  </si>
  <si>
    <t xml:space="preserve">  ↳  MLLUMAHWLG750-YW</t>
  </si>
  <si>
    <t>MUESTRA Botella Térmica Insulada Hot Wheels Legends Torque Yellow 750 ml UMA</t>
  </si>
  <si>
    <t xml:space="preserve">  ↳  MLLUMAHWLG750-BY</t>
  </si>
  <si>
    <t>MUESTRA Botella Térmica Insulada Hot Wheels Legends Drift Yellow Lid 750 ml UMA</t>
  </si>
  <si>
    <t xml:space="preserve">  ↳  MLLUMAHWLGVAS-YW</t>
  </si>
  <si>
    <t>MUESTRA Vaso Térmico para Café Mug Hot Wheels Legends Turbo Yellow 590 ml UMA</t>
  </si>
  <si>
    <t xml:space="preserve">  ↳  MLLUMAHWLGVAS-BG</t>
  </si>
  <si>
    <t>MUESTRA Vaso Térmico para Café Mug Hot Wheels Legends Tour Beige 590 ml UMA</t>
  </si>
  <si>
    <t xml:space="preserve">  ↳  MLLUMAHWLGVAS-BK</t>
  </si>
  <si>
    <t>MUESTRA Vaso Térmico para Café Mug Hot Wheels Legends Champ Black 590 ml UMA</t>
  </si>
  <si>
    <t xml:space="preserve">  ↳  MLLUMAHWLG2EN1-BK</t>
  </si>
  <si>
    <t>MUESTRA Botella Termica Isulada Hot Wheels Legends Loop  2 en 1 Black 590ml UMA</t>
  </si>
  <si>
    <t xml:space="preserve">  ↳  MLLUMAHWLG2EN1-YW</t>
  </si>
  <si>
    <t>MUESTRA Botella Termica Insulada Hot Wheels Legends Nitro 2 en 1 Yellow 590ml UMA</t>
  </si>
  <si>
    <t>7 embarques</t>
  </si>
  <si>
    <t>NUEVOS EN TRÁNSITO — Tipo Categoría: NUEVO | JUL 2026</t>
  </si>
  <si>
    <t>Fecha ETA
Bodega</t>
  </si>
  <si>
    <t>Cantidad</t>
  </si>
  <si>
    <t xml:space="preserve">  ▶  Llegada AGO26</t>
  </si>
  <si>
    <t>LHVASOTERMIUP-BG</t>
  </si>
  <si>
    <t>LHVASOTERMIUP-BK</t>
  </si>
  <si>
    <t>LHVASOTERMIUP-GR</t>
  </si>
  <si>
    <t>LHVASOTERMIUP-NY</t>
  </si>
  <si>
    <t>LHVASOTERMIUP-PK</t>
  </si>
  <si>
    <t>XRFUNCASUN-BK</t>
  </si>
  <si>
    <t xml:space="preserve">  ▶  Llegada SEP26</t>
  </si>
  <si>
    <t>LHSWSHAR-BK</t>
  </si>
  <si>
    <t>LHSWSHAR-CR</t>
  </si>
  <si>
    <t>LHSWSHAR-PK</t>
  </si>
  <si>
    <t>LVSPALZNPLE</t>
  </si>
  <si>
    <t>XRCOBMOT-BS</t>
  </si>
  <si>
    <t>XRCOBSUV-BS</t>
  </si>
  <si>
    <t>MLLLVMON17</t>
  </si>
  <si>
    <t>MLLLVMONDOB</t>
  </si>
  <si>
    <t xml:space="preserve">  ▶  Llegada OCT26</t>
  </si>
  <si>
    <t>LHBOTHYDTEK-BG</t>
  </si>
  <si>
    <t>LHBOTHYDTEK-BK</t>
  </si>
  <si>
    <t>LHBOTHYDTEK-GR</t>
  </si>
  <si>
    <t>LHBOTHYDTEK-NY</t>
  </si>
  <si>
    <t>LHBOTHYDTEK-PK</t>
  </si>
  <si>
    <t>XRCADCANRR</t>
  </si>
  <si>
    <t xml:space="preserve">  ▶  Llegada </t>
  </si>
  <si>
    <t>MLLLGHYDROT-BG</t>
  </si>
  <si>
    <t>MLLLGHYDROT-BK</t>
  </si>
  <si>
    <t>MLLLGHYDROT-GR</t>
  </si>
  <si>
    <t>MLLLGHYDROT-NV</t>
  </si>
  <si>
    <t>MLLLGHYDROT-PK</t>
  </si>
  <si>
    <t>MLLLHAUDA25</t>
  </si>
  <si>
    <t>MLLLHAUDB07</t>
  </si>
  <si>
    <t>MLLLHAUDB09</t>
  </si>
  <si>
    <t>MLLLHAUDG202</t>
  </si>
  <si>
    <t>MLLLHAUDG602</t>
  </si>
  <si>
    <t>MLLLHAUDG605</t>
  </si>
  <si>
    <t>MLLLHTERMI-BG</t>
  </si>
  <si>
    <t>MLLLHTERMI-BK</t>
  </si>
  <si>
    <t>MLLLHTERMI-GR</t>
  </si>
  <si>
    <t>MLLLHTERMI-NV</t>
  </si>
  <si>
    <t>MLLLHTERMI-PK</t>
  </si>
  <si>
    <t>MLLTCSKINFLOW</t>
  </si>
  <si>
    <t>MLLUMAHWLG2EN1-BK</t>
  </si>
  <si>
    <t>MLLUMAHWLG2EN1-YW</t>
  </si>
  <si>
    <t>MLLUMAHWLG750-BK</t>
  </si>
  <si>
    <t>MLLUMAHWLG750-BY</t>
  </si>
  <si>
    <t>MLLUMAHWLG750-YW</t>
  </si>
  <si>
    <t>MLLUMAHWLGVAS-BG</t>
  </si>
  <si>
    <t>MLLUMAHWLGVAS-BK</t>
  </si>
  <si>
    <t>MLLUMAHWLGVAS-YW</t>
  </si>
  <si>
    <t>70 items</t>
  </si>
  <si>
    <t>NO TOTAL</t>
  </si>
  <si>
    <t>Categoria Producto</t>
  </si>
  <si>
    <t>(Todas)</t>
  </si>
  <si>
    <t>Ranking Comercial</t>
  </si>
  <si>
    <t>Valores</t>
  </si>
  <si>
    <t>Categoria Padre</t>
  </si>
  <si>
    <t>Categoria Hijo</t>
  </si>
  <si>
    <t>Sku</t>
  </si>
  <si>
    <t xml:space="preserve"> Stock HOY</t>
  </si>
  <si>
    <t xml:space="preserve"> Transito JUL 26</t>
  </si>
  <si>
    <t xml:space="preserve"> Stock + Pedido Unid JUL26</t>
  </si>
  <si>
    <t xml:space="preserve">  Venta PPTO JUL26</t>
  </si>
  <si>
    <t xml:space="preserve"> Cobert. JUL 26 Unid</t>
  </si>
  <si>
    <t xml:space="preserve"> Stock Inicial AGO26</t>
  </si>
  <si>
    <t xml:space="preserve"> Transito AGO 26</t>
  </si>
  <si>
    <t xml:space="preserve"> Stock + Pedido Unid AGO26</t>
  </si>
  <si>
    <t xml:space="preserve">  Venta PPTO AGO26</t>
  </si>
  <si>
    <t xml:space="preserve"> Cobert. AGO 26 Unid</t>
  </si>
  <si>
    <t xml:space="preserve"> Stock Inicial SEP26</t>
  </si>
  <si>
    <t xml:space="preserve"> Transito SEP 26</t>
  </si>
  <si>
    <t xml:space="preserve"> Stock + Pedido Unid SEP26</t>
  </si>
  <si>
    <t xml:space="preserve">  Venta PPTO SEP26</t>
  </si>
  <si>
    <t xml:space="preserve"> Cobert. SEP 26 Unid</t>
  </si>
  <si>
    <t>Total general</t>
  </si>
  <si>
    <t>COMPARATIVO REAL VS META 2026  --  VENTA NETA Y CONTRIBUCION POR CANAL</t>
  </si>
  <si>
    <t>Ene-Jul 2026 (Julio parcial al día 12 de 31 — linealidad 38.7%).  Paginas Propias=P.Web  |  Distribucion REAL = Total Dist - UnionX B2B.  Meta Dist y Marketplace incluyen meta Mattel (hoja MATTEL).</t>
  </si>
  <si>
    <t>Meta venta canal: PPTO 2026 REAL PP+M + Mattel.  Meta contrib canal: PPTO MARCA 2026 + Mattel proporcional.  ITEK excluido del análisis de marcas.</t>
  </si>
  <si>
    <t>VENTA NETA POR CANAL</t>
  </si>
  <si>
    <t>Meta: PPTO 2026 REAL PP+M + hoja MATTEL (VNT por canal).  Real: TD VENTAS Net + Contrib (FORECAST FINAL SKU).</t>
  </si>
  <si>
    <t>CANAL</t>
  </si>
  <si>
    <t>Ene</t>
  </si>
  <si>
    <t>Feb</t>
  </si>
  <si>
    <t>Mar</t>
  </si>
  <si>
    <t>Abr</t>
  </si>
  <si>
    <t>May</t>
  </si>
  <si>
    <t>Jun</t>
  </si>
  <si>
    <t>Jul</t>
  </si>
  <si>
    <t>TOTAL ENE-JUL</t>
  </si>
  <si>
    <t>META</t>
  </si>
  <si>
    <t>REAL</t>
  </si>
  <si>
    <t>VAR%</t>
  </si>
  <si>
    <t>Corporativo</t>
  </si>
  <si>
    <t>Distribución</t>
  </si>
  <si>
    <t>UnionX B2B</t>
  </si>
  <si>
    <t>Fidelización</t>
  </si>
  <si>
    <t>Marketplace</t>
  </si>
  <si>
    <t>P.Web</t>
  </si>
  <si>
    <t>Tiendas Propias</t>
  </si>
  <si>
    <t>CONTRIBUCION FRONTAL POR CANAL</t>
  </si>
  <si>
    <t>Meta: PPTO MARCA 2026 + Mattel proporcional.  Real: TD VENTAS Net + Contrib (FORECAST FINAL SKU).</t>
  </si>
  <si>
    <t>COMPARATIVO REAL VS META 2026  --  ANALISIS POR MARCA</t>
  </si>
  <si>
    <t>Ene-Jul 2026 (Julio parcial al día 12 de 31 — linealidad 38.7%).  Marca Flash=DynamoTL+Bandu+T-Care  |  Mattel=UMA  |  Prov.Nacionales=Otras Marcas+Goya  |  ITEK en Corporativo canal  |  Klip Klap excluido.</t>
  </si>
  <si>
    <t>VENTA NETA POR MARCA</t>
  </si>
  <si>
    <t>Meta: PPTO MARCA 2026 + hoja MATTEL.  Real: Ventas Netas - TD VENTAS Net + Contrib (FORECAST FINAL SKU).  UnionX B2B: meta redistribuida a Lhotse 49.7%, LEVO 29.4%, Simplit 17.3%, XROAD 3.6%.</t>
  </si>
  <si>
    <t>MARCA</t>
  </si>
  <si>
    <t>LEVO</t>
  </si>
  <si>
    <t>XROAD</t>
  </si>
  <si>
    <t>Marca Flash</t>
  </si>
  <si>
    <t>Prov. Nacionales</t>
  </si>
  <si>
    <t>Mattel</t>
  </si>
  <si>
    <t>CONTRIBUCION FRONTAL POR MARCA</t>
  </si>
  <si>
    <t>Meta: PPTO MARCA 2026 + hoja MATTEL.  Real: Margen Front - TD VENTAS Net + Contrib (FORECAST FINAL SKU).  UnionX B2B: meta redistribuida a Lhotse 49.7%, LEVO 29.4%, Simplit 17.3%, XROAD 3.6%.</t>
  </si>
  <si>
    <t>CÓMO VAMOS JULIO 2026  —  LINEALIDAD AL DÍA 12 DE 31  (38.7%)</t>
  </si>
  <si>
    <t>Linealidad ponderada al día 12: Sem1(1-7)=70% + Sem2(8-14)=10% + ... = 38.7%.  Meta Lineal = Meta Julio × 38.71%.  Colores % vs Lineal: 🟣≥110%  🟢90-110%  🟡70-90%  🟠50-70%  🔴&lt;50%</t>
  </si>
  <si>
    <t>Meta Julio</t>
  </si>
  <si>
    <t>Meta Lineal
día 12/31</t>
  </si>
  <si>
    <t>Real Acum.
Julio</t>
  </si>
  <si>
    <t>vs Lineal ($)</t>
  </si>
  <si>
    <t>% vs Lineal</t>
  </si>
  <si>
    <t>% vs Meta</t>
  </si>
  <si>
    <t>CONTRIBUCIÓN POR MARCA</t>
  </si>
  <si>
    <t>CONTRIBUCIÓN POR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</si>
</sst>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164" formatCode="\$\ #,##0.0,,"/>
    <numFmt numFmtId="165" formatCode="0.000"/>
    <numFmt numFmtId="166" formatCode="\$\ #,##0"/>
    <numFmt numFmtId="167" formatCode="0.0"/>
    <numFmt numFmtId="168" formatCode="\$#,##0"/>
    <numFmt numFmtId="169" formatCode="0.0%"/>
    <numFmt numFmtId="170" formatCode="_ * #,##0.0_ ;_ * \-#,##0.0_ ;_ * &quot;-&quot;_ ;_ @_ "/>
  </numFmts>
  <fonts count="6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9"/>
      <color rgb="FF1A5276"/>
      <name val="Calibri"/>
    </font>
    <font>
      <sz val="9"/>
      <color rgb="FF6C3483"/>
      <name val="Calibri"/>
    </font>
    <font>
      <sz val="9"/>
      <color rgb="FF1E8449"/>
      <name val="Calibri"/>
    </font>
    <font>
      <sz val="9"/>
      <color rgb="FFE67E22"/>
      <name val="Calibri"/>
    </font>
    <font>
      <i/>
      <sz val="8"/>
      <color rgb="FF7F8C8D"/>
      <name val="Calibri"/>
    </font>
    <font>
      <b/>
      <sz val="9"/>
      <color rgb="FFC0392B"/>
      <name val="Calibri"/>
    </font>
    <font>
      <sz val="8"/>
      <color rgb="FF000000"/>
      <name val="Calibri"/>
    </font>
    <font>
      <b/>
      <sz val="9"/>
      <color rgb="FFCA6F1E"/>
      <name val="Calibri"/>
    </font>
    <font>
      <b/>
      <sz val="12"/>
      <color rgb="FFFFFFFF"/>
      <name val="Calibri"/>
    </font>
    <font>
      <sz val="9"/>
      <color rgb="FFAAAAAA"/>
      <name val="Calibri"/>
    </font>
    <font>
      <sz val="9"/>
      <color rgb="FFCA6F1E"/>
      <name val="Calibri"/>
    </font>
    <font>
      <b/>
      <sz val="9"/>
      <color rgb="FF1E8449"/>
      <name val="Calibri"/>
    </font>
    <font>
      <sz val="9"/>
      <color rgb="FFC0392B"/>
      <name val="Calibri"/>
    </font>
    <font>
      <b/>
      <sz val="9"/>
      <color rgb="FF1A5276"/>
      <name val="Calibri"/>
    </font>
    <font>
      <b/>
      <sz val="9"/>
      <color rgb="FFB7950B"/>
      <name val="Calibri"/>
    </font>
    <font>
      <sz val="9"/>
      <color rgb="FFD7BDE2"/>
      <name val="Calibri"/>
    </font>
    <font>
      <sz val="9"/>
      <color rgb="FFFFFFFF"/>
      <name val="Calibri"/>
    </font>
    <font>
      <b/>
      <sz val="9"/>
      <color rgb="FF4A235A"/>
      <name val="Calibri"/>
    </font>
    <font>
      <sz val="9"/>
      <color rgb="FF566573"/>
      <name val="Calibri"/>
    </font>
    <font>
      <sz val="9"/>
      <color rgb="FF4A235A"/>
      <name val="Calibri"/>
    </font>
    <font>
      <sz val="8"/>
      <color rgb="FF1A5276"/>
      <name val="Calibri"/>
    </font>
    <font>
      <b/>
      <sz val="8"/>
      <color rgb="FF6C3483"/>
      <name val="Calibri"/>
    </font>
    <font>
      <sz val="8"/>
      <color rgb="FF6C3483"/>
      <name val="Calibri"/>
    </font>
    <font>
      <sz val="8"/>
      <color rgb="FF566573"/>
      <name val="Calibri"/>
    </font>
    <font>
      <b/>
      <sz val="8"/>
      <color rgb="FFE67E22"/>
      <name val="Calibri"/>
    </font>
    <font>
      <sz val="8"/>
      <color rgb="FFE67E22"/>
      <name val="Calibri"/>
    </font>
    <font>
      <b/>
      <sz val="8"/>
      <color rgb="FFCB4335"/>
      <name val="Calibri"/>
    </font>
    <font>
      <sz val="8"/>
      <color rgb="FFCB4335"/>
      <name val="Calibri"/>
    </font>
    <font>
      <b/>
      <sz val="8"/>
      <color rgb="FFCA6F1E"/>
      <name val="Calibri"/>
    </font>
    <font>
      <b/>
      <sz val="9"/>
      <color rgb="FF6C3483"/>
      <name val="Calibri"/>
    </font>
    <font>
      <b/>
      <sz val="9"/>
      <color rgb="FF784212"/>
      <name val="Calibri"/>
    </font>
    <font>
      <sz val="9"/>
      <color rgb="FFCB4335"/>
      <name val="Calibri"/>
    </font>
    <font>
      <b/>
      <sz val="9"/>
      <color rgb="FFCB4335"/>
      <name val="Calibri"/>
    </font>
    <font>
      <b/>
      <sz val="9"/>
      <color rgb="FFE67E22"/>
      <name val="Calibri"/>
    </font>
    <font>
      <b/>
      <i/>
      <sz val="8"/>
      <color rgb="FF1A5276"/>
      <name val="Calibri"/>
    </font>
    <font>
      <sz val="8"/>
      <color rgb="FF4D5656"/>
      <name val="Calibri"/>
    </font>
    <font>
      <sz val="8"/>
      <color rgb="FFC0392B"/>
      <name val="Calibri"/>
    </font>
    <font>
      <b/>
      <sz val="8"/>
      <color rgb="FFC0392B"/>
      <name val="Calibri"/>
    </font>
    <font>
      <i/>
      <sz val="8"/>
      <color rgb="FF1A5276"/>
      <name val="Calibri"/>
    </font>
    <font>
      <sz val="8"/>
      <color rgb="FFCA6F1E"/>
      <name val="Calibri"/>
    </font>
    <font>
      <sz val="8"/>
      <color rgb="FF1E8449"/>
      <name val="Calibri"/>
    </font>
    <font>
      <sz val="8"/>
      <color rgb="FF95A5A6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95959"/>
      <name val="Arial"/>
    </font>
    <font>
      <i/>
      <sz val="8"/>
      <color rgb="FF7F4F0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10"/>
      <color rgb="FF595959"/>
      <name val="Arial"/>
    </font>
    <font>
      <b/>
      <sz val="10"/>
      <color rgb="FF595959"/>
      <name val="Arial"/>
    </font>
  </fonts>
  <fills count="48">
    <fill>
      <patternFill patternType="none"/>
    </fill>
    <fill>
      <patternFill patternType="gray125"/>
    </fill>
    <fill>
      <patternFill patternType="solid">
        <fgColor rgb="FF1B2631"/>
      </patternFill>
    </fill>
    <fill>
      <patternFill patternType="solid">
        <fgColor rgb="FF6E2F1A"/>
      </patternFill>
    </fill>
    <fill>
      <patternFill patternType="solid">
        <fgColor rgb="FF1B4F72"/>
      </patternFill>
    </fill>
    <fill>
      <patternFill patternType="solid">
        <fgColor rgb="FF4D5656"/>
      </patternFill>
    </fill>
    <fill>
      <patternFill patternType="solid">
        <fgColor rgb="FF0E6655"/>
      </patternFill>
    </fill>
    <fill>
      <patternFill patternType="solid">
        <fgColor rgb="FF2C3E50"/>
      </patternFill>
    </fill>
    <fill>
      <patternFill patternType="solid">
        <fgColor rgb="FF935116"/>
      </patternFill>
    </fill>
    <fill>
      <patternFill patternType="solid">
        <fgColor rgb="FF21618C"/>
      </patternFill>
    </fill>
    <fill>
      <patternFill patternType="solid">
        <fgColor rgb="FF616A6B"/>
      </patternFill>
    </fill>
    <fill>
      <patternFill patternType="solid">
        <fgColor rgb="FF117A65"/>
      </patternFill>
    </fill>
    <fill>
      <patternFill patternType="solid">
        <fgColor rgb="FFF8F9FA"/>
      </patternFill>
    </fill>
    <fill>
      <patternFill patternType="solid">
        <fgColor rgb="FFD6EAF8"/>
      </patternFill>
    </fill>
    <fill>
      <patternFill patternType="solid">
        <fgColor rgb="FFE8DAEF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F9EBEA"/>
      </patternFill>
    </fill>
    <fill>
      <patternFill patternType="solid">
        <fgColor rgb="FF1A5276"/>
      </patternFill>
    </fill>
    <fill>
      <patternFill patternType="solid">
        <fgColor rgb="FFFCF3CF"/>
      </patternFill>
    </fill>
    <fill>
      <patternFill patternType="solid">
        <fgColor rgb="FF4A235A"/>
      </patternFill>
    </fill>
    <fill>
      <patternFill patternType="solid">
        <fgColor rgb="FF7D3C98"/>
      </patternFill>
    </fill>
    <fill>
      <patternFill patternType="solid">
        <fgColor rgb="FFD7BDE2"/>
      </patternFill>
    </fill>
    <fill>
      <patternFill patternType="solid">
        <fgColor rgb="FFF4ECF7"/>
      </patternFill>
    </fill>
    <fill>
      <patternFill patternType="solid">
        <fgColor rgb="FF784212"/>
      </patternFill>
    </fill>
    <fill>
      <patternFill patternType="solid">
        <fgColor rgb="FFF4F6F7"/>
      </patternFill>
    </fill>
    <fill>
      <patternFill patternType="solid">
        <fgColor rgb="FF196F3D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8E1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375623"/>
      </patternFill>
    </fill>
    <fill>
      <patternFill patternType="solid">
        <fgColor rgb="FFD9D9D9"/>
      </patternFill>
    </fill>
    <fill>
      <patternFill patternType="solid">
        <fgColor rgb="FF7030A0"/>
      </patternFill>
    </fill>
    <fill>
      <patternFill patternType="solid">
        <fgColor rgb="FFF4B942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8" fillId="0" borderId="3"/>
  </cellStyleXfs>
  <cellXfs count="194">
    <xf numFmtId="0" fontId="0" fillId="0" borderId="0" xfId="0"/>
    <xf numFmtId="0" fontId="0" fillId="2" borderId="0" xfId="0" applyFill="1"/>
    <xf numFmtId="0" fontId="3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center"/>
    </xf>
    <xf numFmtId="164" fontId="5" fillId="12" borderId="4" xfId="0" applyNumberFormat="1" applyFont="1" applyFill="1" applyBorder="1" applyAlignment="1">
      <alignment horizontal="right" vertical="center"/>
    </xf>
    <xf numFmtId="2" fontId="6" fillId="13" borderId="4" xfId="0" applyNumberFormat="1" applyFont="1" applyFill="1" applyBorder="1" applyAlignment="1">
      <alignment horizontal="right" vertical="center"/>
    </xf>
    <xf numFmtId="2" fontId="7" fillId="14" borderId="4" xfId="0" applyNumberFormat="1" applyFont="1" applyFill="1" applyBorder="1" applyAlignment="1">
      <alignment horizontal="right" vertical="center"/>
    </xf>
    <xf numFmtId="0" fontId="4" fillId="15" borderId="4" xfId="0" applyFont="1" applyFill="1" applyBorder="1" applyAlignment="1">
      <alignment horizontal="left" vertical="center"/>
    </xf>
    <xf numFmtId="164" fontId="5" fillId="15" borderId="4" xfId="0" applyNumberFormat="1" applyFont="1" applyFill="1" applyBorder="1" applyAlignment="1">
      <alignment horizontal="right" vertical="center"/>
    </xf>
    <xf numFmtId="2" fontId="8" fillId="16" borderId="4" xfId="0" applyNumberFormat="1" applyFont="1" applyFill="1" applyBorder="1" applyAlignment="1">
      <alignment horizontal="right" vertical="center"/>
    </xf>
    <xf numFmtId="2" fontId="9" fillId="17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164" fontId="3" fillId="2" borderId="4" xfId="0" applyNumberFormat="1" applyFont="1" applyFill="1" applyBorder="1" applyAlignment="1">
      <alignment horizontal="right" vertical="center"/>
    </xf>
    <xf numFmtId="2" fontId="3" fillId="2" borderId="4" xfId="0" applyNumberFormat="1" applyFont="1" applyFill="1" applyBorder="1" applyAlignment="1">
      <alignment horizontal="right" vertical="center"/>
    </xf>
    <xf numFmtId="0" fontId="4" fillId="15" borderId="4" xfId="0" applyFont="1" applyFill="1" applyBorder="1" applyAlignment="1">
      <alignment horizontal="center" vertical="center"/>
    </xf>
    <xf numFmtId="2" fontId="11" fillId="19" borderId="4" xfId="0" applyNumberFormat="1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 vertical="center"/>
    </xf>
    <xf numFmtId="3" fontId="5" fillId="15" borderId="4" xfId="0" applyNumberFormat="1" applyFont="1" applyFill="1" applyBorder="1" applyAlignment="1">
      <alignment horizontal="right" vertical="center"/>
    </xf>
    <xf numFmtId="3" fontId="5" fillId="16" borderId="4" xfId="0" applyNumberFormat="1" applyFont="1" applyFill="1" applyBorder="1" applyAlignment="1">
      <alignment horizontal="right" vertical="center"/>
    </xf>
    <xf numFmtId="0" fontId="12" fillId="15" borderId="4" xfId="0" applyFont="1" applyFill="1" applyBorder="1" applyAlignment="1">
      <alignment horizontal="left" vertical="center"/>
    </xf>
    <xf numFmtId="0" fontId="4" fillId="20" borderId="4" xfId="0" applyFont="1" applyFill="1" applyBorder="1" applyAlignment="1">
      <alignment horizontal="left" vertical="center"/>
    </xf>
    <xf numFmtId="0" fontId="4" fillId="20" borderId="4" xfId="0" applyFont="1" applyFill="1" applyBorder="1" applyAlignment="1">
      <alignment horizontal="center" vertical="center"/>
    </xf>
    <xf numFmtId="3" fontId="5" fillId="20" borderId="4" xfId="0" applyNumberFormat="1" applyFont="1" applyFill="1" applyBorder="1" applyAlignment="1">
      <alignment horizontal="right" vertical="center"/>
    </xf>
    <xf numFmtId="0" fontId="12" fillId="20" borderId="4" xfId="0" applyFont="1" applyFill="1" applyBorder="1" applyAlignment="1">
      <alignment horizontal="left" vertical="center"/>
    </xf>
    <xf numFmtId="2" fontId="11" fillId="21" borderId="4" xfId="0" applyNumberFormat="1" applyFont="1" applyFill="1" applyBorder="1" applyAlignment="1">
      <alignment horizontal="center" vertical="center"/>
    </xf>
    <xf numFmtId="2" fontId="13" fillId="17" borderId="4" xfId="0" applyNumberFormat="1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right" vertical="center"/>
    </xf>
    <xf numFmtId="3" fontId="3" fillId="7" borderId="4" xfId="0" applyNumberFormat="1" applyFont="1" applyFill="1" applyBorder="1" applyAlignment="1">
      <alignment horizontal="right" vertical="center"/>
    </xf>
    <xf numFmtId="0" fontId="5" fillId="15" borderId="4" xfId="0" applyFont="1" applyFill="1" applyBorder="1" applyAlignment="1">
      <alignment horizontal="left" vertical="center"/>
    </xf>
    <xf numFmtId="0" fontId="5" fillId="15" borderId="4" xfId="0" applyFont="1" applyFill="1" applyBorder="1" applyAlignment="1">
      <alignment horizontal="center" vertical="center"/>
    </xf>
    <xf numFmtId="165" fontId="11" fillId="19" borderId="4" xfId="0" applyNumberFormat="1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right" vertical="center"/>
    </xf>
    <xf numFmtId="3" fontId="8" fillId="16" borderId="4" xfId="0" applyNumberFormat="1" applyFont="1" applyFill="1" applyBorder="1" applyAlignment="1">
      <alignment horizontal="right" vertical="center"/>
    </xf>
    <xf numFmtId="0" fontId="13" fillId="17" borderId="4" xfId="0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left" vertical="center"/>
    </xf>
    <xf numFmtId="165" fontId="13" fillId="17" borderId="4" xfId="0" applyNumberFormat="1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right" vertical="center"/>
    </xf>
    <xf numFmtId="165" fontId="11" fillId="21" borderId="4" xfId="0" applyNumberFormat="1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18" fillId="19" borderId="4" xfId="0" applyFont="1" applyFill="1" applyBorder="1" applyAlignment="1">
      <alignment horizontal="left" vertical="center"/>
    </xf>
    <xf numFmtId="165" fontId="19" fillId="13" borderId="4" xfId="0" applyNumberFormat="1" applyFont="1" applyFill="1" applyBorder="1" applyAlignment="1">
      <alignment horizontal="center" vertical="center"/>
    </xf>
    <xf numFmtId="165" fontId="20" fillId="23" borderId="4" xfId="0" applyNumberFormat="1" applyFont="1" applyFill="1" applyBorder="1" applyAlignment="1">
      <alignment horizontal="center" vertical="center"/>
    </xf>
    <xf numFmtId="0" fontId="3" fillId="24" borderId="4" xfId="0" applyFont="1" applyFill="1" applyBorder="1" applyAlignment="1">
      <alignment horizontal="left" vertical="center"/>
    </xf>
    <xf numFmtId="0" fontId="5" fillId="24" borderId="4" xfId="0" applyFont="1" applyFill="1" applyBorder="1" applyAlignment="1">
      <alignment horizontal="left" vertical="center"/>
    </xf>
    <xf numFmtId="0" fontId="3" fillId="24" borderId="4" xfId="0" applyFont="1" applyFill="1" applyBorder="1" applyAlignment="1">
      <alignment horizontal="center" vertical="center"/>
    </xf>
    <xf numFmtId="166" fontId="3" fillId="24" borderId="4" xfId="0" applyNumberFormat="1" applyFont="1" applyFill="1" applyBorder="1" applyAlignment="1">
      <alignment horizontal="right" vertical="center"/>
    </xf>
    <xf numFmtId="166" fontId="21" fillId="24" borderId="4" xfId="0" applyNumberFormat="1" applyFont="1" applyFill="1" applyBorder="1" applyAlignment="1">
      <alignment horizontal="right" vertical="center"/>
    </xf>
    <xf numFmtId="0" fontId="22" fillId="24" borderId="4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left" vertical="center"/>
    </xf>
    <xf numFmtId="0" fontId="5" fillId="25" borderId="4" xfId="0" applyFont="1" applyFill="1" applyBorder="1" applyAlignment="1">
      <alignment horizontal="left" vertical="center"/>
    </xf>
    <xf numFmtId="0" fontId="3" fillId="25" borderId="4" xfId="0" applyFont="1" applyFill="1" applyBorder="1" applyAlignment="1">
      <alignment horizontal="center" vertical="center"/>
    </xf>
    <xf numFmtId="166" fontId="3" fillId="25" borderId="4" xfId="0" applyNumberFormat="1" applyFont="1" applyFill="1" applyBorder="1" applyAlignment="1">
      <alignment horizontal="right" vertical="center"/>
    </xf>
    <xf numFmtId="166" fontId="21" fillId="25" borderId="4" xfId="0" applyNumberFormat="1" applyFont="1" applyFill="1" applyBorder="1" applyAlignment="1">
      <alignment horizontal="right" vertical="center"/>
    </xf>
    <xf numFmtId="0" fontId="22" fillId="25" borderId="4" xfId="0" applyFont="1" applyFill="1" applyBorder="1" applyAlignment="1">
      <alignment horizontal="center" vertical="center"/>
    </xf>
    <xf numFmtId="0" fontId="23" fillId="26" borderId="4" xfId="0" applyFont="1" applyFill="1" applyBorder="1" applyAlignment="1">
      <alignment horizontal="left" vertical="center"/>
    </xf>
    <xf numFmtId="0" fontId="5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center" vertical="center"/>
    </xf>
    <xf numFmtId="166" fontId="23" fillId="26" borderId="4" xfId="0" applyNumberFormat="1" applyFont="1" applyFill="1" applyBorder="1" applyAlignment="1">
      <alignment horizontal="right" vertical="center"/>
    </xf>
    <xf numFmtId="166" fontId="24" fillId="26" borderId="4" xfId="0" applyNumberFormat="1" applyFont="1" applyFill="1" applyBorder="1" applyAlignment="1">
      <alignment horizontal="right" vertical="center"/>
    </xf>
    <xf numFmtId="0" fontId="25" fillId="26" borderId="4" xfId="0" applyFont="1" applyFill="1" applyBorder="1" applyAlignment="1">
      <alignment horizontal="center" vertical="center"/>
    </xf>
    <xf numFmtId="0" fontId="26" fillId="27" borderId="4" xfId="0" applyFont="1" applyFill="1" applyBorder="1" applyAlignment="1">
      <alignment horizontal="left" vertical="center"/>
    </xf>
    <xf numFmtId="0" fontId="12" fillId="27" borderId="4" xfId="0" applyFont="1" applyFill="1" applyBorder="1" applyAlignment="1">
      <alignment horizontal="left" vertical="center"/>
    </xf>
    <xf numFmtId="0" fontId="5" fillId="27" borderId="4" xfId="0" applyFont="1" applyFill="1" applyBorder="1" applyAlignment="1">
      <alignment horizontal="left" vertical="center"/>
    </xf>
    <xf numFmtId="2" fontId="27" fillId="14" borderId="4" xfId="0" applyNumberFormat="1" applyFont="1" applyFill="1" applyBorder="1" applyAlignment="1">
      <alignment horizontal="center" vertical="center"/>
    </xf>
    <xf numFmtId="167" fontId="28" fillId="14" borderId="4" xfId="0" applyNumberFormat="1" applyFont="1" applyFill="1" applyBorder="1" applyAlignment="1">
      <alignment horizontal="center" vertical="center"/>
    </xf>
    <xf numFmtId="166" fontId="12" fillId="27" borderId="4" xfId="0" applyNumberFormat="1" applyFont="1" applyFill="1" applyBorder="1" applyAlignment="1">
      <alignment horizontal="right" vertical="center"/>
    </xf>
    <xf numFmtId="166" fontId="29" fillId="27" borderId="4" xfId="0" applyNumberFormat="1" applyFont="1" applyFill="1" applyBorder="1" applyAlignment="1">
      <alignment horizontal="right" vertical="center"/>
    </xf>
    <xf numFmtId="166" fontId="27" fillId="14" borderId="4" xfId="0" applyNumberFormat="1" applyFont="1" applyFill="1" applyBorder="1" applyAlignment="1">
      <alignment horizontal="right" vertical="center"/>
    </xf>
    <xf numFmtId="0" fontId="29" fillId="27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/>
    </xf>
    <xf numFmtId="166" fontId="12" fillId="15" borderId="4" xfId="0" applyNumberFormat="1" applyFont="1" applyFill="1" applyBorder="1" applyAlignment="1">
      <alignment horizontal="right" vertical="center"/>
    </xf>
    <xf numFmtId="166" fontId="29" fillId="15" borderId="4" xfId="0" applyNumberFormat="1" applyFont="1" applyFill="1" applyBorder="1" applyAlignment="1">
      <alignment horizontal="right" vertical="center"/>
    </xf>
    <xf numFmtId="0" fontId="29" fillId="15" borderId="4" xfId="0" applyFont="1" applyFill="1" applyBorder="1" applyAlignment="1">
      <alignment horizontal="center" vertical="center"/>
    </xf>
    <xf numFmtId="2" fontId="30" fillId="17" borderId="4" xfId="0" applyNumberFormat="1" applyFont="1" applyFill="1" applyBorder="1" applyAlignment="1">
      <alignment horizontal="center" vertical="center"/>
    </xf>
    <xf numFmtId="167" fontId="31" fillId="17" borderId="4" xfId="0" applyNumberFormat="1" applyFont="1" applyFill="1" applyBorder="1" applyAlignment="1">
      <alignment horizontal="center" vertical="center"/>
    </xf>
    <xf numFmtId="166" fontId="30" fillId="17" borderId="4" xfId="0" applyNumberFormat="1" applyFont="1" applyFill="1" applyBorder="1" applyAlignment="1">
      <alignment horizontal="right" vertical="center"/>
    </xf>
    <xf numFmtId="2" fontId="32" fillId="19" borderId="4" xfId="0" applyNumberFormat="1" applyFont="1" applyFill="1" applyBorder="1" applyAlignment="1">
      <alignment horizontal="center" vertical="center"/>
    </xf>
    <xf numFmtId="167" fontId="33" fillId="19" borderId="4" xfId="0" applyNumberFormat="1" applyFont="1" applyFill="1" applyBorder="1" applyAlignment="1">
      <alignment horizontal="center" vertical="center"/>
    </xf>
    <xf numFmtId="166" fontId="32" fillId="19" borderId="4" xfId="0" applyNumberFormat="1" applyFont="1" applyFill="1" applyBorder="1" applyAlignment="1">
      <alignment horizontal="right" vertical="center"/>
    </xf>
    <xf numFmtId="0" fontId="34" fillId="17" borderId="4" xfId="0" applyFont="1" applyFill="1" applyBorder="1" applyAlignment="1">
      <alignment horizontal="center" vertical="center"/>
    </xf>
    <xf numFmtId="0" fontId="0" fillId="24" borderId="0" xfId="0" applyFill="1"/>
    <xf numFmtId="0" fontId="2" fillId="24" borderId="4" xfId="0" applyFont="1" applyFill="1" applyBorder="1" applyAlignment="1">
      <alignment horizontal="center" vertical="center"/>
    </xf>
    <xf numFmtId="1" fontId="2" fillId="24" borderId="4" xfId="0" applyNumberFormat="1" applyFont="1" applyFill="1" applyBorder="1" applyAlignment="1">
      <alignment horizontal="right" vertical="center"/>
    </xf>
    <xf numFmtId="166" fontId="2" fillId="24" borderId="4" xfId="0" applyNumberFormat="1" applyFont="1" applyFill="1" applyBorder="1" applyAlignment="1">
      <alignment horizontal="right" vertical="center"/>
    </xf>
    <xf numFmtId="2" fontId="35" fillId="14" borderId="4" xfId="0" applyNumberFormat="1" applyFont="1" applyFill="1" applyBorder="1" applyAlignment="1">
      <alignment horizontal="center" vertical="center"/>
    </xf>
    <xf numFmtId="166" fontId="5" fillId="15" borderId="4" xfId="0" applyNumberFormat="1" applyFont="1" applyFill="1" applyBorder="1" applyAlignment="1">
      <alignment horizontal="right" vertical="center"/>
    </xf>
    <xf numFmtId="0" fontId="36" fillId="17" borderId="4" xfId="0" applyFont="1" applyFill="1" applyBorder="1" applyAlignment="1">
      <alignment horizontal="center" vertical="center"/>
    </xf>
    <xf numFmtId="0" fontId="24" fillId="15" borderId="4" xfId="0" applyFont="1" applyFill="1" applyBorder="1" applyAlignment="1">
      <alignment horizontal="center" vertical="center"/>
    </xf>
    <xf numFmtId="0" fontId="37" fillId="19" borderId="4" xfId="0" applyFont="1" applyFill="1" applyBorder="1" applyAlignment="1">
      <alignment horizontal="center" vertical="center"/>
    </xf>
    <xf numFmtId="166" fontId="5" fillId="20" borderId="4" xfId="0" applyNumberFormat="1" applyFont="1" applyFill="1" applyBorder="1" applyAlignment="1">
      <alignment horizontal="right" vertical="center"/>
    </xf>
    <xf numFmtId="0" fontId="24" fillId="20" borderId="4" xfId="0" applyFont="1" applyFill="1" applyBorder="1" applyAlignment="1">
      <alignment horizontal="center" vertical="center"/>
    </xf>
    <xf numFmtId="2" fontId="38" fillId="19" borderId="4" xfId="0" applyNumberFormat="1" applyFont="1" applyFill="1" applyBorder="1" applyAlignment="1">
      <alignment horizontal="center" vertical="center"/>
    </xf>
    <xf numFmtId="2" fontId="39" fillId="17" borderId="4" xfId="0" applyNumberFormat="1" applyFont="1" applyFill="1" applyBorder="1" applyAlignment="1">
      <alignment horizontal="center" vertical="center"/>
    </xf>
    <xf numFmtId="0" fontId="24" fillId="15" borderId="4" xfId="0" applyFont="1" applyFill="1" applyBorder="1" applyAlignment="1">
      <alignment horizontal="left" vertical="center"/>
    </xf>
    <xf numFmtId="168" fontId="5" fillId="15" borderId="4" xfId="0" applyNumberFormat="1" applyFont="1" applyFill="1" applyBorder="1" applyAlignment="1">
      <alignment horizontal="right" vertical="center"/>
    </xf>
    <xf numFmtId="0" fontId="38" fillId="19" borderId="4" xfId="0" applyFont="1" applyFill="1" applyBorder="1" applyAlignment="1">
      <alignment horizontal="center" vertical="center"/>
    </xf>
    <xf numFmtId="0" fontId="40" fillId="19" borderId="4" xfId="0" applyFont="1" applyFill="1" applyBorder="1" applyAlignment="1">
      <alignment horizontal="left" vertical="center" indent="1"/>
    </xf>
    <xf numFmtId="0" fontId="41" fillId="29" borderId="4" xfId="0" applyFont="1" applyFill="1" applyBorder="1" applyAlignment="1">
      <alignment horizontal="left" vertical="center"/>
    </xf>
    <xf numFmtId="0" fontId="42" fillId="19" borderId="4" xfId="0" applyFont="1" applyFill="1" applyBorder="1" applyAlignment="1">
      <alignment horizontal="center" vertical="center"/>
    </xf>
    <xf numFmtId="0" fontId="5" fillId="29" borderId="4" xfId="0" applyFont="1" applyFill="1" applyBorder="1" applyAlignment="1">
      <alignment horizontal="left" vertical="center"/>
    </xf>
    <xf numFmtId="0" fontId="43" fillId="19" borderId="4" xfId="0" applyFont="1" applyFill="1" applyBorder="1" applyAlignment="1">
      <alignment horizontal="center" vertical="center"/>
    </xf>
    <xf numFmtId="3" fontId="41" fillId="29" borderId="4" xfId="0" applyNumberFormat="1" applyFont="1" applyFill="1" applyBorder="1" applyAlignment="1">
      <alignment horizontal="right" vertical="center"/>
    </xf>
    <xf numFmtId="168" fontId="41" fillId="29" borderId="4" xfId="0" applyNumberFormat="1" applyFont="1" applyFill="1" applyBorder="1" applyAlignment="1">
      <alignment horizontal="right" vertical="center"/>
    </xf>
    <xf numFmtId="0" fontId="44" fillId="29" borderId="4" xfId="0" applyFont="1" applyFill="1" applyBorder="1" applyAlignment="1">
      <alignment horizontal="left" vertical="center" indent="1"/>
    </xf>
    <xf numFmtId="0" fontId="45" fillId="17" borderId="4" xfId="0" applyFont="1" applyFill="1" applyBorder="1" applyAlignment="1">
      <alignment horizontal="center" vertical="center"/>
    </xf>
    <xf numFmtId="0" fontId="46" fillId="16" borderId="4" xfId="0" applyFont="1" applyFill="1" applyBorder="1" applyAlignment="1">
      <alignment horizontal="center" vertical="center"/>
    </xf>
    <xf numFmtId="0" fontId="39" fillId="17" borderId="4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26" fillId="13" borderId="4" xfId="0" applyFont="1" applyFill="1" applyBorder="1" applyAlignment="1">
      <alignment horizontal="center" vertical="center"/>
    </xf>
    <xf numFmtId="0" fontId="47" fillId="29" borderId="4" xfId="0" applyFont="1" applyFill="1" applyBorder="1" applyAlignment="1">
      <alignment horizontal="center" vertical="center"/>
    </xf>
    <xf numFmtId="0" fontId="24" fillId="20" borderId="4" xfId="0" applyFont="1" applyFill="1" applyBorder="1" applyAlignment="1">
      <alignment horizontal="left" vertical="center"/>
    </xf>
    <xf numFmtId="168" fontId="5" fillId="20" borderId="4" xfId="0" applyNumberFormat="1" applyFont="1" applyFill="1" applyBorder="1" applyAlignment="1">
      <alignment horizontal="right" vertical="center"/>
    </xf>
    <xf numFmtId="0" fontId="35" fillId="14" borderId="4" xfId="0" applyFont="1" applyFill="1" applyBorder="1" applyAlignment="1">
      <alignment horizontal="center" vertical="center"/>
    </xf>
    <xf numFmtId="0" fontId="41" fillId="29" borderId="4" xfId="0" applyFont="1" applyFill="1" applyBorder="1" applyAlignment="1">
      <alignment horizontal="center" vertical="center"/>
    </xf>
    <xf numFmtId="168" fontId="3" fillId="7" borderId="4" xfId="0" applyNumberFormat="1" applyFont="1" applyFill="1" applyBorder="1" applyAlignment="1">
      <alignment horizontal="right" vertical="center"/>
    </xf>
    <xf numFmtId="3" fontId="17" fillId="16" borderId="4" xfId="0" applyNumberFormat="1" applyFont="1" applyFill="1" applyBorder="1" applyAlignment="1">
      <alignment horizontal="right" vertical="center"/>
    </xf>
    <xf numFmtId="0" fontId="48" fillId="0" borderId="3" xfId="1"/>
    <xf numFmtId="0" fontId="48" fillId="0" borderId="3" xfId="1" applyAlignment="1">
      <alignment horizontal="left"/>
    </xf>
    <xf numFmtId="0" fontId="49" fillId="0" borderId="5" xfId="1" applyFont="1" applyBorder="1" applyAlignment="1">
      <alignment horizontal="left"/>
    </xf>
    <xf numFmtId="0" fontId="49" fillId="0" borderId="5" xfId="1" applyFont="1" applyBorder="1"/>
    <xf numFmtId="3" fontId="48" fillId="0" borderId="3" xfId="1" applyNumberFormat="1"/>
    <xf numFmtId="4" fontId="48" fillId="0" borderId="3" xfId="1" applyNumberFormat="1"/>
    <xf numFmtId="0" fontId="10" fillId="0" borderId="0" xfId="0" applyFont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3" xfId="0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4" fillId="18" borderId="0" xfId="0" applyFont="1" applyFill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0" fontId="14" fillId="24" borderId="0" xfId="0" applyFont="1" applyFill="1" applyAlignment="1">
      <alignment horizontal="center" vertical="center"/>
    </xf>
    <xf numFmtId="0" fontId="14" fillId="28" borderId="0" xfId="0" applyFont="1" applyFill="1" applyAlignment="1">
      <alignment horizontal="center" vertical="center"/>
    </xf>
    <xf numFmtId="0" fontId="2" fillId="30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50" fillId="32" borderId="3" xfId="1" applyFont="1" applyFill="1" applyAlignment="1">
      <alignment horizontal="center" vertical="center"/>
    </xf>
    <xf numFmtId="0" fontId="48" fillId="0" borderId="3" xfId="1"/>
    <xf numFmtId="0" fontId="51" fillId="0" borderId="3" xfId="1" applyFont="1" applyAlignment="1">
      <alignment horizontal="left" vertical="center" wrapText="1"/>
    </xf>
    <xf numFmtId="0" fontId="52" fillId="33" borderId="3" xfId="1" applyFont="1" applyFill="1" applyAlignment="1">
      <alignment horizontal="left" vertical="center" wrapText="1"/>
    </xf>
    <xf numFmtId="0" fontId="53" fillId="34" borderId="3" xfId="1" applyFont="1" applyFill="1" applyAlignment="1">
      <alignment horizontal="center" vertical="center"/>
    </xf>
    <xf numFmtId="0" fontId="54" fillId="34" borderId="6" xfId="1" applyFont="1" applyFill="1" applyBorder="1" applyAlignment="1">
      <alignment horizontal="center" vertical="center"/>
    </xf>
    <xf numFmtId="0" fontId="54" fillId="34" borderId="6" xfId="1" applyFont="1" applyFill="1" applyBorder="1" applyAlignment="1">
      <alignment horizontal="center" vertical="center"/>
    </xf>
    <xf numFmtId="0" fontId="48" fillId="0" borderId="6" xfId="1" applyBorder="1"/>
    <xf numFmtId="0" fontId="54" fillId="32" borderId="6" xfId="1" applyFont="1" applyFill="1" applyBorder="1" applyAlignment="1">
      <alignment horizontal="center" vertical="center"/>
    </xf>
    <xf numFmtId="0" fontId="55" fillId="34" borderId="6" xfId="1" applyFont="1" applyFill="1" applyBorder="1" applyAlignment="1">
      <alignment horizontal="right" vertical="center"/>
    </xf>
    <xf numFmtId="0" fontId="56" fillId="35" borderId="6" xfId="1" applyFont="1" applyFill="1" applyBorder="1" applyAlignment="1">
      <alignment horizontal="center" vertical="center"/>
    </xf>
    <xf numFmtId="0" fontId="56" fillId="36" borderId="6" xfId="1" applyFont="1" applyFill="1" applyBorder="1" applyAlignment="1">
      <alignment horizontal="center" vertical="center"/>
    </xf>
    <xf numFmtId="0" fontId="56" fillId="37" borderId="6" xfId="1" applyFont="1" applyFill="1" applyBorder="1" applyAlignment="1">
      <alignment horizontal="center" vertical="center"/>
    </xf>
    <xf numFmtId="0" fontId="56" fillId="38" borderId="6" xfId="1" applyFont="1" applyFill="1" applyBorder="1" applyAlignment="1">
      <alignment horizontal="center" vertical="center"/>
    </xf>
    <xf numFmtId="0" fontId="56" fillId="39" borderId="6" xfId="1" applyFont="1" applyFill="1" applyBorder="1" applyAlignment="1">
      <alignment horizontal="center" vertical="center"/>
    </xf>
    <xf numFmtId="0" fontId="56" fillId="40" borderId="6" xfId="1" applyFont="1" applyFill="1" applyBorder="1" applyAlignment="1">
      <alignment horizontal="center" vertical="center"/>
    </xf>
    <xf numFmtId="0" fontId="55" fillId="35" borderId="6" xfId="1" applyFont="1" applyFill="1" applyBorder="1" applyAlignment="1">
      <alignment horizontal="left" vertical="center"/>
    </xf>
    <xf numFmtId="3" fontId="55" fillId="35" borderId="6" xfId="1" applyNumberFormat="1" applyFont="1" applyFill="1" applyBorder="1" applyAlignment="1">
      <alignment horizontal="right" vertical="center"/>
    </xf>
    <xf numFmtId="3" fontId="55" fillId="36" borderId="6" xfId="1" applyNumberFormat="1" applyFont="1" applyFill="1" applyBorder="1" applyAlignment="1">
      <alignment horizontal="right" vertical="center"/>
    </xf>
    <xf numFmtId="169" fontId="55" fillId="37" borderId="6" xfId="1" applyNumberFormat="1" applyFont="1" applyFill="1" applyBorder="1" applyAlignment="1">
      <alignment horizontal="right" vertical="center"/>
    </xf>
    <xf numFmtId="3" fontId="56" fillId="38" borderId="6" xfId="1" applyNumberFormat="1" applyFont="1" applyFill="1" applyBorder="1" applyAlignment="1">
      <alignment horizontal="right" vertical="center"/>
    </xf>
    <xf numFmtId="3" fontId="56" fillId="39" borderId="6" xfId="1" applyNumberFormat="1" applyFont="1" applyFill="1" applyBorder="1" applyAlignment="1">
      <alignment horizontal="right" vertical="center"/>
    </xf>
    <xf numFmtId="169" fontId="56" fillId="40" borderId="6" xfId="1" applyNumberFormat="1" applyFont="1" applyFill="1" applyBorder="1" applyAlignment="1">
      <alignment horizontal="right" vertical="center"/>
    </xf>
    <xf numFmtId="0" fontId="54" fillId="32" borderId="6" xfId="1" applyFont="1" applyFill="1" applyBorder="1" applyAlignment="1">
      <alignment horizontal="left" vertical="center"/>
    </xf>
    <xf numFmtId="3" fontId="54" fillId="34" borderId="6" xfId="1" applyNumberFormat="1" applyFont="1" applyFill="1" applyBorder="1" applyAlignment="1">
      <alignment horizontal="right" vertical="center"/>
    </xf>
    <xf numFmtId="3" fontId="54" fillId="41" borderId="6" xfId="1" applyNumberFormat="1" applyFont="1" applyFill="1" applyBorder="1" applyAlignment="1">
      <alignment horizontal="right" vertical="center"/>
    </xf>
    <xf numFmtId="0" fontId="53" fillId="41" borderId="3" xfId="1" applyFont="1" applyFill="1" applyAlignment="1">
      <alignment horizontal="center" vertical="center"/>
    </xf>
    <xf numFmtId="0" fontId="54" fillId="41" borderId="6" xfId="1" applyFont="1" applyFill="1" applyBorder="1" applyAlignment="1">
      <alignment horizontal="center" vertical="center"/>
    </xf>
    <xf numFmtId="0" fontId="54" fillId="41" borderId="6" xfId="1" applyFont="1" applyFill="1" applyBorder="1" applyAlignment="1">
      <alignment horizontal="center" vertical="center"/>
    </xf>
    <xf numFmtId="0" fontId="55" fillId="41" borderId="6" xfId="1" applyFont="1" applyFill="1" applyBorder="1" applyAlignment="1">
      <alignment horizontal="right" vertical="center"/>
    </xf>
    <xf numFmtId="0" fontId="55" fillId="36" borderId="6" xfId="1" applyFont="1" applyFill="1" applyBorder="1" applyAlignment="1">
      <alignment horizontal="left" vertical="center"/>
    </xf>
    <xf numFmtId="0" fontId="57" fillId="34" borderId="6" xfId="1" applyFont="1" applyFill="1" applyBorder="1" applyAlignment="1">
      <alignment horizontal="center" vertical="center" wrapText="1"/>
    </xf>
    <xf numFmtId="0" fontId="58" fillId="35" borderId="6" xfId="1" applyFont="1" applyFill="1" applyBorder="1" applyAlignment="1">
      <alignment horizontal="center" vertical="center" wrapText="1"/>
    </xf>
    <xf numFmtId="0" fontId="58" fillId="36" borderId="6" xfId="1" applyFont="1" applyFill="1" applyBorder="1" applyAlignment="1">
      <alignment horizontal="center" vertical="center" wrapText="1"/>
    </xf>
    <xf numFmtId="0" fontId="58" fillId="37" borderId="6" xfId="1" applyFont="1" applyFill="1" applyBorder="1" applyAlignment="1">
      <alignment horizontal="center" vertical="center" wrapText="1"/>
    </xf>
    <xf numFmtId="0" fontId="58" fillId="42" borderId="6" xfId="1" applyFont="1" applyFill="1" applyBorder="1" applyAlignment="1">
      <alignment horizontal="center" vertical="center" wrapText="1"/>
    </xf>
    <xf numFmtId="3" fontId="55" fillId="37" borderId="6" xfId="1" applyNumberFormat="1" applyFont="1" applyFill="1" applyBorder="1" applyAlignment="1">
      <alignment horizontal="right" vertical="center"/>
    </xf>
    <xf numFmtId="169" fontId="54" fillId="43" borderId="6" xfId="1" applyNumberFormat="1" applyFont="1" applyFill="1" applyBorder="1" applyAlignment="1">
      <alignment horizontal="center" vertical="center"/>
    </xf>
    <xf numFmtId="169" fontId="59" fillId="31" borderId="6" xfId="1" applyNumberFormat="1" applyFont="1" applyFill="1" applyBorder="1" applyAlignment="1">
      <alignment horizontal="center" vertical="center"/>
    </xf>
    <xf numFmtId="169" fontId="56" fillId="44" borderId="6" xfId="1" applyNumberFormat="1" applyFont="1" applyFill="1" applyBorder="1" applyAlignment="1">
      <alignment horizontal="center" vertical="center"/>
    </xf>
    <xf numFmtId="169" fontId="56" fillId="45" borderId="6" xfId="1" applyNumberFormat="1" applyFont="1" applyFill="1" applyBorder="1" applyAlignment="1">
      <alignment horizontal="center" vertical="center"/>
    </xf>
    <xf numFmtId="169" fontId="54" fillId="46" borderId="6" xfId="1" applyNumberFormat="1" applyFont="1" applyFill="1" applyBorder="1" applyAlignment="1">
      <alignment horizontal="center" vertical="center"/>
    </xf>
    <xf numFmtId="3" fontId="56" fillId="40" borderId="6" xfId="1" applyNumberFormat="1" applyFont="1" applyFill="1" applyBorder="1" applyAlignment="1">
      <alignment horizontal="right" vertical="center"/>
    </xf>
    <xf numFmtId="169" fontId="54" fillId="41" borderId="6" xfId="1" applyNumberFormat="1" applyFont="1" applyFill="1" applyBorder="1" applyAlignment="1">
      <alignment horizontal="center" vertical="center"/>
    </xf>
    <xf numFmtId="169" fontId="60" fillId="42" borderId="6" xfId="1" applyNumberFormat="1" applyFont="1" applyFill="1" applyBorder="1" applyAlignment="1">
      <alignment horizontal="center" vertical="center"/>
    </xf>
    <xf numFmtId="0" fontId="57" fillId="41" borderId="6" xfId="1" applyFont="1" applyFill="1" applyBorder="1" applyAlignment="1">
      <alignment horizontal="center" vertical="center" wrapText="1"/>
    </xf>
    <xf numFmtId="49" fontId="56" fillId="47" borderId="6" xfId="1" applyNumberFormat="1" applyFont="1" applyFill="1" applyBorder="1" applyAlignment="1">
      <alignment horizontal="center" vertical="center"/>
    </xf>
    <xf numFmtId="49" fontId="59" fillId="31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BBBDDE21-D2F5-4F17-BF13-518859BB279D}"/>
  </cellStyles>
  <dxfs count="18"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elip/Desktop/UNIONX/FORECAST%20FINAL%20SKU/FORECAST%20FINAL%20SKU%2026-27%20V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Caballero Blanco" refreshedDate="46216.717654282409" createdVersion="8" refreshedVersion="8" minRefreshableVersion="3" recordCount="692" xr:uid="{98E76E30-71A7-4FB0-B544-A877F5F95476}">
  <cacheSource type="worksheet">
    <worksheetSource ref="A3:HU695" sheet="FCST BASE SKU MACRO" r:id="rId2"/>
  </cacheSource>
  <cacheFields count="275">
    <cacheField name="ID" numFmtId="0">
      <sharedItems containsBlank="1" containsMixedTypes="1" containsNumber="1" containsInteger="1" minValue="3" maxValue="3"/>
    </cacheField>
    <cacheField name="Marca" numFmtId="0">
      <sharedItems count="17">
        <s v="Levo"/>
        <s v="Lhotse"/>
        <s v="Simplit"/>
        <s v="Xroad"/>
        <s v="Dynamo"/>
        <s v="T-Care"/>
        <s v="Bandú"/>
        <s v="Innovate-K"/>
        <s v="UMA"/>
        <s v="Total Levo" u="1"/>
        <s v="Total Lhotse" u="1"/>
        <s v="Total Simplit" u="1"/>
        <s v="Total Xroad" u="1"/>
        <s v="Dinamo Tools" u="1"/>
        <s v="Total Dinamo Tools" u="1"/>
        <s v="Total Bandú" u="1"/>
        <s v="Total Innovate-K" u="1"/>
      </sharedItems>
    </cacheField>
    <cacheField name="Categoria Padre" numFmtId="0">
      <sharedItems containsBlank="1" count="68">
        <s v="Accesorios"/>
        <s v="Perifericos de Computacion"/>
        <m/>
        <s v="Smart Home"/>
        <s v="Mochilas y Fundas"/>
        <s v="Telones y Proyectores"/>
        <s v="Pantallas"/>
        <s v="Soportes"/>
        <s v="Camping y Outdoor"/>
        <s v="Deporte"/>
        <s v="Audio Menor"/>
        <s v="Equipamiento"/>
        <s v="Hidratación"/>
        <s v="Video"/>
        <s v="Smartwatch"/>
        <s v="Accesorio Vestuario"/>
        <s v="Vestuario"/>
        <s v="Menaje de Cocina"/>
        <s v="Mundo Café"/>
        <s v="Organización"/>
        <s v="Cristalería y Bar"/>
        <s v="Electrodomésticos"/>
        <s v="Juegos de Mesa"/>
        <s v="Vajilla"/>
        <s v="Accesorios de Instalacion"/>
        <s v="Accesorios de Automovil"/>
        <s v="Herramientas y Mantenimiento"/>
        <s v="Accesorios de Viaje"/>
        <s v="Herramientas Eléctricas"/>
        <s v="Cuidado Personal"/>
        <s v="Accesorios de Bebe"/>
        <s v="Jueguetes de Rol"/>
        <s v="Juguetes de Armado"/>
        <s v="Juguetes de Motricidad"/>
        <s v="Gasfiteria"/>
        <s v="Hogar"/>
        <s v="Termos"/>
        <s v="Total Accesorios" u="1"/>
        <s v="Total Periféricos de Computacion" u="1"/>
        <s v="Total Smart Home" u="1"/>
        <s v="Total Mochilas y Fundas" u="1"/>
        <s v="Total Telones y Proyectores" u="1"/>
        <s v="Total Pantallas" u="1"/>
        <s v="Total Soportes" u="1"/>
        <s v="Total Camping y Outdoor" u="1"/>
        <s v="Total Deporte" u="1"/>
        <s v="Total Audio Menor" u="1"/>
        <s v="Total Equipamiento" u="1"/>
        <s v="Total Hidratación" u="1"/>
        <s v="Total Video" u="1"/>
        <s v="Total Smartwatch" u="1"/>
        <s v="Total Accesorio Vestuario" u="1"/>
        <s v="Total Vestuario" u="1"/>
        <s v="Total Menaje de Cocina" u="1"/>
        <s v="Total Mundo Café" u="1"/>
        <s v="Total Organización" u="1"/>
        <s v="Total Cristalería y Bar" u="1"/>
        <s v="Total Electrodomésticos" u="1"/>
        <s v="Total Juegos de Mesa" u="1"/>
        <s v="Total Vajilla" u="1"/>
        <s v="Total Accesorios de Instalacion" u="1"/>
        <s v="Total Accesorios de Automovil" u="1"/>
        <s v="Total Herramientas y Mantenimiento" u="1"/>
        <s v="Total Accesorios de Viaje" u="1"/>
        <s v="Total Herramientas Eléctricas" u="1"/>
        <s v="Total Cuidado Personal" u="1"/>
        <s v="Total Jugueteria" u="1"/>
        <s v="Camaras de Inspeccion" u="1"/>
      </sharedItems>
    </cacheField>
    <cacheField name="Categoria Hijo" numFmtId="0">
      <sharedItems containsBlank="1" count="90">
        <s v="Cargador Automovil"/>
        <s v="Cargador de Celular"/>
        <s v="Cable Cargador"/>
        <s v="Dispositivo Multipuerto"/>
        <s v="Gaming"/>
        <m/>
        <s v="Oficina"/>
        <s v="Aspiradoras"/>
        <s v="Cámaras de automovil"/>
        <s v="Pesas Digitales"/>
        <s v="Cámaras de seguridad"/>
        <s v="Citofonia"/>
        <s v="Mochilas"/>
        <s v="Fundas"/>
        <s v="Proyectores"/>
        <s v="Telones Proyector"/>
        <s v="Monitores"/>
        <s v="Pantallas Publicitarias"/>
        <s v="Soportes de Television"/>
        <s v="Soporte Computacion"/>
        <s v="Pick Up Pads"/>
        <s v="Accesorios fitness"/>
        <s v="Audífonos"/>
        <s v="Parlantes"/>
        <s v="Bananos"/>
        <s v="Maletas"/>
        <s v="Bolsos deportivos"/>
        <s v="Neceser"/>
        <s v="Botellas Termicas"/>
        <s v="Termos líquidos"/>
        <s v="Tazas y vasos"/>
        <s v="Cámaras de acción"/>
        <s v="Smartband"/>
        <s v="Smartwatch"/>
        <s v="Jockey"/>
        <s v="Toalla"/>
        <s v="Calcetines"/>
        <s v="Pantuflas"/>
        <s v="Poleras y Primeras Capas"/>
        <s v="Polar y Polerones"/>
        <s v="Parkas e Impermeables"/>
        <s v="Pantalones y Shorts"/>
        <s v="Calzas y Petos"/>
        <s v="Baterías de cocina"/>
        <s v="Mantequilleros"/>
        <s v="Sartenes y Ollas"/>
        <s v="Termos de comida"/>
        <s v="Utensilios de cocina"/>
        <s v="Cuchilleria"/>
        <s v="Cafeteras"/>
        <s v="Contenedores"/>
        <s v="Tazas"/>
        <s v="Especieros"/>
        <s v="Secadores de platos"/>
        <s v="Basureros"/>
        <s v="Cubetas de hielo"/>
        <s v="Vasos"/>
        <s v="Bar"/>
        <s v="Espumadores"/>
        <s v="Juegos de Mesa"/>
        <s v="Alcuzas"/>
        <s v="Juego de Loza"/>
        <s v="Loza Granel"/>
        <s v="Fuentes"/>
        <s v="Toldos y Carpas"/>
        <s v="Barras y Portaequipajes"/>
        <s v="Sensores de retroceso"/>
        <s v="Cobertores y Tapices"/>
        <s v="Seguridad"/>
        <s v="Lavado y Limpieza"/>
        <s v="Herramientas de Asistencia"/>
        <s v="Accesorios de Camping"/>
        <s v="Otras"/>
        <s v="Taladro y Atornilladores"/>
        <s v="Afeitadoras"/>
        <s v="Secadores"/>
        <s v="Alisadores"/>
        <s v="Accesorios de Bebe"/>
        <s v="Cocina y Accesorios"/>
        <s v="Juegos de Oficio"/>
        <s v="Maquillaje y Belleza"/>
        <s v="Sets de Construccion"/>
        <s v="Pistas y Vehiculos"/>
        <s v="Andador y Correpasillos"/>
        <s v="Escalada y Equilibrio"/>
        <s v="Didacticos"/>
        <s v="Baroscopios"/>
        <s v="Accesorios de Baño"/>
        <s v="Botellas Plasticas"/>
        <s v="Accesorios camping" u="1"/>
      </sharedItems>
    </cacheField>
    <cacheField name="Sku Padre" numFmtId="0">
      <sharedItems containsBlank="1" containsMixedTypes="1" containsNumber="1" containsInteger="1" minValue="1479750635184" maxValue="69746014453052"/>
    </cacheField>
    <cacheField name="Sku" numFmtId="0">
      <sharedItems containsBlank="1" containsMixedTypes="1" containsNumber="1" containsInteger="1" minValue="1479750635184" maxValue="69746014453052" count="718">
        <n v="1652825203439"/>
        <n v="1650299083874"/>
        <s v="LVCAR25W-WH"/>
        <s v="LVCAR25W-BK"/>
        <s v="LVCAR45W-WH"/>
        <s v="LVCAR45W-BK"/>
        <s v="LVCABTC-WH"/>
        <s v="LVCABTC-BK"/>
        <s v="LVCABTCLIGH-WH"/>
        <s v="LVHUBMP-5"/>
        <s v="LVHUBMP-6"/>
        <n v="1659990788079"/>
        <s v="LVCONJOY-RB"/>
        <n v="1659990828178"/>
        <n v="66436804863605"/>
        <s v="LVAUDGM-BK"/>
        <s v="LVAUDGM-WH"/>
        <s v="LVMPADXXL-BK"/>
        <s v="LVMPADOFS-BK"/>
        <s v="LVMPADBML-BK"/>
        <s v="LVTECMCC-BK"/>
        <s v="LVTECMCL-BK"/>
        <s v="LVMSGMNS-BK"/>
        <m/>
        <n v="1479750635184"/>
        <n v="1658329968514"/>
        <s v="LVMICPORT"/>
        <s v="LVTECOFSL-GR"/>
        <s v="LVMSVEL-GR"/>
        <n v="67898087132855"/>
        <s v="LVSILLERGO-BL"/>
        <s v="LVSILLLIT-BL"/>
        <n v="1652825027456"/>
        <n v="67327559384453"/>
        <n v="1538141129434"/>
        <n v="1543406075297"/>
        <s v="LVCAMSEGEX-BK"/>
        <s v="LVCITMONWF"/>
        <n v="1659999392257"/>
        <n v="1659999410637"/>
        <s v="LVMOMA-BK"/>
        <s v="LVMOMA-GR"/>
        <s v="LVMOWO-BK"/>
        <s v="LVMOVITR-BK"/>
        <s v="LVMOPRL-BK"/>
        <s v="LVMOVEL-BK"/>
        <s v="LVFUEX-BK"/>
        <s v="LVFUEX-GR"/>
        <s v="LVFNOTHS13-BK"/>
        <s v="LVFNOTHS15-BK"/>
        <s v="LVPROLUM"/>
        <s v="LVPROORI"/>
        <s v="LVPRONOV"/>
        <s v="LVPROHEX"/>
        <n v="1659991971809"/>
        <s v="LVTEL-80"/>
        <n v="1659991999728"/>
        <s v="LVTELBK-100"/>
        <s v="LVTELBK-80"/>
        <s v="LVTELBK-60"/>
        <s v="LVTELELE-100"/>
        <s v="LVTELELE-80"/>
        <s v="LVTELELE-60"/>
        <s v="LVTELRETR-100"/>
        <s v="LVMONPOR-15"/>
        <s v="LVMONEXV-15"/>
        <s v="LVPANTOTPUB-43"/>
        <s v="LVPANTOTPUB-50"/>
        <s v="LVSPTVUN"/>
        <s v="LVSPBRX2MN"/>
        <s v="LVSPALZNPLE"/>
        <n v="1615383366170"/>
        <n v="1571423280815"/>
        <n v="1615383407099"/>
        <n v="1627416841030"/>
        <n v="1592492799236"/>
        <n v="1564150661249"/>
        <n v="1566335721736"/>
        <n v="1564150627423"/>
        <n v="1597086499840"/>
        <n v="1597098592591"/>
        <n v="68658866289861"/>
        <n v="68658868763602"/>
        <s v="LHHEDBEMA-BK"/>
        <s v="LHHEDBEMA-KH"/>
        <s v="LHAUDTUNAIR-BK"/>
        <s v="LHAUDFIBUD-BK"/>
        <s v="LHHEDWEPR-BK"/>
        <s v="LHHEDWEPR-KH"/>
        <s v="LHRMPLU-WH"/>
        <s v="LHRMPLU-BK"/>
        <n v="67898461965813"/>
        <n v="67933831843970"/>
        <n v="67933833934278"/>
        <n v="67933835121467"/>
        <n v="67933835988925"/>
        <s v="LHPARTRGO-BK"/>
        <s v="LHPARTRGO-GR"/>
        <s v="LHPARTRGO-RD"/>
        <s v="LHPARTRGO-BL"/>
        <s v="LHPARPULS-BK"/>
        <s v="LHPARPULS-GR"/>
        <s v="LHPARPULS-RD"/>
        <s v="LHPARPULS-BL"/>
        <s v="LHPARJOUR-BK"/>
        <s v="LHPARJOUR-BL"/>
        <n v="1623703942966"/>
        <s v="LHBANHIM-BK"/>
        <s v="LHBANHIM-BL"/>
        <s v="LHBANHIM-RD"/>
        <s v="LHBANK2BK"/>
        <s v="LHMALEXPBK-90"/>
        <s v="LHMALEXPBK-70"/>
        <s v="LHMALEXPBK-30"/>
        <n v="1623703861303"/>
        <s v="LHBOLDUFNV-60"/>
        <s v="LHBOLDUFGR-60"/>
        <s v="LHBOLDUFBK-60"/>
        <s v="LHBOLDUFNV-30"/>
        <s v="LHBOLDUFGR-30"/>
        <s v="LHBOLDUFBK-30"/>
        <s v="LHMALFRONT-S"/>
        <s v="LHMALFRONT-M"/>
        <s v="LHMALFRONT-L"/>
        <s v="LHNECKHUM-BK"/>
        <s v="LHNECKHUM-GR"/>
        <s v="LHNECTRRIM-BK"/>
        <n v="1566849947902"/>
        <n v="1661873799978"/>
        <n v="1661873818029"/>
        <s v="LHMOMAK-BK"/>
        <s v="LHMOMAK-GR"/>
        <s v="LHMOPUM-BK"/>
        <s v="LHMOPUM-GR"/>
        <s v="LHMOVINOM-BK"/>
        <s v="LHMOCLATK-BK"/>
        <n v="1623703728452"/>
        <n v="1623703690011"/>
        <s v="LHMOBI001-BK"/>
        <s v="LHMOBROBK"/>
        <s v="LHBOADV-BK"/>
        <s v="LHBOADV-BL"/>
        <s v="LHBOADV-PK"/>
        <s v="LHBOADV-WH"/>
        <s v="LHBOHY95-LY"/>
        <s v="LHBOHY95-PK"/>
        <s v="LHTPHY01"/>
        <s v="LHTRMU-BK"/>
        <s v="LHTRMU-BL"/>
        <s v="LHTRMU-GR"/>
        <s v="LHTRMU-PK"/>
        <s v="LHTRMU-WH"/>
        <s v="LHBOIND-BK"/>
        <s v="LHBOIND-LY"/>
        <s v="LHBOIND-RD"/>
        <s v="LHBOHYCO-BK"/>
        <s v="LHBOHYCO-BG"/>
        <s v="LHBOHYCO-PK"/>
        <s v="LHBOHYCO-NY"/>
        <s v="LHBOHYCO-GR"/>
        <s v="LHSHNUCO-BK"/>
        <s v="LHSHNUCO-PK"/>
        <s v="LHSHNUCO-GR"/>
        <s v="LHSHNUCO-BG"/>
        <s v="LHSHNUCO-NY"/>
        <s v="LHBIGMU-BL"/>
        <s v="LHBIGMU-CR"/>
        <s v="LHBIGMU-PK"/>
        <s v="LHBIGMU-CRN"/>
        <s v="LHBIGMU-PKN"/>
        <s v="LHBIGMU-PPN"/>
        <s v="LHBIGMU-GRN"/>
        <s v="LHBIGMU-BKN"/>
        <s v="LHBIGMU-BLN"/>
        <s v="LHBOHYTK750-BK"/>
        <s v="LHBOHYTK750-PK"/>
        <s v="LHBOHYTK750-GR"/>
        <s v="LHBOHYTK750-NY"/>
        <s v="LHBOHYTK750-BG"/>
        <s v="LHMUTER590-BK"/>
        <s v="LHMUTER590-PK"/>
        <s v="LHMUTER590-GR"/>
        <s v="LHMUTER590-BG"/>
        <s v="LHMUTER590-NY"/>
        <s v="LHTHCLA-BK"/>
        <s v="LHTHCLA-GR"/>
        <s v="LHTHCLA-PK"/>
        <s v="LHTHCLA-WH"/>
        <s v="LHVACAM-BK"/>
        <s v="LHVACAM-PK"/>
        <s v="LHVACAM-RD"/>
        <s v="LHVACAM-WH"/>
        <s v="LHMAMU-BK"/>
        <s v="LHMAMU-GR"/>
        <s v="LHMAMU-PK"/>
        <s v="LHMAMU-RD"/>
        <s v="LHMAMU-WH"/>
        <s v="LHMAMU-LPK"/>
        <s v="LHCAMU-BK"/>
        <s v="LHCAMU-BL"/>
        <s v="LHCAMU-GR"/>
        <s v="LHCAMU-WH"/>
        <s v="LHCAMACXPL"/>
        <s v="LHCAMACSUM"/>
        <s v="LHSWFLOBK"/>
        <s v="LHSWFLOPK"/>
        <n v="1652824924113"/>
        <n v="1639085706913"/>
        <n v="1652824942453"/>
        <n v="1652824957424"/>
        <s v="LHSWVIBBK"/>
        <s v="LHSWVIBCR"/>
        <s v="LHSWRHYX10-BK"/>
        <s v="LHSWRHYX10-PK"/>
        <s v="LHSWMOVON7-PK"/>
        <n v="1639085745522"/>
        <n v="1639085755244"/>
        <n v="1639085763857"/>
        <s v="LHSWAPEX-BK"/>
        <s v="LHSWAPEX-PK"/>
        <s v="LHSWAPEX-OR"/>
        <s v="LHJOKTRE-BK"/>
        <s v="LHJOKTRE-OR"/>
        <s v="LHJOKTRE-GR"/>
        <s v="LHJOKHIK-BK"/>
        <s v="LHJOKHIK-GB"/>
        <s v="LHJOKFLF-GR"/>
        <s v="LHJOKFLF-BL"/>
        <s v="LHJOKRD-GR"/>
        <s v="LHJOKRD-ML"/>
        <s v="LHJOKWV-GR"/>
        <s v="LHJOKWV-BK"/>
        <s v="LHTOAMIC-LIL"/>
        <s v="LHTOAMIC-BL"/>
        <s v="LHCALTOBGRS-M"/>
        <s v="LHCALTOBGRL-XL"/>
        <s v="LHCALTOBGRES-M"/>
        <s v="LHCALTOBGREL-XL"/>
        <s v="LHCALTOBBKS-M"/>
        <s v="LHCALTOBBKL-XL"/>
        <s v="LHCALBAJGRMS-M"/>
        <s v="LHCALBAJGRML-XL"/>
        <s v="LHCALBAJBKS-M"/>
        <s v="LHCALBAJBKL-XL"/>
        <s v="LHCALBAJWHS-M"/>
        <s v="LHCALBAJWHL-XL"/>
        <s v="LHCALMEDGRMS-M"/>
        <s v="LHCALMEDGRML-XL"/>
        <s v="LHCALMEDBLS-M"/>
        <s v="LHCALMEDBLL-XL"/>
        <s v="LHCALMEDEAS-M"/>
        <s v="LHCALMEDEAL-XL"/>
        <s v="LHPANCLOGR38-39"/>
        <s v="LHPANIMBKCM-36/37"/>
        <s v="LHPANIMBKCM-38/39"/>
        <s v="LHPANIMBKCM-40/41"/>
        <s v="LHPANIMBKCM-42/43"/>
        <s v="LHPANIMBKCM-44/45"/>
        <s v="LHPANIMBKBK-36/37"/>
        <s v="LHPANIMBKBK-38/39"/>
        <s v="LHPANIMBKBK-40/41"/>
        <s v="LHPANIMBKBK-42/43"/>
        <s v="LHPANIMBKBK-44/45"/>
        <s v="LHPANIMPK-34/35"/>
        <s v="LHPANIMPK-36/37"/>
        <s v="LHPANIMPK-38/39"/>
        <s v="LHPANIMPK-40/41"/>
        <s v="LHPANIMSLIL-34/35"/>
        <s v="LHPANIMSLIL-36/37"/>
        <s v="LHPANIMSLIL-38/39"/>
        <s v="LHPANIMSLIL-40/41"/>
        <s v="LHPANIMSGR-36/37"/>
        <s v="LHPANIMSGR-38/39"/>
        <s v="LHPANIMSGR-40/41"/>
        <s v="LHPANIMSGR-42/43"/>
        <s v="LHPANIMSGR-44/45"/>
        <s v="LTW25-MFL01S-BK"/>
        <s v="LTW25-MFL01M-BK"/>
        <s v="LTW25-MFL01L-BK"/>
        <s v="LTW25-MFL01XL-BK"/>
        <s v="LTW25-MTS02S-BG"/>
        <s v="LTW25-MTS02M-BG"/>
        <s v="LTW25-MTS02L-BG"/>
        <s v="LTW25-MTS02XL-BG"/>
        <s v="LTW25-MTS02S-GRY"/>
        <s v="LTW25-MTS02M-GRY"/>
        <s v="LTW25-MTS02L-GRY"/>
        <s v="LTW25-MTS02S-GR"/>
        <s v="LTW25-MTS02M-GR"/>
        <s v="LTW25-MTS02L-GR"/>
        <s v="LTW25-MTS02XL-GR"/>
        <s v="LTW25-MKF03S-BK"/>
        <s v="LTW25-MKF03M-BK"/>
        <s v="LTW25-MKF03L-BK"/>
        <s v="LTW25-MKF03S-GR"/>
        <s v="LTW25-MKF03M-GR"/>
        <s v="LTW25-MKF03L-GR"/>
        <s v="LTW25-MKF03XL-GR"/>
        <s v="LTW25-MKF04S-BL"/>
        <s v="LTW25-MKF04M-BL"/>
        <s v="LTW25-MKF04L-BL"/>
        <s v="LTW25-MKF04XL-BL"/>
        <s v="LTW25-MKF04S-BK"/>
        <s v="LTW25-MKF04M-BK"/>
        <s v="LTW25-MKF04L-BK"/>
        <s v="LTW25-MKF04XL-BK"/>
        <s v="LTW25-MKF05S-BL"/>
        <s v="LTW25-MKF05M-BL"/>
        <s v="LTW25-MKF05L-BL"/>
        <s v="LTW25-MKF05XL-BL"/>
        <s v="LTW25-MKF05S-BK"/>
        <s v="LTW25-MKF05M-BK"/>
        <s v="LTW25-MKF05L-BK"/>
        <s v="LTW25-MKF05XL-BK"/>
        <s v="LTW25-MSW06S-GRY"/>
        <s v="LTW25-MSW06M-GRY"/>
        <s v="LTW25-MSW06L-GRY"/>
        <s v="LTW25-MSW06XL-GRY"/>
        <s v="LTW25-MSW06S-GR"/>
        <s v="LTW25-MSW06M-GR"/>
        <s v="LTW25-MSW06L-GR"/>
        <s v="LTW25-MSW06XL-GR"/>
        <s v="LTW25-MKF07S-GR"/>
        <s v="LTW25-MKF07M-GR"/>
        <s v="LTW25-MKF07L-GR"/>
        <s v="LTW25-MKF07XL-GR"/>
        <s v="LTW25-MKF07S-ECRU"/>
        <s v="LTW25-MKF07M-ECRU"/>
        <s v="LTW25-MKF07L-ECRU"/>
        <s v="LTW25-MKF07XL-ECRU"/>
        <s v="LTW25-MPK08S-BK"/>
        <s v="LTW25-MPK08M-BK"/>
        <s v="LTW25-MPK08L-BK"/>
        <s v="LTW25-MPK08S-GR"/>
        <s v="LTW25-MPK08M-GR"/>
        <s v="LTW25-MPK08L-GR"/>
        <s v="LTW25-MPK08XL-GR"/>
        <s v="LTW25-MPK10S-BK"/>
        <s v="LTW25-MPK10M-BK"/>
        <s v="LTW25-MPK10L-BK"/>
        <s v="LTW25-MPK10XL-BK"/>
        <s v="LTW25-MPT1140-GRY"/>
        <s v="LTW25-MPT1142-GRY"/>
        <s v="LTW25-MPT1144-GRY"/>
        <s v="LTW25-MPT1140-GR"/>
        <s v="LTW25-MPT1142-GR"/>
        <s v="LTW25-MPT1144-GR"/>
        <s v="LTW25-MPT1146-GR"/>
        <s v="LTW25-MPK09S-BK"/>
        <s v="LTW25-MPK09M-BK"/>
        <s v="LTW25-MPK09L-BK"/>
        <s v="LTW25-MPK09S-BL"/>
        <s v="LTW25-MPK09M-BL"/>
        <s v="LTW25-MPK09L-BL"/>
        <s v="LTS26-MTS01S-GR"/>
        <s v="LTS26-MTS01M-GR"/>
        <s v="LTS26-MTS01L-GR"/>
        <s v="LTS26-MTS01XL-GR"/>
        <s v="LTS26-MTS01S-BL"/>
        <s v="LTS26-MTS01M-BL"/>
        <s v="LTS26-MTS01L-BL"/>
        <s v="LTS26-MTS01XL-BL"/>
        <s v="LTS26-MTS01S-BK"/>
        <s v="LTS26-MTS01M-BK"/>
        <s v="LTS26-MTS01L-BK"/>
        <s v="LTS26-MTS01XL-BK"/>
        <s v="LTS26-MTS02BDS-BK"/>
        <s v="LTS26-MTS02BDM-BK"/>
        <s v="LTS26-MTS02BDL-BK"/>
        <s v="LTS26-MTS02BDXL-BK"/>
        <s v="LTS26-MTS02BMYS-PK"/>
        <s v="LTS26-MTS02BMYM-PK"/>
        <s v="LTS26-MTS02BMYL-PK"/>
        <s v="LTS26-MTS02BMYXL-PK"/>
        <s v="LTS26-MTS02BES-BG"/>
        <s v="LTS26-MTS02BEM-BG"/>
        <s v="LTS26-MTS02BEL-BG"/>
        <s v="LTS26-MTS02BEXL-BG"/>
        <s v="LTS26-MTS02BLS-GY"/>
        <s v="LTS26-MTS02BLM-GY"/>
        <s v="LTS26-MTS02BLL-GY"/>
        <s v="LTS26-MTS02BLXL-GY"/>
        <s v="LTS26-MTS02BMUS-GR"/>
        <s v="LTS26-MTS02BMUM-GR"/>
        <s v="LTS26-MTS02BMUL-GR"/>
        <s v="LTS26-MTS02BMUXL-GR"/>
        <s v="LTS26-MSW03OR-S"/>
        <s v="LTS26-MSW03OR-M"/>
        <s v="LTS26-MSW03OR-L"/>
        <s v="LTS26-MSW03OR-XL"/>
        <s v="LTS26-MSW03MY-S"/>
        <s v="LTS26-MSW03MY-M"/>
        <s v="LTS26-MSW03MY-L"/>
        <s v="LTS26-MSW03MY-XL"/>
        <s v="LTS26-MWS0640-BK"/>
        <s v="LTS26-MWS0642-BK"/>
        <s v="LTS26-MWS0644-BK"/>
        <s v="LTS26-MWS0646-BK"/>
        <s v="LTS26-MWS0640-GR"/>
        <s v="LTS26-MWS0642-GR"/>
        <s v="LTS26-MWS0644-GR"/>
        <s v="LTS26-MWS0646-GR"/>
        <s v="LTS26-WSB01S-BK"/>
        <s v="LTS26-WSB01M-BK"/>
        <s v="LTS26-WSB01L-BK"/>
        <s v="LTS26-WSB01XL-BK"/>
        <s v="LTS26-WSB01S-TL"/>
        <s v="LTS26-WSB01M-TL"/>
        <s v="LTS26-WSB01L-TL"/>
        <s v="LTS26-WSB01XL-TL"/>
        <s v="LTS26-WLG03S-BK"/>
        <s v="LTS26-WLG03M-BK"/>
        <s v="LTS26-WLG03L-BK"/>
        <s v="LTS26-WLG03XL-BK"/>
        <s v="LTS26-WLG03S-TL"/>
        <s v="LTS26-WLG03M-TL"/>
        <s v="LTS26-WLG03L-TL"/>
        <s v="LTS26-WLG03XL-TL"/>
        <s v="LTS26-WPT0638-BK"/>
        <s v="LTS26-WPT0640-BK"/>
        <s v="LTS26-WPT0642-BK"/>
        <s v="LTS26-WPT0644-BK"/>
        <s v="LTS26-WPT0638-PT"/>
        <s v="LTS26-WPT0640-PT"/>
        <s v="LTS26-WPT0642-PT"/>
        <s v="LTS26-WPT0644-PT"/>
        <s v="LTS26-WKF04S-BK"/>
        <s v="LTS26-WKF04M-BK"/>
        <s v="LTS26-WKF04L-BK"/>
        <s v="LTS26-WKF04XL-BK"/>
        <s v="LTS26-WKF04S-PK"/>
        <s v="LTS26-WKF04M-PK"/>
        <s v="LTS26-WKF04L-PK"/>
        <s v="LTS26-WKF04XL-PK"/>
        <s v="LTS26-WLG02S-BK"/>
        <s v="LTS26-WLG02M-BK"/>
        <s v="LTS26-WLG02L-BK"/>
        <s v="LTS26-WLG02XL-BK"/>
        <s v="LTS26-WLG02S-TL"/>
        <s v="LTS26-WLG02M-TL"/>
        <s v="LTS26-WLG02L-TL"/>
        <s v="LTS26-WLG02XL-TL"/>
        <n v="1635956574926"/>
        <n v="1634845754276"/>
        <s v="SIMBATORG-BK"/>
        <s v="SMBATCOPBK"/>
        <s v="SMBATSAV9-CR"/>
        <s v="SIMBATOTOUL"/>
        <s v="SMBATOXBK"/>
        <s v="SMBATOXBG"/>
        <s v="SMBATPMGR"/>
        <s v="SMBATLCGR"/>
        <n v="1660858101318"/>
        <s v="SIMMANCC-BK"/>
        <n v="1660858118518"/>
        <n v="1635956592996"/>
        <n v="1635956597983"/>
        <n v="66800469437952"/>
        <n v="66800471275549"/>
        <n v="66800472805184"/>
        <n v="68142280732690"/>
        <n v="1629726091782"/>
        <n v="1629726117626"/>
        <n v="1639488921197"/>
        <n v="1660858025311"/>
        <s v="SIMTABCUT-WD"/>
        <s v="SIMCUROM-30"/>
        <s v="SIMCUPGL-30"/>
        <s v="SIMCUVER-CR"/>
        <s v="SIMCUVER-WO"/>
        <s v="SIMCUPAR-BK"/>
        <s v="SIMCUCER-24"/>
        <s v="SIMCUMAR-WO"/>
        <s v="SIMCUMAR-BK"/>
        <s v="SIMCUPRO-4"/>
        <s v="SIMCUSTA-5"/>
        <s v="SIMCUKUC-5"/>
        <s v="SIMCUHOL-5"/>
        <s v="SIMCENVER-CR"/>
        <s v="SIMO28TOUL"/>
        <n v="1630369674271"/>
        <n v="1629726159155"/>
        <n v="1652825295706"/>
        <s v="SIMCAFFRCO"/>
        <s v="SMCFIT4LC-GR"/>
        <s v="SMCFIT4SV-WH"/>
        <s v="SMCFIT12LC-GR"/>
        <s v="SMCFIT12SV-WH"/>
        <s v="SMCONTCAFMI"/>
        <n v="1654207295633"/>
        <n v="1654207307551"/>
        <n v="1654207333519"/>
        <n v="1660858266475"/>
        <n v="67951423489593"/>
        <n v="67951425161311"/>
        <n v="1645629782262"/>
        <n v="1654207748340"/>
        <n v="1660858416606"/>
        <n v="1627418212924"/>
        <n v="1660859287583"/>
        <n v="67327712330533"/>
        <n v="1660858756233"/>
        <n v="1660858776726"/>
        <n v="1660858793429"/>
        <n v="1660858812938"/>
        <n v="1660858828618"/>
        <n v="1660858844449"/>
        <n v="1660859102915"/>
        <s v="SIMTUPSILBEI"/>
        <s v="SIMTUPSILBL"/>
        <s v="SIMTUPSILGR"/>
        <s v="SIMTUPSILRD"/>
        <n v="1650295261109"/>
        <n v="1654189204021"/>
        <n v="1654189048611"/>
        <n v="1650295282448"/>
        <s v="SIMOREXBAS-WD"/>
        <s v="SMCONTVIDR4"/>
        <s v="SIMOREXOSL-WD"/>
        <n v="1627418180602"/>
        <n v="1660857800718"/>
        <n v="1660858702400"/>
        <s v="SIMMOLVER-WD"/>
        <n v="1660858341796"/>
        <n v="1660858356962"/>
        <n v="68540048936286"/>
        <n v="68540051413139"/>
        <s v="SIMSECBILBK"/>
        <s v="SIMSECBILWH"/>
        <s v="SIMSECVALBK"/>
        <s v="SIMSECVALWH"/>
        <s v="SIMBACOIR-40"/>
        <s v="SIMBACOUR-30"/>
        <s v="SIMBACOHA-55"/>
        <s v="SIMBASLUC-GR"/>
        <s v="SIMBASLIV-BK"/>
        <n v="66800507665930"/>
        <n v="66800506435054"/>
        <n v="66800509015029"/>
        <n v="66800510263382"/>
        <n v="67933856404072"/>
        <n v="67933857637909"/>
        <n v="67933859111971"/>
        <n v="67933863068841"/>
        <n v="1650298908518"/>
        <n v="1654207372101"/>
        <s v="SMVABOR4"/>
        <n v="1654207352499"/>
        <n v="1660857914743"/>
        <n v="67933854599885"/>
        <n v="67933860407346"/>
        <n v="67933861722733"/>
        <s v="SIMCOPESPMON"/>
        <s v="SIMCOPVINPIAM"/>
        <s v="SIMCOPVINALSA"/>
        <s v="SIMCOPGINLDN"/>
        <s v="SIMVASLARGINE"/>
        <s v="SIMVASCORGINE"/>
        <s v="SIMDESSOM"/>
        <s v="SIMDECCHA"/>
        <s v="SIMDECROU"/>
        <s v="SIMHIECHAR"/>
        <n v="1660859171584"/>
        <n v="68432930518995"/>
        <n v="1628018206370"/>
        <n v="1659989549286"/>
        <s v="SIMJULZSIE-30"/>
        <s v="SIMJULZAMA-16"/>
        <s v="SIMJULZAMA-24"/>
        <s v="SIMJULZTOS-12"/>
        <s v="SIMJULZBRU-30"/>
        <s v="SIMJULZOPO-30"/>
        <s v="SIMPLSIE-4"/>
        <s v="SIMBOWSIE-4"/>
        <s v="SIMTAZSIE-4"/>
        <s v="SIMPLAMA-4"/>
        <s v="SIMBOWAMA-4"/>
        <s v="SIMBOWTAZ-4"/>
        <s v="SIMTAZPAL-2"/>
        <n v="1661872956577"/>
        <n v="1659991481176"/>
        <n v="1650302269777"/>
        <s v="XRTOLLAT270-BG"/>
        <n v="1650301031879"/>
        <s v="XRBARRUN-122"/>
        <s v="XRBARRUN-129"/>
        <s v="XRBARRUN-139"/>
        <n v="1650302273911"/>
        <s v="XRPARREQ-BK"/>
        <n v="69746014453052"/>
        <s v="XRBOLPEXXL-CL"/>
        <n v="1660859424566"/>
        <s v="XRCOBSUV-BS"/>
        <s v="XRCOBMOT-BS"/>
        <n v="1656603353038"/>
        <s v="XRPISUNIS-BK"/>
        <s v="XRPISUNIS3-BK"/>
        <s v="XRFUNCASUN-BK"/>
        <s v="XRCADCANRR"/>
        <s v="XRHYDLAV-OR"/>
        <s v="XRPARTBAT-GR"/>
        <s v="XRCOOLPORT-GR"/>
        <s v="XRCOOLPORT40-GR"/>
        <s v="XRCOOLPORT20-GR"/>
        <s v="XRCOOLPOR50-BK"/>
        <s v="XRCOOLPORTF40-GR"/>
        <s v="XRESTAENER-OG"/>
        <s v="XRCARINF34-CL"/>
        <s v="XRCARINF68-CL"/>
        <s v="XRCARAA10-CL"/>
        <s v="XRQUITCD-CL"/>
        <s v="XRCOLINF2P-CL"/>
        <s v="XRCARRTRACT-CL"/>
        <s v="DYNHYDLA"/>
        <s v="DYNLLAIMP"/>
        <s v="DYNTALSPER"/>
        <s v="DYNTALSCA"/>
        <s v="DYNTALPOW"/>
        <s v="DYNTALCPER"/>
        <s v="DYNTALIMPA"/>
        <s v="TCRANEBL"/>
        <s v="TCAFSKIFL"/>
        <s v="TCMULTSTY5N1"/>
        <s v="TCMULTSTY5N1-BG"/>
        <s v="TCALSCAEGL-PP"/>
        <s v="BDBBYCHK"/>
        <s v="BDCOCGRND"/>
        <s v="BDCOCMEDI"/>
        <s v="BDCOCPQMD"/>
        <s v="BDCOCMIN"/>
        <s v="BDSETPAST"/>
        <s v="BDELECTCOC"/>
        <s v="BDSETDOC"/>
        <s v="BDSETLIMP"/>
        <s v="BDPZMG2E1"/>
        <s v="BDCASMUÑEC-WD"/>
        <s v="BDPKMESILL"/>
        <s v="BDSETMAQ"/>
        <s v="BDTOCMD-WH"/>
        <s v="BDMESHERRA"/>
        <s v="BDJUETRE"/>
        <s v="BDHELMAD"/>
        <s v="BDJUEAUT"/>
        <s v="BDANDDIDAC-GR"/>
        <s v="BDANDDIDAC-PK"/>
        <s v="BNANDCONTRU"/>
        <s v="BDMROBLDESC"/>
        <s v="BDGIMPIK"/>
        <s v="BDSILLEVREG"/>
        <s v="BDTORRAPR"/>
        <s v="BDGMNMVBB"/>
        <s v="BDMESDIDAC"/>
        <s v="BDMBAVTHIE"/>
        <s v="BDMBMNMRIO"/>
        <s v="BDMBSPAVMRIO"/>
        <s v="BDMBBOESP"/>
        <s v="BDMBCIUMG"/>
        <n v="1661877072053"/>
        <s v="INNCAMINSH5512-20"/>
        <s v="INNCAMINSH3-70"/>
        <s v="INNCAMINSH5-20"/>
        <s v="INNCAMINSH6-40"/>
        <s v="INCAMINS92-40"/>
        <n v="1661877043628"/>
        <s v="INNCAMINS-96"/>
        <s v="INNCAMINS-7F"/>
        <s v="INNCAMINS-U9"/>
        <n v="1571055493973"/>
        <s v="MTBOBIC450"/>
        <s v="MTBOBMA450"/>
        <s v="MTBOBBA450"/>
        <s v="MTBOHWRA450"/>
        <s v="MTBOHWCL450"/>
        <s v="MTBOHWTR450"/>
        <s v="MTVTUMBPR590"/>
        <s v="MTVTUMBLO590"/>
        <s v="MTVTUMBDR590"/>
        <s v="MTVTUMBVI590"/>
        <s v="MTBOBSHI590"/>
        <s v="MTBOBINS590"/>
        <s v="MTBOHWFA590"/>
        <s v="MTBOHWCOM590"/>
        <s v="MTTCBFRI450"/>
        <s v="MTTCBFUN450"/>
        <s v="MTTCHWTRU330"/>
        <s v="MTTCHWCLA330"/>
        <s v="MTBOBPET420"/>
        <s v="MTBOBLOV420"/>
        <s v="MTBOHWMON420"/>
        <s v="MTBOHWRAC420"/>
        <n v="1659990807310" u="1"/>
        <n v="1748316345017" u="1"/>
        <n v="1513614057219" u="1"/>
        <n v="67898463643999" u="1"/>
        <n v="1656603804695" u="1"/>
        <n v="1656603823688" u="1"/>
        <n v="1661873760641" u="1"/>
        <n v="1659992478281" u="1"/>
        <n v="1659992503614" u="1"/>
        <n v="68321385498620" u="1"/>
        <n v="1627418225537" u="1"/>
        <n v="1640091153797" u="1"/>
        <n v="1639085799549" u="1"/>
        <n v="1639085807876" u="1"/>
        <n v="67898303200803" u="1"/>
        <n v="67898307709665" u="1"/>
        <n v="1639085780345" u="1"/>
        <n v="1639085790351" u="1"/>
        <n v="1652824902758" u="1"/>
        <n v="1542051526349" u="1"/>
        <n v="1565277372026" u="1"/>
        <n v="1610816087324" u="1"/>
        <n v="1610816377646" u="1"/>
        <n v="1629291104067" u="1"/>
        <n v="1660857963520" u="1"/>
        <n v="1660858235219" u="1"/>
        <n v="67951421434761" u="1"/>
        <n v="1659991379695" u="1"/>
      </sharedItems>
    </cacheField>
    <cacheField name="Descripcion" numFmtId="0">
      <sharedItems containsBlank="1" count="1230">
        <s v="Cargador Inalámbrico Carga Rápida Magnético Auto VO1 LEVO"/>
        <s v="Cargador Inalámbrico Carga Rapida iPhone 12/13 Auto V+ LEVO"/>
        <s v="Cargador Super Rapido De Pared 25W USB-C Blanco LEVO"/>
        <s v="Cargador Super Rapido De Pared 25W USB-C Negro LEVO"/>
        <s v="Cargador Ultra Rapido De Pared 45W USB-C Blanco LEVO"/>
        <s v="Cargador Ultra Rapido De Pared 45W USB-C Negro LEVO"/>
        <s v="Cable de Carga Rápida USB-C 100W 5A 1Mt Blanco LEVO"/>
        <s v="Cable de Carga Rápida USB-C 100W 5A 1Mt Negro LEVO"/>
        <s v="Cable de Carga USB-C a Lightning 1 Mt Blanco LEVO"/>
        <s v="Hub USB-C Adaptador Multipuerto 5 en 1 Macbook Windows LEVO"/>
        <s v="Hub USB-C Adaptador Multipuerto 6 en 1 Macbook Windows LEVO"/>
        <s v="Control Joystick Controller Compatible Nintendo Switch LEVO"/>
        <s v="Control Joystick Inalámbrico Compatible Switch Joy-Con LEVO"/>
        <s v="Control Joystick Inalámbrico doble Shock P4 Negro LEVO"/>
        <s v="Control Joystick Inalámbrico doble Shock P4 Rojo LEVO"/>
        <s v="Audífono Gamer Inalámbrico Zenit Elite Bluetooth RGB Negro LEVO"/>
        <s v="Audífono Gamer Inalámbrico Zenit Elite Bluetooth RGB Blanco LEVO"/>
        <s v="Mousepad Battlemat XXL 90x40 cm Antideslizante Negro LEVO"/>
        <s v="Mousepad Officepad S 23x20 cm Antideslizante Negro LEVO"/>
        <s v="Mousepad Battlemat L 45x40 cm Antideslizante Negro LEVO"/>
        <s v="Teclado Gamer NovaBlade TKL Red Switch Mecánico Español RGB LEVO"/>
        <s v="Teclado Gamer NovaBlade Red Switch Mecánico Español RGB LEVO"/>
        <s v="Mouse Gamer Inalambrico RGB NovaStrike Negro LEVO"/>
        <s v="Mouse Gamer Inalambrico RGB Nova V2 Negro"/>
        <s v="Vr Box + Control Lentes de Realidad Virtual LEVO"/>
        <s v="Vr Box Ultra + Audífonos Lentes de Realidad Virtual  LEVO"/>
        <s v="KIT Micrófono de Solapa Inalámbrico Lavalier EchoPro LEVO"/>
        <s v="Teclado Inalámbrico Cygna Slim Grafito LEVO"/>
        <s v="Mouse Inalámbrico Ultra Slim Silencioso Velar Grafito LEVO"/>
        <s v="Silla Escritorio Oficina Ejecutiva Reclinable Comfort LEVO"/>
        <s v="Silla Escritorio Oficina Ergonómica Reclinable Ergotech LEVO"/>
        <s v="Silla de Escritorio Oficina Ergonomica Reclinable Lite LEVO"/>
        <s v="Aspiradora Inalámbrica Portátil Xpira Negra LEVO"/>
        <s v="Cámara HD Auto D3 Frontal, Interior y Trasera LEVO"/>
        <s v="Pesa Digital Balanza Baño Bluetooth Inteligente Negra LEVO"/>
        <s v="Pesa Digital Balanza Baño Bluetooth Inteligente Blanca LEVO"/>
        <s v="Cámara de Seguridad Impermeable Wifi 5G 2MP GuardPro X5 LEVO"/>
        <s v="Timbre Video Portero Citofono Monitor WIFI LEVO"/>
        <s v="Mochila Notebook Puerto USB 15,6&quot; Gris LEVO"/>
        <s v="Mochila Notebook Puerto USB 15,6&quot; Negra LEVO"/>
        <s v="Mochila Notebook MANAGER 15,6&quot; Negra LEVO"/>
        <s v="Mochila Notebook MANAGER 15,6&quot; Gris LEVO"/>
        <s v="Mochila Notebook WOLF Negra 15,6&quot; LEVO"/>
        <s v="Mochila Viaje Impermeable Notebook 30L Aerosuite Negra LEVO"/>
        <s v="Mochila Notebook Prime Lite 15,6” Negra LEVO"/>
        <s v="Mochila Notebook Velar Lite 15,6” Negra LEVO"/>
        <s v="Funda Maletin Notebook EXECUTIVE 15,6&quot; Negra LEVO"/>
        <s v="Funda HardShell Notebook 13-14&quot; Negra LEVO"/>
        <s v="Funda HardShell Notebook 15-16&quot; Negra LEVO"/>
        <s v="Proyector Portatil Smart Lumix 9000lm Inalambrico BT LEVO"/>
        <s v="Proyector Portatil Smart Orion 12000lm WiFi BT Android LEVO"/>
        <s v="Proyector Portatil Smart Nova 9000lm WiFi BT Android LEVO"/>
        <s v="Proyector Portatil Smart Hexa 8000lm WiFi BT Android LEVO"/>
        <s v="Proyector Portatil LEVO"/>
        <s v="Telón Proyector 100 pulgadas 200 x 150 cm LEVO"/>
        <s v="Telón Proyector 80 pulgadas 165 x 125 cm LEVO"/>
        <s v="Telón Proyector 60 pulgadas 120 x 90 cm LEVO"/>
        <s v="Telón Proyector 100 pulgadas 200 x 150 cm Negro LEVO"/>
        <s v="Telón Proyector 80 pulgadas 165 x 125 cm Negro LEVO"/>
        <s v="Telón Proyector 60 pulgadas 120 x 90 cm Negro LEVO"/>
        <s v="Telón Proyector 100 pulgadas Eléctrico 200 x 150 cm LEVO"/>
        <s v="Telón Proyector 80 pulgadas Eléctrico 165 x 125 cm LEVO"/>
        <s v="Telón Proyector 60 pulgadas Eléctrico 120 x 90 cm LEVO"/>
        <s v="Telón Proyector 100 pulgadas Elevación 200 x 150cm LEVO"/>
        <s v="Monitor Portátil Gamer ViewGo 15,6&quot; Full HD 1080P LEVO"/>
        <s v="Monitor Portátil Gamer NexView 15.6&quot; Full HD 1080P LEVO"/>
        <s v="Pantalla Totem Publicitario 43&quot; Touch Android Wifi Usb LEVO"/>
        <s v="Pantalla Totem Publicitario 50&quot; Touch Android Wifi Usb LEVO"/>
        <s v="Soporte de Television Ajustable 32&quot; a 72&quot; LEVO"/>
        <s v="Soporte Brazo Doble Monitor Notebook Escritorio Negro LEVO"/>
        <s v="Soporte Base Alzador Notebook Plegable Ajustable Gris LEVO"/>
        <s v="Pick-up Pad Lhotse Porta 6 Bicicletas"/>
        <s v="Pick-up Pad Lhotse Porta 5 Bicicletas"/>
        <s v="Pick-up Pad Lhotse Porta 2 Bicicletas"/>
        <s v="Set Deportivo 7 en 1 Rueda Abdominal Cuerda Lhotse Fit"/>
        <s v="Audifonos Bluetooth Inalambrico RM12 Pink Lhotse"/>
        <s v="Audifonos Bluetooth Inalambrico RM12 Black Lhotse"/>
        <s v="Audifonos Bluetooth Inalambrico RM12 Light Blue Lhotse"/>
        <s v="Audifonos Bluetooth Inalambrico RM12 White Lhotse"/>
        <s v="Audifonos Bluetooth Inalambrico RM7 Pro White Lhotse"/>
        <s v="Audifonos Bluetooth Inalambrico RM7 Pro Black Lhotse"/>
        <s v="Audifonos Bluetooth Inalambrico RM7 Pro Pink Lhotse"/>
        <s v="Audifonos Bluetooth Inalambrico RM7 Pro Light Blue Lhotse"/>
        <s v="Audifonos Bluetooth Inalambrico ANC BeatMaster Black Lhotse"/>
        <s v="Audifonos Bluetooth Inalambrico ANC BeatMaster Kaki Lhotse"/>
        <s v="Audifonos Inalámbricos Bluetooth Deportivos ENC Tuneair"/>
        <s v="Audifonos Inalámbricos Bluetooth Deportivos FitBuds Lhotse"/>
        <s v="Audifonos Bluetooth Inalambrico Over Ear WavePro Black Lhotse"/>
        <s v="Audifonos Bluetooth Inalambrico Over Ear WavePro White Lhotse"/>
        <s v="Audifonos Bluetooth TWS Pantalla Touch ANC RMPLUS+ White Lhotse"/>
        <s v="Audifonos Bluetooth TWS Pantalla Touch ANC RMPLUS+ Black Lhotse"/>
        <s v="Parlante Bounce Mini Black"/>
        <s v="Parlante Portatil Inalambrico Bluetooth Tune Up Black Lhotse"/>
        <s v="Parlante Portatil Inalambrico Bluetooth Tune Up Red Lhotse"/>
        <s v="Parlante Portatil Inalambrico Bluetooth Tune Up Blue Lhotse"/>
        <s v="Parlante Portatil Inalambrico Bluetooth Tune Up Green Lhotse"/>
        <s v="Parlante Portatil Inalambrico Bluetooth TripGo Black Lhotse"/>
        <s v="Parlante Portatil Inalambrico Bluetooth TripGo Gray Lhotse"/>
        <s v="Parlante Portatil Inalambrico Bluetooth TripGo Red Lhotse"/>
        <s v="Parlante Portatil Inalambrico Bluetooth TripGo Blue Lhotse"/>
        <s v="Parlante Portatil Inalambrico Bluetooth Pulse On Black Lhotse"/>
        <s v="Parlante Portatil Inalambrico Bluetooth Pulse On Gray Lhotse"/>
        <s v="Parlante Portatil Inalambrico Bluetooth Pulse On Red Lhotse"/>
        <s v="Parlante Portatil Inalambrico Bluetooth Pulse On Blue Lhotse"/>
        <s v="Parlante Portatil Inalambrico Bluetooth Journey Black Lhotse"/>
        <s v="Parlante Portatil Inalambrico Bluetooth Journey Blue Lhotse"/>
        <s v="Banano Lhotse Impermeable Negro"/>
        <s v="Banano Outdoor Golight 1Lt Himalaya Lhotse"/>
        <s v="Banano Outdoor Impermeable K2 Negro 2L Lhotse"/>
        <s v="Maleta Trolley Impermeable Duffel 90L Expedition Black Lhotse"/>
        <s v="Maleta Trolley Impermeable Duffel 70L Expedition Black Lhotse"/>
        <s v="Maleta Trolley Impermeable Duffel 30L Expedition Black Lhotse"/>
        <s v="Bolso Deportivo Lhotse Duffel 30 Lts Bag Negro"/>
        <s v="Bolso Deportivo Impermeable Duffel 60L Traveller Navy Lhotse"/>
        <s v="Bolso Deportivo Impermeable Duffel 60L Traveller Green Lhotse"/>
        <s v="Bolso Deportivo Impermeable Duffel 60L Traveller Black Lhotse"/>
        <s v="Bolso Deportivo Impermeable Duffel 30L Traveller Navy Lhotse"/>
        <s v="Bolso Deportivo Impermeable Duffel 30L Traveller Green Lhotse"/>
        <s v="Bolso Deportivo Impermeable Duffel 30L Traveller Black Lhotse"/>
        <s v="Maleta Cabina S Frontier Lhotse"/>
        <s v="Maleta Mediana M Frontier Lhotse"/>
        <s v="Maleta Grande L Frontier Lhotse"/>
        <s v="Neceser Viaje Waterproof 5L Khumbu Lhotse"/>
        <s v="Neceser Estuche de Viaje Travel Rimo Impermeable 5L Lhotse"/>
        <s v="Mochila Antirrobo Lhotse Gris"/>
        <s v="Mochila Volcano Lhotse 19 Lt Negra"/>
        <s v="Mochila Volcano Lhotse 19 Lt Verde"/>
        <s v="Mochila Urbana Roll Top Impermeable Porta Notebook 22L Makalu Black Lhotse"/>
        <s v="Mochila Urbana Roll Top Impermeable Porta Notebook 22L Makalu Green Lhotse"/>
        <s v="Mochila Urbana Impermeable Porta Notebook 22L Pumori Black Lhotse"/>
        <s v="Mochila Urbana Impermeable Porta Notebook 22L Pumori Green Lhotse"/>
        <s v="Mochila Viaje Impermeable Porta Notebook 17.3&quot; 35L Nomad Black Lhotse"/>
        <s v="Mochila Outdoor 28L Latok Lhotse"/>
        <s v="Mochila Outdoor Plegable 25 Lt Naranja Lhotse"/>
        <s v="Mochila Outdoor Plegable 25L Black Lhotse"/>
        <s v="Mochila Outdoor con Bolsa de Agua HydroRoad Black Lhotse"/>
        <s v="Mochila Viaje Impermeable Porta Notebook 17.3&quot; 40L Broadpeak Black Lhotse"/>
        <s v="Botella Termica Insulada 650ml Adventure Black Lhotse"/>
        <s v="Botella Termica Insulada 650ml Adventure Blue Lhotse"/>
        <s v="Botella Termica Insulada 650ml Adventure Pink Lhotse"/>
        <s v="Botella Termica Insulada 650ml Adventure White Lhotse"/>
        <s v="Botella Termica Insulada 960ml Hydro Lilac Lhotse"/>
        <s v="Botella Termica Insulada 960ml Hydro Pink Lhotse"/>
        <s v="Tapa Botella Boca Ancha Hydro Black Lhotse"/>
        <s v="Botella Termica Insulada 900ml Travel Mug Black Lhotse"/>
        <s v="Botella Termica Insulada 900ml Travel Mug Blue Lhotse"/>
        <s v="Botella Termica Insulada 900ml Travel Mug Green Lhotse"/>
        <s v="Botella Termica Insulada 900ml Travel Mug Pink Lhotse"/>
        <s v="Botella Termica Insulada 900ml Travel Mug White Lhotse"/>
        <s v="Botella Termica Insulada 800ml Indo Black Lhotse"/>
        <s v="Botella Termica Insulada 800ml Indo Lilac Lhotse"/>
        <s v="Botella Termica Insulada 800ml Indo Red Lhotse"/>
        <s v="Botella Termica Acero Inox 3 Tapas 1L HydroCore Black Lhotse"/>
        <s v="Botella Termica Acero Inox 3 Tapas 1L HydroCore Beige Lhotse"/>
        <s v="Botella Termica Acero Inox 3 Tapas 1L HydroCore Pink Lhotse"/>
        <s v="Botella Termica Acero Inox 3 Tapas 1L HydroCore Navy Lhotse"/>
        <s v="Botella Termica Acero Inox 3 Tapas 1L HydroCore Green Lhotse"/>
        <s v="Shaker Vaso Proteina Acero Inox 500ml NutriCore Black Lhotse"/>
        <s v="Shaker Vaso Proteina Acero Inox 500ml NutriCore Pink Lhotse"/>
        <s v="Shaker Vaso Proteina Acero Inox 500ml NutriCore Green Lhotse"/>
        <s v="Shaker Vaso Proteina Acero Inox NutriCore 500ml Beige Lhotse"/>
        <s v="Shaker Vaso Proteina Acero Inox NutriCore 500ml Blue Lhotse"/>
        <s v="Vaso Térmico Tumbler 1180ml Lhotse Light Blue"/>
        <s v="Vaso Térmico Tumbler 1180ml Lhotse Arena"/>
        <s v="Vaso Térmico Tumbler 1180ml Lhotse Pink"/>
        <s v="Vaso Termico Tumbler Acero Inox Antiderrame 1180ml Sand Lhotse"/>
        <s v="Vaso Termico Tumbler Acero Inox Antiderrame 1180ml Pink Lhotse"/>
        <s v="Vaso Termico Tumbler Acero Inox Antiderrame 1180ml Lilac Lhotse"/>
        <s v="Vaso Termico Tumbler Acero Inox Antiderrame 1180ml Light Green Lhotse"/>
        <s v="Vaso Termico Tumbler Acero Inox Antiderrame 1180ml Black Lhotse"/>
        <s v="Vaso Termico Tumbler Acero Inox Antiderrame 1180ml Light Blue Lhotse"/>
        <s v="Botella Termica Agua Hydrotek 750 ml Acero Inox Black"/>
        <s v="Botella Termica Agua Hydrotek 750 ml Acero Inox Pink"/>
        <s v="Botella Termica Agua Hydrotek 750 ml Acero Inox Green"/>
        <s v="Botella Termica Agua Hydrotek 750 ml Acero Inox Navy"/>
        <s v="Botella Termica Agua Hydrotek 750 ml Acero Inox Beige"/>
        <s v="Mug Térmico para Café Termicup 590 ml Acero Inox Black"/>
        <s v="Mug Térmico para Café Termicup 590 ml Acero Inox Pink"/>
        <s v="Mug Térmico para Café Termicup 590 ml Acero Inox Green"/>
        <s v="Mug Térmico para Café Termicup 590 ml Acero Inox Beige"/>
        <s v="Mug Térmico para Café Termicup 590 ml Acero Inox Navy"/>
        <s v="Termo Liquido Acero Inoxidable Classic 1,3 lts Black Lhotse"/>
        <s v="Termo Liquido Acero Inoxidable Classic 1,3 lts Green Lhotse"/>
        <s v="Termo Liquido Acero Inoxidable Classic 1,3 lts Pink Lhotse"/>
        <s v="Termo Liquido Acero Inoxidable Classic 1,3 lts White Lhotse"/>
        <s v="Vaso Térmico Insulado Camping Black480ml"/>
        <s v="Vaso Térmico Insulado Camping Pink 480ml"/>
        <s v="Vaso Térmico Insulado Camping Red 480ml"/>
        <s v="Vaso Térmico Insulado Camping White 480ml"/>
        <s v="Mate Acero Inoxidable con Bombilla Black Lhotse"/>
        <s v="Mate Acero Inoxidable con Bombilla Green Lhotse"/>
        <s v="Mate Acero Inoxidable con Bombilla Pink Lhotse"/>
        <s v="Mate Acero Inoxidable con Bombilla Red Lhotse"/>
        <s v="Mate Acero Inoxidable con Bombilla White Lhotse"/>
        <s v="Mate Acero Inoxidable con Bombilla Light Pink Lhotse"/>
        <s v="Taza Térmica Insulada Camping Black 350ml"/>
        <s v="Taza Térmica Insulada Camping Blue 350ml"/>
        <s v="Taza Térmica Insulada Camping Green 350ml"/>
        <s v="Taza Térmica Insulada Camping White 350ml"/>
        <s v="Cámara de acción doble pantalla 4k 30ftps Xplore Lhotse"/>
        <s v="Cámara de Acción Deportiva Summit 5k 30fps Accesorios"/>
        <s v="Banda Smartband Lhotse Flow 3"/>
        <s v="Smartwatch Mini Live 206 Pink"/>
        <s v="Reloj Smartwatch Lhotse Runner 219 46mm Black"/>
        <s v="Reloj Smartwatch Lhotse Live 206 40mm Mini Black"/>
        <s v="Reloj Smartwatch Lhotse Live 206 Mini 40mm Light Green"/>
        <s v="Reloj Smartwatch Lhotse Vibe 05 GPS Black 45mm"/>
        <s v="Reloj Smartwatch Lhotse Vibe 05 GPS Cream 42mm"/>
        <s v="Reloj Smartwatch Music Rhythm X10 41mm"/>
        <s v="Reloj Smartwatch GPS MoveOn 7 37/38mm"/>
        <s v="Reloj Smartwatch Lhotse Ultimate GPS 217 Black"/>
        <s v="Reloj Smartwatch Lhotse Ultimate GPS 217 Pink"/>
        <s v="Reloj Smartwatch Lhotse Ultimate GPS 217 Gray"/>
        <s v="Reloj Smartwatch Lhotse Apex 01 GPS Black"/>
        <s v="Reloj Smartwatch Lhotse Apex 01 GPS Pink"/>
        <s v="Reloj Smartwatch Lhotse Apex 01 GPS Rust"/>
        <s v="Jockey Trekker Algodón Unisex Lhotse"/>
        <s v="Jockey Hike Algodón Unisex Lhotse"/>
        <s v="Jockey Deportivo FlexFlow DryFit Lhotse"/>
        <s v="Jockey Ride Algodón Unisex Lhotse"/>
        <s v="Jockey Wave Algodón Unisex Lhotse"/>
        <s v="Toalla Microfibra Secado Rapido QuickTrek Lhotse"/>
        <s v="Calcetin Corte Tobillo Numa Gray S-M"/>
        <s v="Calcetin Corte Tobillo Numa Gray L-XL"/>
        <s v="Calcetin Corte Tobillo Numa Green S-M"/>
        <s v="Calcetin Corte Tobillo Numa Green L-XL"/>
        <s v="Calcetin Corte Tobillo Numa Black S-M"/>
        <s v="Calcetin Deportivo Corte Medio Trail Numa Lhotse"/>
        <s v="Calcetin Corte Bajo Vora Running Gray Melange S-M"/>
        <s v="Calcetin Corte Bajo Vora Running Gray Melange L-XL"/>
        <s v="Calcetin Corte Bajo Vora Running Black S-M"/>
        <s v="Calcetin Corte Bajo Vora Running Black L-XL"/>
        <s v="Calcetin Corte Bajo Vora Running White S-M"/>
        <s v="Calcetin Corte Bajo Vora Running White L-XL"/>
        <s v="Calcetin Corte Medio Andor Gray Melange S-M"/>
        <s v="Calcetin Corte Medio Andor Gray Melange L-XL"/>
        <s v="Calcetin Corte Medio Andor Blue S-M"/>
        <s v="Calcetin Corte Medio Andor Blue L-XL"/>
        <s v="Calcetin Corte Medio Andor Earth S-M"/>
        <s v="Calcetin Corte Medio Andor Earth L-XL"/>
        <s v="Pantuflas Térmicas Cloudfit Outdoor Suela WarmPath"/>
        <s v="Pantuflas Térmicas Nimbus Suela CloudGrip Outdoor Black Camo 36/37"/>
        <s v="Pantuflas Térmicas Nimbus Suela CloudGrip Outdoor Black Camo 38/39"/>
        <s v="Pantuflas Térmicas Nimbus Suela CloudGrip Outdoor Black Camo 40/41"/>
        <s v="Pantuflas Térmicas Nimbus Suela CloudGrip Outdoor Black Camo 42/43"/>
        <s v="Pantuflas Térmicas Nimbus Suela CloudGrip Outdoor Black Camo 44/45"/>
        <s v="Pantuflas Térmicas Nimbus Suela CloudGrip Outdoor Black 36/37"/>
        <s v="Pantuflas Térmicas Nimbus Suela CloudGrip Outdoor Black 38/39"/>
        <s v="Pantuflas Térmicas Nimbus Suela CloudGrip Outdoor Black 40/41"/>
        <s v="Pantuflas Térmicas Nimbus Suela CloudGrip Outdoor Black 42/43"/>
        <s v="Pantuflas Térmicas Nimbus Suela CloudGrip Outdoor Black 44/45"/>
        <s v="Pantuflas Térmicas Nimbus Suela CloudGrip Outdoor Pink 34/35"/>
        <s v="Pantuflas Térmicas Nimbus Suela CloudGrip Outdoor Pink 36/37"/>
        <s v="Pantuflas Térmicas Nimbus Suela CloudGrip Outdoor Pink 38/39"/>
        <s v="Pantuflas Térmicas Nimbus Suela CloudGrip Outdoor Pink 40/41"/>
        <s v="Pantuflas Térmicas Nimbus Suela CloudGrip Outdoor Smoky Lila 34/35"/>
        <s v="Pantuflas Térmicas Nimbus Suela CloudGrip Outdoor Smoky Lila 36/37"/>
        <s v="Pantuflas Térmicas Nimbus Suela CloudGrip Outdoor Smoky Lila 38/39"/>
        <s v="Pantuflas Térmicas Nimbus Suela CloudGrip Outdoor Smoky Lila 40/41"/>
        <s v="Pantuflas Térmicas Nimbus Suela CloudGrip Outdoor Smoky Green 36/37"/>
        <s v="Pantuflas Térmicas Nimbus Suela CloudGrip Outdoor Smoky Green 38/39"/>
        <s v="Pantuflas Térmicas Nimbus Suela CloudGrip Outdoor Smoky Green 40/41"/>
        <s v="Pantuflas Térmicas Nimbus Suela CloudGrip Outdoor Smoky Green 42/43"/>
        <s v="Pantuflas Térmicas Nimbus Suela CloudGrip Outdoor Smoky Green 44/45"/>
        <s v="Primera Capa Térmica Hombre Dugla Stay Warm Top Lhotse"/>
        <s v="Polera Hombre Manga Corta Nepal Lhotse"/>
        <s v="Polar Segunda Capa Lobuche Lhotse"/>
        <s v="Polar Hombre Tejido Térmico Anti-peeling Middle Lhotse"/>
        <s v="Polar Hombre Half Zip Térmico con Bolsillos Shar Lhotse"/>
        <s v="Polerón Hombre Hoodie Katmandú Lhotse"/>
        <s v="Polar Hombre Chiporro Sherpa Térmico Main Lhotse"/>
        <s v="Chaqueta Parka Hombre Nuptse Lhotse"/>
        <s v="Parka Puffa Hombre Khumbu Lhotse"/>
        <s v="Pantalon Trekking Hombre Desmontable Lukla Lhotse"/>
        <s v="Cortaviento Impermeable Gorak Shep Lhotse"/>
        <s v="Polera Deportiva Manga Corta Hombre Boyak DryCool Lhotse"/>
        <s v="Polera Manga Corta Hombre Digueñe Lhotse"/>
        <s v="Polera Manga Corta Hombre Micelio Mycena Lhotse"/>
        <s v="Polera Manga Corta Hombre Morchella Esculenta Lhotse"/>
        <s v="Polera Manga Corta Hombre Boletus Loyo Lhotse"/>
        <s v="Polera Manga Corta Hombre Amanita Muscaria Lhotse"/>
        <s v="Polerón Unisex Sweatshirt Origin Lhotse"/>
        <s v="Polerón Unisex Sweatshirt Mycena Lhotse"/>
        <s v="Short Hombre Cargo Adventure Barun UV50+ Lhotse"/>
        <s v="Peto Deportivo Mujer Middle Kalo Lhotse"/>
        <s v="Calza Deportiva Mujer Legging Bergenia Lhotse"/>
        <s v="Pantalón Trekking Desmontable Mujer UV50+ Lukla-W Lhotse"/>
        <s v="Polar Segunda Capa Mujer Lobuche Cap Lhotse"/>
        <s v="Calza Deportiva Mujer Biker Dhara Lhotse"/>
        <s v="Batería de Cocina Antiadherente Copper 7 Piezas Simplit"/>
        <s v="Batería de Cocina Antiadherente Classic 8 Piezas Simplit"/>
        <s v="Batería de Cocina Antiadherente Oregon 5 Piezas Simplit"/>
        <s v="Batería de Cocina Antiadherente Black Copper 7 Pzs Simplit"/>
        <s v="Batería de Cocina Antiadherente Savannah 9 Piezas"/>
        <s v="Batería de Cocina Toulouse 7 pcs + Accesorios Simplit"/>
        <s v="Batería de Cocina Antiadherente Oxford Granito 15pcs Simplit"/>
        <s v="Batería de Cocina Antiadherente Oxford Granito 15 pcs Beige"/>
        <s v="Batería de Cocina Antiadherente Pompei Granito 7 Piezas Simplit"/>
        <s v="Batería de Cocina Antiadherente Lucca 10 Piezas Simplit"/>
        <s v="Mantequillero de Cerámica Tapa Bamboo 300 ml Simplit"/>
        <s v="Mantequillero cerámica tapa bamboo con cuchillo 600ml NEGRO"/>
        <s v="Mantequillero Cerámica Tapa Bamboo + Cuchillo 600 ml Simplit"/>
        <s v="Sartén Antiadherente Tapa 28cm Copper Simplit"/>
        <s v="Sartén Antiadherente 24cm Copper Simplit"/>
        <s v="Termo de Comida Insulado Acero Inox 750 ml Rosado Simplit"/>
        <s v="Termo de Comida Insulado Acero Inox 750 ml Negro Simplit"/>
        <s v="Termo de Comida Insulado Acero Inox 750 ml Gris Simplit"/>
        <s v="Termo Comida 400ml Negro Cuchara Acero Inox Simplit"/>
        <s v="Set 12 Utensilios De Cocina Silicona Calipso Simplit"/>
        <s v="Set 12 Utensilios De Cocina Silicona Negro Simplit"/>
        <s v="Balanza Pesa Digital Para Cocina Simplit"/>
        <s v="Bowl Cortador Rallador de Verduras Multifuncional Simplit"/>
        <s v="Tabla Para Picar Cortar Madera 40x28cm Cutte Simplit"/>
        <s v="Set de Cuchillería 30 pcs Cubiertos Acero Inoxidable Sicilia"/>
        <s v="Set de Cuchillería 30 pcs Cubiertos Acero Inoxidable Puglia"/>
        <s v="Set de Cuchillería 24 pcs Cubiertos Versalle Simplit"/>
        <s v="Set de Cuchillería 24 pcs Cubiertos Le Mans Simplit"/>
        <s v="Set de Cuchillería 24 pcs Cubiertos Paris Simplit"/>
        <s v="Set de Cuchillería 24 pcs Acero Inoxidable Cerdeña Simplit"/>
        <s v="Set Cuchillos 5 pcs Marsella Acero Inoxidable Simplit"/>
        <s v="Set Cuchillos 5 pcs Paris Acero Inoxidable Simplit"/>
        <s v="Set Cuchillos para Queso 4 pcs Provenza Simplit"/>
        <s v="Set Cuchillos Stahl 5 pcs Acero Inoxidable + Taco Simplit"/>
        <s v="Set Cuchillos Küche 5 pcs Acero Inoxidable + Base Simplit"/>
        <s v="Set Cuchillos Holz 5 pcs Acero Inoxidable + Taco Simplit"/>
        <s v="Set de Cucharas Ensalada Versalle Acero Inoxidable Simplit"/>
        <s v="Olla Cacerola Antiadherente 28cm Toulouse Simplit"/>
        <s v="Cafetera Prensa Francesa Negra 600 ml Simplit"/>
        <s v="Cafetera Italiana Negra Granito 4 Tazas Simplit"/>
        <s v="Cafetera Italiana Negra Granito 12 Tazas Simplit"/>
        <s v="Cafetera Prensa Francesa Vidrio Cobre 600 ml Simplit"/>
        <s v="Cafetera Italiana Lucca 4 Tazas Simplit"/>
        <s v="Cafetera Italiana Savannah 4 Tazas Simplit"/>
        <s v="Cafetera Italiana Lucca 12 Tazas Simplit"/>
        <s v="Cafetera Italiana Savannah 12 Tazas Simplit"/>
        <s v="Contenedor Hermético De Café Acero Inoxidable Milán Simplit"/>
        <s v="Set 2 Tazas Vidrio Doble Pared Espreso 80 ml Simplit"/>
        <s v="Taza de Vidrio Doble Pared 350 ml Simplit"/>
        <s v="Taza Mug de Vidrio Doble Pared 300 ml Simplit"/>
        <s v="Termo Jarra Insulado 1 Lt Simplit"/>
        <s v="Vaso Térmico Tumbler 750ml Tapa y Bombilla Simplit"/>
        <s v="Set de 3 Contenedores Herméticos Plástico Simplit"/>
        <s v="Set 3 Bowls con Tapa Acero Inoxidable Antideslizante Simplit"/>
        <s v="Panera Metálica con Tapa Bamboo Blanca Simplit"/>
        <s v="Set de 7 Contenedores Herméticos Plástico Simplit"/>
        <s v="Set 4 Contenedores de Vidrio Herméticos Tapa Bamboo Simplit"/>
        <s v="Set de 7 Contenedores Herméticos Plástico Negro Simplit"/>
        <s v="Contenedor de Cerámica Hermético Tapa Madera S Simplit"/>
        <s v="Contenedor de Cerámica Hermético Tapa Madera M Simplit"/>
        <s v="Contenedor de Cerámica Hermético Tapa Madera L Simplit"/>
        <s v="Tupper de Acero Inoxidable Tapa Madera 800 ml Simplit"/>
        <s v="Contenedor Plástico Hermético Bento Box"/>
        <s v="Organizador Refrigerador con Cesta M Simplit"/>
        <s v="Organizador Refrigerador con Drenaje L Simplit"/>
        <s v="Organizador Refrigerador con Drenaje S Simplit"/>
        <s v="Organizador Refrigerador con Cesta L Simplit"/>
        <s v="Organizador Cubiertos Expandible Madera Acasia Basel Simplit"/>
        <s v="Set 4 contenedores vidrio"/>
        <s v="Organizador de cubiertos expandible Oslo Simplit"/>
        <s v="Especiero Condimentos Giratorio Metálico 16 Frascos Simplit"/>
        <s v="Especiero Condimentos de Madera 8 Frascos Vidrio Simplit"/>
        <s v="Set 2 Molinillos de Sal y Pimienta Vidrio Simplit"/>
        <s v="Set 2 Molinillos Sal Pimienta Madera Verona Simplit"/>
        <s v="Secaplatos Escurridor 2 Niveles Acero Inox Negro Simplit"/>
        <s v="Secaplatos Escurridor 2 Niveles Acero Inox Blanco Simplit"/>
        <s v="Secaplatos Escurridor 1 Nivel Acero Inox Negro Simplit"/>
        <s v="Secaplatos Escurridor 1 Nivel Acero Inox Blanco Simplit"/>
        <s v="Secaplatos Escurridor Acero Inox Bilbao 2 Niveles"/>
        <s v="Secaplatos Escurridor Acero Inox Valencia 2 Niveles Simplit"/>
        <s v="Basurero Cocina Iron 40lts Pedal Acero Inox Simplit"/>
        <s v="Basurero Cocina Urban 30lts Pedal Acero Inox Simplit"/>
        <s v="Basurero Cocina Handy 55lts Táctil Acero Inox Simplit"/>
        <s v="Basurero Cocina Lucca 12Lt Pedal Acero Inox Simplit"/>
        <s v="Basurero Cocina Livorno 12Lt Pedal Acero Inox Simplit"/>
        <s v="Cubeta de Hielo Silicona 15 Hielos Simplit"/>
        <s v="Cubeta de Hielo Silicona 160 Mini Hielos Simplit"/>
        <s v="Cubeta de Hielo Silicona 6 Hielos Redondos Simplit"/>
        <s v="Cubeta de Hielo Silicona 6 Hielos Grandes Simplit"/>
        <s v="Set 6 Vasos Corto Vintage Charlotte 200ml Simplit"/>
        <s v="Set 6 Vasos Largo Vintage Charlotte 350ml Simplit"/>
        <s v="Set 6 Vasos redondos Virginia 340ml Simplit"/>
        <s v="Set 6 Vaso Copa Cerveza Collins 420ml Simplit"/>
        <s v="Set 2 Vasos Moscow Mule Mug Cobre + Bombillas Simplit"/>
        <s v="Set 2 Vasos Vidrio Borosilicato 550 ml Simplit"/>
        <s v="Set 4 Vasos Vidrio Borosilicato 550 ml Simplit"/>
        <s v="Set 2 Vasos Vidrio Doble Pared 400 ml Simplit"/>
        <s v="Set 2 Vasos de Vidrio Estilo Japonés 320 ml Simplit"/>
        <s v="Set 2 Vasos Cobre Moscow Mule Mojito Bar + Bombilla Simplit"/>
        <s v="Set 6 Vasos Whisky Kentucky 270ml Simplit"/>
        <s v="Set 6 Vasos Cerveza Portland 380ml Simplit"/>
        <s v="Set 6 Copas Espumante 200ml Cristal Monaco Simplit"/>
        <s v="Set 6 Copas Vino Tinto 540ml Cristal Piamonte Simplit"/>
        <s v="Set 6 Copas Vino Blanco 400ml Cristal Alsacia Simplit"/>
        <s v="Set 6 Copas Gin 650ml Cristal London Simplit"/>
        <s v="Set 6 Vasos Largos 460ml Vidrio Ginebra Simplit"/>
        <s v="Set 6 Vasos Cortos 380ml Vidrio Ginebra Simplit"/>
        <s v="Descorchador Abridor Vino Sommelier Simplit"/>
        <s v="Decantador Aireador Vino Chateau 1650ml"/>
        <s v="Decantador Aireador Vino Rouge 1500ml"/>
        <s v="Hielera Vidrio Charlotte Tapa Madera 3,8lts Simplit"/>
        <s v="Espumador de Leche 4 en 1 Negro Simplit"/>
        <s v="Espumador de Leche 4 en 1 Blanco Simplit"/>
        <s v="Juego De 4 Cachos Eco Cuero Negro Simplit"/>
        <s v="Set Alcuza Cerámica 2 Piezas Cuadrada 500 ml Simplit"/>
        <s v="Juego Loza Cerámica 30 pcs Siena 6 personas Simplit"/>
        <s v="Juego Loza Cerámica 16 pcs Amalfi 4 personas Simplit"/>
        <s v="Juego Loza Cerámica 24 pcs Amalfi Simplit"/>
        <s v="Juego de Loza 12 pcs Cerámica Toscana Simplit"/>
        <s v="Juego de Loza 30 pcs Cerámica Bruselas 6 personas Simplit"/>
        <s v="Juego de Loza 30 pcs Cerámica Oporto Simplit"/>
        <s v="Set 4 Platos Fondo Cerámica 26,7cm Siena Simplit"/>
        <s v="Set 4 Bowls Cerámica 8,5cm Siena Simplit"/>
        <s v="Set 4 Tazas Cerámica 330ml Siena Simplit"/>
        <s v="Set 4 Platos Fondo Cerámica 27,4 cm Amalfi Simplit"/>
        <s v="Set 4 Bowls Cerámica 8,5cm Amalfi Simplit"/>
        <s v="Set 4 Tazas Cerámica 330ml Amalfi Simplit"/>
        <s v="Set 2 Tazas Cerámica 420 ml Palermo Simplit"/>
        <s v="Set 3 Fuentes de Cerámica para Horno Celeste Simplit"/>
        <s v="Fuente de Cerámica para Horno Cacerola Olla Roja Simplit"/>
        <s v="Toldo Camping Lateral Para Auto Techo Xroad"/>
        <s v="Toldo Camping Lateral Para Auto Techo 270° Xroad"/>
        <s v="Barras Portaequipaje de Aluminio para Techo Xroad"/>
        <s v="Barra Portaequipaje Enganche Universal 122cm Xroad"/>
        <s v="Barra Portaequipaje Enganche Universal 129cm Xroad"/>
        <s v="Barra Portaequipaje Enganche Universal 139cm Xroad"/>
        <s v="Parrilla Para Auto Aluminio Portaequipaje Universal Gris Xroad"/>
        <s v="Parrilla Para Auto Aluminio Portaequipaje Universal Negra Xroad"/>
        <s v="Sensor De Retroceso Para Automóviles Xroad"/>
        <s v="Bolso para Techo Porta Equipajes Expandible 362 - 450 L Xroad"/>
        <s v="Bolso para Techo Porta Equipajes XX L Xroad"/>
        <s v="Carpa Funda Cubre Auto Impermeable Premium con Felpa Xroad"/>
        <s v="Carpa Funda Cubre SUV Impermeable Premium con Felpa Xroad"/>
        <s v="Carpa Funda Cubre Moto Impermeable Premium con Felpa Xroad"/>
        <s v="Funda Cubre Asiento de Auto Impermeable Mascotas Negra Xroad"/>
        <s v="Alfombra Piso de Goma para auto Universal 4 piezas Xroad"/>
        <s v="Alfombra Piso de Goma para auto Universal 3 piezas Xroad"/>
        <s v="Fundas Cubreasientos Ecocuero Universal Negro XRoad"/>
        <s v="Cadena + Candado para Rueda de Repuesto Antirrobo XRoad"/>
        <s v="Hidrolavadora Eléctrica HydroX 1800W 120 Bar Xroad"/>
        <s v="Partidor de Batería Portátil con Compresor de Aire 12V Xroad"/>
        <s v="Cooler Eléctrico Portátil 30L 12V Gris Xroad"/>
        <s v="Cooler Eléctrico Portátil 40L 12V Gris Xroad"/>
        <s v="Cooler Eléctrico Portátil 20L 12V Gris Xroad"/>
        <s v="Cooler Portátil 50L con Ruedas Negro Xroad"/>
        <s v="Cooler Freezer Eléctrico Portátil 40L 12V Gris Xroad"/>
        <s v="Estación de Energía Portátil 300W 248WH 80.000mAh 220V Xroad"/>
        <s v="Carpa Inflable 3-4 Personas 3 Estaciones Beige Xroad"/>
        <s v="Carpa Inflable 6-8 personas Xroad"/>
        <s v="Carpa Armado Automatico 10 personas Xroad"/>
        <s v="Quitasol Con Drill de Instalacion Xroad"/>
        <s v="Colchon inflable Automatico 2 plazas Xroad"/>
        <s v="Carro de Transporte con Techo 150 KG Negro Xroad"/>
        <s v="Hidrolavadora eléctrica Dynamo WP 1800w 130bar 220/240V 60Hz"/>
        <s v="Llave de Impacto Inalámbrica Dynamo 21V + 2 Baterias y Acss"/>
        <s v="Kit Taladro Destornillador Inalámbrico Dynamo 21v 2 Baterías"/>
        <s v="Taladro Inalámbrico Dynamo Rotomartillo Percutor 2 Baterías"/>
        <s v="Taladro Percutor Inalámbrico Dynamo 21v 2 Baterías + Accs"/>
        <s v="Pack Taladro Percutor + Atornillador de Impacto 21V Dynamo"/>
        <s v="Afeitadora Rasuradora Corporal Electrica NeoBlade 3.1 T-Care"/>
        <s v="Afeitadora Facial Masculina SkinFlow T-Care"/>
        <s v="Secador de pelo Multistyler T-Care 5 en 1"/>
        <s v="Secador de pelo Multistyler 5 en 1 AeroFlow Beige"/>
        <s v="Alisador y Secador de Pelo 2 en 1 AeroGliss T-Care"/>
        <s v="Mecedor Eléctrico Coche Recargable Bebé Baby Chick Bandú"/>
        <s v="Cocina de Juguete Infantil Niños Madera Accesorios Bandú"/>
        <s v="Cocina de Juguete Infantil Niños Madera 11 Accesorios Bandú"/>
        <s v="Cocina de Juguete Infantil Niños Madera Rosada con Acc Bandú"/>
        <s v="Set Juego Mini Cocina de Juguete Alimentos Madera Bandú"/>
        <s v="Set Juego Pastelería Corta Postre Infantil Niño Madera Bandú"/>
        <s v="Juguete Infantil Mini Electrodomésticos Cocina Madera Bandú"/>
        <s v="Set Juego de Roles Doctor Niños Madera 12 pcs Bandú"/>
        <s v="Set Juego de Limpieza y Aseo Madera Bandú"/>
        <s v="Pizarra Madera Infantil Magnética 2 en 1 Didáctica Bandú"/>
        <s v="Casa de Muñecas de Madera Juguete Infantil Bandú"/>
        <s v="Pack Infantil 1 Mesa 2 Sillas Madera Didáctico Bandú"/>
        <s v="Juego de Maquillaje Set Belleza de Roll Niños Madera Bandú"/>
        <s v="Tocador Infantil Para Niñas Espejo Maquillaje Madera Bandú"/>
        <s v="Juego de Construcción Herramientas Madera para Niños Bandú"/>
        <s v="Pista de Autos y Tren de Madera Juego Didactico 70pcs Bandú"/>
        <s v="Juego Heladería Infantil Niños Madera Bandú"/>
        <s v="Set Autos de Juguete Tren Pista y Señaleticas Madera Bandú"/>
        <s v="Andador Correpasillos Bebe Didáctico Madera Bandú"/>
        <s v="Andador Correpasillos Bebe Juego Construccion Madera Bandú"/>
        <s v="Torre Aprendizaje Infantil Pikler Escalada Montessori Bandú"/>
        <s v="Gimnasio Infantil Juego Pikler Parque 8 en 1 Bandú"/>
        <s v="Silla de Comer Infantil Evolutiva Madera Regulable Bandú"/>
        <s v="Torre Aprendizaje Plegable Montesori Madera 3 Niveles Bandú"/>
        <s v="Gimnasio Móvil de Madera Bebé Infantil Bandú"/>
        <s v="Mesa Infantil Aprendizaje Didactica 7 en 1 Montessori Bandú"/>
        <s v="Juego Bloques Magnéticos 89pcs MineBlocks Aventura Bandú"/>
        <s v="⁠Juego Bloques Magnéticos 75pcs MineBlocks Mundo Bandú"/>
        <s v="⁠Juego Bloques Magnéticos 146pcs MineBlocks Mapa Bandú"/>
        <s v="Juego Bloques Magnéticos 54pcs MineBlocks Bob Marino Bandú"/>
        <s v="Juego Bloques Magnéticos 114pcs MineBlocks Ciudad Bandú"/>
        <s v="Cámara de Inspección Baroscopio con Sonda 20 Mts H6"/>
        <s v="Cámara de Inspección Baroscopio 512 Hz con Sonda 20 Mts H5"/>
        <s v="Cámara de Inspección Baroscopio con Sonda 20 Mts H3"/>
        <s v="Cámara de Inspección Baroscopio con Sonda 20 Mts H5"/>
        <s v="Cámara de Inspección Baroscopio con Sonda 40 Mts H6"/>
        <s v="Cámara de Inspección Baroscopio con Sonda 40 Mts TP9200"/>
        <s v="Cámara de Inspección Baroscopio con Sonda 20 Mts TP9200"/>
        <s v="Cámara de Inspección de Tuberías Endoscopio Industrial TP9600"/>
        <s v="Cámara de Inspección Baroscopio con Sonda 20 Mts TP9607F"/>
        <s v="Cámara de Inspección de Tuberías Endoscopio Industrial U9"/>
        <s v="Secador De Toallas Pedestal 6 Niveles"/>
        <s v="Botella Termica Niños Barbie Iconic 450ml Acero Inox UMA"/>
        <s v="Botella Termica Niños Barbie Malibu 450ml Acero Inox UMA"/>
        <s v="Botella Termica Niños Barbie 450ml Acero Inox UMA"/>
        <s v="Botella Termica Niños Hot Wheels Race 450ml Acero Inox UMA"/>
        <s v="Botella Termica Niños Hot Wheels Class 450ml Acero Inox UMA"/>
        <s v="Botella Termica Niños Hot Wheels Trucks 450ml Acero Inox UMA"/>
        <s v="Vaso Termico Tumbler Mug Barbie Print 590ml Acero Inox UMA"/>
        <s v="Vaso Termico Tumbler Mug Barbie Love 590ml Acero Inox UMA"/>
        <s v="Vaso Termico Tumbler Mug Barbie Dreams 590ml Acero Inox UMA"/>
        <s v="Vaso Termico Tumbler Mug Barbie Vibes 590ml Acero Inox UMA"/>
        <s v="Botella Termica Niños Barbie Shine 2 en 1 590ml Acero Inox UMA"/>
        <s v="Botella Termica Niños Barbie Inspire 2 en 1 590ml Acero Inox UMA"/>
        <s v="Botella Termica Niños Hot Wheels Fast 2 en 1 590ml Acero Inox UMA"/>
        <s v="Botella Termica Niños Hot Wheels Comic 2 en 1 590ml Acero Inox UMA"/>
        <s v="Termo Comida Barbie &amp; Friends + Cuchara 450ml Acero Inox UMA"/>
        <s v="Termo Comida Barbie Fun + Cuchara 450ml Acero Inox UMA"/>
        <s v="Termo Comida Hot Wheels Truck + Cuchara 330ml Acero Inox UMA"/>
        <s v="Termo Comida Hot Wheels Class + Cuchara 330ml Acero Inox UMA"/>
        <s v="Botella Agua Niños Barbie &amp; Pets 420ml con Bombilla UMA"/>
        <s v="Botella Agua Niños Barbie Love 420ml con Bombilla UMA"/>
        <s v="Botella Agua Niños Hot Wheels Monster Truck 420ml con Bombilla UMA"/>
        <s v="Botella Agua Niños Hot Wheels Race 420ml con Bombilla UMA"/>
        <s v="Control Joystick Inalámbrico Nintendo Switch Joy-Con LEVO" u="1"/>
        <s v="Pack Teclado + Mouse Oficina" u="1"/>
        <s v="Bolso Deportivo Impermeable Duffel 60L Traveller Gray Lhotse" u="1"/>
        <s v="TOTALES" u="1"/>
        <m u="1"/>
        <s v="Smartwatch GTS1 E Negro" u="1"/>
        <s v="Smartwatch GTS1 E Rosado" u="1"/>
        <s v="set 3 contenedores vidrio Taper" u="1"/>
        <s v="Cooler Portátil 45L Gris Xroad" u="1"/>
        <s v="Carpa Inflable 3-4 personas Xroad" u="1"/>
        <s v="Carrito transporte Niños para Playa Xroad" u="1"/>
        <s v="Set 3 Contenedores tupper vidrio" u="1"/>
        <s v="Parlante Portatil Inalambrico Bluetooth Tune Up White Lhotse" u="1"/>
        <s v="Cargador Inalámbrico Magnético Carga Rápida Auto VO1 LEVO" u="1"/>
        <s v="Cargador Inalámbrico Rápido Auto iPhone 12/13 V+ LEVO" u="1"/>
        <s v="Cargador Super Rapido De Pared 25W USB-C LEVO" u="1"/>
        <s v="Cargador Ultra Rapido De Pared 45W USB-C LEVO" u="1"/>
        <s v="Cable de Carga Rápida USB-C 100W 5A 1Mt LEVO" u="1"/>
        <s v="Control Inalámbrico Joystick Nintendo Switch Joy-Con LEVO" u="1"/>
        <s v="Audífono Gamer Inalámbrico Zenit Elite Bluetooth Rgb LEVO" u="1"/>
        <s v="Audífono Gamer Inalámbrico Zenit Elite Bluetooth Rgb Bl Levo" u="1"/>
        <s v="Vr Box + Control Lente De Realidad Virtual LEVO" u="1"/>
        <s v="Lentes de Realidad Virtual Vr Box Ultra + Audífonos LEVO" u="1"/>
        <s v="Silla de Escritorio Lite Ergonómica LEVO" u="1"/>
        <s v="Pesa Digital Balanza Baño Bluetooth Negra Inteligente LEVO" u="1"/>
        <s v="Pesa Digital Balanza Baño Bluetooth Blanca Inteligente LEVO" u="1"/>
        <s v="Mochila para Notebook con Puerto USB 15&quot; Gris LEVO" u="1"/>
        <s v="Mochila para Notebook con Puerto USB 15&quot; Negra LEVO" u="1"/>
        <s v="Mochila Notebook MANAGER 15,6&quot; LEVO" u="1"/>
        <s v="Mochila de viaje Notebook WOLF Negra 15,6&quot; LEVO" u="1"/>
        <s v="Mochila Notebook Prime Lite 15,6” LEVO" u="1"/>
        <s v="Mochila Notebook Velar Lite 15,6” LEVO" u="1"/>
        <s v="Funda Maletin Notebook EXECUTIVE 15,6&quot; LEVO" u="1"/>
        <s v="Funda HardShell para Notebook 13-14&quot; Negro LEVO" u="1"/>
        <s v="Funda HardShell para Notebook 15-16&quot; Negro LEVO" u="1"/>
        <s v="Telón 100 pulgadas Eléctrico con control 200 x 150 cm LEVO" u="1"/>
        <s v="Telón 80 pulgadas Eléctrico con control 165 x 125 cm LEVO" u="1"/>
        <s v="Telón 60 pulgadas Eléctrico con control 120 x 90 cm LEVO" u="1"/>
        <s v="Telón Proyector 100'' Sistema de Elevación 200 x 150cm LEVO" u="1"/>
        <s v="Pantalla Monitor Portátil 15.6 LED Full HD NexView LEVO" u="1"/>
        <s v="Soporte de Tv Ajustable 32 a 72&quot; LEVO" u="1"/>
        <s v="Audífonos Lhotse Bluetooth Inalámbrico Rm12 Rosado" u="1"/>
        <s v="Audífonos Lhotse Bluetooth Inalámbrico Rm12 Negro" u="1"/>
        <s v="Audífonos Lhotse Bluetooth Inalámbrico Rm12 Celeste" u="1"/>
        <s v="Audífonos Lhotse Bluetooth Inalámbrico Rm12 Blanco" u="1"/>
        <s v="Audífonos Lhotse RM7 Pro Inalámbrico Blanco" u="1"/>
        <s v="Audífonos Lhotse RM7 Pro Inalámbrico Negro" u="1"/>
        <s v="Audífonos Inalámbrico Lhotse RM7 Pro Rosado" u="1"/>
        <s v="Audífonos Lhotse RM7 Pro Inalámbrico Celeste" u="1"/>
        <s v="Audifonos Bluetooth Inalambrico BeatMaster ANC" u="1"/>
        <s v="Audifonos Bluetooth Inalambricos Over Ear WavePro" u="1"/>
        <s v="Audífonos Bluetooth TWS Pantalla Touch ANC RMPLUS+ Lhotse" u="1"/>
        <s v="Parlante Portatil Bluetooth Lhotse Tune Up" u="1"/>
        <s v="Parlante Portátil Inalámbrico Bluetooth TripGo" u="1"/>
        <s v="Parlante Portátil Inalámbrico Bluetooth Pulse On" u="1"/>
        <s v="Parlante Portátil Inalámbrico Bluetooth Journey" u="1"/>
        <s v="Bolso Deportivo Impermeable Duffel 30 lts Lhotse" u="1"/>
        <s v="Bolso Deportivo Impermeable Duffel 60 lts Lhotse" u="1"/>
        <s v="Maleta Bolso Trolly Expedition Duffel 70lts Black" u="1"/>
        <s v="Maleta Bolso Trolly Expedition Duffel 30lts Black" u="1"/>
        <s v="Maleta Bolso Trolly Expedition Duffel 90lts Black" u="1"/>
        <s v="Mochila Roll Top Makalu 22L Impermeable Porta Notebook Lhotse" u="1"/>
        <s v="Mochila Urbana Pumori 22L Impermeable Porta Notebook Lhotse" u="1"/>
        <s v="Mochila Maleta de Viaje Nomad 35L Impermeable Lhotse" u="1"/>
        <s v="Mochila Outdoor Lhotse Plegable 25Lt Naranja" u="1"/>
        <s v="Mochila Outdoor Lhotse Plegable 25Lt Negra" u="1"/>
        <s v="Mochila Outdoor HYDROROAD + Bolsa de Agua Lhotse" u="1"/>
        <s v="Mochila Viaje impermeable Notebook 17,3&quot;Broadpeak 40L Lhotse" u="1"/>
        <s v="Botella Térmica Insulada Lhotse Adventure Black 650ml" u="1"/>
        <s v="Botella Térmica Insulada Lhotse Adventure Blue 650ml" u="1"/>
        <s v="Botella Térmica Insulada Lhotse Adventure Pink 650ml" u="1"/>
        <s v="Botella Térmica Insulada Lhotse Adventure Blanco 650ml" u="1"/>
        <s v="Botella Térmica Insulada Lhotse Hydro Lilac 960ml" u="1"/>
        <s v="Botella Térmica Insulada Lhotse Hydro Pink 960ml" u="1"/>
        <s v="Botella Térmica Insulada Lhotse Travel Mug Black 900ml" u="1"/>
        <s v="Botella Térmica Insulada Lhotse Travel Mug Blue 900ml" u="1"/>
        <s v="Botella Térmica Insulada Lhotse Travel Mug Green 900ml" u="1"/>
        <s v="Botella Térmica Insulada Lhotse Travel Mug Pink 900ml" u="1"/>
        <s v="Botella Térmica Insulada Lhotse Travel Mug Blanco 900ml" u="1"/>
        <s v="Botella Térmica Insulada Indo 800ml Black Lhotse" u="1"/>
        <s v="Botella Térmica Insulada Indo 800ml Lilac Lhotse" u="1"/>
        <s v="Botella Térmica Insulada Indo 800ml Red Lhotse" u="1"/>
        <s v="Botella Térmica Agua Acero Inox 3 Tapas HydroCore 1Lt Black Lhotse" u="1"/>
        <s v="Botella Térmica Agua Acero Inox 3 Tapas HydroCore 1Lt Beige Lhotse" u="1"/>
        <s v="Botella Térmica Agua Acero Inox 3 Tapas HydroCore 1Lt Pink Lhotse" u="1"/>
        <s v="Botella Térmica Agua Acero Inox 3 Tapas HydroCore 1Lt Blue Lhotse" u="1"/>
        <s v="Botella Térmica Agua Acero Inox 3 Tapas HydroCore 1Lt Green Lhotse" u="1"/>
        <s v="Shaker Vaso Proteina Acero Inox NutriCore 500ml Black Lhotse" u="1"/>
        <s v="Shaker Vaso Proteina Acero Inox NutriCore 500ml Pink Lhotse" u="1"/>
        <s v="Shaker Vaso Proteina Acero Inox NutriCore 500ml Green Lhotse" u="1"/>
        <s v="Vaso Térmico Tumbler 1180ml Acero Inoxidable con Tapa Sand Lhotse" u="1"/>
        <s v="Vaso Térmico Tumbler 1180ml Acero Inoxidable con Tapa Pink Lhotse" u="1"/>
        <s v="Vaso Térmico Tumbler 1180ml Acero Inoxidable con Tapa Lilac Lhotse" u="1"/>
        <s v="Vaso Térmico Tumbler 1180ml Acero Inoxidable con Tapa Light Green Lhotse" u="1"/>
        <s v="Vaso Térmico Tumbler 1180ml Acero Inoxidable con Tapa Black Lhotse" u="1"/>
        <s v="Vaso Térmico Tumbler 1180ml Acero Inoxidable con Tapa Light Blue Lhotse" u="1"/>
        <s v="Toldo lateral 270° Auto camping" u="1"/>
        <s v="Parrilla Para Auto Aluminio portaequipaje Universal XROAD" u="1"/>
        <s v="Parrilla Para Auto Portaequipaje Universal Negra XROAD" u="1"/>
        <s v="Maleta blanda Tipo Kano" u="1"/>
        <s v="Maleta blanda " u="1"/>
        <s v="Fundas Cubreasientos Ecocuero Negro Universal XRoad" u="1"/>
        <s v="Hidrolavadora Eléctrica 1800W 120 Bar HydroX Xroad" u="1"/>
        <s v="Cooler Eléctrico Portátil 30 Lts Gris 12V XRoad" u="1"/>
        <s v="Cooler Eléctrico Portátil 40 Lts Gris 12V XRoad" u="1"/>
        <s v="Cooler Eléctrico Portátil 20 Lts Gris 12V XRoad" u="1"/>
        <s v="Cooler Portátil 45 Lts Gris XRoad" u="1"/>
        <s v="Cooler Freezer Eléctrico 40 Lts Gris 12V XRoad" u="1"/>
        <s v="Soporte Cargador Magnético VO1" u="1"/>
        <s v="Soporte Cargador Magnético V+" u="1"/>
        <s v="Cargador Rapido 25W Blanco" u="1"/>
        <s v="Cargador Rapido 25W Negro" u="1"/>
        <s v="Cargador Ultra Rapido 45 W Blanco" u="1"/>
        <s v="Cargador Ultra Rapido 45 W Negro" u="1"/>
        <s v="Cable USB Tipo-C a Tipo-C (5A) blanco" u="1"/>
        <s v="Cable USB Tipo-C a Tipo-C (5A) negro" u="1"/>
        <s v="Cable USB Tipo-C a Lightning blanco" u="1"/>
        <s v="Hub multipuerto Tipo-C 5 puertos con entrada Ethernet" u="1"/>
        <s v="Hub multipuerto Tipo-C 6 puertos con entrada TF y SD" u="1"/>
        <s v="Pro Controller Inalámbrico Nintendo S" u="1"/>
        <s v="Joystick Inalámbrico Dualshock 4" u="1"/>
        <s v="Joystick Inalámbrico Dualshock 4 ROJO" u="1"/>
        <s v="Control Gamer Inalámbrico PC" u="1"/>
        <s v="Audifono Gamer Zenit Elite Wireless 7.1 Negro Levo" u="1"/>
        <s v="Audifono Gamer Zenit Elite Wireless 7.1 Blanco Levo" u="1"/>
        <s v="Mousepad Levo BattleMat XXL Negro" u="1"/>
        <s v="Mousepad OfficePad S Negro Levo" u="1"/>
        <s v="Mousepad BattleMat L Negro Levo" u="1"/>
        <s v="Teclado Gamer NovaBlade Red Switch Mecanico Levo" u="1"/>
        <s v="Teclado Gamer NovaBlade Red Switch Mecanico Ext Levo" u="1"/>
        <s v="Mouse Inalámbrico Gamer NovaStrike Negro Levo" u="1"/>
        <s v="Vr Box + Control" u="1"/>
        <s v="Vr Box Ultra + audifonos" u="1"/>
        <s v="KIT Transmisiones Sonidos" u="1"/>
        <s v="Teclado Inalambrico Slim Levo Cygna Grafito" u="1"/>
        <s v="Mouse Inalámbrico Slim Velar Grafito Levo" u="1"/>
        <s v="Silla Ejecutiva Negra" u="1"/>
        <s v="Silla Escritorio Ergonomica" u="1"/>
        <s v="Aspiradora Inalámbrica XPIRA" u="1"/>
        <s v="Cámara de Auto Dual D3" u="1"/>
        <s v="Dual Camara con GPS R300" u="1"/>
        <s v="Pesa Digital Balanza Negra Inteligente" u="1"/>
        <s v="Pesa Digital Balanza Blanca Inteligente" u="1"/>
        <s v="Cámara de Seguridad Exterior 5G Wifi Negra Levo" u="1"/>
        <s v="Citofono monitor" u="1"/>
        <s v="Citofono Monitor WIFI" u="1"/>
        <s v="Mochila Levo Computador Gris" u="1"/>
        <s v="Mochila Levo Computador Negro" u="1"/>
        <s v="Mochila Notebook MANAGER Negra LEVO" u="1"/>
        <s v="Mochila Notebook MANAGER Gris LEVO" u="1"/>
        <s v="Mochila Notebook WOLF Negra LEVO" u="1"/>
        <s v="Mochila de Viaje AeroSuite 30 L Negra Levo" u="1"/>
        <s v="Funda Maletin Notebook EXECUTIVE Negro 15,6&quot; LEVO" u="1"/>
        <s v="Funda Maletin Notebook EXECUTIVE Gris 15,6&quot; LEVO" u="1"/>
        <s v="Funda Notebook Hardshell 13,3" u="1"/>
        <s v="Funda Notebook Hardshell 15,6" u="1"/>
        <s v="Proyector Led inalambrico portatil HD lumix" u="1"/>
        <s v="Proyector Led portatil Halo HD" u="1"/>
        <s v="Proyector Led portatil Orion FullHD" u="1"/>
        <s v="Proyector Led portatil Nova FullHD" u="1"/>
        <s v="Proyector Led portatil Hexa FullHD" u="1"/>
        <s v="Telon Proyector 100 pulgadas" u="1"/>
        <s v="Telon Proyector 80 pulgadas" u="1"/>
        <s v="Telon Proyector 60 pulgadas" u="1"/>
        <s v="Telon Proyector 100 pulgadas Negro" u="1"/>
        <s v="Telon Proyector 80 pulgadas Negro" u="1"/>
        <s v="Telon Proyector 60 pulgadas Negro" u="1"/>
        <s v="Telon Proyector 100 Electrico" u="1"/>
        <s v="Telon Proyector 80 Electrico" u="1"/>
        <s v="Telon Proyector 60 Electrico" u="1"/>
        <s v="Telon Proyector 100 Plegable 200 x 150 cm" u="1"/>
        <s v="Monitor Portatil ViewGo Levo" u="1"/>
        <s v="Pantalla Monitor Portátil 15.6 LED NexView Full HD LEVO" u="1"/>
        <s v="Soporte TV 32&quot;-80&quot;" u="1"/>
        <s v="Lámpara Solar Linterna Inflable Camping Pesca Outdoor" u="1"/>
        <s v="Pick-up Pad Porta 6 Bicicletas Camioneta" u="1"/>
        <s v="Pick-up Pad Lhotse Porta Bicicletas Camionetas" u="1"/>
        <s v="Set deportivo 7 en 1" u="1"/>
        <s v="Audífonos Bluetooth Rm12 Rosados" u="1"/>
        <s v="Audífonos Bluetooth Rm12 Negro" u="1"/>
        <s v="Audífonos Bluetooth Rm12 Celeste" u="1"/>
        <s v="Audífonos Bluetooth Rm12 Blanco" u="1"/>
        <s v="Audífonos Bluetooth RM7 Pro Blanco" u="1"/>
        <s v="Audífonos Bluetooth RM7 Pro Negro" u="1"/>
        <s v="Audífonos RM7 Pro Inalámbrico Rosado" u="1"/>
        <s v="Audífonos RM7 Pro Inalámbrico Celeste" u="1"/>
        <s v="Audifonos BeatMaster NC1 Black" u="1"/>
        <s v="Audifonos BeatMaster NC1 Cream" u="1"/>
        <s v="Audifonos On Ear Tuneair T5 Black" u="1"/>
        <s v="Audifonos Deportivos FitBuds T1 Black" u="1"/>
        <s v="Audifonos Over Ear WavePro Black" u="1"/>
        <s v="Audifonos Over Ear WavePro Cream" u="1"/>
        <s v="Audífonos Bluetooth Inalámbrico RmPlus+ Blanco" u="1"/>
        <s v="Audífonos Bluetooth Inalámbrico RmPlus+ Negro" u="1"/>
        <s v="Parlante TUNE UP NEGRO" u="1"/>
        <s v="Parlante TUNE UP ROJO" u="1"/>
        <s v="Parlante TUNE UP AZUL" u="1"/>
        <s v="Parlante TUNE UP VERDE" u="1"/>
        <s v="Parlante Bounce Mini White" u="1"/>
        <s v="Parlante Trip Go+ Black" u="1"/>
        <s v="Parlante Trip Go+ Grey" u="1"/>
        <s v="Parlante Trip Go+ Red" u="1"/>
        <s v="Parlante Trip Go+ Blue" u="1"/>
        <s v="Parlante Pulse Black" u="1"/>
        <s v="Parlante Pulse Grey" u="1"/>
        <s v="Parlante Pulse Red" u="1"/>
        <s v="Parlante Pulse Blue" u="1"/>
        <s v="Parlante Journey Black" u="1"/>
        <s v="Parlante Journey Blue" u="1"/>
        <s v="Banano Impermeable Negro" u="1"/>
        <s v="Banano Himalaya Black" u="1"/>
        <s v="Banano Himalaya Blue" u="1"/>
        <s v="Banano Himalaya Red" u="1"/>
        <s v="Banano Outdoor K2 Negro Lhotse" u="1"/>
        <s v="Bolso Deportivo Duffel 30 Litros Negro" u="1"/>
        <s v="Bolso Impermeable Duffel 70lts Negro" u="1"/>
        <s v="Bolso Impermeable 70lts Azul" u="1"/>
        <s v="Bolso Deportivo Impermeable Duffel 30 lts Negro Lhotse" u="1"/>
        <s v="Bolso Deportivo Impermeable Duffel 60 lts Lhotse Black" u="1"/>
        <s v="Bolso Deportivo Impermeable Duffel 30 lts Verde Lhotse" u="1"/>
        <s v="Bolso Deportivo Impermeable Duffel 60 lts Lhotse Green " u="1"/>
        <s v="Bolso Deportivo Impermeable Duffel 30 lts Navy Lhotse" u="1"/>
        <s v="Bolso Deportivo Impermeable Duffel 60 lts Navy Lhotse" u="1"/>
        <s v="Maleta Bolso Trolley Bag 70L" u="1"/>
        <s v="Maleta Bolso Trolley Bag 30L" u="1"/>
        <s v="Maleta Bolso Trolley Bag 90L" u="1"/>
        <s v="Neceser Viaje 5L Khumbu Black" u="1"/>
        <s v="Neceser Viaje 5L Khumbu Green" u="1"/>
        <s v="Neceser Travel Rimo Negro Lhotse" u="1"/>
        <s v="Mochila Street Negra" u="1"/>
        <s v="Mochila Volcano Roll Style Negra" u="1"/>
        <s v="Mochila Volcano Roll Style Verde" u="1"/>
        <s v="Mochila Makalu Negra Lhotse" u="1"/>
        <s v="Mochila Makalu Verde Lhotse" u="1"/>
        <s v="Mochila Pumori Negra Lhotse" u="1"/>
        <s v="Mochila Pumori Verde Lhotse" u="1"/>
        <s v="Mochila Viaje Nomad 35 L Negra Lhotse" u="1"/>
        <s v="Mochila Outdoor Plegable Naranja" u="1"/>
        <s v="Mochila Outdoor Plegable Negra" u="1"/>
        <s v="Mochila Outdoor Bicicleta HYDROROAD Negra + Bolsa de Agua Lhotse" u="1"/>
        <s v="Mochila Outdoor Bicicleta HYDROROAD Azul + Bolsa de Agua Lhotse" u="1"/>
        <s v="Mochila Outdoor Bicicleta HYDROROAD Gris + Bolsa de Agua Lhotse" u="1"/>
        <s v="Mochila Viaje Notebook Broadpeak Lhotse Black" u="1"/>
        <s v="Mochila Outdoor Himalaya Lhotse Black" u="1"/>
        <s v="Mochila Outdoor Himalaya Lhotse Blue" u="1"/>
        <s v="Botella 800ml coihue Negra Lhotse" u="1"/>
        <s v="Botella 800ml coihue Azul Lhotse" u="1"/>
        <s v="Botella 800ml coihue White Lhotse" u="1"/>
        <s v="Botella Insulada Adventure 650ml Negra" u="1"/>
        <s v="Botella Insulada Adventure 650ml Azul" u="1"/>
        <s v="Botella Insulada Adventure 650ml Pink" u="1"/>
        <s v="Botella Insulada Adventure 650ml Blanca" u="1"/>
        <s v="Botella Hydro 360ml Lhotse Green" u="1"/>
        <s v="Botella Hydro 360ml Lhotse Lila" u="1"/>
        <s v="Botella Hydro 360ml Lhotse Rosado" u="1"/>
        <s v="Botella Hydro 960ml Lhotse Negro" u="1"/>
        <s v="Botella Hydro 960ml Lhotse Celeste" u="1"/>
        <s v="Botella Hydro 960ml Lhotse Verde" u="1"/>
        <s v="Botella Hydro 960ml Lhotse Lila" u="1"/>
        <s v="Botella Hydro 960ml Lhotse Rosado" u="1"/>
        <s v="Tapa Botella Adventure Black" u="1"/>
        <s v="Tapa Botella Boca Ancha Hydro Black" u="1"/>
        <s v="Insulated Travel Mug 900ml Negro" u="1"/>
        <s v="Insulated Travel Mug 900ml Celeste" u="1"/>
        <s v="Insulated Travel Mug 900ml Verde" u="1"/>
        <s v="Insulated Travel Mug 900ml Rosado" u="1"/>
        <s v="Insulated Travel Mug 900ml Blanco" u="1"/>
        <s v="Botella Indo 800ml Black" u="1"/>
        <s v="Botella Indo 800ml Light Blue" u="1"/>
        <s v="Botella Indo 800ml White" u="1"/>
        <s v="Botella Indo 800ml Green" u="1"/>
        <s v="Botella Indo 800ml Pink" u="1"/>
        <s v="Botella Indo 800ml Lilac" u="1"/>
        <s v="Botella Indo 800ml Red" u="1"/>
        <s v="Botella HydroCore 1l Black" u="1"/>
        <s v="Botella HydroCore 1l Beige" u="1"/>
        <s v="Botella HydroCore 1l Pink" u="1"/>
        <s v="Botella HydroCore 1l Navy" u="1"/>
        <s v="Botella HydroCore 1l Green" u="1"/>
        <s v="Shaker Vaso Proteina Acero Inox NutriCore 500ml Navy Lhotse" u="1"/>
        <s v="Big Mug Tumbler 1118ml Negro" u="1"/>
        <s v="Big Mug Tumbler 1118ml Celeste" u="1"/>
        <s v="Big Mug Tumbler 1118ml Arena" u="1"/>
        <s v="Big Mug Tumbler 1118ml Light Green" u="1"/>
        <s v="Big Mug Tumbler 1118ml Light Pink" u="1"/>
        <s v="Big Mug Tumbler 1118ml Lila" u="1"/>
        <s v="Vaso Térmico Tumbler 1180ml Acero Inoxidable con Tapa Lila Lhotse" u="1"/>
        <s v="Termo Classic 1,3lts Negro" u="1"/>
        <s v="Termo Classic 1,3lts Verde" u="1"/>
        <s v="Termo Classic 1,3lts Rosado" u="1"/>
        <s v="Termo Classic 1,3lts Blanco" u="1"/>
        <s v="Termo Classic 1,3lts Verde Claro" u="1"/>
        <s v="Termo Lhotse Patagón 1 Lt Verde" u="1"/>
        <s v="Vaso Camping Termico 480ml Negro" u="1"/>
        <s v="Vaso Camping Termico 480ml Rosado" u="1"/>
        <s v="Vaso Camping Termico 480ml Rojo" u="1"/>
        <s v="Vaso Camping Termico 480ml Verde" u="1"/>
        <s v="Vaso Camping Termico 480ml Blanco" u="1"/>
        <s v="Mate Mug + Bombilla Negro" u="1"/>
        <s v="Mate Mug + Bombilla Verde" u="1"/>
        <s v="Mate Mug + Bombilla Rosado" u="1"/>
        <s v="Mate Mug + Bombilla Rojo" u="1"/>
        <s v="Mate Mug + Bombilla Blanco" u="1"/>
        <s v="Mate Mug + Bombilla Rosado Claro" u="1"/>
        <s v="Taza Insulated Cup Mug 350ml Negro" u="1"/>
        <s v="Taza Insulated Cup Mug 350ml Celeste" u="1"/>
        <s v="Taza Insulated Cup Mug 350ml Verde" u="1"/>
        <s v="Taza Insulated Cup Mug 350ml Blanco" u="1"/>
        <s v="Camara de Accion HD 4K" u="1"/>
        <s v="Camara de acción doble pantalla 4k 30ftps" u="1"/>
        <s v="Camara de accion doble 5K 60ftp" u="1"/>
        <s v="Smartband Urban GT Black" u="1"/>
        <s v="Smartband Urban GT Pink" u="1"/>
        <s v="Smartband Urban GT Blue" u="1"/>
        <s v="Smartband Urban GT Green" u="1"/>
        <s v="Smartband Flow 03 Black" u="1"/>
        <s v="Smartband Flow 03 Blue" u="1"/>
        <s v="Smartband Flow 03 Pink" u="1"/>
        <s v="Smartwatch Live 206 Pink" u="1"/>
        <s v="Smartwatch Runner 219 Black" u="1"/>
        <s v="Smartwatch Mini Live 206 Black" u="1"/>
        <s v="Smartwatch Mini Live 206 Light Green" u="1"/>
        <s v="Smartwatch Live 206 Light Green" u="1"/>
        <s v="Smartwatch Mini Live 206 White" u="1"/>
        <s v="Smartwatch Vibe 05 Black 45'" u="1"/>
        <s v="Smartwatch Vibe 05 Cream 42'" u="1"/>
        <s v="Smartwatch Music Rhythm X10 Black" u="1"/>
        <s v="Smartwatch Music Rhythm X10 Pink" u="1"/>
        <s v="Smartwatch Music Rhythm X10 Blue" u="1"/>
        <s v="Smartwatch GPS MoveOn 7 Black" u="1"/>
        <s v="Smartwatch GPS MoveOn 7 Pink" u="1"/>
        <s v="Correa Smartwatch Lhotse SW88 20mm Rojo" u="1"/>
        <s v="Correa Smartwatch Lhotse SW88 20mm Negra" u="1"/>
        <s v="Correa Smartwatch Lhotse SW88 20mm Negra Roja" u="1"/>
        <s v="Correa Smartwatch Lhotse SW88 20mm Negra Verde Hebilla" u="1"/>
        <s v="Correa Smartwatch Lhotse SW88 20mm Sandía" u="1"/>
        <s v="Jockey Trekker Black" u="1"/>
        <s v="Jockey Trekker Orange" u="1"/>
        <s v="Jockey Trekker Green" u="1"/>
        <s v="Jockey Hike Black" u="1"/>
        <s v="Jockey Hike Green/Black" u="1"/>
        <s v="Jockey Hike Green/Beige" u="1"/>
        <s v="Jockey FlexFlow Dri Fit Black Lhotse" u="1"/>
        <s v="Jockey FlexFlow Dri Fit Green Lhotse" u="1"/>
        <s v="Jockey FlexFlow Dri Fit Blue Lhotse" u="1"/>
        <s v="Jockey Ride Algodón Green Lhotse" u="1"/>
        <s v="Jockey Ride Algodón Black/Green Lhotse" u="1"/>
        <s v="Jockey Ride Algodón Blue/Black/Beige Lhotse" u="1"/>
        <s v="Jockey Wave Algodón Green Lhotse" u="1"/>
        <s v="Jockey Wave Algodón Black/Green Lhotse" u="1"/>
        <s v="Toalla Secado Rapido Microfibra QuickTrek Lilac (80*130cm)" u="1"/>
        <s v="Toalla Secado Rapido Microfibra QuickTrek Blue (80*130cm)" u="1"/>
        <s v="Calcetin Corte Tobillo Numa Black L-XL" u="1"/>
        <s v="Pantufla CloudFit Negro 36/37" u="1"/>
        <s v="Pantufla CloudFit Negro 38/39" u="1"/>
        <s v="Pantufla CloudFit Negro 40/41" u="1"/>
        <s v="Pantufla CloudFit Negro 42/43" u="1"/>
        <s v="Pantufla CloudFit Negro 44/45" u="1"/>
        <s v="Pantufla CloudFit Azul 36/37" u="1"/>
        <s v="Pantufla CloudFit Azul 38/39" u="1"/>
        <s v="Pantufla CloudFit Azul 40/41" u="1"/>
        <s v="Pantufla CloudFit Azul 42/43" u="1"/>
        <s v="Pantufla CloudFit Azul 44/45" u="1"/>
        <s v="Pantufla CloudFit Verde 36/37" u="1"/>
        <s v="Pantufla CloudFit Verde 38/39" u="1"/>
        <s v="Pantufla CloudFit Verde 40/41" u="1"/>
        <s v="Pantufla CloudFit Verde 42/43" u="1"/>
        <s v="Pantufla CloudFit Verde 44/45" u="1"/>
        <s v="Primera Capa Térmica Hombre Dugla Stay Warm Top S Black" u="1"/>
        <s v="Primera Capa Térmica Hombre Dugla Stay Warm Top M Black" u="1"/>
        <s v="Primera Capa Térmica Hombre Dugla Stay Warm Top L Black" u="1"/>
        <s v="Primera Capa Térmica Hombre Dugla Stay Warm Top XL Black" u="1"/>
        <s v="Polera Hombre Manga Corta Nepal S Beige" u="1"/>
        <s v="Polera Hombre Manga Corta Nepal M Beige" u="1"/>
        <s v="Polera Hombre Manga Corta Nepal L Beige" u="1"/>
        <s v="Polera Hombre Manga Corta Nepal XL Beige" u="1"/>
        <s v="Polera Hombre Manga Corta Nepal S Deep Grey" u="1"/>
        <s v="Polera Hombre Manga Corta Nepal M Deep Grey" u="1"/>
        <s v="Polera Hombre Manga Corta Nepal L Deep Grey" u="1"/>
        <s v="Polera Hombre Manga Corta Nepal XL Deep Grey" u="1"/>
        <s v="Polera Hombre Manga Corta Nepal S Green" u="1"/>
        <s v="Polera Hombre Manga Corta Nepal M Green" u="1"/>
        <s v="Polera Hombre Manga Corta Nepal L Green" u="1"/>
        <s v="Polera Hombre Manga Corta Nepal XL Green" u="1"/>
        <s v="Polar Segunda Capa Lobuche Black S Lhotse" u="1"/>
        <s v="Polar Segunda Capa Lobuche Black M Lhotse" u="1"/>
        <s v="Polar Segunda Capa Lobuche Black L Lhotse" u="1"/>
        <s v="Polar Segunda Capa Lobuche Black XL Lhotse" u="1"/>
        <s v="Polar Segunda Capa Lobuche Green S Lhotse" u="1"/>
        <s v="Polar Segunda Capa Lobuche Green M Lhotse" u="1"/>
        <s v="Polar Segunda Capa Lobuche Green L Lhotse" u="1"/>
        <s v="Polar Segunda Capa Lobuche Green XL Lhotse" u="1"/>
        <s v="Polar Hombre Tejido Middle 84 Lhotse Blue S" u="1"/>
        <s v="Polar Hombre Tejido Middle 84 Lhotse Blue M" u="1"/>
        <s v="Polar Hombre Tejido Middle 84 Lhotse Blue L" u="1"/>
        <s v="Polar Hombre Tejido Middle 84 Lhotse Blue XL" u="1"/>
        <s v="Polar Hombre Tejido Middle 84 Lhotse Black S" u="1"/>
        <s v="Polar Hombre Tejido Middle 84 Lhotse Black M" u="1"/>
        <s v="Polar Hombre Tejido Middle 84 Lhotse Black L" u="1"/>
        <s v="Polar Hombre Tejido Middle 84 Lhotse Black XL" u="1"/>
        <s v="Polar Hombre Shar 83 Half Zipper Lhotse Blue S" u="1"/>
        <s v="Polar Hombre Shar 83 Half Zipper Lhotse Blue M" u="1"/>
        <s v="Polar Hombre Shar 83 Half Zipper Lhotse Blue L" u="1"/>
        <s v="Polar Hombre Shar 83 Half Zipper Lhotse Blue XL" u="1"/>
        <s v="Polar Hombre Shar 83 Half Zipper Lhotse Black S" u="1"/>
        <s v="Polar Hombre Shar 83 Half Zipper Lhotse Black M" u="1"/>
        <s v="Polar Hombre Shar 83 Half Zipper Lhotse Black L" u="1"/>
        <s v="Polar Hombre Shar 83 Half Zipper Lhotse Black XL" u="1"/>
        <s v="Polerón Katmandú  NEGRO S" u="1"/>
        <s v="Polerón Katmandú  NEGRO M" u="1"/>
        <s v="Polerón Katmandú  NEGRO L" u="1"/>
        <s v="Polerón Katmandú  NEGRO XL" u="1"/>
        <s v="Polerón Katmandú  VERDE S" u="1"/>
        <s v="Polerón Katmandú  VERDE M" u="1"/>
        <s v="Polerón Katmandú  VERDE L" u="1"/>
        <s v="Polerón Katmandú  VERDE XL" u="1"/>
        <s v="Sherpa Main 85  VERDE S" u="1"/>
        <s v="Sherpa Main 85  VERDE M" u="1"/>
        <s v="Sherpa Main 85  VERDE L" u="1"/>
        <s v="Sherpa Main 85  VERDE XL" u="1"/>
        <s v="Sherpa Main 85  BEIGE S" u="1"/>
        <s v="Sherpa Main 85  BEIGE M" u="1"/>
        <s v="Sherpa Main 85  BEIGE L" u="1"/>
        <s v="Sherpa Main 85  BEIGE XL" u="1"/>
        <s v="Parka light Nuptse  NEGRO S" u="1"/>
        <s v="Parka light Nuptse  NEGRO M" u="1"/>
        <s v="Parka light Nuptse  NEGRO L" u="1"/>
        <s v="Parka light Nuptse  NEGRO XL" u="1"/>
        <s v="Parka light Nuptse  VERDE S" u="1"/>
        <s v="Parka light Nuptse  VERDE M" u="1"/>
        <s v="Parka light Nuptse  VERDE L" u="1"/>
        <s v="Parka light Nuptse  VERDE XL" u="1"/>
        <s v="Parka Puffa Khumbu  NEGRO S" u="1"/>
        <s v="Parka Puffa Khumbu  NEGRO M" u="1"/>
        <s v="Parka Puffa Khumbu  NEGRO L" u="1"/>
        <s v="Parka Puffa Khumbu  NEGRO XL" u="1"/>
        <s v="Pantalón Lukla Negro S" u="1"/>
        <s v="Pantalón Lukla Negro M" u="1"/>
        <s v="Pantalón Lukla Negro L" u="1"/>
        <s v="Pantalón Lukla Negro XL" u="1"/>
        <s v="Pantalón Lukla Verde S" u="1"/>
        <s v="Pantalón Lukla Verde M" u="1"/>
        <s v="Pantalón Lukla Verde L" u="1"/>
        <s v="Pantalón Lukla Verde XL" u="1"/>
        <s v="Hardshell Gorak Shep Negro S" u="1"/>
        <s v="Hardshell Gorak Shep Negro M" u="1"/>
        <s v="Hardshell Gorak Shep Negro L" u="1"/>
        <s v="Hardshell Gorak Shep Negro XL" u="1"/>
        <s v="Hardshell Gorak Shep Azul S" u="1"/>
        <s v="Hardshell Gorak Shep Azul M" u="1"/>
        <s v="Hardshell Gorak Shep Azul L" u="1"/>
        <s v="Hardshell Gorak Shep Azul XL" u="1"/>
        <s v="Polera Hombre Deportiva Boyak Green Talla S" u="1"/>
        <s v="Polera Hombre Deportiva Boyak Green Talla M" u="1"/>
        <s v="Polera Hombre Deportiva Boyak Green Talla L" u="1"/>
        <s v="Polera Hombre Deportiva Boyak Green Talla XL" u="1"/>
        <s v="Polera Hombre Deportiva Boyak Blue Talla S" u="1"/>
        <s v="Polera Hombre Deportiva Boyak Blue Talla M" u="1"/>
        <s v="Polera Hombre Deportiva Boyak Blue Talla L" u="1"/>
        <s v="Polera Hombre Deportiva Boyak Blue Talla XL" u="1"/>
        <s v="Polera Hombre Deportiva Boyak Gray Talla S" u="1"/>
        <s v="Polera Hombre Deportiva Boyak Gray Talla M" u="1"/>
        <s v="Polera Hombre Deportiva Boyak Gray Talla L" u="1"/>
        <s v="Polera Hombre Deportiva Boyak Gray Talla XL" u="1"/>
        <s v="Polera Hombre Manga Corta Digueñe Talla S" u="1"/>
        <s v="Polera Hombre Manga Corta Digueñe Talla M" u="1"/>
        <s v="Polera Hombre Manga Corta Digueñe Talla L" u="1"/>
        <s v="Polera Hombre Manga Corta Digueñe Talla XL" u="1"/>
        <s v="Polera Hombre Manga Corta Micelio Mycena Talla S" u="1"/>
        <s v="Polera Hombre Manga Corta Micelio Mycena Talla M" u="1"/>
        <s v="Polera Hombre Manga Corta Micelio Mycena Talla L" u="1"/>
        <s v="Polera Hombre Manga Corta Micelio Mycena Talla XL" u="1"/>
        <s v="Polera Hombre Manga Corta Morchella Esculenta Talla S" u="1"/>
        <s v="Polera Hombre Manga Corta Morchella Esculenta Talla M" u="1"/>
        <s v="Polera Hombre Manga Corta Morchella Esculenta Talla L" u="1"/>
        <s v="Polera Hombre Manga Corta Morchella Esculenta Talla XL" u="1"/>
        <s v="Polera Hombre Manga Corta Boletus Loyo Talla S" u="1"/>
        <s v="Polera Hombre Manga Corta Boletus Loyo Talla M" u="1"/>
        <s v="Polera Hombre Manga Corta Boletus Loyo Talla L" u="1"/>
        <s v="Polera Hombre Manga Corta Boletus Loyo Talla XL" u="1"/>
        <s v="Polera Hombre Manga Corta Amanita Muscaria Talla S" u="1"/>
        <s v="Polera Hombre Manga Corta Amanita Muscaria Talla M" u="1"/>
        <s v="Polera Hombre Manga Corta Amanita Muscaria Talla L" u="1"/>
        <s v="Polera Hombre Manga Corta Amanita Muscaria Talla XL" u="1"/>
        <s v="Polerón Unisex Sweatshirt Origin Black Talla S" u="1"/>
        <s v="Polerón Unisex Sweatshirt Origin Black Talla M" u="1"/>
        <s v="Polerón Unisex Sweatshirt Origin Black Talla L" u="1"/>
        <s v="Polerón Unisex Sweatshirt Origin Black Talla XL" u="1"/>
        <s v="Polerón Unisex Sweatshirt Mycena Green Talla S" u="1"/>
        <s v="Polerón Unisex Sweatshirt Mycena Green Talla M" u="1"/>
        <s v="Polerón Unisex Sweatshirt Mycena Green Talla L" u="1"/>
        <s v="Polerón Unisex Sweatshirt Mycena Green Talla XL" u="1"/>
        <s v="Short Hombre Barun Black Talla 40" u="1"/>
        <s v="Short Hombre Barun Black Talla 42" u="1"/>
        <s v="Short Hombre Barun Black Talla 44" u="1"/>
        <s v="Short Hombre Barun Black Talla 46" u="1"/>
        <s v="Short Hombre Barun Green Talla 40" u="1"/>
        <s v="Short Hombre Barun Green Talla 42" u="1"/>
        <s v="Short Hombre Barun Green Talla 44" u="1"/>
        <s v="Short Hombre Barun Green Talla 46" u="1"/>
        <s v="Peto Deportivo Kalo Black Talla S" u="1"/>
        <s v="Peto Deportivo Kalo Black Talla M" u="1"/>
        <s v="Peto Deportivo Kalo Black Talla L" u="1"/>
        <s v="Peto Deportivo Kalo Black Talla XL" u="1"/>
        <s v="Peto Deportivo Kalo Teal Green Talla S" u="1"/>
        <s v="Peto Deportivo Kalo Teal Green Talla M" u="1"/>
        <s v="Peto Deportivo Kalo Teal Green Talla L" u="1"/>
        <s v="Peto Deportivo Kalo Teal Green Talla XL" u="1"/>
        <s v="Calza Legging Deportiva Bergenia Black Lhotse Talla S" u="1"/>
        <s v="Calza Legging Deportiva Bergenia Black Lhotse Talla M" u="1"/>
        <s v="Calza Legging Deportiva Bergenia Black Lhotse Talla L" u="1"/>
        <s v="Calza Legging Deportiva Bergenia Black Lhotse Talla XL" u="1"/>
        <s v="Calza Legging Deportiva Bergenia Teal Green Lhotse Talla S" u="1"/>
        <s v="Calza Legging Deportiva Bergenia Teal Green Lhotse Talla M" u="1"/>
        <s v="Calza Legging Deportiva Bergenia Teal Green Lhotse Talla L" u="1"/>
        <s v="Calza Legging Deportiva Bergenia Teal Green Lhotse Talla XL" u="1"/>
        <s v="Pantalón Mujer Lukla-W Black Talla 38" u="1"/>
        <s v="Pantalón Mujer Lukla-W Black Talla 40" u="1"/>
        <s v="Pantalón Mujer Lukla-W Black Talla 42" u="1"/>
        <s v="Pantalón Mujer Lukla-W Black Talla 44" u="1"/>
        <s v="Pantalón Mujer Lukla-W Petroleo Talla 38" u="1"/>
        <s v="Pantalón Mujer Lukla-W Petroleo Talla 40" u="1"/>
        <s v="Pantalón Mujer Lukla-W Petroleo Talla 42" u="1"/>
        <s v="Pantalón Mujer Lukla-W Petroleo Talla 44" u="1"/>
        <s v="Segunda Capa Mujer Lobuche Cap Black Talla S" u="1"/>
        <s v="Segunda Capa Mujer Lobuche Cap Black Talla M" u="1"/>
        <s v="Segunda Capa Mujer Lobuche Cap Black Talla L" u="1"/>
        <s v="Segunda Capa Mujer Lobuche Cap Black Talla XL" u="1"/>
        <s v="Segunda Capa Mujer Lobuche Cap Pink Talla S" u="1"/>
        <s v="Segunda Capa Mujer Lobuche Cap Pink Talla M" u="1"/>
        <s v="Segunda Capa Mujer Lobuche Cap Pink Talla L" u="1"/>
        <s v="Segunda Capa Mujer Lobuche Cap Pink Talla XL" u="1"/>
        <s v="Biker Short Mujer Dhara Black Talla S" u="1"/>
        <s v="Biker Short Mujer Dhara Black Talla M" u="1"/>
        <s v="Biker Short Mujer Dhara Black Talla L" u="1"/>
        <s v="Biker Short Mujer Dhara Black Talla XL" u="1"/>
        <s v="Biker Short Mujer Dhara Teal Green Talla S" u="1"/>
        <s v="Biker Short Mujer Dhara Teal Green Talla M" u="1"/>
        <s v="Biker Short Mujer Dhara Teal Green Talla L" u="1"/>
        <s v="Biker Short Mujer Dhara Teal Green Talla XL" u="1"/>
        <s v="Batería de Cocina Oregon 5 piezas" u="1"/>
        <s v="Bateria de olla Black Cooper 7 Piezas" u="1"/>
        <s v="Bateria de ollas Savannah 9 Piezas" u="1"/>
        <s v="Bateria de ollas 7 pcs Toulouse" u="1"/>
        <s v="Batería de Cocina Antiadherente Oxford Granito 15 pcs Black" u="1"/>
        <s v="Mantequillero cerámica tapa bamboo 300ml" u="1"/>
        <s v="Mantequillero cerámica tapa bamboo con cuchillo 600ml" u="1"/>
        <s v="Sartén Antiadherente Tapa 28cm Copper" u="1"/>
        <s v="Sarten 24cm Copper Colection" u="1"/>
        <s v="Sarten Toulouse Serie 24 cm" u="1"/>
        <s v="Termo Comida 750 ml Simplit Rosado" u="1"/>
        <s v="Termo Comida 750 ml Simplit Negro" u="1"/>
        <s v="Termo Comida 750 ml Simplit Gris" u="1"/>
        <s v="Termo Comida 430ml Negro" u="1"/>
        <s v="Set de utensilios de cocina Calipso" u="1"/>
        <s v="Set de utensilios de cocina Negro" u="1"/>
        <s v="Pesa Cocina silver" u="1"/>
        <s v="Cortador colador multifuncional" u="1"/>
        <s v="Tabla de corte Plegable 3 en 1" u="1"/>
        <s v="Tabla de corte Madera Cutte Simplit" u="1"/>
        <s v="Set de Cuchilleria 30 pcs Acero Inoxidable Sicilia Simplit" u="1"/>
        <s v="Ser de Cuchilleria 30 pcs Acero Inoxidable Puglia Simplit" u="1"/>
        <s v="Set de cuchilleria 24 pcs cubiertos Versalle Simplit" u="1"/>
        <s v="Set de cuchilleria 24 pcs cubiertos Le Mans Simplit" u="1"/>
        <s v="Set de cuchilleria 24 pcs cubiertos Paris Simplit" u="1"/>
        <s v="Set de Cuchilleria 24 pcs Acero Inoxidable Cerdeña Simplit" u="1"/>
        <s v="Set Cuchillos 5 pcs Marsella Simplit" u="1"/>
        <s v="Set Cuchillos 5 pcs Paris Simplit" u="1"/>
        <s v="Set Cuchillos Stahl 5pcs + Taco Acero Inoxidable Simplit" u="1"/>
        <s v="Set Cuchillos Küche 5pcs + Base Magnetica Acero Inoxidable Simplit" u="1"/>
        <s v="Set Cuchillos Holz 5pcs + Taco Acero Inoxidable Simplit" u="1"/>
        <s v="Set de Cucharas Ensalada Versalle Simplit" u="1"/>
        <s v="Olla salsa Toulouse Serie 18cm" u="1"/>
        <s v="Olla Toulouse Serie 24 cms" u="1"/>
        <s v="Caserola Toulouse Serie 28cm" u="1"/>
        <s v="Cafetera Francesa 600ml Negro" u="1"/>
        <s v="Cafetera Italiana Negro Granito 4 tazas" u="1"/>
        <s v="Cafetera Italiana Negro Granito12 Tazas" u="1"/>
        <s v="Cafetera Prensa Francesa Vidrio Cobre 600 ml" u="1"/>
        <s v="Set 2 Tazas Doble Pared Espresso 80 ml" u="1"/>
        <s v="Taza Vidrio Doble Pared 350 ml" u="1"/>
        <s v="Taza Mug Vidrio Doble Pared 300 ml" u="1"/>
        <s v="Termo Insulado 1 Lt Gris" u="1"/>
        <s v="Termo Insulado 1 Lt Blanco" u="1"/>
        <s v="Vaso termico con tapa y bombilla Rosado" u="1"/>
        <s v="Vaso termico con tapa y bombilla Morado" u="1"/>
        <s v="Vaso termico con tapa y bombilla Negro" u="1"/>
        <s v="Set 3 Contenedores Hermeticos" u="1"/>
        <s v="Set 3 Bowl Metálico" u="1"/>
        <s v="Panera Metálica con Tapa Bamboo Blanca" u="1"/>
        <s v="Set 7 Contenedores Hermeticos" u="1"/>
        <s v="Set 4 Tupper vidrio tapa Bamboo" u="1"/>
        <s v="Set de 7 Contenedores Herméticos Plástico NEGROS Simplit" u="1"/>
        <s v="Contenedor Cerámica S Negro" u="1"/>
        <s v="Contenedor Cerámica M Negro" u="1"/>
        <s v="Contenedor Cerámica L Negro" u="1"/>
        <s v="Contenedor Cerámica S Blanco" u="1"/>
        <s v="Contenedor Cerámica M Blanco" u="1"/>
        <s v="Contenedor Cerámica L Blanco" u="1"/>
        <s v="Tupper acero inoxidable tapa Bamboo 800 ml" u="1"/>
        <s v="Tupper Plástico Hermético Bento Box Beige" u="1"/>
        <s v="Tupper Plástico Hermético Bento Box Blue" u="1"/>
        <s v="Tupper Plástico Hermético Bento Box Green" u="1"/>
        <s v="Tupper Plástico Hermético Bento Box Red" u="1"/>
        <s v="Organizador de refrigerador con cesta M" u="1"/>
        <s v="Organizador de refrigerador L" u="1"/>
        <s v="Organizador de refrigerador S" u="1"/>
        <s v="Organizador de refrigerador con cesta L" u="1"/>
        <s v="Organizador de cubiertos expandible Basel Simplit" u="1"/>
        <s v="Set de Especiero 16 Unidades" u="1"/>
        <s v="Especiero Madera 8 Frascos vidrio" u="1"/>
        <s v="Molinillo de Sal y Pimienta" u="1"/>
        <s v="Set 2 Molinillos Madera Verona Simplit" u="1"/>
        <s v="Secaplatos 2 niveles armable" u="1"/>
        <s v="Secaplatos Escurridor 2 Niveles Acero Inox Negro" u="1"/>
        <s v="Secaplatos Escurridor 2 Niveles Acero Inox Blanco" u="1"/>
        <s v="Secaplato Negro 1 Nivel" u="1"/>
        <s v="Secaplato Blanco 1 Nivel" u="1"/>
        <s v="Secaplatos Escurridor Acero Inox Bilbao 2 niveles Negro" u="1"/>
        <s v="Secaplatos Escurridor Acero Inox Bilbao 2 niveles Blanco" u="1"/>
        <s v="Secaplatos Escurridor Acero Inox Valencia 2 niveles Negro" u="1"/>
        <s v="Secaplatos Escurridor Acero Inox Valencia 2 niveles Blanco" u="1"/>
        <s v="Basurero Cocina Iron 40lts Pedal Acero Inox" u="1"/>
        <s v="Basurero Cocina Urban 30lts Pedal Acero Inox" u="1"/>
        <s v="Basurero Cocina Handy 55lts Táctil Acero Inox" u="1"/>
        <s v="Cubeta Hielo Regular 15 unidades" u="1"/>
        <s v="Cubeta Hielo Pequeño" u="1"/>
        <s v="Cubeta Hielo redondo 6 unidades" u="1"/>
        <s v="Cubeta de Hielo Silicona 6 Hielos Grandes" u="1"/>
        <s v="Set 6 vasos Vintage 200ml" u="1"/>
        <s v="Set 6 vasos vintage 350ml" u="1"/>
        <s v="Set 6 vasos copa redondos 340ml" u="1"/>
        <s v="Set 6 copas cerveceras 420ml" u="1"/>
        <s v="Set 2 Moscow Mule Mug" u="1"/>
        <s v="Set 2 Vasos Vidrio Borosilicato 550 ml" u="1"/>
        <s v="Set 4 Vasos Vidrio Borosilicato 550 ml" u="1"/>
        <s v="Set 2 Vasos Vidrio Doble Pared 400 ml" u="1"/>
        <s v="Set 2 Vasos de Vidrio Estilo Japonés 320 ml" u="1"/>
        <s v="Set 2 vasos Moscow Mule M2" u="1"/>
        <s v="Set 6 vasos whisky 270ml" u="1"/>
        <s v="Set 6 vasos cerveceros 380ml" u="1"/>
        <s v="Set 6 Copas Espumante Monaco Simplit" u="1"/>
        <s v="Set 6 Copas Vino Tinto Piamonte Simplit" u="1"/>
        <s v="Set 6 Copas Vino Blanco Alsacia Simplit" u="1"/>
        <s v="Set 6 Copas Gin London Simplit" u="1"/>
        <s v="Set 6 Vasos Largos Ginebra Simplit" u="1"/>
        <s v="Set 6 Vasos Cortos Ginebra Simplit" u="1"/>
        <s v="Descorchador Sommelier Simplit" u="1"/>
        <s v="Decantador Chateau 1650ml" u="1"/>
        <s v="Decantador Rouge 1500ml" u="1"/>
        <s v="Espumador de Leche NEGRO" u="1"/>
        <s v="Espumador de Leche BLANCO" u="1"/>
        <s v="Juego de cachos 4 unidades" u="1"/>
        <s v="Set 2 Alcuza de Cerámica cuadrada" u="1"/>
        <s v="Juego Loza Cerámica 30 pcs Siena Simplit" u="1"/>
        <s v="Juego Loza Cerámica 16 pcs Amalfi Simplit" u="1"/>
        <s v="Juego Loza Cerámica 12 pcs Toscana Simplit" u="1"/>
        <s v="Juego de Loza 30 pcs Cerámica Bruselas Simplit" u="1"/>
        <s v="Set 4 Platos Fondo Cerámica 27,4cm Siena Simplit" u="1"/>
        <s v="Set 4 Bowls Cerámica 7,5cm Siena Simplit" u="1"/>
        <s v="Set 4 Vasos Cerámica 270ml Siena Simplit" u="1"/>
        <s v="Set 4 Platos Fondo Cerámica 27,4cm Amalfi Simplit" u="1"/>
        <s v="Set 4 Bowls Cerámica 7,5cm Amalfi Simplit" u="1"/>
        <s v="Set 4 Vasos Cerámica 270ml Amalfi Simplit" u="1"/>
        <s v="Set 2 Tazas Cerámica 420ml Palermo Simplit" u="1"/>
        <s v="Set 3 Fuentes para horno" u="1"/>
        <s v="Fuente para Horno Olla Cerámica Roja" u="1"/>
        <s v="Fuente Ovalada Aperitivo Cerámica Amalfi Simplit" u="1"/>
        <s v="Fuente Ovalada Aperitivo Cerámica Vittoria Simplit" u="1"/>
        <s v="Toldo lateral Auto camping" u="1"/>
        <s v="Barra para auto universal XROOF" u="1"/>
        <s v="Parrilla Para Auto Portaequipaje Universal XROAD" u="1"/>
        <s v="Sensor De Retroceso Para Automóviles" u="1"/>
        <s v="Cobertor de auto para mascotas" u="1"/>
        <s v="Cubre Asientos Cuero Premium" u="1"/>
        <s v="Cadena Antinapoleonica Rueda Repuesto" u="1"/>
        <s v="Hydrolavadora Eléctrica 1800W 120 Bar HydroX Xroad" u="1"/>
        <s v="Partidor De Batería Portátil Con Compresor De Aire 12V XRoad" u="1"/>
        <s v="Generador Eléctrico Portatil 300/600W 248WH 80.000 mAh Xroad" u="1"/>
        <s v="Kit Taladro Destornillador Inalámbrico Dynamo 21v 2 Baterías_x000a_" u="1"/>
        <s v="Taladro Desatornillador Inalámbrico Dynamo YM 21V 2 baterías" u="1"/>
        <s v="Afeitadora Rasuradora Corporal NeoBlade 3.1 T-Care" u="1"/>
        <s v="Secador de pelo Multistyler 5 en 1 AeroFlow" u="1"/>
        <s v="Mecedor Electrico Coche Recargable Bebe Baby Chick Bandú" u="1"/>
        <s v="Casa De Muñecas Clásica Madera Rosada Con Accesorios Bandú" u="1"/>
        <s v="Set Juego Tazas De Té Juguete Didáctico 16pcs Madera Bandú" u="1"/>
        <s v="Juguete Infantil mini Heladeria" u="1"/>
        <s v="Andador Correpasillos Bebe Didáctico Madera Bandú Verde" u="1"/>
        <s v="Andador Correpasillos Bebe Didáctico Madera Bandú Rosado" u="1"/>
        <s v="Gimancio Infantil Juego Pikler Parque 8 en 1 Bandu" u="1"/>
        <s v="Mesa Didactica de Juguete 7 en 1 Montessori Animales Bandú" u="1"/>
        <s v="⁠MineBlocks Aventura en Hielo 89pcs - Bandú" u="1"/>
        <s v="⁠⁠MineBlocks Mundo Mario 75pcs - Bandú" u="1"/>
        <s v="⁠⁠MineBlocks Súper Aventura Mario 146pcs - Bandú" u="1"/>
        <s v="MineBlocks Fondo Marino Bob Esponja 54pcs - Bandú" u="1"/>
        <s v="MineBlocks Ciudad Magnética 114pcs - Bandú" u="1"/>
        <s v="Cámara de inspección alcantarillado con pantalla LCD de 7 pulgadas H6 endoscopio boroscopio" u="1"/>
        <s v="Cámara de Inspección Baroscopio con Sonda 70 Mts H3" u="1"/>
        <s v="Cámara de Inspección de Tuberías Endoscopio Industrial TP9607F" u="1"/>
        <s v="Shaker NutriCore 500ml Black" u="1"/>
        <s v="Shaker NutriCore 500ml Pink" u="1"/>
        <s v="Shaker NutriCore 500ml Green" u="1"/>
        <s v="Bateria de Ollas Oxford 15 Piezas" u="1"/>
      </sharedItems>
    </cacheField>
    <cacheField name="TOTAL" numFmtId="0">
      <sharedItems containsBlank="1" count="3">
        <s v="NO TOTAL"/>
        <m/>
        <s v="TOTALES" u="1"/>
      </sharedItems>
    </cacheField>
    <cacheField name="Categoria Producto" numFmtId="0">
      <sharedItems containsBlank="1" count="9">
        <s v="Plata"/>
        <s v="Bronce"/>
        <s v="Nuevo"/>
        <s v="Diamante"/>
        <s v="Oro"/>
        <m/>
        <s v="Descontinuado"/>
        <s v="Corporativo"/>
        <s v="In/Out"/>
      </sharedItems>
    </cacheField>
    <cacheField name="% Proyeccion Vta" numFmtId="9">
      <sharedItems containsSemiMixedTypes="0" containsString="0" containsNumber="1" minValue="0.5" maxValue="1.8"/>
    </cacheField>
    <cacheField name="Ranking Comercial" numFmtId="41">
      <sharedItems containsString="0" containsBlank="1" containsNumber="1" containsInteger="1" minValue="0" maxValue="422" count="423">
        <n v="239"/>
        <n v="360"/>
        <n v="348"/>
        <n v="306"/>
        <n v="247"/>
        <n v="268"/>
        <n v="297"/>
        <n v="262"/>
        <n v="252"/>
        <n v="249"/>
        <n v="206"/>
        <n v="72"/>
        <n v="0"/>
        <n v="89"/>
        <n v="180"/>
        <n v="10"/>
        <n v="70"/>
        <n v="68"/>
        <n v="24"/>
        <n v="182"/>
        <m/>
        <n v="92"/>
        <n v="76"/>
        <n v="37"/>
        <n v="205"/>
        <n v="57"/>
        <n v="13"/>
        <n v="100"/>
        <n v="39"/>
        <n v="213"/>
        <n v="212"/>
        <n v="59"/>
        <n v="102"/>
        <n v="135"/>
        <n v="153"/>
        <n v="107"/>
        <n v="80"/>
        <n v="21"/>
        <n v="29"/>
        <n v="4"/>
        <n v="196"/>
        <n v="9"/>
        <n v="23"/>
        <n v="67"/>
        <n v="279"/>
        <n v="401"/>
        <n v="364"/>
        <n v="15"/>
        <n v="47"/>
        <n v="126"/>
        <n v="177"/>
        <n v="48"/>
        <n v="43"/>
        <n v="88"/>
        <n v="96"/>
        <n v="229"/>
        <n v="264"/>
        <n v="86"/>
        <n v="41"/>
        <n v="81"/>
        <n v="194"/>
        <n v="121"/>
        <n v="209"/>
        <n v="188"/>
        <n v="128"/>
        <n v="113"/>
        <n v="203"/>
        <n v="277"/>
        <n v="56"/>
        <n v="104"/>
        <n v="189"/>
        <n v="143"/>
        <n v="91"/>
        <n v="110"/>
        <n v="97"/>
        <n v="62"/>
        <n v="85"/>
        <n v="155"/>
        <n v="117"/>
        <n v="167"/>
        <n v="116"/>
        <n v="214"/>
        <n v="114"/>
        <n v="230"/>
        <n v="224"/>
        <n v="193"/>
        <n v="197"/>
        <n v="192"/>
        <n v="61"/>
        <n v="226"/>
        <n v="162"/>
        <n v="54"/>
        <n v="79"/>
        <n v="186"/>
        <n v="131"/>
        <n v="75"/>
        <n v="152"/>
        <n v="51"/>
        <n v="175"/>
        <n v="158"/>
        <n v="141"/>
        <n v="422"/>
        <n v="130"/>
        <n v="219"/>
        <n v="71"/>
        <n v="95"/>
        <n v="136"/>
        <n v="120"/>
        <n v="73"/>
        <n v="142"/>
        <n v="124"/>
        <n v="399"/>
        <n v="145"/>
        <n v="14"/>
        <n v="165"/>
        <n v="150"/>
        <n v="185"/>
        <n v="173"/>
        <n v="308"/>
        <n v="149"/>
        <n v="201"/>
        <n v="160"/>
        <n v="168"/>
        <n v="217"/>
        <n v="146"/>
        <n v="187"/>
        <n v="111"/>
        <n v="148"/>
        <n v="211"/>
        <n v="101"/>
        <n v="151"/>
        <n v="164"/>
        <n v="199"/>
        <n v="144"/>
        <n v="161"/>
        <n v="184"/>
        <n v="118"/>
        <n v="191"/>
        <n v="204"/>
        <n v="228"/>
        <n v="242"/>
        <n v="280"/>
        <n v="231"/>
        <n v="285"/>
        <n v="243"/>
        <n v="267"/>
        <n v="278"/>
        <n v="238"/>
        <n v="397"/>
        <n v="259"/>
        <n v="398"/>
        <n v="296"/>
        <n v="16"/>
        <n v="395"/>
        <n v="26"/>
        <n v="34"/>
        <n v="342"/>
        <n v="337"/>
        <n v="356"/>
        <n v="368"/>
        <n v="384"/>
        <n v="326"/>
        <n v="319"/>
        <n v="359"/>
        <n v="378"/>
        <n v="307"/>
        <n v="390"/>
        <n v="331"/>
        <n v="316"/>
        <n v="321"/>
        <n v="367"/>
        <n v="351"/>
        <n v="377"/>
        <n v="266"/>
        <n v="261"/>
        <n v="248"/>
        <n v="260"/>
        <n v="386"/>
        <n v="325"/>
        <n v="302"/>
        <n v="315"/>
        <n v="380"/>
        <n v="371"/>
        <n v="332"/>
        <n v="339"/>
        <n v="355"/>
        <n v="334"/>
        <n v="282"/>
        <n v="336"/>
        <n v="352"/>
        <n v="303"/>
        <n v="287"/>
        <n v="305"/>
        <n v="402"/>
        <n v="324"/>
        <n v="309"/>
        <n v="345"/>
        <n v="344"/>
        <n v="330"/>
        <n v="293"/>
        <n v="322"/>
        <n v="385"/>
        <n v="392"/>
        <n v="301"/>
        <n v="375"/>
        <n v="354"/>
        <n v="341"/>
        <n v="310"/>
        <n v="361"/>
        <n v="394"/>
        <n v="357"/>
        <n v="363"/>
        <n v="333"/>
        <n v="382"/>
        <n v="383"/>
        <n v="311"/>
        <n v="349"/>
        <n v="353"/>
        <n v="343"/>
        <n v="283"/>
        <n v="328"/>
        <n v="403"/>
        <n v="379"/>
        <n v="340"/>
        <n v="404"/>
        <n v="405"/>
        <n v="370"/>
        <n v="406"/>
        <n v="407"/>
        <n v="408"/>
        <n v="409"/>
        <n v="410"/>
        <n v="411"/>
        <n v="412"/>
        <n v="391"/>
        <n v="346"/>
        <n v="413"/>
        <n v="414"/>
        <n v="387"/>
        <n v="288"/>
        <n v="338"/>
        <n v="365"/>
        <n v="415"/>
        <n v="350"/>
        <n v="416"/>
        <n v="304"/>
        <n v="369"/>
        <n v="329"/>
        <n v="373"/>
        <n v="318"/>
        <n v="417"/>
        <n v="393"/>
        <n v="376"/>
        <n v="323"/>
        <n v="418"/>
        <n v="362"/>
        <n v="388"/>
        <n v="18"/>
        <n v="6"/>
        <n v="5"/>
        <n v="2"/>
        <n v="166"/>
        <n v="147"/>
        <n v="127"/>
        <n v="132"/>
        <n v="234"/>
        <n v="82"/>
        <n v="27"/>
        <n v="176"/>
        <n v="122"/>
        <n v="140"/>
        <n v="12"/>
        <n v="25"/>
        <n v="17"/>
        <n v="93"/>
        <n v="289"/>
        <n v="195"/>
        <n v="60"/>
        <n v="66"/>
        <n v="90"/>
        <n v="169"/>
        <n v="98"/>
        <n v="157"/>
        <n v="50"/>
        <n v="215"/>
        <n v="253"/>
        <n v="298"/>
        <n v="291"/>
        <n v="241"/>
        <n v="44"/>
        <n v="159"/>
        <n v="35"/>
        <n v="106"/>
        <n v="69"/>
        <n v="299"/>
        <n v="286"/>
        <n v="290"/>
        <n v="317"/>
        <n v="314"/>
        <n v="320"/>
        <n v="265"/>
        <n v="227"/>
        <n v="202"/>
        <n v="218"/>
        <n v="200"/>
        <n v="174"/>
        <n v="156"/>
        <n v="245"/>
        <n v="77"/>
        <n v="139"/>
        <n v="63"/>
        <n v="216"/>
        <n v="240"/>
        <n v="28"/>
        <n v="46"/>
        <n v="58"/>
        <n v="65"/>
        <n v="112"/>
        <n v="129"/>
        <n v="40"/>
        <n v="83"/>
        <n v="64"/>
        <n v="105"/>
        <n v="42"/>
        <n v="221"/>
        <n v="220"/>
        <n v="232"/>
        <n v="171"/>
        <n v="94"/>
        <n v="31"/>
        <n v="178"/>
        <n v="198"/>
        <n v="208"/>
        <n v="276"/>
        <n v="419"/>
        <n v="300"/>
        <n v="255"/>
        <n v="272"/>
        <n v="258"/>
        <n v="154"/>
        <n v="134"/>
        <n v="246"/>
        <n v="138"/>
        <n v="125"/>
        <n v="183"/>
        <n v="251"/>
        <n v="273"/>
        <n v="275"/>
        <n v="108"/>
        <n v="8"/>
        <n v="55"/>
        <n v="170"/>
        <n v="109"/>
        <n v="1"/>
        <n v="115"/>
        <n v="7"/>
        <n v="225"/>
        <n v="210"/>
        <n v="235"/>
        <n v="223"/>
        <n v="237"/>
        <n v="233"/>
        <n v="87"/>
        <n v="22"/>
        <n v="11"/>
        <n v="74"/>
        <n v="222"/>
        <n v="19"/>
        <n v="172"/>
        <n v="284"/>
        <n v="396"/>
        <n v="133"/>
        <n v="33"/>
        <n v="32"/>
        <n v="313"/>
        <n v="49"/>
        <n v="45"/>
        <n v="84"/>
        <n v="99"/>
        <n v="52"/>
        <n v="53"/>
        <n v="78"/>
        <n v="3"/>
        <n v="274"/>
        <n v="179"/>
        <n v="38"/>
        <n v="20"/>
        <n v="30"/>
        <n v="163"/>
        <n v="137"/>
        <n v="250"/>
        <n v="420"/>
        <n v="421"/>
        <n v="207"/>
        <n v="263"/>
        <n v="181"/>
        <n v="123"/>
        <n v="103"/>
        <n v="366"/>
        <n v="400"/>
        <n v="36"/>
        <n v="270"/>
        <n v="381"/>
        <n v="294"/>
        <n v="281"/>
        <n v="327"/>
        <n v="312"/>
        <n v="119"/>
        <n v="254"/>
        <n v="236"/>
        <n v="257"/>
        <n v="374"/>
        <n v="256"/>
        <n v="389"/>
        <n v="372"/>
        <n v="190"/>
        <n v="244"/>
        <n v="269"/>
        <n v="271"/>
        <n v="347"/>
        <n v="335"/>
        <n v="295"/>
        <n v="292"/>
      </sharedItems>
    </cacheField>
    <cacheField name="Stock HOY" numFmtId="41">
      <sharedItems containsSemiMixedTypes="0" containsString="0" containsNumber="1" containsInteger="1" minValue="0" maxValue="7060"/>
    </cacheField>
    <cacheField name="OHNSO" numFmtId="41">
      <sharedItems containsString="0" containsBlank="1" containsNumber="1" containsInteger="1" minValue="100" maxValue="1500"/>
    </cacheField>
    <cacheField name="OHNSO CST" numFmtId="41">
      <sharedItems containsString="0" containsBlank="1" containsNumber="1" minValue="0" maxValue="18050000"/>
    </cacheField>
    <cacheField name="CST Actual" numFmtId="41">
      <sharedItems containsString="0" containsBlank="1" containsNumber="1" minValue="691" maxValue="1867612"/>
    </cacheField>
    <cacheField name="Stock Hoy CST" numFmtId="41">
      <sharedItems containsString="0" containsBlank="1" containsNumber="1" minValue="0" maxValue="20565419.977944084"/>
    </cacheField>
    <cacheField name="COSTO USD" numFmtId="0">
      <sharedItems containsMixedTypes="1" containsNumber="1" minValue="0.5" maxValue="1709.4846681922197"/>
    </cacheField>
    <cacheField name="COST CLP" numFmtId="41">
      <sharedItems containsString="0" containsBlank="1" containsNumber="1" minValue="546.25" maxValue="1916332.3130434782"/>
    </cacheField>
    <cacheField name="Ticekt Promedio" numFmtId="41">
      <sharedItems containsSemiMixedTypes="0" containsString="0" containsNumber="1" minValue="0" maxValue="5042008.4033613447"/>
    </cacheField>
    <cacheField name="Ticekt Promedio Evento" numFmtId="41">
      <sharedItems containsSemiMixedTypes="0" containsString="0" containsNumber="1" minValue="0" maxValue="5042008.4033613447"/>
    </cacheField>
    <cacheField name="Puerto Origen" numFmtId="41">
      <sharedItems/>
    </cacheField>
    <cacheField name="Tipo Pago" numFmtId="0">
      <sharedItems containsBlank="1" count="7">
        <s v="30/70"/>
        <s v="20/80"/>
        <s v="20/80 Credit"/>
        <m/>
        <s v="30/71"/>
        <s v="30/72"/>
        <s v="30/73"/>
      </sharedItems>
    </cacheField>
    <cacheField name="LEAD TIME" numFmtId="41">
      <sharedItems containsSemiMixedTypes="0" containsString="0" containsNumber="1" containsInteger="1" minValue="30" maxValue="60"/>
    </cacheField>
    <cacheField name="MOQ" numFmtId="41">
      <sharedItems containsSemiMixedTypes="0" containsString="0" containsNumber="1" containsInteger="1" minValue="1" maxValue="2000"/>
    </cacheField>
    <cacheField name="VENTA REAL UNID ENE 25" numFmtId="41">
      <sharedItems containsString="0" containsBlank="1" containsNumber="1" containsInteger="1" minValue="0" maxValue="3238"/>
    </cacheField>
    <cacheField name="MG FRONT ENE 25" numFmtId="169">
      <sharedItems containsBlank="1" containsMixedTypes="1" containsNumber="1" minValue="-0.1008019242333132" maxValue="1.3778107475711301"/>
    </cacheField>
    <cacheField name="VENTA REAL UNID FEB 25" numFmtId="41">
      <sharedItems containsString="0" containsBlank="1" containsNumber="1" containsInteger="1" minValue="0" maxValue="928"/>
    </cacheField>
    <cacheField name="MG FRONT FEB 25" numFmtId="169">
      <sharedItems containsBlank="1" containsMixedTypes="1" containsNumber="1" minValue="0" maxValue="1.5228450871169601"/>
    </cacheField>
    <cacheField name="VENTA REAL UNID MAR 25" numFmtId="41">
      <sharedItems containsString="0" containsBlank="1" containsNumber="1" containsInteger="1" minValue="0" maxValue="4022"/>
    </cacheField>
    <cacheField name="MG FRONT MAR 25" numFmtId="169">
      <sharedItems containsBlank="1" containsMixedTypes="1" containsNumber="1" minValue="-6.6078947368421057E-2" maxValue="1.5108339762982601"/>
    </cacheField>
    <cacheField name="VENTA REAL UNID ABR 25" numFmtId="41">
      <sharedItems containsString="0" containsBlank="1" containsNumber="1" containsInteger="1" minValue="0" maxValue="2076"/>
    </cacheField>
    <cacheField name="MG FRONT ABR 25" numFmtId="0">
      <sharedItems containsBlank="1" containsMixedTypes="1" containsNumber="1" minValue="-2.8060329708848557E-5" maxValue="1.4463139681163"/>
    </cacheField>
    <cacheField name="VENTA REAL UNID MAY 25" numFmtId="41">
      <sharedItems containsString="0" containsBlank="1" containsNumber="1" containsInteger="1" minValue="0" maxValue="1919"/>
    </cacheField>
    <cacheField name="MG FRONT MAY 25" numFmtId="0">
      <sharedItems containsBlank="1" containsMixedTypes="1" containsNumber="1" minValue="-2.6891149304286617E-5" maxValue="1.5486194368245201"/>
    </cacheField>
    <cacheField name="VENTA REAL UNID JUN 25" numFmtId="41">
      <sharedItems containsString="0" containsBlank="1" containsNumber="1" containsInteger="1" minValue="0" maxValue="3320"/>
    </cacheField>
    <cacheField name="MG FRONT JUN 25" numFmtId="0">
      <sharedItems containsBlank="1" containsMixedTypes="1" containsNumber="1" minValue="-9.2396553804798401E-2" maxValue="2.8151994762139445"/>
    </cacheField>
    <cacheField name="VENTA REAL UNID JUL 25" numFmtId="41">
      <sharedItems containsString="0" containsBlank="1" containsNumber="1" containsInteger="1" minValue="0" maxValue="2164"/>
    </cacheField>
    <cacheField name="MG FRONT JUL 25" numFmtId="0">
      <sharedItems containsBlank="1" containsMixedTypes="1" containsNumber="1" minValue="0" maxValue="1.4570594404145401"/>
    </cacheField>
    <cacheField name="VENTA REAL UNID AGO 25" numFmtId="41">
      <sharedItems containsString="0" containsBlank="1" containsNumber="1" containsInteger="1" minValue="-228" maxValue="591"/>
    </cacheField>
    <cacheField name="MG FRONT AGO 25" numFmtId="0">
      <sharedItems containsBlank="1" containsMixedTypes="1" containsNumber="1" minValue="-6.5003685740092132E-2" maxValue="1.5048120543835699"/>
    </cacheField>
    <cacheField name="VENTA REAL UNID SEP 25" numFmtId="41">
      <sharedItems containsString="0" containsBlank="1" containsNumber="1" containsInteger="1" minValue="-1" maxValue="2809"/>
    </cacheField>
    <cacheField name="MG FRONT SEP 25" numFmtId="169">
      <sharedItems containsBlank="1" containsMixedTypes="1" containsNumber="1" minValue="0" maxValue="1.0000000000000002"/>
    </cacheField>
    <cacheField name="VENTA REAL UNID OCT 25" numFmtId="41">
      <sharedItems containsString="0" containsBlank="1" containsNumber="1" containsInteger="1" minValue="0" maxValue="1791"/>
    </cacheField>
    <cacheField name="MG FRONT OCT 25" numFmtId="0">
      <sharedItems containsBlank="1" containsMixedTypes="1" containsNumber="1" minValue="-0.18692180513706888" maxValue="1"/>
    </cacheField>
    <cacheField name="VENTA REAL UNID NOV 25" numFmtId="41">
      <sharedItems containsString="0" containsBlank="1" containsNumber="1" containsInteger="1" minValue="-7" maxValue="2880"/>
    </cacheField>
    <cacheField name="MG FRONT NOV 25" numFmtId="0">
      <sharedItems containsBlank="1" containsMixedTypes="1" containsNumber="1" minValue="0" maxValue="1.000054735840076"/>
    </cacheField>
    <cacheField name="VENTA REAL UNID DIC 25" numFmtId="41">
      <sharedItems containsString="0" containsBlank="1" containsNumber="1" containsInteger="1" minValue="-1" maxValue="507"/>
    </cacheField>
    <cacheField name="MG FRONT DIC 25" numFmtId="0">
      <sharedItems containsBlank="1" containsMixedTypes="1" containsNumber="1" minValue="-1.1134888264745406" maxValue="1"/>
    </cacheField>
    <cacheField name="VENTA REAL UNID ENE 26" numFmtId="41">
      <sharedItems containsString="0" containsBlank="1" containsNumber="1" containsInteger="1" minValue="0" maxValue="2097"/>
    </cacheField>
    <cacheField name="MG FRONT ENE 26" numFmtId="0">
      <sharedItems containsBlank="1" containsMixedTypes="1" containsNumber="1" minValue="0" maxValue="0.83851218905222147"/>
    </cacheField>
    <cacheField name="VENTA REAL UNID FEB 26" numFmtId="41">
      <sharedItems containsString="0" containsBlank="1" containsNumber="1" containsInteger="1" minValue="0" maxValue="304"/>
    </cacheField>
    <cacheField name="MG FRONT FEB 26" numFmtId="9">
      <sharedItems containsBlank="1" containsMixedTypes="1" containsNumber="1" minValue="0.19750406504065041" maxValue="0.82466262699556125"/>
    </cacheField>
    <cacheField name="VENTA REAL UNID MAR 26" numFmtId="3">
      <sharedItems containsString="0" containsBlank="1" containsNumber="1" containsInteger="1" minValue="-6" maxValue="1978"/>
    </cacheField>
    <cacheField name="MG FRONT MAR 26" numFmtId="9">
      <sharedItems containsBlank="1" containsMixedTypes="1" containsNumber="1" minValue="0.29626949210934928" maxValue="0.80364071829129935"/>
    </cacheField>
    <cacheField name="VENTA REAL UNID ABR 26" numFmtId="41">
      <sharedItems containsString="0" containsBlank="1" containsNumber="1" containsInteger="1" minValue="0" maxValue="1000"/>
    </cacheField>
    <cacheField name="MG FRONT ABR 26" numFmtId="9">
      <sharedItems containsBlank="1" containsMixedTypes="1" containsNumber="1" minValue="0.3036656113987069" maxValue="0.8216660799265505"/>
    </cacheField>
    <cacheField name="% Cumplimiento ABR 26" numFmtId="9">
      <sharedItems containsString="0" containsBlank="1" containsNumber="1" minValue="0" maxValue="7.2222222222222223"/>
    </cacheField>
    <cacheField name="VENTA REAL UNID MAY 26" numFmtId="3">
      <sharedItems containsString="0" containsBlank="1" containsNumber="1" containsInteger="1" minValue="-2" maxValue="1661"/>
    </cacheField>
    <cacheField name="MG FRONT MAY 26" numFmtId="9">
      <sharedItems containsBlank="1" containsMixedTypes="1" containsNumber="1" minValue="0.33577294293553872" maxValue="0.80902071339601467"/>
    </cacheField>
    <cacheField name="% Cumplimiento MAY 26" numFmtId="9">
      <sharedItems containsString="0" containsBlank="1" containsNumber="1" minValue="-1" maxValue="18"/>
    </cacheField>
    <cacheField name="VENTA REAL UNID JUN 26" numFmtId="41">
      <sharedItems containsString="0" containsBlank="1" containsNumber="1" containsInteger="1" minValue="-7" maxValue="1174"/>
    </cacheField>
    <cacheField name="MG FRONT JUN 26" numFmtId="9">
      <sharedItems containsBlank="1" containsMixedTypes="1" containsNumber="1" minValue="0.20926195593433111" maxValue="0.82852601815714599"/>
    </cacheField>
    <cacheField name="% Cumplimiento JUN 26" numFmtId="9">
      <sharedItems containsString="0" containsBlank="1" containsNumber="1" minValue="-0.17499999999999999" maxValue="6.333333333333333"/>
    </cacheField>
    <cacheField name="VENTA REAL UNID JUL 26" numFmtId="3">
      <sharedItems containsSemiMixedTypes="0" containsString="0" containsNumber="1" containsInteger="1" minValue="-8" maxValue="951"/>
    </cacheField>
    <cacheField name="MG FRONT JUL 26" numFmtId="9">
      <sharedItems containsMixedTypes="1" containsNumber="1" minValue="0.2970897748885471" maxValue="0.98382211788790341"/>
    </cacheField>
    <cacheField name="% Cumplimiento JUL 26" numFmtId="9">
      <sharedItems containsSemiMixedTypes="0" containsString="0" containsNumber="1" minValue="-0.25" maxValue="10.373333333333333"/>
    </cacheField>
    <cacheField name="Venta FCST ENE Inicial" numFmtId="41">
      <sharedItems containsString="0" containsBlank="1" containsNumber="1" minValue="0" maxValue="900"/>
    </cacheField>
    <cacheField name="Stock Inicial ENE26" numFmtId="41">
      <sharedItems containsString="0" containsBlank="1" containsNumber="1" containsInteger="1" minValue="0" maxValue="7321"/>
    </cacheField>
    <cacheField name=" Venta PPTO ENE26" numFmtId="41">
      <sharedItems containsString="0" containsBlank="1" containsNumber="1" minValue="0" maxValue="900"/>
    </cacheField>
    <cacheField name="PEDIDO SEP_x000a_LLEGADAS ENE26" numFmtId="41">
      <sharedItems containsString="0" containsBlank="1" containsNumber="1" containsInteger="1" minValue="0" maxValue="1000"/>
    </cacheField>
    <cacheField name="TRANSITO ENE" numFmtId="41">
      <sharedItems containsString="0" containsBlank="1" containsNumber="1" containsInteger="1" minValue="0" maxValue="1500"/>
    </cacheField>
    <cacheField name="EMBARQUE ENERO" numFmtId="41">
      <sharedItems containsString="0" containsBlank="1" containsNumber="1" containsInteger="1" minValue="0" maxValue="0"/>
    </cacheField>
    <cacheField name="STK Ideal Cst ENE26" numFmtId="41">
      <sharedItems containsString="0" containsBlank="1" containsNumber="1" minValue="0" maxValue="21030183.5"/>
    </cacheField>
    <cacheField name="Stock Inicial Cst ENE26" numFmtId="41">
      <sharedItems containsString="0" containsBlank="1" containsNumber="1" minValue="0" maxValue="24661980"/>
    </cacheField>
    <cacheField name=" Venta Cst ENE26" numFmtId="41">
      <sharedItems containsString="0" containsBlank="1" containsNumber="1" minValue="0" maxValue="7389590"/>
    </cacheField>
    <cacheField name="Llegadas Cst ENE26" numFmtId="41">
      <sharedItems containsString="0" containsBlank="1" containsNumber="1" containsInteger="1" minValue="0" maxValue="0"/>
    </cacheField>
    <cacheField name="Stock + Pedido Unid ENE26" numFmtId="41">
      <sharedItems containsString="0" containsBlank="1" containsNumber="1" containsInteger="1" minValue="0" maxValue="7060"/>
    </cacheField>
    <cacheField name="Stock + Pedido Csto ENE26" numFmtId="41">
      <sharedItems containsString="0" containsBlank="1" containsNumber="1" minValue="0" maxValue="20565419.977944084"/>
    </cacheField>
    <cacheField name="Venta Neta Enero" numFmtId="41">
      <sharedItems containsString="0" containsBlank="1" containsNumber="1" minValue="0" maxValue="12851281.689146247"/>
    </cacheField>
    <cacheField name="Venta FCST FEB Inicial" numFmtId="41">
      <sharedItems containsString="0" containsBlank="1" containsNumber="1" minValue="0" maxValue="880"/>
    </cacheField>
    <cacheField name="Stock Inicial FEB26" numFmtId="41">
      <sharedItems containsString="0" containsBlank="1" containsNumber="1" containsInteger="1" minValue="0" maxValue="6556"/>
    </cacheField>
    <cacheField name=" Venta PPTO FEB26" numFmtId="41">
      <sharedItems containsString="0" containsBlank="1" containsNumber="1" minValue="0" maxValue="456"/>
    </cacheField>
    <cacheField name="PEDIDO SEP_x000a_LLEGADAS FEB26" numFmtId="41">
      <sharedItems containsString="0" containsBlank="1" containsNumber="1" minValue="0" maxValue="1880"/>
    </cacheField>
    <cacheField name="Transito Feb 26" numFmtId="41">
      <sharedItems containsString="0" containsBlank="1" containsNumber="1" minValue="0" maxValue="1880"/>
    </cacheField>
    <cacheField name="EMBARQUE FEBRERO" numFmtId="41">
      <sharedItems containsString="0" containsBlank="1" containsNumber="1" containsInteger="1" minValue="0" maxValue="0"/>
    </cacheField>
    <cacheField name="STK Ideal Cst FEB26" numFmtId="41">
      <sharedItems containsString="0" containsBlank="1" containsNumber="1" minValue="0" maxValue="25864287.5"/>
    </cacheField>
    <cacheField name="Stock Inicial Cst FEB26" numFmtId="41">
      <sharedItems containsString="0" containsBlank="1" containsNumber="1" minValue="0" maxValue="27464346"/>
    </cacheField>
    <cacheField name=" Venta Cst FEB26" numFmtId="41">
      <sharedItems containsString="0" containsBlank="1" containsNumber="1" minValue="0" maxValue="7498354.5"/>
    </cacheField>
    <cacheField name="Llegadas Cst FEB26" numFmtId="41">
      <sharedItems containsString="0" containsBlank="1" containsNumber="1" containsInteger="1" minValue="0" maxValue="0"/>
    </cacheField>
    <cacheField name="Stock + Pedido Unid FEB26" numFmtId="41">
      <sharedItems containsString="0" containsBlank="1" containsNumber="1" containsInteger="1" minValue="0" maxValue="7060"/>
    </cacheField>
    <cacheField name="Stock + Pedido Csto FEB26" numFmtId="41">
      <sharedItems containsString="0" containsBlank="1" containsNumber="1" minValue="0" maxValue="20565419.977944084"/>
    </cacheField>
    <cacheField name="Venta Neta Feb" numFmtId="41">
      <sharedItems containsString="0" containsBlank="1" containsNumber="1" minValue="0" maxValue="15323356.401384084"/>
    </cacheField>
    <cacheField name="Venta FCST MAR Inicial" numFmtId="41">
      <sharedItems containsString="0" containsBlank="1" containsNumber="1" minValue="0" maxValue="1481"/>
    </cacheField>
    <cacheField name="Stock Inicial MAR26" numFmtId="41">
      <sharedItems containsString="0" containsBlank="1" containsNumber="1" containsInteger="1" minValue="-1" maxValue="6492"/>
    </cacheField>
    <cacheField name=" Venta PPTO MAR26" numFmtId="41">
      <sharedItems containsString="0" containsBlank="1" containsNumber="1" containsInteger="1" minValue="-6" maxValue="1978"/>
    </cacheField>
    <cacheField name="PEDIDO SEP_x000a_LLEGADAS MAR26" numFmtId="41">
      <sharedItems containsString="0" containsBlank="1" containsNumber="1" containsInteger="1" minValue="0" maxValue="0"/>
    </cacheField>
    <cacheField name="Transito MAR 26" numFmtId="41">
      <sharedItems containsString="0" containsBlank="1" containsNumber="1" containsInteger="1" minValue="0" maxValue="0"/>
    </cacheField>
    <cacheField name="STK Ideal Cst MAR26" numFmtId="41">
      <sharedItems containsString="0" containsBlank="1" containsNumber="1" minValue="0" maxValue="24147190"/>
    </cacheField>
    <cacheField name="Stock Inicial Cst MAR26" numFmtId="41">
      <sharedItems containsString="0" containsBlank="1" containsNumber="1" minValue="-29925" maxValue="25010920"/>
    </cacheField>
    <cacheField name=" Venta Cst MAR26" numFmtId="41">
      <sharedItems containsString="0" containsBlank="1" containsNumber="1" minValue="-163680" maxValue="10785179"/>
    </cacheField>
    <cacheField name="Llegadas Cst MAR26" numFmtId="41">
      <sharedItems containsString="0" containsBlank="1" containsNumber="1" containsInteger="1" minValue="0" maxValue="0"/>
    </cacheField>
    <cacheField name="Stock + Pedido Unid MAR26" numFmtId="41">
      <sharedItems containsString="0" containsBlank="1" containsNumber="1" containsInteger="1" minValue="0" maxValue="7060"/>
    </cacheField>
    <cacheField name="Stock + Pedido Csto MAR26" numFmtId="41">
      <sharedItems containsString="0" containsBlank="1" containsNumber="1" minValue="0" maxValue="20565419.977944084"/>
    </cacheField>
    <cacheField name="Venta Neta Marzo" numFmtId="41">
      <sharedItems containsString="0" containsBlank="1" containsNumber="1" minValue="-403310.92436974798" maxValue="29568142.857142862"/>
    </cacheField>
    <cacheField name="Venta FCST ABR Inicial" numFmtId="41">
      <sharedItems containsString="0" containsBlank="1" containsNumber="1" minValue="0" maxValue="850"/>
    </cacheField>
    <cacheField name="Stock Inicial ABR26" numFmtId="41">
      <sharedItems containsString="0" containsBlank="1" containsNumber="1" containsInteger="1" minValue="0" maxValue="7189"/>
    </cacheField>
    <cacheField name=" Venta PPTO ABR26" numFmtId="41">
      <sharedItems containsString="0" containsBlank="1" containsNumber="1" containsInteger="1" minValue="0" maxValue="1000"/>
    </cacheField>
    <cacheField name="PEDIDO SEP_x000a_LLEGADAS ABR26" numFmtId="41">
      <sharedItems containsString="0" containsBlank="1" containsNumber="1" containsInteger="1" minValue="0" maxValue="2000"/>
    </cacheField>
    <cacheField name="Transito ABR 26" numFmtId="41">
      <sharedItems containsString="0" containsBlank="1" containsNumber="1" containsInteger="1" minValue="0" maxValue="0"/>
    </cacheField>
    <cacheField name="Stock Inicial Cst ABR26" numFmtId="41">
      <sharedItems containsString="0" containsBlank="1" containsNumber="1" minValue="0" maxValue="35378370"/>
    </cacheField>
    <cacheField name=" Venta Cst ABR26" numFmtId="41">
      <sharedItems containsString="0" containsBlank="1" containsNumber="1" minValue="0" maxValue="9281394"/>
    </cacheField>
    <cacheField name="Compra Cst ABR26" numFmtId="41">
      <sharedItems containsString="0" containsBlank="1" containsNumber="1" minValue="0" maxValue="49679999.999999993" count="116">
        <n v="0"/>
        <n v="1086749.9999999998"/>
        <n v="442462.5"/>
        <n v="139725"/>
        <n v="2287349.9999999995"/>
        <n v="621000"/>
        <n v="1138500"/>
        <n v="9832500"/>
        <m/>
        <n v="672750"/>
        <n v="1314449.9999999998"/>
        <n v="3311999.9999999995"/>
        <n v="7245000"/>
        <n v="6313499.9999999991"/>
        <n v="1904400"/>
        <n v="2018249.9999999998"/>
        <n v="328819.5"/>
        <n v="1531799.9999999998"/>
        <n v="175949.99999999997"/>
        <n v="905625"/>
        <n v="1048454.9999999999"/>
        <n v="3933000"/>
        <n v="3519000"/>
        <n v="1474875"/>
        <n v="1573200"/>
        <n v="1055700"/>
        <n v="393300"/>
        <n v="6986250"/>
        <n v="1956150"/>
        <n v="1148850"/>
        <n v="1490399.9999999998"/>
        <n v="2753099.9999999995"/>
        <n v="3151574.9999999995"/>
        <n v="7141500.0000000009"/>
        <n v="7917750.0000000009"/>
        <n v="5278500.0000000009"/>
        <n v="8486999.9999999981"/>
        <n v="4885200"/>
        <n v="776250"/>
        <n v="1459350"/>
        <n v="1241999.9999999998"/>
        <n v="403650"/>
        <n v="269100"/>
        <n v="289800"/>
        <n v="1145745"/>
        <n v="1304099.9999999998"/>
        <n v="652049.99999999988"/>
        <n v="380880"/>
        <n v="285660"/>
        <n v="142830"/>
        <n v="357075"/>
        <n v="107640"/>
        <n v="258750"/>
        <n v="11255625"/>
        <n v="310499.99999999994"/>
        <n v="714149.99999999988"/>
        <n v="1319625"/>
        <n v="3694950"/>
        <n v="4305599.9999999991"/>
        <n v="3824325"/>
        <n v="5071500"/>
        <n v="573390"/>
        <n v="890100"/>
        <n v="517500"/>
        <n v="419175"/>
        <n v="209587.5"/>
        <n v="382949.99999999994"/>
        <n v="4641974.9999999991"/>
        <n v="3757050.0000000005"/>
        <n v="1687050"/>
        <n v="2817787.5000000005"/>
        <n v="341550"/>
        <n v="1117799.9999999998"/>
        <n v="900449.99999999988"/>
        <n v="596159.99999999988"/>
        <n v="1583550"/>
        <n v="553725"/>
        <n v="341549.99999999994"/>
        <n v="2587500"/>
        <n v="2070000"/>
        <n v="2018250"/>
        <n v="1816425"/>
        <n v="3073949.9999999995"/>
        <n v="2049299.9999999998"/>
        <n v="1345499.9999999998"/>
        <n v="2831759.9999999995"/>
        <n v="5149125"/>
        <n v="613237.49999999988"/>
        <n v="144900"/>
        <n v="155250"/>
        <n v="240119.99999999997"/>
        <n v="399510"/>
        <n v="5940900.0000000009"/>
        <n v="9653962.5000000019"/>
        <n v="582187.49999999988"/>
        <n v="7710749.9999999991"/>
        <n v="11767950"/>
        <n v="207000"/>
        <n v="321367.5"/>
        <n v="2380500"/>
        <n v="155249.99999999997"/>
        <n v="49679999.999999993"/>
        <n v="662607"/>
        <n v="299632.49999999994"/>
        <n v="56925"/>
        <n v="161460"/>
        <n v="610443"/>
        <n v="372600"/>
        <n v="72449.999999999985"/>
        <n v="434389.5"/>
        <n v="144796.5"/>
        <n v="848700"/>
        <n v="279449.99999999994"/>
        <n v="781683.75" u="1"/>
        <n v="248400" u="1"/>
        <n v="1407599.9999999998" u="1"/>
      </sharedItems>
    </cacheField>
    <cacheField name="Llegadas Cst ABR26" numFmtId="41">
      <sharedItems containsString="0" containsBlank="1" containsNumber="1" containsInteger="1" minValue="0" maxValue="0" count="2">
        <n v="0"/>
        <m/>
      </sharedItems>
    </cacheField>
    <cacheField name="Stock + Pedido Unid ABR26" numFmtId="41">
      <sharedItems containsString="0" containsBlank="1" containsNumber="1" containsInteger="1" minValue="0" maxValue="7060"/>
    </cacheField>
    <cacheField name="Stock + Pedido Csto ABR26" numFmtId="41">
      <sharedItems containsString="0" containsBlank="1" containsNumber="1" minValue="0" maxValue="20565419.977944084"/>
    </cacheField>
    <cacheField name="Venta Neta ABR 26" numFmtId="41">
      <sharedItems containsString="0" containsBlank="1" containsNumber="1" minValue="0" maxValue="18678596.638655465"/>
    </cacheField>
    <cacheField name="Venta FCST MAY Inicial" numFmtId="41">
      <sharedItems containsString="0" containsBlank="1" containsNumber="1" minValue="0" maxValue="2070"/>
    </cacheField>
    <cacheField name="Stock Inicial MAY26" numFmtId="41">
      <sharedItems containsString="0" containsBlank="1" containsNumber="1" containsInteger="1" minValue="0" maxValue="7077"/>
    </cacheField>
    <cacheField name=" Venta PPTO MAY26" numFmtId="41">
      <sharedItems containsString="0" containsBlank="1" containsNumber="1" minValue="0" maxValue="2070"/>
    </cacheField>
    <cacheField name="PEDIDO SEP_x000a_LLEGADAS MAY26" numFmtId="41">
      <sharedItems containsString="0" containsBlank="1" containsNumber="1" containsInteger="1" minValue="0" maxValue="600"/>
    </cacheField>
    <cacheField name="Transito MAY 26" numFmtId="41">
      <sharedItems containsString="0" containsBlank="1" containsNumber="1" containsInteger="1" minValue="0" maxValue="1000"/>
    </cacheField>
    <cacheField name="Embarcado Mayo" numFmtId="41">
      <sharedItems containsString="0" containsBlank="1" containsNumber="1" containsInteger="1" minValue="0" maxValue="0"/>
    </cacheField>
    <cacheField name="Stock Inicial Cst MAY26" numFmtId="41">
      <sharedItems containsString="0" containsBlank="1" containsNumber="1" minValue="0" maxValue="23964255"/>
    </cacheField>
    <cacheField name=" Venta Cst MAY26" numFmtId="41">
      <sharedItems containsString="0" containsBlank="1" containsNumber="1" minValue="0" maxValue="8383500"/>
    </cacheField>
    <cacheField name="Compra Cst MAY 26" numFmtId="41">
      <sharedItems containsString="0" containsBlank="1" containsNumber="1" minValue="0" maxValue="19665000" count="33">
        <n v="0"/>
        <n v="538200"/>
        <n v="1314449.9999999998"/>
        <n v="3622500"/>
        <n v="3156749.9999999995"/>
        <n v="952200"/>
        <n v="19665000"/>
        <m/>
        <n v="3933000"/>
        <n v="1759500"/>
        <n v="491625"/>
        <n v="1573200"/>
        <n v="1055700"/>
        <n v="393300"/>
        <n v="2328750"/>
        <n v="652050"/>
        <n v="2753099.9999999995"/>
        <n v="3151574.9999999995"/>
        <n v="15276599.999999998"/>
        <n v="18555480"/>
        <n v="791775"/>
        <n v="3167100"/>
        <n v="5166719.9999999991"/>
        <n v="3824325"/>
        <n v="5071500"/>
        <n v="5899500"/>
        <n v="3130875.0000000005"/>
        <n v="2504700.0000000005"/>
        <n v="1190249.9999999998"/>
        <n v="760725"/>
        <n v="828000"/>
        <n v="729674.99999999988"/>
        <n v="683100"/>
      </sharedItems>
    </cacheField>
    <cacheField name="Llegadas Cst MAY26" numFmtId="41">
      <sharedItems containsString="0" containsBlank="1" containsNumber="1" containsInteger="1" minValue="0" maxValue="0"/>
    </cacheField>
    <cacheField name="Stock + Pedido Unid MAY26" numFmtId="41">
      <sharedItems containsString="0" containsBlank="1" containsNumber="1" containsInteger="1" minValue="0" maxValue="7060"/>
    </cacheField>
    <cacheField name="Stock + Pedido Csto MAY26" numFmtId="41">
      <sharedItems containsString="0" containsBlank="1" containsNumber="1" minValue="0" maxValue="20565419.977944084"/>
    </cacheField>
    <cacheField name="Venta Neta MAY 26" numFmtId="41">
      <sharedItems containsString="0" containsBlank="1" containsNumber="1" minValue="0" maxValue="21006302.521008406"/>
    </cacheField>
    <cacheField name="Venta FCST JUN Inicial" numFmtId="41">
      <sharedItems containsString="0" containsBlank="1" containsNumber="1" minValue="0" maxValue="605"/>
    </cacheField>
    <cacheField name="Stock Inicial JUN26" numFmtId="41">
      <sharedItems containsString="0" containsBlank="1" containsNumber="1" containsInteger="1" minValue="-6" maxValue="7162"/>
    </cacheField>
    <cacheField name=" Venta PPTO JUN26" numFmtId="41">
      <sharedItems containsSemiMixedTypes="0" containsString="0" containsNumber="1" containsInteger="1" minValue="-7" maxValue="1174"/>
    </cacheField>
    <cacheField name="PEDIDO SEP_x000a_LLEGADAS JUN26" numFmtId="170">
      <sharedItems containsNonDate="0" containsString="0" containsBlank="1"/>
    </cacheField>
    <cacheField name="Transito JUN 26" numFmtId="41">
      <sharedItems containsString="0" containsBlank="1" containsNumber="1" containsInteger="1" minValue="0" maxValue="1000"/>
    </cacheField>
    <cacheField name="Embarcado Junio" numFmtId="41">
      <sharedItems containsString="0" containsBlank="1" containsNumber="1" containsInteger="1" minValue="0" maxValue="0"/>
    </cacheField>
    <cacheField name="Stock Inicial Cst JUN26" numFmtId="41">
      <sharedItems containsString="0" containsBlank="1" containsNumber="1" minValue="-52650" maxValue="31419801"/>
    </cacheField>
    <cacheField name=" Venta Cst JUN26" numFmtId="41">
      <sharedItems containsString="0" containsBlank="1" containsNumber="1" minValue="-65205" maxValue="18895663.800000001"/>
    </cacheField>
    <cacheField name="Compra Cst JUN26" numFmtId="41">
      <sharedItems containsString="0" containsBlank="1" containsNumber="1" containsInteger="1" minValue="0" maxValue="0"/>
    </cacheField>
    <cacheField name="Llegadas Cst JUN26" numFmtId="41">
      <sharedItems containsString="0" containsBlank="1" containsNumber="1" containsInteger="1" minValue="0" maxValue="0"/>
    </cacheField>
    <cacheField name="Stock + Pedido Unid JUN26" numFmtId="41">
      <sharedItems containsString="0" containsBlank="1" containsNumber="1" containsInteger="1" minValue="-6" maxValue="7162"/>
    </cacheField>
    <cacheField name="Stock + Pedido Csto JUN26" numFmtId="41">
      <sharedItems containsString="0" containsBlank="1" containsNumber="1" minValue="0" maxValue="20565419.977944084"/>
    </cacheField>
    <cacheField name="Venta Neta JUN 26" numFmtId="41">
      <sharedItems containsString="0" containsBlank="1" containsNumber="1" minValue="-147000" maxValue="46204949.579831935"/>
    </cacheField>
    <cacheField name="Venta FCST JUL Inicial" numFmtId="0">
      <sharedItems containsString="0" containsBlank="1" containsNumber="1" minValue="0" maxValue="450"/>
    </cacheField>
    <cacheField name="Stock Inicial JUL26" numFmtId="1">
      <sharedItems containsSemiMixedTypes="0" containsString="0" containsNumber="1" containsInteger="1" minValue="-1" maxValue="7076"/>
    </cacheField>
    <cacheField name=" Venta PPTO JUL26" numFmtId="41">
      <sharedItems containsString="0" containsBlank="1" containsNumber="1" minValue="0" maxValue="450"/>
    </cacheField>
    <cacheField name="Compra JUL 26" numFmtId="3">
      <sharedItems containsString="0" containsBlank="1" containsNumber="1" containsInteger="1" minValue="0" maxValue="1000"/>
    </cacheField>
    <cacheField name="Transito JUL 26" numFmtId="3">
      <sharedItems containsString="0" containsBlank="1" containsNumber="1" containsInteger="1" minValue="0" maxValue="1000"/>
    </cacheField>
    <cacheField name="Embarcado Julio 26" numFmtId="3">
      <sharedItems containsString="0" containsBlank="1" containsNumber="1" containsInteger="1" minValue="0" maxValue="0"/>
    </cacheField>
    <cacheField name="Stock Inicial Cst JUL26" numFmtId="3">
      <sharedItems containsString="0" containsBlank="1" containsNumber="1" minValue="-9096" maxValue="21149406"/>
    </cacheField>
    <cacheField name=" Venta Cst JUL26" numFmtId="3">
      <sharedItems containsString="0" containsBlank="1" containsNumber="1" minValue="0" maxValue="6939674.9999999991"/>
    </cacheField>
    <cacheField name="Compra CST JUL 26" numFmtId="3">
      <sharedItems containsString="0" containsBlank="1" containsNumber="1" minValue="0" maxValue="8154075"/>
    </cacheField>
    <cacheField name="Llegadas Cst JUL26" numFmtId="3">
      <sharedItems containsString="0" containsBlank="1" containsNumber="1" containsInteger="1" minValue="0" maxValue="0"/>
    </cacheField>
    <cacheField name="Stock + Pedido Unid JUL26" numFmtId="3">
      <sharedItems containsString="0" containsBlank="1" containsNumber="1" containsInteger="1" minValue="-1" maxValue="7076"/>
    </cacheField>
    <cacheField name="Stock + Pedido Csto JUL26" numFmtId="3">
      <sharedItems containsSemiMixedTypes="0" containsString="0" containsNumber="1" minValue="0" maxValue="20565419.977944084"/>
    </cacheField>
    <cacheField name="Venta Neta JUL 26" numFmtId="3">
      <sharedItems containsString="0" containsBlank="1" containsNumber="1" minValue="0" maxValue="20038235.294117648"/>
    </cacheField>
    <cacheField name="Venta FCST AGO Inicial" numFmtId="0">
      <sharedItems containsString="0" containsBlank="1" containsNumber="1" minValue="0" maxValue="350"/>
    </cacheField>
    <cacheField name="Stock Inicial AGO26" numFmtId="41">
      <sharedItems containsString="0" containsBlank="1" containsNumber="1" minValue="0" maxValue="7026"/>
    </cacheField>
    <cacheField name=" Venta PPTO AGO26" numFmtId="41">
      <sharedItems containsString="0" containsBlank="1" containsNumber="1" minValue="0" maxValue="350"/>
    </cacheField>
    <cacheField name="PEDIDO SEP_x000a_LLEGADAS AGO26" numFmtId="41">
      <sharedItems containsString="0" containsBlank="1" containsNumber="1" minValue="0" maxValue="1500"/>
    </cacheField>
    <cacheField name="Transito AGO 26" numFmtId="41">
      <sharedItems containsString="0" containsBlank="1" containsNumber="1" minValue="0" maxValue="1500"/>
    </cacheField>
    <cacheField name="Embarcado AGO 26" numFmtId="41">
      <sharedItems containsSemiMixedTypes="0" containsString="0" containsNumber="1" containsInteger="1" minValue="0" maxValue="1000"/>
    </cacheField>
    <cacheField name="Stock Inicial Cst AGO26" numFmtId="41">
      <sharedItems containsSemiMixedTypes="0" containsString="0" containsNumber="1" minValue="0" maxValue="19052655.486524738"/>
    </cacheField>
    <cacheField name=" Venta Cst AGO26" numFmtId="41">
      <sharedItems containsString="0" containsBlank="1" containsNumber="1" minValue="0" maxValue="9277740"/>
    </cacheField>
    <cacheField name="Compra Cst AGO26" numFmtId="41">
      <sharedItems containsString="0" containsBlank="1" containsNumber="1" minValue="0" maxValue="20120400"/>
    </cacheField>
    <cacheField name="Llegadas Cst AGO26" numFmtId="41">
      <sharedItems containsSemiMixedTypes="0" containsString="0" containsNumber="1" minValue="0" maxValue="9277740"/>
    </cacheField>
    <cacheField name="Stock + Pedido Unid AGO26" numFmtId="41">
      <sharedItems containsString="0" containsBlank="1" containsNumber="1" minValue="0" maxValue="7026"/>
    </cacheField>
    <cacheField name="Stock + Pedido Csto AGO26" numFmtId="41">
      <sharedItems containsString="0" containsBlank="1" containsNumber="1" minValue="0" maxValue="25189148"/>
    </cacheField>
    <cacheField name="Venta Neta AGO 26" numFmtId="41">
      <sharedItems containsString="0" containsBlank="1" containsNumber="1" minValue="0" maxValue="22686554.621848743"/>
    </cacheField>
    <cacheField name="Venta FCST SEP Inicial" numFmtId="0">
      <sharedItems containsString="0" containsBlank="1" containsNumber="1" minValue="0" maxValue="350"/>
    </cacheField>
    <cacheField name="Stock Inicial SEP26" numFmtId="41">
      <sharedItems containsSemiMixedTypes="0" containsString="0" containsNumber="1" minValue="0" maxValue="6976"/>
    </cacheField>
    <cacheField name=" Venta PPTO SEP26" numFmtId="41">
      <sharedItems containsString="0" containsBlank="1" containsNumber="1" minValue="0" maxValue="350"/>
    </cacheField>
    <cacheField name="PEDIDO SEP_x000a_LLEGADAS SEP26" numFmtId="41">
      <sharedItems containsString="0" containsBlank="1" containsNumber="1" containsInteger="1" minValue="0" maxValue="2000"/>
    </cacheField>
    <cacheField name="Transito SEP 26" numFmtId="41">
      <sharedItems containsString="0" containsBlank="1" containsNumber="1" containsInteger="1" minValue="0" maxValue="2000"/>
    </cacheField>
    <cacheField name="Embarcado SEP 26" numFmtId="41">
      <sharedItems containsString="0" containsBlank="1" containsNumber="1" minValue="0" maxValue="1500"/>
    </cacheField>
    <cacheField name="Stock Inicial Cst SEP26" numFmtId="41">
      <sharedItems containsString="0" containsBlank="1" containsNumber="1" minValue="0" maxValue="18036158.399999999"/>
    </cacheField>
    <cacheField name=" Venta Cst SEP26" numFmtId="41">
      <sharedItems containsString="0" containsBlank="1" containsNumber="1" minValue="0" maxValue="7731450"/>
    </cacheField>
    <cacheField name="Compra Cst SEP26" numFmtId="41">
      <sharedItems containsString="0" containsBlank="1" containsNumber="1" minValue="0" maxValue="49679999.999999993"/>
    </cacheField>
    <cacheField name="Llegadas Cst SEP26" numFmtId="41">
      <sharedItems containsSemiMixedTypes="0" containsString="0" containsNumber="1" minValue="0" maxValue="20058300"/>
    </cacheField>
    <cacheField name="Stock + Pedido Unid SEP26" numFmtId="41">
      <sharedItems containsSemiMixedTypes="0" containsString="0" containsNumber="1" minValue="0" maxValue="6976"/>
    </cacheField>
    <cacheField name="Stock + Pedido Csto SEP26" numFmtId="41">
      <sharedItems containsString="0" containsBlank="1" containsNumber="1" minValue="0" maxValue="20058300"/>
    </cacheField>
    <cacheField name="Venta Neta SEP 26" numFmtId="41">
      <sharedItems containsString="0" containsBlank="1" containsNumber="1" minValue="0" maxValue="18905462.184873953"/>
    </cacheField>
    <cacheField name="Venta FCST OCT Inicial" numFmtId="0">
      <sharedItems containsSemiMixedTypes="0" containsString="0" containsNumber="1" minValue="0" maxValue="650"/>
    </cacheField>
    <cacheField name="Stock Inicial OCT26" numFmtId="41">
      <sharedItems containsSemiMixedTypes="0" containsString="0" containsNumber="1" minValue="0" maxValue="6926"/>
    </cacheField>
    <cacheField name=" Venta PPTO OCT26" numFmtId="41">
      <sharedItems containsSemiMixedTypes="0" containsString="0" containsNumber="1" minValue="0" maxValue="600"/>
    </cacheField>
    <cacheField name="PEDIDO OCT_x000a_LLEGADAS OCT26" numFmtId="41">
      <sharedItems containsSemiMixedTypes="0" containsString="0" containsNumber="1" minValue="0" maxValue="1200"/>
    </cacheField>
    <cacheField name="Transito OCT 26" numFmtId="41">
      <sharedItems containsString="0" containsBlank="1" containsNumber="1" minValue="0" maxValue="1200"/>
    </cacheField>
    <cacheField name="Embarcado OCT 26" numFmtId="41">
      <sharedItems containsString="0" containsBlank="1" containsNumber="1" minValue="0" maxValue="1200"/>
    </cacheField>
    <cacheField name="Atrasos SEPT" numFmtId="41">
      <sharedItems containsString="0" containsBlank="1" containsNumber="1" containsInteger="1" minValue="0" maxValue="2004"/>
    </cacheField>
    <cacheField name="Stock Inicial Cst OCT26" numFmtId="41">
      <sharedItems containsSemiMixedTypes="0" containsString="0" containsNumber="1" minValue="0" maxValue="49779359.999999993"/>
    </cacheField>
    <cacheField name=" Venta Cst OCT26" numFmtId="41">
      <sharedItems containsSemiMixedTypes="0" containsString="0" containsNumber="1" minValue="0" maxValue="12419999.999999998"/>
    </cacheField>
    <cacheField name="Compra Cst OCT26" numFmtId="41">
      <sharedItems containsSemiMixedTypes="0" containsString="0" containsNumber="1" minValue="0" maxValue="38295000"/>
    </cacheField>
    <cacheField name="Llegadas Cst OCT26" numFmtId="41">
      <sharedItems containsSemiMixedTypes="0" containsString="0" containsNumber="1" minValue="0" maxValue="49779359.999999993"/>
    </cacheField>
    <cacheField name="Stock + Pedido Unid OCT26" numFmtId="41">
      <sharedItems containsSemiMixedTypes="0" containsString="0" containsNumber="1" minValue="0" maxValue="6926"/>
    </cacheField>
    <cacheField name="Stock + Pedido Csto OCT26" numFmtId="41">
      <sharedItems containsSemiMixedTypes="0" containsString="0" containsNumber="1" minValue="0" maxValue="99558719.999999985"/>
    </cacheField>
    <cacheField name="Venta Neta OCT 26" numFmtId="41">
      <sharedItems containsSemiMixedTypes="0" containsString="0" containsNumber="1" minValue="0" maxValue="25205882.352941178"/>
    </cacheField>
    <cacheField name="Venta FCST NOV Inicial" numFmtId="0">
      <sharedItems containsSemiMixedTypes="0" containsString="0" containsNumber="1" minValue="0" maxValue="350"/>
    </cacheField>
    <cacheField name="Stock Inicial NOV26" numFmtId="41">
      <sharedItems containsSemiMixedTypes="0" containsString="0" containsNumber="1" minValue="0" maxValue="6876"/>
    </cacheField>
    <cacheField name=" Venta PPTO NOV26" numFmtId="41">
      <sharedItems containsSemiMixedTypes="0" containsString="0" containsNumber="1" minValue="0" maxValue="350"/>
    </cacheField>
    <cacheField name="PEDIDO NOV_x000a_LLEGADAS NOV26" numFmtId="41">
      <sharedItems containsString="0" containsBlank="1" containsNumber="1" containsInteger="1" minValue="0" maxValue="600"/>
    </cacheField>
    <cacheField name="Transito NOV 26" numFmtId="41">
      <sharedItems containsSemiMixedTypes="0" containsString="0" containsNumber="1" containsInteger="1" minValue="0" maxValue="600"/>
    </cacheField>
    <cacheField name="Stock Inicial Cst NOV26" numFmtId="41">
      <sharedItems containsSemiMixedTypes="0" containsString="0" containsNumber="1" minValue="0" maxValue="37359359.999999993"/>
    </cacheField>
    <cacheField name=" Venta Cst NOV26" numFmtId="41">
      <sharedItems containsSemiMixedTypes="0" containsString="0" containsNumber="1" minValue="0" maxValue="9277740"/>
    </cacheField>
    <cacheField name="Compra Cst NOV26" numFmtId="41">
      <sharedItems containsSemiMixedTypes="0" containsString="0" containsNumber="1" minValue="0" maxValue="21548700"/>
    </cacheField>
    <cacheField name="Llegadas Cst NOV26" numFmtId="41">
      <sharedItems containsSemiMixedTypes="0" containsString="0" containsNumber="1" minValue="0" maxValue="18555480"/>
    </cacheField>
    <cacheField name="Stock + Pedido Unid NOV26" numFmtId="41">
      <sharedItems containsSemiMixedTypes="0" containsString="0" containsNumber="1" minValue="0" maxValue="6876"/>
    </cacheField>
    <cacheField name="Stock + Pedido Csto NOV26" numFmtId="41">
      <sharedItems containsSemiMixedTypes="0" containsString="0" containsNumber="1" minValue="0" maxValue="37359359.999999993"/>
    </cacheField>
    <cacheField name="Venta Neta NOV 26" numFmtId="41">
      <sharedItems containsSemiMixedTypes="0" containsString="0" containsNumber="1" minValue="0" maxValue="21173823.529411767"/>
    </cacheField>
    <cacheField name="Venta FCST DIC Inicial" numFmtId="0">
      <sharedItems containsSemiMixedTypes="0" containsString="0" containsNumber="1" minValue="0" maxValue="500"/>
    </cacheField>
    <cacheField name="Stock Inicial DIC26" numFmtId="41">
      <sharedItems containsString="0" containsBlank="1" containsNumber="1" minValue="0" maxValue="6826"/>
    </cacheField>
    <cacheField name=" Venta PPTO DIC26" numFmtId="41">
      <sharedItems containsSemiMixedTypes="0" containsString="0" containsNumber="1" minValue="0" maxValue="500"/>
    </cacheField>
    <cacheField name="PEDIDO DIC_x000a_LLEGADAS DIC26" numFmtId="41">
      <sharedItems containsString="0" containsBlank="1" containsNumber="1" containsInteger="1" minValue="0" maxValue="1000"/>
    </cacheField>
    <cacheField name="Transito DIC 26" numFmtId="41">
      <sharedItems containsString="0" containsBlank="1" containsNumber="1" containsInteger="1" minValue="0" maxValue="1000"/>
    </cacheField>
    <cacheField name="Stock Inicial Cst DIC26" numFmtId="41">
      <sharedItems containsSemiMixedTypes="0" containsString="0" containsNumber="1" minValue="0" maxValue="31149359.999999996"/>
    </cacheField>
    <cacheField name=" Venta Cst DIC26" numFmtId="41">
      <sharedItems containsSemiMixedTypes="0" containsString="0" containsNumber="1" minValue="0" maxValue="12419999.999999998"/>
    </cacheField>
    <cacheField name="Llegadas Cst DIC26" numFmtId="41">
      <sharedItems containsSemiMixedTypes="0" containsString="0" containsNumber="1" minValue="0" maxValue="11255625"/>
    </cacheField>
    <cacheField name="Stock + Pedido Unid DIC26" numFmtId="41">
      <sharedItems containsSemiMixedTypes="0" containsString="0" containsNumber="1" minValue="0" maxValue="6826"/>
    </cacheField>
    <cacheField name="Stock + Pedido Csto DIC26" numFmtId="41">
      <sharedItems containsSemiMixedTypes="0" containsString="0" containsNumber="1" minValue="0" maxValue="37110960"/>
    </cacheField>
    <cacheField name="Venta Neta DIC 26" numFmtId="41">
      <sharedItems containsSemiMixedTypes="0" containsString="0" containsNumber="1" minValue="0" maxValue="31508403.361344539"/>
    </cacheField>
    <cacheField name="Venta FCST ENE27 Inicial" numFmtId="41">
      <sharedItems containsSemiMixedTypes="0" containsString="0" containsNumber="1" minValue="0" maxValue="210"/>
    </cacheField>
    <cacheField name="Stock Inicial ENE27" numFmtId="41">
      <sharedItems containsString="0" containsBlank="1" containsNumber="1" minValue="0" maxValue="6776"/>
    </cacheField>
    <cacheField name=" Venta PPTO ENE27" numFmtId="41">
      <sharedItems containsString="0" containsBlank="1" containsNumber="1" minValue="0" maxValue="210"/>
    </cacheField>
    <cacheField name="COMPRA ENE27" numFmtId="41">
      <sharedItems containsSemiMixedTypes="0" containsString="0" containsNumber="1" containsInteger="1" minValue="0" maxValue="600"/>
    </cacheField>
    <cacheField name="Transito ENE27" numFmtId="41">
      <sharedItems containsString="0" containsBlank="1" containsNumber="1" containsInteger="1" minValue="0" maxValue="300"/>
    </cacheField>
    <cacheField name="Stock Inicial Cst ENE27" numFmtId="41">
      <sharedItems containsSemiMixedTypes="0" containsString="0" containsNumber="1" minValue="0" maxValue="27833220"/>
    </cacheField>
    <cacheField name=" Venta Cst ENE27" numFmtId="41">
      <sharedItems containsSemiMixedTypes="0" containsString="0" containsNumber="1" minValue="0" maxValue="4631400"/>
    </cacheField>
    <cacheField name="Llegadas Cst ENE27" numFmtId="41">
      <sharedItems containsSemiMixedTypes="0" containsString="0" containsNumber="1" minValue="0" maxValue="19147500"/>
    </cacheField>
    <cacheField name="Stock + Pedido Unid ENE27" numFmtId="41">
      <sharedItems containsSemiMixedTypes="0" containsString="0" containsNumber="1" minValue="0" maxValue="6776"/>
    </cacheField>
    <cacheField name="Stock + Pedido Csto ENE27" numFmtId="41">
      <sharedItems containsSemiMixedTypes="0" containsString="0" containsNumber="1" minValue="0" maxValue="37110960"/>
    </cacheField>
    <cacheField name="Venta Neta ENE 26" numFmtId="41">
      <sharedItems containsSemiMixedTypes="0" containsString="0" containsNumber="1" minValue="0" maxValue="13611932.773109246"/>
    </cacheField>
    <cacheField name="Cobertura DIC" numFmtId="0" formula="IFERROR(#NAME?/((#NAME?+#NAME?+#NAME?)/3),0)" databaseField="0"/>
    <cacheField name="Cumpl. DIC Acum." numFmtId="0" formula="IFERROR(#NAME?/#NAME?,0)" databaseField="0"/>
    <cacheField name="Stock + Pedido Unid ENE" numFmtId="0" formula="#NAME?+#NAME?" databaseField="0"/>
    <cacheField name="Cobert. ENE Unid" numFmtId="0" formula="IFERROR(#NAME?/((#NAME?+#NAME?+#NAME?)/3),0)" databaseField="0"/>
    <cacheField name="Cobert. Unid FEB" numFmtId="0" formula="IFERROR(#NAME?/((#NAME?+#NAME?+#NAME?)/3),0)" databaseField="0"/>
    <cacheField name="Cobert. Unid MAR" numFmtId="0" formula="IFERROR(#NAME?/((#NAME?+#NAME?+#NAME?)/3),0)" databaseField="0"/>
    <cacheField name="Cobert. Unid ABR" numFmtId="0" formula="IFERROR(#NAME?/((#NAME?+#NAME?+#NAME?)/3),0)" databaseField="0"/>
    <cacheField name="Cobert. Unid MAY" numFmtId="0" formula=" IFERROR( ('Stock HOY'+#NAME?)/((#NAME?+#NAME?+#NAME?)/3),0)" databaseField="0"/>
    <cacheField name="Cobert. Unid JUN" numFmtId="0" formula=" IFERROR(#NAME?/((#NAME?+#NAME?+#NAME?)/3),0)" databaseField="0"/>
    <cacheField name="% Acum vs FCST" numFmtId="0" formula="IFERROR('VENTA REAL UNID ENE 25'/#NAME?,0)" databaseField="0"/>
    <cacheField name="Quiebres FEB" numFmtId="0" formula="#NAME?-#NAME?" databaseField="0"/>
    <cacheField name="Cobertura JUL UNID" numFmtId="0" formula="(#NAME?)/((#NAME?+#NAME?+#NAME?)/3)" databaseField="0"/>
    <cacheField name="Cobert. AGO 25" numFmtId="0" formula=" (#NAME?)/((#NAME?+#NAME?+#NAME?)/3)" databaseField="0"/>
    <cacheField name="Cobert. SEP 25" numFmtId="0" formula="(#NAME?)/((#NAME?+#NAME?+#NAME?)/3)" databaseField="0"/>
    <cacheField name="Cobert. OCT 25" numFmtId="0" formula="(#NAME?)/((#NAME?+#NAME?+#NAME?)/3)" databaseField="0"/>
    <cacheField name="Cobert. NOV 25" numFmtId="0" formula=" ('Stock Hoy CST')/((#NAME?+#NAME?+' Venta Cst ENE26')/3)" databaseField="0"/>
    <cacheField name="Cobert. DIC 25" numFmtId="0" formula="(#NAME?)/((' Venta PPTO ENE26'+' Venta PPTO FEB26'+#NAME?)/3)" databaseField="0"/>
    <cacheField name="Cobert. Proyct. NOV 25" numFmtId="0" formula="(#NAME?)/((' Venta PPTO ENE26'+#NAME?+#NAME?)/3)" databaseField="0"/>
    <cacheField name="Cobert. ACT NOV 25" numFmtId="0" formula="('Stock Hoy CST')/((' Venta PPTO ENE26'+#NAME?+#NAME?)/3)" databaseField="0"/>
    <cacheField name="Cobert. Proyect. NOV 25" numFmtId="0" formula="(#NAME?)/((#NAME?+#NAME?+' Venta Cst ENE26')/3)" databaseField="0"/>
    <cacheField name="Cobert. Dic Cst" numFmtId="0" formula="(#NAME?)/((#NAME?+' Venta Cst ENE26'+' Venta Cst FEB26')/3)" databaseField="0"/>
    <cacheField name="Cobert. Act Dic" numFmtId="0" formula="('Stock Hoy CST')/((#NAME?+' Venta Cst ENE26'+' Venta Cst FEB26')/3)" databaseField="0"/>
    <cacheField name="Cobert. Ene 26" numFmtId="0" formula="IFERROR((('Stock + Pedido Csto ENE26')/((' Venta Cst ENE26'+' Venta Cst FEB26'+' Venta Cst MAR26')/3)),0)" databaseField="0"/>
    <cacheField name="Cobert. Unid ENE 26" numFmtId="0" formula="(('Stock + Pedido Unid ENE26')/((' Venta PPTO ENE26'+' Venta PPTO FEB26'+' Venta PPTO MAR26')/3))" databaseField="0"/>
    <cacheField name="Diferencias Venta" numFmtId="0" formula="'Stock HOY'+#NAME?-#NAME?" databaseField="0"/>
    <cacheField name="Perdida Costo" numFmtId="0" formula="'CST Actual'*'Diferencias Venta'" databaseField="0"/>
    <cacheField name="Cobertura Feb 26" numFmtId="0" formula="IFERROR((('Stock + Pedido Csto FEB26')/((' Venta Cst FEB26'+' Venta Cst MAR26'+' Venta Cst ABR26')/3)),0)" databaseField="0"/>
    <cacheField name="Cobert. MAR 26" numFmtId="0" formula=" (('Stock + Pedido Csto MAR26')/((' Venta Cst MAR26'+' Venta Cst ABR26'+' Venta Cst MAY26')/3))" databaseField="0"/>
    <cacheField name="Cobert. Feb 26 unid" numFmtId="0" formula="('Stock + Pedido Unid FEB26')/((' Venta PPTO FEB26'+' Venta PPTO MAR26'+' Venta PPTO ABR26')/3)" databaseField="0"/>
    <cacheField name="Cobert. Marzo 26 Unid" numFmtId="0" formula="('Stock + Pedido Unid MAR26')/((' Venta PPTO MAR26'+' Venta PPTO ABR26'+' Venta PPTO MAY26')/3)" databaseField="0"/>
    <cacheField name="Cobert. Abr 26" numFmtId="0" formula=" ('Stock + Pedido Csto ABR26')/((' Venta Cst ABR26'+' Venta Cst MAY26'+' Venta Cst JUN26')/3)" databaseField="0"/>
    <cacheField name="Cobert. MAY 26" numFmtId="0" formula="('Stock + Pedido Csto MAY26')/((' Venta Cst MAY26'+' Venta Cst MAY26'+' Venta Cst JUN26')/3)" databaseField="0"/>
    <cacheField name="Cobert. JUN 26" numFmtId="0" formula=" ('Stock HOY')/((' Venta PPTO JUN26'+' Venta PPTO JUL26'+' Venta PPTO AGO26')/3)" databaseField="0"/>
    <cacheField name="Cobert. ACT Ene 26" numFmtId="0" formula="IFERROR((('Stock Hoy CST')/((' Venta Cst ABR26'+' Venta Cst MAY26'+' Venta Cst MAR26')/3)),0)" databaseField="0"/>
    <cacheField name="% Cumpl. Vs FCST $" numFmtId="0" formula=" (('VENTA REAL UNID ENE 26'*'CST Actual')/' Venta Cst ENE26')" databaseField="0"/>
    <cacheField name="Cumpl. Vta Vs FCST ENE 26" numFmtId="0" formula="IFERROR(('VENTA REAL UNID ENE 26'*'COST CLP')/('Venta FCST ENE Inicial'*'COST CLP'),0)" databaseField="0"/>
    <cacheField name="Campo1" numFmtId="0" formula="'Ticekt Promedio'*' Venta PPTO ENE26'" databaseField="0"/>
    <cacheField name="Venta Enero Bruta" numFmtId="0" formula="' Venta PPTO ENE26'*'Ticekt Promedio'" databaseField="0"/>
    <cacheField name="Cumpl. Vta Vs FCST FEB 26" numFmtId="0" formula="IFERROR(('VENTA REAL UNID FEB 26'*'COST CLP')/('Venta FCST FEB Inicial'*'COST CLP'),0)" databaseField="0"/>
    <cacheField name="Cobert. Julio" numFmtId="0" formula="('Stock + Pedido Csto JUL26')/((' Venta Cst JUL26'+' Venta Cst AGO26'+' Venta Cst SEP26')/3)" databaseField="0"/>
    <cacheField name="Cobert. AGO 26" numFmtId="0" formula=" ('Stock + Pedido Csto AGO26')/((' Venta Cst AGO26'+' Venta Cst SEP26'+' Venta Cst OCT26')/3)" databaseField="0"/>
    <cacheField name="Cobert. SEP 26" numFmtId="0" formula=" ('Stock + Pedido Csto SEP26')/((' Venta Cst SEP26'+' Venta Cst OCT26'+' Venta Cst NOV26')/3)" databaseField="0"/>
    <cacheField name="Cobert. JUL 26 Unid" numFmtId="0" formula=" IFERROR(('Stock + Pedido Unid JUL26')/((' Venta PPTO JUL26'+' Venta PPTO AGO26'+' Venta PPTO SEP26')/3),0)" databaseField="0"/>
    <cacheField name="Cobert. AGO 26 Unid" numFmtId="0" formula=" IFERROR(('Stock + Pedido Unid AGO26')/((' Venta PPTO OCT26'+' Venta PPTO AGO26'+' Venta PPTO SEP26')/3),0)" databaseField="0"/>
    <cacheField name="Cobert. SEP 26 Unid" numFmtId="0" formula=" IFERROR(('Stock + Pedido Unid SEP26')/((' Venta PPTO OCT26'+' Venta PPTO NOV26'+' Venta PPTO SEP26')/3),0)" databaseField="0"/>
    <cacheField name="Cobert. OCT 26" numFmtId="0" formula="'Stock + Pedido Csto OCT26'/((' Venta Cst OCT26'+' Venta Cst NOV26'+' Venta Cst DIC26')/3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2">
  <r>
    <s v="Levo-Accesorios"/>
    <x v="0"/>
    <x v="0"/>
    <x v="0"/>
    <n v="1652825203439"/>
    <x v="0"/>
    <x v="0"/>
    <x v="0"/>
    <x v="0"/>
    <n v="1"/>
    <x v="0"/>
    <n v="154"/>
    <m/>
    <n v="0"/>
    <n v="6398"/>
    <n v="985292"/>
    <n v="6.05"/>
    <n v="6609.6249999999991"/>
    <n v="12596.638655462186"/>
    <n v="12596.638655462186"/>
    <s v="Shenzhen"/>
    <x v="0"/>
    <n v="30"/>
    <n v="50"/>
    <n v="32"/>
    <n v="0.48213850642988243"/>
    <n v="22"/>
    <n v="0.51657619174657243"/>
    <n v="105"/>
    <n v="0.61772139897451195"/>
    <n v="36"/>
    <n v="0.32695396259101883"/>
    <n v="3"/>
    <n v="0.4894639685356858"/>
    <n v="12"/>
    <n v="0.43839224190213943"/>
    <n v="23"/>
    <n v="0.48746556446627742"/>
    <n v="19"/>
    <n v="0.51014825105700545"/>
    <n v="7"/>
    <n v="0.5006593258930665"/>
    <n v="24"/>
    <n v="0.4525355021396007"/>
    <n v="13"/>
    <n v="0.49210191907116735"/>
    <n v="28"/>
    <n v="0.49210700445492528"/>
    <n v="21"/>
    <n v="0.46748515254116146"/>
    <n v="20"/>
    <n v="0.52475916347893847"/>
    <n v="24"/>
    <n v="0.61363887525039784"/>
    <n v="21"/>
    <n v="0.62740990626470217"/>
    <n v="1.05"/>
    <n v="28"/>
    <n v="0.50653421063260917"/>
    <n v="1.4"/>
    <n v="17"/>
    <n v="0.47402722463976305"/>
    <n v="0.85"/>
    <n v="2"/>
    <n v="0.49408169968551224"/>
    <n v="0.1"/>
    <n v="20"/>
    <n v="180"/>
    <n v="20"/>
    <n v="0"/>
    <m/>
    <n v="0"/>
    <n v="473452"/>
    <n v="1127114.9999999998"/>
    <n v="127960"/>
    <n v="0"/>
    <n v="154"/>
    <n v="985292"/>
    <n v="211708.21269684349"/>
    <n v="20"/>
    <n v="158"/>
    <n v="30"/>
    <n v="0"/>
    <m/>
    <n v="0"/>
    <n v="479850"/>
    <n v="989356.49999999988"/>
    <n v="191940"/>
    <n v="0"/>
    <n v="154"/>
    <n v="985292"/>
    <n v="317562.31904526521"/>
    <n v="30"/>
    <n v="119"/>
    <n v="24"/>
    <n v="0"/>
    <n v="0"/>
    <n v="413145"/>
    <n v="761362"/>
    <n v="153552"/>
    <n v="0"/>
    <n v="154"/>
    <n v="985292"/>
    <n v="302319.32773109246"/>
    <n v="20"/>
    <n v="116"/>
    <n v="21"/>
    <n v="0"/>
    <n v="0"/>
    <n v="726362.99999999988"/>
    <n v="134358"/>
    <x v="0"/>
    <x v="0"/>
    <n v="154"/>
    <n v="985292"/>
    <n v="264529.4117647059"/>
    <n v="20"/>
    <n v="182"/>
    <n v="20"/>
    <m/>
    <n v="0"/>
    <n v="0"/>
    <n v="1164436"/>
    <n v="125234.99999999999"/>
    <x v="0"/>
    <n v="0"/>
    <n v="154"/>
    <n v="985292"/>
    <n v="251932.77310924372"/>
    <n v="20"/>
    <n v="171"/>
    <n v="17"/>
    <m/>
    <n v="0"/>
    <n v="0"/>
    <n v="1094058"/>
    <n v="106449.74999999999"/>
    <n v="0"/>
    <n v="0"/>
    <n v="171"/>
    <n v="985292"/>
    <n v="214142.85714285716"/>
    <n v="20"/>
    <n v="156"/>
    <n v="20"/>
    <n v="100"/>
    <n v="100"/>
    <n v="0"/>
    <n v="998088"/>
    <n v="125234.99999999999"/>
    <n v="605302.5"/>
    <n v="0"/>
    <n v="156"/>
    <n v="985292"/>
    <n v="251932.77310924372"/>
    <n v="20"/>
    <n v="136"/>
    <n v="20"/>
    <n v="0"/>
    <n v="0"/>
    <n v="0"/>
    <n v="870128"/>
    <n v="125234.99999999999"/>
    <n v="0"/>
    <n v="0"/>
    <n v="136"/>
    <n v="870128"/>
    <n v="251932.77310924372"/>
    <n v="20"/>
    <n v="116"/>
    <n v="20"/>
    <n v="0"/>
    <n v="0"/>
    <m/>
    <n v="726362.99999999988"/>
    <n v="125234.99999999999"/>
    <n v="0"/>
    <n v="0"/>
    <n v="116"/>
    <n v="726362.99999999988"/>
    <n v="251932.77310924372"/>
    <n v="15"/>
    <n v="96"/>
    <n v="15"/>
    <n v="0"/>
    <n v="0"/>
    <n v="0"/>
    <m/>
    <n v="601127.99999999988"/>
    <n v="93926.249999999985"/>
    <n v="0"/>
    <n v="0"/>
    <n v="96"/>
    <n v="601127.99999999988"/>
    <n v="188949.57983193279"/>
    <n v="20"/>
    <n v="81"/>
    <n v="20"/>
    <m/>
    <n v="0"/>
    <n v="507201.74999999994"/>
    <n v="125234.99999999999"/>
    <n v="0"/>
    <n v="0"/>
    <n v="81"/>
    <n v="507201.74999999994"/>
    <n v="264529.4117647059"/>
    <n v="20"/>
    <n v="61"/>
    <n v="20"/>
    <n v="0"/>
    <n v="0"/>
    <n v="381966.74999999994"/>
    <n v="125234.99999999999"/>
    <n v="0"/>
    <n v="61"/>
    <n v="381966.74999999994"/>
    <n v="251932.77310924372"/>
    <n v="12"/>
    <n v="41"/>
    <n v="12"/>
    <n v="0"/>
    <m/>
    <n v="256731.74999999997"/>
    <n v="76776"/>
    <n v="0"/>
    <n v="41"/>
    <n v="256731.74999999997"/>
    <n v="151159.66386554623"/>
  </r>
  <r>
    <s v="Levo-Accesorios"/>
    <x v="0"/>
    <x v="0"/>
    <x v="0"/>
    <n v="1650299083874"/>
    <x v="1"/>
    <x v="1"/>
    <x v="0"/>
    <x v="1"/>
    <n v="1"/>
    <x v="1"/>
    <n v="80"/>
    <m/>
    <n v="0"/>
    <n v="5881"/>
    <n v="470480"/>
    <n v="5.5"/>
    <n v="6008.7499999999991"/>
    <n v="12596.638655462186"/>
    <n v="10915.966386554623"/>
    <s v="Shenzhen"/>
    <x v="0"/>
    <n v="30"/>
    <n v="200"/>
    <n v="6"/>
    <n v="0.50690003187206456"/>
    <n v="12"/>
    <n v="0.52011631961187221"/>
    <n v="11"/>
    <n v="0.55594667691758526"/>
    <n v="13"/>
    <n v="0.45643057096075629"/>
    <n v="11"/>
    <n v="0.58803214033022988"/>
    <n v="42"/>
    <n v="0.60741601161568148"/>
    <n v="8"/>
    <n v="0.5434560257741462"/>
    <n v="7"/>
    <n v="0.48674521538557447"/>
    <n v="14"/>
    <n v="0.46205732304493358"/>
    <n v="10"/>
    <n v="0.4896140527498849"/>
    <n v="4"/>
    <n v="0.49212168318328042"/>
    <n v="6"/>
    <n v="0.51571116814669438"/>
    <n v="4"/>
    <n v="0.53729490603910224"/>
    <n v="15"/>
    <n v="0.52395358195347841"/>
    <n v="4"/>
    <n v="0.55594669692683951"/>
    <n v="8"/>
    <n v="0.47302299389891334"/>
    <n v="0.8"/>
    <n v="16"/>
    <n v="0.57005726193849282"/>
    <n v="1.6"/>
    <n v="11"/>
    <n v="0.60279901088683219"/>
    <n v="1.1000000000000001"/>
    <n v="3"/>
    <n v="0.5434560428410965"/>
    <n v="0.3"/>
    <n v="5"/>
    <n v="95"/>
    <n v="10"/>
    <n v="0"/>
    <m/>
    <n v="0"/>
    <n v="214656.5"/>
    <n v="540787.5"/>
    <n v="58810"/>
    <n v="0"/>
    <n v="80"/>
    <n v="470480"/>
    <n v="105854.10634842174"/>
    <n v="10"/>
    <n v="84"/>
    <n v="22.5"/>
    <n v="0"/>
    <m/>
    <n v="0"/>
    <n v="202894.5"/>
    <n v="478170"/>
    <n v="132322.5"/>
    <n v="0"/>
    <n v="80"/>
    <n v="470480"/>
    <n v="238171.7392839489"/>
    <n v="20"/>
    <n v="59"/>
    <n v="4"/>
    <n v="0"/>
    <n v="0"/>
    <n v="127497"/>
    <n v="346979"/>
    <n v="23524"/>
    <n v="0"/>
    <n v="80"/>
    <n v="470480"/>
    <n v="50386.554621848743"/>
    <n v="10"/>
    <n v="66"/>
    <n v="8"/>
    <n v="0"/>
    <n v="0"/>
    <n v="375705"/>
    <n v="47048"/>
    <x v="0"/>
    <x v="0"/>
    <n v="80"/>
    <n v="470480"/>
    <n v="100773.10924369749"/>
    <n v="10"/>
    <n v="96"/>
    <n v="10"/>
    <m/>
    <n v="0"/>
    <n v="0"/>
    <n v="564576"/>
    <n v="56925"/>
    <x v="0"/>
    <n v="0"/>
    <n v="80"/>
    <n v="470480"/>
    <n v="125966.38655462186"/>
    <n v="10"/>
    <n v="91"/>
    <n v="11"/>
    <m/>
    <n v="0"/>
    <n v="0"/>
    <n v="535171"/>
    <n v="62617.5"/>
    <n v="0"/>
    <n v="0"/>
    <n v="91"/>
    <n v="470480"/>
    <n v="138563.02521008404"/>
    <n v="10"/>
    <n v="83"/>
    <n v="10"/>
    <n v="50"/>
    <n v="50"/>
    <n v="0"/>
    <n v="488123"/>
    <n v="56925"/>
    <n v="275137.5"/>
    <n v="0"/>
    <n v="83"/>
    <n v="470480"/>
    <n v="125966.38655462186"/>
    <n v="10"/>
    <n v="73"/>
    <n v="10"/>
    <n v="0"/>
    <n v="0"/>
    <n v="0"/>
    <n v="429313"/>
    <n v="56925"/>
    <n v="0"/>
    <n v="0"/>
    <n v="73"/>
    <n v="429313"/>
    <n v="125966.38655462186"/>
    <n v="10"/>
    <n v="63"/>
    <n v="10"/>
    <n v="0"/>
    <n v="0"/>
    <m/>
    <n v="358627.5"/>
    <n v="56925"/>
    <n v="0"/>
    <n v="0"/>
    <n v="63"/>
    <n v="358627.5"/>
    <n v="125966.38655462186"/>
    <n v="5"/>
    <n v="53"/>
    <n v="5"/>
    <n v="0"/>
    <n v="0"/>
    <n v="0"/>
    <m/>
    <n v="301702.5"/>
    <n v="28462.5"/>
    <n v="0"/>
    <n v="0"/>
    <n v="53"/>
    <n v="301702.5"/>
    <n v="54579.831932773115"/>
    <n v="10"/>
    <n v="48"/>
    <n v="10"/>
    <m/>
    <n v="0"/>
    <n v="273240"/>
    <n v="56925"/>
    <n v="0"/>
    <n v="0"/>
    <n v="48"/>
    <n v="273240"/>
    <n v="114617.64705882355"/>
    <n v="10"/>
    <n v="38"/>
    <n v="10"/>
    <n v="0"/>
    <n v="0"/>
    <n v="216315"/>
    <n v="56925"/>
    <n v="0"/>
    <n v="38"/>
    <n v="216315"/>
    <n v="125966.38655462186"/>
    <n v="6"/>
    <n v="28"/>
    <n v="6"/>
    <n v="0"/>
    <m/>
    <n v="159390"/>
    <n v="35286"/>
    <n v="0"/>
    <n v="28"/>
    <n v="159390"/>
    <n v="75579.831932773115"/>
  </r>
  <r>
    <s v="Levo-Accesorios"/>
    <x v="0"/>
    <x v="0"/>
    <x v="1"/>
    <s v="LVCAR25W"/>
    <x v="2"/>
    <x v="2"/>
    <x v="0"/>
    <x v="1"/>
    <n v="1"/>
    <x v="2"/>
    <n v="142"/>
    <m/>
    <n v="0"/>
    <n v="2126"/>
    <n v="301892"/>
    <n v="1.5"/>
    <n v="1638.7499999999998"/>
    <n v="5873.9495798319331"/>
    <n v="5873.9495798319331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2"/>
    <s v=""/>
    <n v="44"/>
    <n v="0.72622496941600667"/>
    <n v="12"/>
    <n v="0.6742636074616003"/>
    <n v="31"/>
    <n v="0.60789376613795643"/>
    <n v="4"/>
    <s v=""/>
    <n v="12"/>
    <s v=""/>
    <n v="14"/>
    <s v=""/>
    <n v="10"/>
    <s v=""/>
    <n v="0.66666666666666663"/>
    <n v="13"/>
    <s v=""/>
    <n v="0.8666666666666667"/>
    <n v="68"/>
    <s v=""/>
    <n v="2.72"/>
    <n v="5"/>
    <s v=""/>
    <n v="0.25"/>
    <n v="15"/>
    <n v="168"/>
    <n v="3"/>
    <n v="0"/>
    <m/>
    <n v="0"/>
    <n v="74410"/>
    <n v="260819.99999999997"/>
    <n v="6378"/>
    <n v="0"/>
    <n v="142"/>
    <n v="301892"/>
    <n v="14808.276251677144"/>
    <n v="15"/>
    <n v="165"/>
    <n v="18"/>
    <n v="0"/>
    <m/>
    <n v="0"/>
    <n v="89292"/>
    <n v="256162.49999999997"/>
    <n v="38268"/>
    <n v="0"/>
    <n v="142"/>
    <n v="301892"/>
    <n v="88849.657510062854"/>
    <n v="20"/>
    <n v="153"/>
    <n v="14"/>
    <n v="0"/>
    <n v="0"/>
    <n v="74311.5"/>
    <n v="325278"/>
    <n v="29764"/>
    <n v="0"/>
    <n v="142"/>
    <n v="301892"/>
    <n v="82235.294117647063"/>
    <n v="15"/>
    <n v="139"/>
    <n v="10"/>
    <n v="0"/>
    <n v="0"/>
    <n v="215797.49999999997"/>
    <n v="21260"/>
    <x v="0"/>
    <x v="0"/>
    <n v="142"/>
    <n v="301892"/>
    <n v="58739.495798319331"/>
    <n v="15"/>
    <n v="155"/>
    <n v="15"/>
    <m/>
    <n v="0"/>
    <n v="0"/>
    <n v="329530"/>
    <n v="23287.499999999996"/>
    <x v="0"/>
    <n v="0"/>
    <n v="142"/>
    <n v="301892"/>
    <n v="88109.243697478989"/>
    <n v="25"/>
    <n v="210"/>
    <n v="68"/>
    <m/>
    <n v="0"/>
    <n v="0"/>
    <n v="446460"/>
    <n v="105569.99999999999"/>
    <n v="0"/>
    <n v="0"/>
    <n v="210"/>
    <n v="301892"/>
    <n v="399428.57142857148"/>
    <n v="20"/>
    <n v="147"/>
    <n v="20"/>
    <n v="100"/>
    <n v="100"/>
    <n v="0"/>
    <n v="312522"/>
    <n v="31049.999999999996"/>
    <n v="150074.99999999997"/>
    <n v="0"/>
    <n v="147"/>
    <n v="301892"/>
    <n v="117478.99159663866"/>
    <n v="20"/>
    <n v="127"/>
    <n v="20"/>
    <n v="0"/>
    <n v="0"/>
    <n v="0"/>
    <n v="270002"/>
    <n v="31049.999999999996"/>
    <n v="0"/>
    <n v="0"/>
    <n v="127"/>
    <n v="270002"/>
    <n v="117478.99159663866"/>
    <n v="20"/>
    <n v="107"/>
    <n v="20"/>
    <n v="0"/>
    <n v="0"/>
    <m/>
    <n v="166117.49999999997"/>
    <n v="31049.999999999996"/>
    <n v="0"/>
    <n v="0"/>
    <n v="107"/>
    <n v="166117.49999999997"/>
    <n v="117478.99159663866"/>
    <n v="30"/>
    <n v="87"/>
    <n v="30"/>
    <n v="0"/>
    <n v="0"/>
    <n v="0"/>
    <m/>
    <n v="135067.49999999997"/>
    <n v="46574.999999999993"/>
    <n v="0"/>
    <n v="0"/>
    <n v="87"/>
    <n v="135067.49999999997"/>
    <n v="176218.48739495798"/>
    <n v="50"/>
    <n v="57"/>
    <n v="50"/>
    <m/>
    <n v="0"/>
    <n v="88492.499999999985"/>
    <n v="77624.999999999985"/>
    <n v="0"/>
    <n v="0"/>
    <n v="57"/>
    <n v="88492.499999999985"/>
    <n v="308382.3529411765"/>
    <n v="50"/>
    <n v="7"/>
    <n v="50"/>
    <n v="0"/>
    <n v="0"/>
    <n v="10867.499999999998"/>
    <n v="77624.999999999985"/>
    <n v="0"/>
    <n v="7"/>
    <n v="10867.499999999998"/>
    <n v="293697.47899159667"/>
    <n v="30"/>
    <n v="0"/>
    <n v="30"/>
    <n v="0"/>
    <m/>
    <n v="0"/>
    <n v="63780"/>
    <n v="0"/>
    <n v="0"/>
    <n v="0"/>
    <n v="176218.48739495798"/>
  </r>
  <r>
    <s v="Levo-Accesorios"/>
    <x v="0"/>
    <x v="0"/>
    <x v="1"/>
    <s v="LVCAR25W"/>
    <x v="3"/>
    <x v="3"/>
    <x v="0"/>
    <x v="1"/>
    <n v="0.8"/>
    <x v="3"/>
    <n v="173"/>
    <m/>
    <n v="0"/>
    <n v="2126"/>
    <n v="367798"/>
    <n v="1.5"/>
    <n v="1638.7499999999998"/>
    <n v="5873.9495798319331"/>
    <n v="5873.9495798319331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65784179608916071"/>
    <n v="3"/>
    <n v="0.71652073425485574"/>
    <n v="8"/>
    <n v="0.77864542662293712"/>
    <n v="1"/>
    <s v=""/>
    <n v="5"/>
    <s v=""/>
    <n v="7"/>
    <s v=""/>
    <n v="8"/>
    <s v=""/>
    <n v="0.53333333333333333"/>
    <n v="17"/>
    <s v=""/>
    <n v="1.1333333333333333"/>
    <n v="17"/>
    <s v=""/>
    <n v="0.85"/>
    <n v="1"/>
    <s v=""/>
    <n v="6.6666666666666666E-2"/>
    <n v="15"/>
    <n v="220"/>
    <n v="3"/>
    <n v="0"/>
    <m/>
    <n v="0"/>
    <n v="37205"/>
    <n v="341549.99999999994"/>
    <n v="6378"/>
    <n v="0"/>
    <n v="173"/>
    <n v="367798"/>
    <n v="14808.276251677144"/>
    <n v="15"/>
    <n v="218"/>
    <n v="7.5"/>
    <n v="0"/>
    <m/>
    <n v="0"/>
    <n v="47835"/>
    <n v="338444.99999999994"/>
    <n v="15945"/>
    <n v="0"/>
    <n v="173"/>
    <n v="367798"/>
    <n v="37020.690629192861"/>
    <n v="15"/>
    <n v="217"/>
    <n v="7"/>
    <n v="0"/>
    <n v="0"/>
    <n v="50520"/>
    <n v="461342"/>
    <n v="14882"/>
    <n v="0"/>
    <n v="173"/>
    <n v="367798"/>
    <n v="41117.647058823532"/>
    <n v="15"/>
    <n v="211"/>
    <n v="8"/>
    <n v="0"/>
    <n v="0"/>
    <n v="327577.49999999994"/>
    <n v="17008"/>
    <x v="0"/>
    <x v="0"/>
    <n v="173"/>
    <n v="367798"/>
    <n v="46991.596638655465"/>
    <n v="15"/>
    <n v="190"/>
    <n v="12"/>
    <m/>
    <n v="0"/>
    <n v="0"/>
    <n v="403940"/>
    <n v="18629.999999999996"/>
    <x v="0"/>
    <n v="0"/>
    <n v="173"/>
    <n v="367798"/>
    <n v="70487.394957983197"/>
    <n v="20"/>
    <n v="190"/>
    <n v="17"/>
    <m/>
    <n v="0"/>
    <n v="0"/>
    <n v="403940"/>
    <n v="26392.499999999996"/>
    <n v="0"/>
    <n v="0"/>
    <n v="190"/>
    <n v="367798"/>
    <n v="99857.14285714287"/>
    <n v="15"/>
    <n v="174"/>
    <n v="12"/>
    <n v="0"/>
    <n v="0"/>
    <n v="0"/>
    <n v="369924"/>
    <n v="18629.999999999996"/>
    <n v="0"/>
    <n v="0"/>
    <n v="174"/>
    <n v="367798"/>
    <n v="70487.394957983197"/>
    <n v="15"/>
    <n v="162"/>
    <n v="12"/>
    <n v="0"/>
    <n v="0"/>
    <n v="0"/>
    <n v="344412"/>
    <n v="18629.999999999996"/>
    <n v="0"/>
    <n v="0"/>
    <n v="162"/>
    <n v="344412"/>
    <n v="70487.394957983197"/>
    <n v="15"/>
    <n v="150"/>
    <n v="12"/>
    <n v="0"/>
    <n v="0"/>
    <m/>
    <n v="232874.99999999997"/>
    <n v="18629.999999999996"/>
    <n v="0"/>
    <n v="0"/>
    <n v="150"/>
    <n v="232874.99999999997"/>
    <n v="70487.394957983197"/>
    <n v="20"/>
    <n v="138"/>
    <n v="16"/>
    <n v="0"/>
    <n v="0"/>
    <n v="0"/>
    <m/>
    <n v="214244.99999999997"/>
    <n v="24839.999999999996"/>
    <n v="0"/>
    <n v="0"/>
    <n v="138"/>
    <n v="214244.99999999997"/>
    <n v="93983.193277310929"/>
    <n v="20"/>
    <n v="122"/>
    <n v="16"/>
    <m/>
    <n v="0"/>
    <n v="189404.99999999997"/>
    <n v="24839.999999999996"/>
    <n v="0"/>
    <n v="0"/>
    <n v="122"/>
    <n v="189404.99999999997"/>
    <n v="98682.352941176476"/>
    <n v="20"/>
    <n v="106"/>
    <n v="16"/>
    <n v="0"/>
    <n v="0"/>
    <n v="164564.99999999997"/>
    <n v="24839.999999999996"/>
    <n v="0"/>
    <n v="106"/>
    <n v="164564.99999999997"/>
    <n v="93983.193277310929"/>
    <n v="12"/>
    <n v="90"/>
    <n v="9.6000000000000014"/>
    <n v="0"/>
    <m/>
    <n v="139724.99999999997"/>
    <n v="20409.600000000002"/>
    <n v="0"/>
    <n v="90"/>
    <n v="139724.99999999997"/>
    <n v="56389.915966386565"/>
  </r>
  <r>
    <s v="Levo-Accesorios"/>
    <x v="0"/>
    <x v="0"/>
    <x v="1"/>
    <s v="LVCAR45W"/>
    <x v="4"/>
    <x v="4"/>
    <x v="0"/>
    <x v="1"/>
    <n v="1"/>
    <x v="4"/>
    <n v="107"/>
    <m/>
    <n v="0"/>
    <n v="3112"/>
    <n v="332984"/>
    <n v="2.5"/>
    <n v="2731.25"/>
    <n v="7554.6218487394963"/>
    <n v="7554.6218487394963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2930222897340093"/>
    <n v="6"/>
    <n v="0.62371101809312224"/>
    <n v="20"/>
    <n v="0.70831700838421818"/>
    <n v="7"/>
    <s v=""/>
    <n v="19"/>
    <s v=""/>
    <n v="22"/>
    <s v=""/>
    <n v="13"/>
    <s v=""/>
    <n v="0.65"/>
    <n v="23"/>
    <s v=""/>
    <n v="1.1499999999999999"/>
    <n v="28"/>
    <s v=""/>
    <n v="1.4"/>
    <n v="4"/>
    <s v=""/>
    <n v="0.2"/>
    <n v="15"/>
    <n v="218"/>
    <n v="2"/>
    <n v="0"/>
    <m/>
    <n v="0"/>
    <n v="163380"/>
    <n v="564075"/>
    <n v="6224"/>
    <n v="0"/>
    <n v="107"/>
    <n v="332984"/>
    <n v="12696.843443259659"/>
    <n v="15"/>
    <n v="210"/>
    <n v="28.5"/>
    <n v="0"/>
    <m/>
    <n v="0"/>
    <n v="197612"/>
    <n v="543375"/>
    <n v="88692"/>
    <n v="0"/>
    <n v="107"/>
    <n v="332984"/>
    <n v="180930.01906645013"/>
    <n v="25"/>
    <n v="198"/>
    <n v="22"/>
    <n v="0"/>
    <n v="0"/>
    <n v="160670"/>
    <n v="616176"/>
    <n v="68464"/>
    <n v="0"/>
    <n v="107"/>
    <n v="332984"/>
    <n v="166201.68067226891"/>
    <n v="20"/>
    <n v="169"/>
    <n v="13"/>
    <n v="0"/>
    <n v="0"/>
    <n v="437287.5"/>
    <n v="40456"/>
    <x v="0"/>
    <x v="0"/>
    <n v="107"/>
    <n v="332984"/>
    <n v="98210.084033613457"/>
    <n v="20"/>
    <n v="130"/>
    <n v="20"/>
    <m/>
    <n v="0"/>
    <n v="0"/>
    <n v="404560"/>
    <n v="51750"/>
    <x v="0"/>
    <n v="0"/>
    <n v="107"/>
    <n v="332984"/>
    <n v="151092.43697478992"/>
    <n v="20"/>
    <n v="135"/>
    <n v="28"/>
    <m/>
    <n v="0"/>
    <n v="0"/>
    <n v="420120"/>
    <n v="72450"/>
    <n v="0"/>
    <n v="0"/>
    <n v="135"/>
    <n v="332984"/>
    <n v="211529.4117647059"/>
    <n v="20"/>
    <n v="111"/>
    <n v="20"/>
    <n v="0"/>
    <n v="0"/>
    <n v="0"/>
    <n v="345432"/>
    <n v="51750"/>
    <n v="0"/>
    <n v="0"/>
    <n v="111"/>
    <n v="332984"/>
    <n v="151092.43697478992"/>
    <n v="20"/>
    <n v="91"/>
    <n v="20"/>
    <n v="0"/>
    <n v="0"/>
    <n v="0"/>
    <n v="283192"/>
    <n v="51750"/>
    <n v="0"/>
    <n v="0"/>
    <n v="91"/>
    <n v="283192"/>
    <n v="151092.43697478992"/>
    <n v="20"/>
    <n v="71"/>
    <n v="20"/>
    <n v="0"/>
    <n v="0"/>
    <m/>
    <n v="183712.5"/>
    <n v="51750"/>
    <n v="0"/>
    <n v="0"/>
    <n v="71"/>
    <n v="183712.5"/>
    <n v="151092.43697478992"/>
    <n v="40"/>
    <n v="51"/>
    <n v="40"/>
    <n v="0"/>
    <n v="0"/>
    <n v="0"/>
    <m/>
    <n v="131962.5"/>
    <n v="103500"/>
    <n v="0"/>
    <n v="0"/>
    <n v="51"/>
    <n v="131962.5"/>
    <n v="302184.87394957984"/>
    <n v="53"/>
    <n v="11"/>
    <n v="53"/>
    <m/>
    <n v="0"/>
    <n v="28462.5"/>
    <n v="137137.5"/>
    <n v="0"/>
    <n v="0"/>
    <n v="11"/>
    <n v="28462.5"/>
    <n v="420414.70588235295"/>
    <n v="53"/>
    <n v="0"/>
    <n v="53"/>
    <n v="0"/>
    <n v="0"/>
    <n v="0"/>
    <n v="137137.5"/>
    <n v="0"/>
    <n v="0"/>
    <n v="0"/>
    <n v="400394.95798319328"/>
    <n v="31.799999999999997"/>
    <n v="0"/>
    <n v="31.799999999999997"/>
    <n v="0"/>
    <m/>
    <n v="0"/>
    <n v="98961.599999999991"/>
    <n v="0"/>
    <n v="0"/>
    <n v="0"/>
    <n v="240236.97478991596"/>
  </r>
  <r>
    <s v="Levo-Accesorios"/>
    <x v="0"/>
    <x v="0"/>
    <x v="1"/>
    <s v="LVCAR45W"/>
    <x v="5"/>
    <x v="5"/>
    <x v="0"/>
    <x v="1"/>
    <n v="1"/>
    <x v="5"/>
    <n v="180"/>
    <m/>
    <n v="0"/>
    <n v="3112"/>
    <n v="560160"/>
    <n v="2.5"/>
    <n v="2731.25"/>
    <n v="7554.6218487394963"/>
    <n v="7554.6218487394963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2"/>
    <n v="0.71491388787101506"/>
    <n v="8"/>
    <n v="0.55631487640535593"/>
    <n v="28"/>
    <n v="0.64075082013967977"/>
    <n v="28"/>
    <n v="0.63003608717836035"/>
    <n v="10"/>
    <n v="0.71247870733119978"/>
    <n v="10"/>
    <s v=""/>
    <n v="17"/>
    <s v=""/>
    <n v="14"/>
    <s v=""/>
    <n v="19"/>
    <s v=""/>
    <n v="1.2666666666666666"/>
    <n v="14"/>
    <s v=""/>
    <n v="0.93333333333333335"/>
    <n v="32"/>
    <s v=""/>
    <n v="1.28"/>
    <n v="0"/>
    <s v=""/>
    <n v="0"/>
    <n v="15"/>
    <n v="161"/>
    <n v="12"/>
    <n v="0"/>
    <m/>
    <n v="0"/>
    <n v="160268"/>
    <n v="416587.5"/>
    <n v="37344"/>
    <n v="0"/>
    <n v="180"/>
    <n v="560160"/>
    <n v="76181.060659557959"/>
    <n v="15"/>
    <n v="151"/>
    <n v="25.5"/>
    <n v="0"/>
    <m/>
    <n v="0"/>
    <n v="182052"/>
    <n v="390712.5"/>
    <n v="79356"/>
    <n v="0"/>
    <n v="180"/>
    <n v="560160"/>
    <n v="161884.75390156065"/>
    <n v="25"/>
    <n v="137"/>
    <n v="14"/>
    <n v="0"/>
    <n v="0"/>
    <n v="141508.5"/>
    <n v="426344"/>
    <n v="43568"/>
    <n v="0"/>
    <n v="180"/>
    <n v="560160"/>
    <n v="105764.70588235295"/>
    <n v="15"/>
    <n v="117"/>
    <n v="19"/>
    <n v="0"/>
    <n v="0"/>
    <n v="302737.5"/>
    <n v="59128"/>
    <x v="0"/>
    <x v="0"/>
    <n v="180"/>
    <n v="560160"/>
    <n v="143537.81512605044"/>
    <n v="15"/>
    <n v="194"/>
    <n v="15"/>
    <m/>
    <n v="0"/>
    <n v="0"/>
    <n v="603728"/>
    <n v="38812.5"/>
    <x v="0"/>
    <n v="0"/>
    <n v="180"/>
    <n v="560160"/>
    <n v="113319.32773109245"/>
    <n v="25"/>
    <n v="212"/>
    <n v="32"/>
    <m/>
    <n v="0"/>
    <n v="0"/>
    <n v="659744"/>
    <n v="82800"/>
    <n v="0"/>
    <n v="0"/>
    <n v="212"/>
    <n v="560160"/>
    <n v="241747.89915966388"/>
    <n v="15"/>
    <n v="180"/>
    <n v="15"/>
    <n v="100"/>
    <n v="100"/>
    <n v="0"/>
    <n v="560160"/>
    <n v="38812.5"/>
    <n v="250125"/>
    <n v="0"/>
    <n v="180"/>
    <n v="560160"/>
    <n v="113319.32773109245"/>
    <n v="15"/>
    <n v="165"/>
    <n v="15"/>
    <n v="0"/>
    <n v="0"/>
    <n v="0"/>
    <n v="513480"/>
    <n v="38812.5"/>
    <n v="0"/>
    <n v="0"/>
    <n v="165"/>
    <n v="513480"/>
    <n v="113319.32773109245"/>
    <n v="10"/>
    <n v="150"/>
    <n v="10"/>
    <n v="0"/>
    <n v="0"/>
    <m/>
    <n v="388125"/>
    <n v="25875"/>
    <n v="0"/>
    <n v="0"/>
    <n v="150"/>
    <n v="388125"/>
    <n v="75546.218487394959"/>
    <n v="15"/>
    <n v="140"/>
    <n v="15"/>
    <n v="0"/>
    <n v="0"/>
    <n v="0"/>
    <m/>
    <n v="362250"/>
    <n v="38812.5"/>
    <n v="0"/>
    <n v="0"/>
    <n v="140"/>
    <n v="362250"/>
    <n v="113319.32773109245"/>
    <n v="18"/>
    <n v="125"/>
    <n v="18"/>
    <m/>
    <n v="0"/>
    <n v="323437.5"/>
    <n v="46575"/>
    <n v="0"/>
    <n v="0"/>
    <n v="125"/>
    <n v="323437.5"/>
    <n v="142782.35294117648"/>
    <n v="20"/>
    <n v="107"/>
    <n v="20"/>
    <n v="0"/>
    <n v="0"/>
    <n v="276862.5"/>
    <n v="51750"/>
    <n v="0"/>
    <n v="107"/>
    <n v="276862.5"/>
    <n v="151092.43697478992"/>
    <n v="10.799999999999999"/>
    <n v="87"/>
    <n v="10.799999999999999"/>
    <n v="0"/>
    <m/>
    <n v="225112.5"/>
    <n v="33609.599999999999"/>
    <n v="0"/>
    <n v="87"/>
    <n v="225112.5"/>
    <n v="81589.915966386558"/>
  </r>
  <r>
    <s v="Levo-Accesorios"/>
    <x v="0"/>
    <x v="0"/>
    <x v="2"/>
    <s v="LVCABTC"/>
    <x v="6"/>
    <x v="6"/>
    <x v="0"/>
    <x v="1"/>
    <n v="1"/>
    <x v="6"/>
    <n v="110"/>
    <m/>
    <n v="0"/>
    <n v="1815"/>
    <n v="199650"/>
    <n v="0.8"/>
    <n v="873.99999999999989"/>
    <n v="5873.9495798319331"/>
    <n v="4193.2773109243699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23"/>
    <n v="0.63941591338035164"/>
    <n v="10"/>
    <n v="0.61546892570624101"/>
    <n v="14"/>
    <n v="0.63359651877439327"/>
    <n v="8"/>
    <s v=""/>
    <n v="10"/>
    <s v=""/>
    <n v="19"/>
    <s v=""/>
    <n v="14"/>
    <s v=""/>
    <n v="0.93333333333333335"/>
    <n v="15"/>
    <s v=""/>
    <n v="1"/>
    <n v="24"/>
    <s v=""/>
    <n v="0.48"/>
    <n v="1"/>
    <s v=""/>
    <n v="6.6666666666666666E-2"/>
    <n v="15"/>
    <n v="200"/>
    <n v="3"/>
    <n v="0"/>
    <m/>
    <n v="0"/>
    <n v="67155"/>
    <n v="165599.99999999997"/>
    <n v="5445"/>
    <n v="0"/>
    <n v="110"/>
    <n v="199650"/>
    <n v="14808.276251677144"/>
    <n v="15"/>
    <n v="192"/>
    <n v="15"/>
    <n v="0"/>
    <m/>
    <n v="0"/>
    <n v="87120"/>
    <n v="158975.99999999997"/>
    <n v="27225"/>
    <n v="0"/>
    <n v="110"/>
    <n v="199650"/>
    <n v="74041.381258385722"/>
    <n v="20"/>
    <n v="186"/>
    <n v="19"/>
    <n v="0"/>
    <n v="0"/>
    <n v="72315"/>
    <n v="337590"/>
    <n v="34485"/>
    <n v="0"/>
    <n v="110"/>
    <n v="199650"/>
    <n v="111605.04201680672"/>
    <n v="15"/>
    <n v="158"/>
    <n v="14"/>
    <n v="0"/>
    <n v="0"/>
    <n v="130823.99999999999"/>
    <n v="25410"/>
    <x v="0"/>
    <x v="0"/>
    <n v="110"/>
    <n v="199650"/>
    <n v="82235.294117647063"/>
    <n v="15"/>
    <n v="125"/>
    <n v="15"/>
    <m/>
    <n v="0"/>
    <n v="0"/>
    <n v="226875"/>
    <n v="12419.999999999998"/>
    <x v="0"/>
    <n v="0"/>
    <n v="110"/>
    <n v="199650"/>
    <n v="88109.243697478989"/>
    <n v="50"/>
    <n v="134"/>
    <n v="24"/>
    <m/>
    <n v="0"/>
    <n v="0"/>
    <n v="243210"/>
    <n v="19871.999999999996"/>
    <n v="0"/>
    <n v="0"/>
    <n v="134"/>
    <n v="199650"/>
    <n v="140974.78991596639"/>
    <n v="15"/>
    <n v="111"/>
    <n v="15"/>
    <n v="0"/>
    <n v="0"/>
    <n v="0"/>
    <n v="201465"/>
    <n v="12419.999999999998"/>
    <n v="0"/>
    <n v="0"/>
    <n v="111"/>
    <n v="199650"/>
    <n v="88109.243697478989"/>
    <n v="15"/>
    <n v="96"/>
    <n v="15"/>
    <n v="0"/>
    <n v="0"/>
    <n v="0"/>
    <n v="174240"/>
    <n v="12419.999999999998"/>
    <n v="0"/>
    <n v="0"/>
    <n v="96"/>
    <n v="174240"/>
    <n v="88109.243697478989"/>
    <n v="15"/>
    <n v="81"/>
    <n v="15"/>
    <n v="0"/>
    <n v="0"/>
    <m/>
    <n v="67067.999999999985"/>
    <n v="12419.999999999998"/>
    <n v="0"/>
    <n v="0"/>
    <n v="81"/>
    <n v="67067.999999999985"/>
    <n v="88109.243697478989"/>
    <n v="35"/>
    <n v="66"/>
    <n v="35"/>
    <n v="0"/>
    <n v="0"/>
    <n v="0"/>
    <m/>
    <n v="54647.999999999993"/>
    <n v="28979.999999999996"/>
    <n v="0"/>
    <n v="0"/>
    <n v="66"/>
    <n v="54647.999999999993"/>
    <n v="146764.70588235295"/>
    <n v="50"/>
    <n v="31"/>
    <n v="50"/>
    <m/>
    <n v="0"/>
    <n v="25667.999999999996"/>
    <n v="41399.999999999993"/>
    <n v="0"/>
    <n v="0"/>
    <n v="31"/>
    <n v="25667.999999999996"/>
    <n v="220147.05882352943"/>
    <n v="50"/>
    <n v="0"/>
    <n v="50"/>
    <n v="0"/>
    <n v="0"/>
    <n v="0"/>
    <n v="41399.999999999993"/>
    <n v="0"/>
    <n v="0"/>
    <n v="0"/>
    <n v="293697.47899159667"/>
    <n v="30"/>
    <n v="0"/>
    <n v="30"/>
    <n v="0"/>
    <m/>
    <n v="0"/>
    <n v="54450"/>
    <n v="0"/>
    <n v="0"/>
    <n v="0"/>
    <n v="176218.48739495798"/>
  </r>
  <r>
    <s v="Levo-Accesorios"/>
    <x v="0"/>
    <x v="0"/>
    <x v="2"/>
    <s v="LVCABTC"/>
    <x v="7"/>
    <x v="7"/>
    <x v="0"/>
    <x v="1"/>
    <n v="1"/>
    <x v="7"/>
    <n v="36"/>
    <m/>
    <n v="0"/>
    <n v="1815"/>
    <n v="65340"/>
    <n v="0.8"/>
    <n v="873.99999999999989"/>
    <n v="5873.9495798319331"/>
    <n v="4193.2773109243699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7"/>
    <n v="0.6910112359550562"/>
    <n v="10"/>
    <n v="0.69100858369098717"/>
    <n v="16"/>
    <n v="0.6437548023986015"/>
    <n v="28"/>
    <n v="0.66628042848860591"/>
    <n v="18"/>
    <s v=""/>
    <n v="17"/>
    <s v=""/>
    <n v="27"/>
    <s v=""/>
    <n v="21"/>
    <s v=""/>
    <n v="0.84"/>
    <n v="39"/>
    <s v=""/>
    <n v="1.56"/>
    <n v="32"/>
    <s v=""/>
    <n v="1.0666666666666667"/>
    <n v="4"/>
    <s v=""/>
    <n v="0.16"/>
    <n v="15"/>
    <n v="186"/>
    <n v="10"/>
    <n v="0"/>
    <m/>
    <n v="0"/>
    <n v="113437.5"/>
    <n v="154007.99999999997"/>
    <n v="18150"/>
    <n v="0"/>
    <n v="36"/>
    <n v="65340"/>
    <n v="49360.920838923812"/>
    <n v="15"/>
    <n v="166"/>
    <n v="25.5"/>
    <n v="0"/>
    <m/>
    <n v="0"/>
    <n v="133402.5"/>
    <n v="137447.99999999997"/>
    <n v="46282.5"/>
    <n v="0"/>
    <n v="36"/>
    <n v="65340"/>
    <n v="125870.34813925572"/>
    <n v="25"/>
    <n v="156"/>
    <n v="27"/>
    <n v="0"/>
    <n v="0"/>
    <n v="107820"/>
    <n v="283140"/>
    <n v="49005"/>
    <n v="0"/>
    <n v="36"/>
    <n v="65340"/>
    <n v="158596.63865546219"/>
    <n v="25"/>
    <n v="123"/>
    <n v="21"/>
    <n v="0"/>
    <n v="0"/>
    <n v="101843.99999999999"/>
    <n v="38115"/>
    <x v="0"/>
    <x v="0"/>
    <n v="36"/>
    <n v="65340"/>
    <n v="123352.9411764706"/>
    <n v="25"/>
    <n v="75"/>
    <n v="25"/>
    <m/>
    <n v="0"/>
    <n v="0"/>
    <n v="136125"/>
    <n v="20699.999999999996"/>
    <x v="0"/>
    <n v="0"/>
    <n v="36"/>
    <n v="65340"/>
    <n v="146848.73949579833"/>
    <n v="30"/>
    <n v="68"/>
    <n v="32"/>
    <m/>
    <n v="0"/>
    <n v="0"/>
    <n v="123420"/>
    <n v="26495.999999999996"/>
    <n v="0"/>
    <n v="0"/>
    <n v="68"/>
    <n v="65340"/>
    <n v="187966.38655462186"/>
    <n v="25"/>
    <n v="40"/>
    <n v="25"/>
    <n v="100"/>
    <n v="100"/>
    <n v="0"/>
    <n v="72600"/>
    <n v="20699.999999999996"/>
    <n v="80040"/>
    <n v="0"/>
    <n v="40"/>
    <n v="65340"/>
    <n v="146848.73949579833"/>
    <n v="25"/>
    <n v="15"/>
    <n v="25"/>
    <n v="0"/>
    <n v="0"/>
    <n v="0"/>
    <n v="27225"/>
    <n v="20699.999999999996"/>
    <n v="0"/>
    <n v="0"/>
    <n v="15"/>
    <n v="27225"/>
    <n v="146848.73949579833"/>
    <n v="15"/>
    <n v="0"/>
    <n v="15"/>
    <n v="0"/>
    <n v="0"/>
    <m/>
    <n v="0"/>
    <n v="12419.999999999998"/>
    <n v="0"/>
    <n v="0"/>
    <n v="0"/>
    <n v="0"/>
    <n v="88109.243697478989"/>
    <n v="25"/>
    <n v="0"/>
    <n v="0"/>
    <n v="0"/>
    <n v="0"/>
    <n v="0"/>
    <m/>
    <n v="0"/>
    <n v="0"/>
    <n v="0"/>
    <n v="0"/>
    <n v="0"/>
    <n v="0"/>
    <n v="0"/>
    <n v="25"/>
    <n v="0"/>
    <n v="25"/>
    <m/>
    <n v="0"/>
    <n v="0"/>
    <n v="20699.999999999996"/>
    <n v="0"/>
    <n v="0"/>
    <n v="0"/>
    <n v="0"/>
    <n v="110073.52941176471"/>
    <n v="25"/>
    <n v="0"/>
    <n v="25"/>
    <n v="0"/>
    <n v="0"/>
    <n v="0"/>
    <n v="20699.999999999996"/>
    <n v="0"/>
    <n v="0"/>
    <n v="0"/>
    <n v="146848.73949579833"/>
    <n v="15"/>
    <n v="0"/>
    <n v="15"/>
    <n v="0"/>
    <m/>
    <n v="0"/>
    <n v="27225"/>
    <n v="0"/>
    <n v="0"/>
    <n v="0"/>
    <n v="88109.243697478989"/>
  </r>
  <r>
    <s v="Levo-Accesorios"/>
    <x v="0"/>
    <x v="0"/>
    <x v="2"/>
    <s v="LVCABTCLIGH-WH"/>
    <x v="8"/>
    <x v="8"/>
    <x v="0"/>
    <x v="1"/>
    <n v="1"/>
    <x v="8"/>
    <n v="3"/>
    <m/>
    <n v="0"/>
    <n v="840"/>
    <n v="2520"/>
    <n v="0.8"/>
    <n v="873.99999999999989"/>
    <n v="5033.6134453781515"/>
    <n v="4193.2773109243699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3"/>
    <n v="0.88881535407015222"/>
    <n v="38"/>
    <n v="0.81306628516928947"/>
    <n v="26"/>
    <n v="0.83646973561298488"/>
    <n v="47"/>
    <n v="0.8415720505211387"/>
    <n v="18"/>
    <s v=""/>
    <n v="16"/>
    <s v=""/>
    <n v="19"/>
    <s v=""/>
    <n v="16"/>
    <s v=""/>
    <n v="0.64"/>
    <n v="31"/>
    <s v=""/>
    <n v="1.24"/>
    <n v="120"/>
    <s v=""/>
    <n v="4"/>
    <n v="3"/>
    <s v=""/>
    <n v="0.12"/>
    <n v="15"/>
    <n v="239"/>
    <n v="10"/>
    <n v="0"/>
    <m/>
    <n v="0"/>
    <n v="44520"/>
    <n v="197891.99999999997"/>
    <n v="8400"/>
    <n v="0"/>
    <n v="3"/>
    <n v="2520"/>
    <n v="42299.272650236569"/>
    <n v="15"/>
    <n v="220"/>
    <n v="24"/>
    <n v="0"/>
    <m/>
    <n v="0"/>
    <n v="49560"/>
    <n v="182159.99999999997"/>
    <n v="20160"/>
    <n v="0"/>
    <n v="3"/>
    <n v="2520"/>
    <n v="101518.25436056778"/>
    <n v="25"/>
    <n v="202"/>
    <n v="19"/>
    <n v="0"/>
    <n v="0"/>
    <n v="50100"/>
    <n v="169680"/>
    <n v="15960"/>
    <n v="0"/>
    <n v="3"/>
    <n v="2520"/>
    <n v="95638.655462184877"/>
    <n v="25"/>
    <n v="180"/>
    <n v="16"/>
    <n v="0"/>
    <n v="0"/>
    <n v="149039.99999999997"/>
    <n v="13440"/>
    <x v="0"/>
    <x v="0"/>
    <n v="3"/>
    <n v="2520"/>
    <n v="80537.815126050424"/>
    <n v="25"/>
    <n v="34"/>
    <n v="25"/>
    <m/>
    <n v="0"/>
    <n v="0"/>
    <n v="28560"/>
    <n v="20699.999999999996"/>
    <x v="0"/>
    <n v="0"/>
    <n v="3"/>
    <n v="2520"/>
    <n v="125840.33613445378"/>
    <n v="30"/>
    <n v="123"/>
    <n v="120"/>
    <m/>
    <n v="0"/>
    <n v="0"/>
    <n v="103320"/>
    <n v="99359.999999999985"/>
    <n v="0"/>
    <n v="0"/>
    <n v="123"/>
    <n v="2520"/>
    <n v="604033.61344537814"/>
    <n v="25"/>
    <n v="6"/>
    <n v="25"/>
    <n v="0"/>
    <n v="0"/>
    <n v="0"/>
    <n v="5040"/>
    <n v="20699.999999999996"/>
    <n v="0"/>
    <n v="0"/>
    <n v="6"/>
    <n v="2520"/>
    <n v="125840.33613445378"/>
    <n v="25"/>
    <n v="0"/>
    <n v="25"/>
    <n v="0"/>
    <n v="0"/>
    <n v="0"/>
    <n v="0"/>
    <n v="20699.999999999996"/>
    <n v="0"/>
    <n v="0"/>
    <n v="0"/>
    <n v="0"/>
    <n v="125840.33613445378"/>
    <n v="15"/>
    <n v="0"/>
    <n v="15"/>
    <n v="0"/>
    <n v="0"/>
    <m/>
    <n v="0"/>
    <n v="12419.999999999998"/>
    <n v="0"/>
    <n v="0"/>
    <n v="0"/>
    <n v="0"/>
    <n v="75504.201680672268"/>
    <n v="25"/>
    <n v="0"/>
    <n v="0"/>
    <n v="100"/>
    <n v="100"/>
    <n v="100"/>
    <n v="0"/>
    <n v="0"/>
    <n v="0"/>
    <n v="82799.999999999985"/>
    <n v="82799.999999999985"/>
    <n v="100"/>
    <n v="82799.999999999985"/>
    <n v="0"/>
    <n v="25"/>
    <n v="100"/>
    <n v="25"/>
    <m/>
    <n v="0"/>
    <n v="82799.999999999985"/>
    <n v="20699.999999999996"/>
    <n v="0"/>
    <n v="0"/>
    <n v="100"/>
    <n v="82799.999999999985"/>
    <n v="110073.52941176471"/>
    <n v="25"/>
    <n v="75"/>
    <n v="25"/>
    <n v="0"/>
    <n v="0"/>
    <n v="62099.999999999993"/>
    <n v="20699.999999999996"/>
    <n v="0"/>
    <n v="75"/>
    <n v="62099.999999999993"/>
    <n v="125840.33613445378"/>
    <n v="15"/>
    <n v="50"/>
    <n v="15"/>
    <n v="0"/>
    <m/>
    <n v="41399.999999999993"/>
    <n v="12600"/>
    <n v="0"/>
    <n v="50"/>
    <n v="41399.999999999993"/>
    <n v="75504.201680672268"/>
  </r>
  <r>
    <s v="Levo-Accesorios"/>
    <x v="0"/>
    <x v="0"/>
    <x v="3"/>
    <s v="LVHUBMP-5"/>
    <x v="9"/>
    <x v="9"/>
    <x v="0"/>
    <x v="1"/>
    <n v="1"/>
    <x v="9"/>
    <n v="81"/>
    <m/>
    <n v="0"/>
    <n v="3786"/>
    <n v="306666"/>
    <n v="3"/>
    <n v="3277.4999999999995"/>
    <n v="10915.966386554623"/>
    <n v="10915.966386554623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40"/>
    <n v="0.67795994263401915"/>
    <n v="2"/>
    <n v="0.59004442745903596"/>
    <n v="15"/>
    <n v="0.61016131094977266"/>
    <n v="24"/>
    <n v="0.50608776713475923"/>
    <n v="72"/>
    <n v="0.47640986898402443"/>
    <n v="5"/>
    <s v=""/>
    <n v="4"/>
    <s v=""/>
    <n v="3"/>
    <s v=""/>
    <n v="1"/>
    <s v=""/>
    <n v="0.1"/>
    <n v="5"/>
    <s v=""/>
    <n v="0.5"/>
    <n v="3"/>
    <s v=""/>
    <n v="0.1"/>
    <n v="-1"/>
    <s v=""/>
    <n v="-0.05"/>
    <n v="15"/>
    <n v="46"/>
    <n v="5"/>
    <n v="0"/>
    <m/>
    <n v="0"/>
    <n v="53004"/>
    <n v="142829.99999999997"/>
    <n v="18930"/>
    <n v="0"/>
    <n v="81"/>
    <n v="306666"/>
    <n v="45865.40498552363"/>
    <n v="20"/>
    <n v="38"/>
    <n v="6"/>
    <n v="0"/>
    <m/>
    <n v="0"/>
    <n v="37860"/>
    <n v="117989.99999999999"/>
    <n v="22716"/>
    <n v="0"/>
    <n v="81"/>
    <n v="306666"/>
    <n v="55038.48598262835"/>
    <n v="10"/>
    <n v="34"/>
    <n v="3"/>
    <n v="0"/>
    <n v="0"/>
    <n v="46194"/>
    <n v="128724"/>
    <n v="11358"/>
    <n v="0"/>
    <n v="81"/>
    <n v="306666"/>
    <n v="32747.899159663866"/>
    <n v="10"/>
    <n v="34"/>
    <n v="1"/>
    <n v="0"/>
    <n v="0"/>
    <n v="105569.99999999999"/>
    <n v="3786"/>
    <x v="0"/>
    <x v="0"/>
    <n v="81"/>
    <n v="306666"/>
    <n v="10915.966386554623"/>
    <n v="10"/>
    <n v="86"/>
    <n v="10"/>
    <m/>
    <n v="0"/>
    <n v="0"/>
    <n v="325596"/>
    <n v="31049.999999999996"/>
    <x v="0"/>
    <n v="0"/>
    <n v="81"/>
    <n v="306666"/>
    <n v="109159.66386554623"/>
    <n v="30"/>
    <n v="84"/>
    <n v="3"/>
    <m/>
    <n v="0"/>
    <n v="0"/>
    <n v="318024"/>
    <n v="9314.9999999999982"/>
    <n v="0"/>
    <n v="0"/>
    <n v="84"/>
    <n v="306666"/>
    <n v="32747.899159663866"/>
    <n v="20"/>
    <n v="80"/>
    <n v="20"/>
    <n v="50"/>
    <n v="50"/>
    <n v="0"/>
    <n v="302880"/>
    <n v="62099.999999999993"/>
    <n v="150074.99999999997"/>
    <n v="0"/>
    <n v="80"/>
    <n v="306666"/>
    <n v="218319.32773109246"/>
    <n v="10"/>
    <n v="60"/>
    <n v="10"/>
    <n v="40"/>
    <n v="40"/>
    <n v="40"/>
    <n v="227160"/>
    <n v="31049.999999999996"/>
    <n v="124199.99999999999"/>
    <n v="124199.99999999999"/>
    <n v="100"/>
    <n v="351360"/>
    <n v="109159.66386554623"/>
    <n v="10"/>
    <n v="90"/>
    <n v="10"/>
    <n v="0"/>
    <n v="0"/>
    <m/>
    <n v="279449.99999999994"/>
    <n v="31049.999999999996"/>
    <n v="0"/>
    <n v="0"/>
    <n v="90"/>
    <n v="279449.99999999994"/>
    <n v="109159.66386554623"/>
    <n v="30"/>
    <n v="80"/>
    <n v="30"/>
    <n v="0"/>
    <n v="0"/>
    <n v="0"/>
    <m/>
    <n v="248399.99999999997"/>
    <n v="93149.999999999985"/>
    <n v="0"/>
    <n v="0"/>
    <n v="80"/>
    <n v="248399.99999999997"/>
    <n v="327478.99159663869"/>
    <n v="20"/>
    <n v="50"/>
    <n v="20"/>
    <m/>
    <n v="0"/>
    <n v="155249.99999999997"/>
    <n v="62099.999999999993"/>
    <n v="0"/>
    <n v="0"/>
    <n v="50"/>
    <n v="155249.99999999997"/>
    <n v="229235.29411764711"/>
    <n v="10"/>
    <n v="30"/>
    <n v="10"/>
    <n v="0"/>
    <n v="0"/>
    <n v="93149.999999999985"/>
    <n v="31049.999999999996"/>
    <n v="0"/>
    <n v="30"/>
    <n v="93149.999999999985"/>
    <n v="109159.66386554623"/>
    <n v="12"/>
    <n v="20"/>
    <n v="12"/>
    <n v="0"/>
    <m/>
    <n v="62099.999999999993"/>
    <n v="45432"/>
    <n v="0"/>
    <n v="20"/>
    <n v="62099.999999999993"/>
    <n v="130991.59663865546"/>
  </r>
  <r>
    <s v="Levo-Accesorios"/>
    <x v="0"/>
    <x v="0"/>
    <x v="3"/>
    <s v="LVHUBMP-6"/>
    <x v="10"/>
    <x v="10"/>
    <x v="0"/>
    <x v="0"/>
    <n v="1"/>
    <x v="10"/>
    <n v="62"/>
    <m/>
    <n v="0"/>
    <n v="3470"/>
    <n v="215140"/>
    <n v="3"/>
    <n v="3277.4999999999995"/>
    <n v="10075.63025210084"/>
    <n v="10915.966386554623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8"/>
    <n v="0.62036761322108225"/>
    <n v="2"/>
    <n v="0.62035733622089873"/>
    <n v="19"/>
    <n v="0.60914246956395512"/>
    <n v="51"/>
    <n v="0.54103780920701972"/>
    <n v="52"/>
    <n v="0.59861546370916863"/>
    <n v="16"/>
    <s v=""/>
    <n v="116"/>
    <s v=""/>
    <n v="18"/>
    <s v=""/>
    <n v="7"/>
    <s v=""/>
    <n v="0.35"/>
    <n v="3"/>
    <s v=""/>
    <n v="0.15"/>
    <n v="4"/>
    <s v=""/>
    <n v="0.13333333333333333"/>
    <n v="4"/>
    <s v=""/>
    <n v="0.2"/>
    <n v="20"/>
    <n v="154"/>
    <n v="5"/>
    <n v="0"/>
    <m/>
    <n v="0"/>
    <n v="683590"/>
    <n v="478169.99999999994"/>
    <n v="17350"/>
    <n v="0"/>
    <n v="62"/>
    <n v="215140"/>
    <n v="42334.580891180005"/>
    <n v="20"/>
    <n v="165"/>
    <n v="174"/>
    <n v="30"/>
    <n v="30"/>
    <n v="0"/>
    <n v="690530"/>
    <n v="512324.99999999994"/>
    <n v="603780"/>
    <n v="0"/>
    <n v="62"/>
    <n v="215140"/>
    <n v="1473243.4150130642"/>
    <n v="20"/>
    <n v="49"/>
    <n v="18"/>
    <n v="0"/>
    <n v="0"/>
    <n v="148850"/>
    <n v="170030"/>
    <n v="62460"/>
    <n v="0"/>
    <n v="62"/>
    <n v="215140"/>
    <n v="181361.34453781514"/>
    <n v="20"/>
    <n v="28"/>
    <n v="7"/>
    <n v="0"/>
    <n v="0"/>
    <n v="86939.999999999985"/>
    <n v="24290"/>
    <x v="0"/>
    <x v="0"/>
    <n v="62"/>
    <n v="215140"/>
    <n v="70529.411764705874"/>
    <n v="20"/>
    <n v="65"/>
    <n v="20"/>
    <m/>
    <n v="0"/>
    <n v="0"/>
    <n v="225550"/>
    <n v="62099.999999999993"/>
    <x v="0"/>
    <n v="0"/>
    <n v="62"/>
    <n v="215140"/>
    <n v="201512.6050420168"/>
    <n v="30"/>
    <n v="66"/>
    <n v="4"/>
    <m/>
    <n v="0"/>
    <n v="0"/>
    <n v="229020"/>
    <n v="12419.999999999998"/>
    <n v="0"/>
    <n v="0"/>
    <n v="66"/>
    <n v="215140"/>
    <n v="40302.521008403361"/>
    <n v="20"/>
    <n v="66"/>
    <n v="20"/>
    <n v="50"/>
    <n v="50"/>
    <n v="0"/>
    <n v="229020"/>
    <n v="62099.999999999993"/>
    <n v="150074.99999999997"/>
    <n v="0"/>
    <n v="66"/>
    <n v="215140"/>
    <n v="201512.6050420168"/>
    <n v="20"/>
    <n v="46"/>
    <n v="20"/>
    <n v="50"/>
    <n v="50"/>
    <n v="50"/>
    <n v="159620"/>
    <n v="62099.999999999993"/>
    <n v="155249.99999999997"/>
    <n v="155249.99999999997"/>
    <n v="96"/>
    <n v="314870"/>
    <n v="201512.6050420168"/>
    <n v="15"/>
    <n v="76"/>
    <n v="15"/>
    <n v="0"/>
    <n v="0"/>
    <m/>
    <n v="235979.99999999997"/>
    <n v="46574.999999999993"/>
    <n v="0"/>
    <n v="0"/>
    <n v="76"/>
    <n v="235979.99999999997"/>
    <n v="151134.4537815126"/>
    <n v="40"/>
    <n v="61"/>
    <n v="40"/>
    <n v="0"/>
    <n v="0"/>
    <n v="0"/>
    <m/>
    <n v="189404.99999999997"/>
    <n v="124199.99999999999"/>
    <n v="0"/>
    <n v="0"/>
    <n v="61"/>
    <n v="189404.99999999997"/>
    <n v="436638.65546218492"/>
    <n v="30"/>
    <n v="21"/>
    <n v="30"/>
    <m/>
    <n v="0"/>
    <n v="65204.999999999993"/>
    <n v="93149.999999999985"/>
    <n v="0"/>
    <n v="0"/>
    <n v="21"/>
    <n v="65204.999999999993"/>
    <n v="343852.94117647066"/>
    <n v="20"/>
    <n v="0"/>
    <n v="20"/>
    <n v="0"/>
    <n v="0"/>
    <n v="0"/>
    <n v="62099.999999999993"/>
    <n v="0"/>
    <n v="0"/>
    <n v="0"/>
    <n v="201512.6050420168"/>
    <n v="18"/>
    <n v="0"/>
    <n v="18"/>
    <n v="0"/>
    <m/>
    <n v="0"/>
    <n v="62460"/>
    <n v="0"/>
    <n v="0"/>
    <n v="0"/>
    <n v="181361.34453781514"/>
  </r>
  <r>
    <s v="Levo-Perifericos de Computacion"/>
    <x v="0"/>
    <x v="1"/>
    <x v="4"/>
    <n v="1659990788079"/>
    <x v="11"/>
    <x v="11"/>
    <x v="0"/>
    <x v="0"/>
    <n v="1"/>
    <x v="11"/>
    <n v="21"/>
    <m/>
    <n v="0"/>
    <n v="5989.2141909814318"/>
    <n v="125773.49801061007"/>
    <n v="7"/>
    <n v="7647.4999999999991"/>
    <n v="16798.319327731093"/>
    <n v="14277.310924369749"/>
    <s v="Shenzhen"/>
    <x v="0"/>
    <n v="30"/>
    <n v="200"/>
    <n v="87"/>
    <n v="0.44057182279091045"/>
    <n v="47"/>
    <n v="0.44081914356011498"/>
    <n v="4"/>
    <n v="0.48614852566436112"/>
    <n v="0"/>
    <n v="0.43473835164240493"/>
    <n v="0"/>
    <s v=""/>
    <n v="32"/>
    <n v="0.63173232033623428"/>
    <n v="23"/>
    <n v="0.62923806009628203"/>
    <n v="55"/>
    <n v="0.58825015697244754"/>
    <n v="34"/>
    <n v="0.58854311895391964"/>
    <n v="55"/>
    <n v="0.49665618913259346"/>
    <n v="109"/>
    <n v="0.47377281209470001"/>
    <n v="201"/>
    <n v="0.53469469937914149"/>
    <n v="3"/>
    <n v="0.44063817147765499"/>
    <n v="7"/>
    <n v="0.44730548837831252"/>
    <n v="38"/>
    <n v="0.43473834464958117"/>
    <n v="29"/>
    <s v=""/>
    <n v="0.72499999999999998"/>
    <n v="51"/>
    <s v=""/>
    <n v="1.2749999999999999"/>
    <n v="85"/>
    <n v="0.62537962540566772"/>
    <n v="1.2142857142857142"/>
    <n v="33"/>
    <n v="0.63883705053514728"/>
    <n v="0.82499999999999996"/>
    <n v="50"/>
    <n v="1"/>
    <n v="1"/>
    <n v="0"/>
    <m/>
    <n v="0"/>
    <n v="296466.10245358088"/>
    <n v="7244.9999999999991"/>
    <n v="5989.2141909814318"/>
    <n v="0"/>
    <n v="21"/>
    <n v="125773.49801061007"/>
    <n v="14116.234729185793"/>
    <n v="40"/>
    <n v="52"/>
    <n v="10.5"/>
    <n v="50"/>
    <n v="50"/>
    <n v="0"/>
    <n v="464164.09980106098"/>
    <n v="376739.99999999994"/>
    <n v="62886.749005305035"/>
    <n v="0"/>
    <n v="21"/>
    <n v="125773.49801061007"/>
    <n v="148220.46465645081"/>
    <n v="20"/>
    <n v="41"/>
    <n v="38"/>
    <n v="0"/>
    <n v="0"/>
    <n v="691077.35079575586"/>
    <n v="245557.7818302387"/>
    <n v="227590.13925729442"/>
    <n v="0"/>
    <n v="21"/>
    <n v="125773.49801061007"/>
    <n v="638336.13445378153"/>
    <n v="40"/>
    <n v="153"/>
    <n v="29"/>
    <n v="150"/>
    <n v="0"/>
    <n v="1108484.9999999998"/>
    <n v="173687.21153846153"/>
    <x v="1"/>
    <x v="0"/>
    <n v="21"/>
    <n v="125773.49801061007"/>
    <n v="487151.26050420169"/>
    <n v="40"/>
    <n v="72"/>
    <n v="40"/>
    <m/>
    <n v="0"/>
    <n v="0"/>
    <n v="431223.42175066308"/>
    <n v="289799.99999999994"/>
    <x v="0"/>
    <n v="0"/>
    <n v="21"/>
    <n v="125773.49801061007"/>
    <n v="671932.77310924372"/>
    <n v="70"/>
    <n v="106"/>
    <n v="85"/>
    <m/>
    <n v="0"/>
    <n v="0"/>
    <n v="634856.7042440318"/>
    <n v="615824.99999999988"/>
    <n v="0"/>
    <n v="0"/>
    <n v="106"/>
    <n v="125773.49801061007"/>
    <n v="1427857.142857143"/>
    <n v="40"/>
    <n v="54"/>
    <n v="40"/>
    <n v="52"/>
    <n v="52"/>
    <n v="0"/>
    <n v="323417.56631299731"/>
    <n v="289799.99999999994"/>
    <n v="364181.99999999994"/>
    <n v="0"/>
    <n v="54"/>
    <n v="125773.49801061007"/>
    <n v="671932.77310924372"/>
    <n v="70"/>
    <n v="14"/>
    <n v="70"/>
    <n v="85"/>
    <n v="85"/>
    <n v="0"/>
    <n v="83848.998673740047"/>
    <n v="507149.99999999994"/>
    <n v="615824.99999999988"/>
    <n v="0"/>
    <n v="99"/>
    <n v="699673.99867373996"/>
    <n v="1175882.3529411764"/>
    <n v="35"/>
    <n v="0"/>
    <n v="35"/>
    <n v="0"/>
    <n v="0"/>
    <n v="86"/>
    <n v="0"/>
    <n v="253574.99999999997"/>
    <n v="0"/>
    <n v="623069.99999999988"/>
    <n v="86"/>
    <n v="623069.99999999988"/>
    <n v="587941.17647058819"/>
    <n v="70"/>
    <n v="51"/>
    <n v="51"/>
    <n v="150"/>
    <n v="150"/>
    <n v="150"/>
    <n v="0"/>
    <n v="369494.99999999994"/>
    <n v="369494.99999999994"/>
    <n v="1086749.9999999998"/>
    <n v="1086749.9999999998"/>
    <n v="201"/>
    <n v="1456244.9999999998"/>
    <n v="728142.85714285716"/>
    <n v="80"/>
    <n v="150"/>
    <n v="80"/>
    <n v="150"/>
    <n v="150"/>
    <n v="1086749.9999999998"/>
    <n v="579599.99999999988"/>
    <n v="1086749.9999999998"/>
    <n v="1086749.9999999998"/>
    <n v="300"/>
    <n v="2173499.9999999995"/>
    <n v="1199294.117647059"/>
    <n v="150"/>
    <n v="220"/>
    <n v="150"/>
    <n v="0"/>
    <n v="0"/>
    <n v="1593899.9999999998"/>
    <n v="1086749.9999999998"/>
    <n v="0"/>
    <n v="220"/>
    <n v="1593899.9999999998"/>
    <n v="2519747.8991596638"/>
    <n v="48"/>
    <n v="70"/>
    <n v="48"/>
    <n v="0"/>
    <m/>
    <n v="507149.99999999994"/>
    <n v="287482.28116710874"/>
    <n v="0"/>
    <n v="70"/>
    <n v="507149.99999999994"/>
    <n v="806319.32773109246"/>
  </r>
  <r>
    <m/>
    <x v="0"/>
    <x v="1"/>
    <x v="4"/>
    <s v="LVCONJOY-RB"/>
    <x v="12"/>
    <x v="12"/>
    <x v="0"/>
    <x v="2"/>
    <n v="1"/>
    <x v="12"/>
    <n v="199"/>
    <m/>
    <n v="0"/>
    <n v="9504.75"/>
    <n v="1891445.25"/>
    <n v="9.5"/>
    <n v="10160.25"/>
    <n v="25614.0756302521"/>
    <n v="21771.964285714286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2"/>
    <s v=""/>
    <n v="0.2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99"/>
    <n v="1891445.25"/>
    <n v="0"/>
    <n v="0"/>
    <n v="0"/>
    <n v="0"/>
    <n v="0"/>
    <n v="0"/>
    <n v="0"/>
    <n v="0"/>
    <n v="0"/>
    <n v="0"/>
    <n v="199"/>
    <n v="1891445.25"/>
    <n v="0"/>
    <n v="0"/>
    <n v="0"/>
    <n v="0"/>
    <n v="0"/>
    <n v="0"/>
    <n v="0"/>
    <n v="0"/>
    <x v="0"/>
    <x v="0"/>
    <n v="199"/>
    <n v="1891445.25"/>
    <n v="0"/>
    <n v="0"/>
    <n v="199"/>
    <n v="0"/>
    <m/>
    <n v="0"/>
    <n v="0"/>
    <n v="1891445.25"/>
    <n v="0"/>
    <x v="0"/>
    <n v="0"/>
    <n v="199"/>
    <n v="1891445.25"/>
    <n v="0"/>
    <n v="0"/>
    <n v="199"/>
    <n v="0"/>
    <m/>
    <n v="0"/>
    <n v="0"/>
    <n v="1891445.25"/>
    <n v="0"/>
    <n v="0"/>
    <n v="0"/>
    <n v="199"/>
    <n v="1891445.25"/>
    <n v="0"/>
    <n v="10"/>
    <n v="201"/>
    <n v="10"/>
    <n v="200"/>
    <n v="200"/>
    <n v="0"/>
    <n v="1910454.75"/>
    <n v="98325"/>
    <n v="1900950"/>
    <n v="0"/>
    <n v="201"/>
    <n v="1891445.25"/>
    <n v="256140.75630252101"/>
    <n v="50"/>
    <n v="191"/>
    <n v="50"/>
    <n v="0"/>
    <n v="0"/>
    <n v="0"/>
    <n v="1815407.25"/>
    <n v="491625"/>
    <n v="0"/>
    <n v="0"/>
    <n v="191"/>
    <n v="1815407.25"/>
    <n v="1280703.781512605"/>
    <n v="15"/>
    <n v="141"/>
    <n v="15"/>
    <n v="0"/>
    <n v="0"/>
    <m/>
    <n v="1386382.5"/>
    <n v="147487.5"/>
    <n v="0"/>
    <n v="0"/>
    <n v="141"/>
    <n v="1386382.5"/>
    <n v="384211.13445378153"/>
    <n v="40"/>
    <n v="126"/>
    <n v="40"/>
    <n v="0"/>
    <n v="0"/>
    <n v="0"/>
    <m/>
    <n v="1238895"/>
    <n v="393300"/>
    <n v="0"/>
    <n v="0"/>
    <n v="126"/>
    <n v="1238895"/>
    <n v="870878.57142857148"/>
    <n v="60"/>
    <n v="86"/>
    <n v="60"/>
    <n v="75"/>
    <n v="75"/>
    <n v="845595"/>
    <n v="589950"/>
    <n v="737437.5"/>
    <n v="737437.5"/>
    <n v="161"/>
    <n v="1583032.5"/>
    <n v="1371633.7500000002"/>
    <n v="100"/>
    <n v="101"/>
    <n v="100"/>
    <n v="0"/>
    <n v="0"/>
    <n v="993082.5"/>
    <n v="983250"/>
    <n v="0"/>
    <n v="101"/>
    <n v="993082.5"/>
    <n v="2561407.5630252101"/>
    <n v="36"/>
    <n v="1"/>
    <n v="36"/>
    <n v="0"/>
    <m/>
    <n v="9832.5"/>
    <n v="342171"/>
    <n v="0"/>
    <n v="1"/>
    <n v="9832.5"/>
    <n v="922106.72268907563"/>
  </r>
  <r>
    <s v="Levo-Perifericos de Computacion"/>
    <x v="0"/>
    <x v="1"/>
    <x v="4"/>
    <n v="1659990828178"/>
    <x v="13"/>
    <x v="13"/>
    <x v="0"/>
    <x v="0"/>
    <n v="1"/>
    <x v="13"/>
    <n v="15"/>
    <m/>
    <n v="0"/>
    <n v="4812.75"/>
    <n v="72191.25"/>
    <n v="4.5"/>
    <n v="4812.75"/>
    <n v="16798.319327731093"/>
    <n v="14277.310924369749"/>
    <s v="Shenzhen"/>
    <x v="0"/>
    <n v="30"/>
    <n v="50"/>
    <n v="34"/>
    <n v="0.51441136956283984"/>
    <n v="61"/>
    <n v="0.49768274955744546"/>
    <n v="72"/>
    <n v="0.50315475998610126"/>
    <n v="50"/>
    <n v="0.51940022934733576"/>
    <n v="36"/>
    <n v="0.55677626026880001"/>
    <n v="100"/>
    <n v="0.52831329314068065"/>
    <n v="60"/>
    <n v="0.52113993350516785"/>
    <n v="58"/>
    <n v="0.52360138194715555"/>
    <n v="2"/>
    <n v="0.42156571469678439"/>
    <n v="91"/>
    <n v="0.40168600278656463"/>
    <n v="169"/>
    <n v="0.38894079188769071"/>
    <n v="76"/>
    <n v="0.42796582247993653"/>
    <n v="1"/>
    <n v="0.51441139460800767"/>
    <n v="7"/>
    <n v="0.49717928523862531"/>
    <n v="54"/>
    <n v="0.50315505857765208"/>
    <n v="83"/>
    <n v="0.51721931698432322"/>
    <n v="1.66"/>
    <n v="33"/>
    <n v="0.55530673376430106"/>
    <n v="0.82499999999999996"/>
    <n v="38"/>
    <n v="0.52874856876110643"/>
    <n v="0.6333333333333333"/>
    <n v="43"/>
    <n v="0.51879328044752382"/>
    <n v="0.86"/>
    <n v="0"/>
    <n v="0"/>
    <n v="0"/>
    <n v="0"/>
    <m/>
    <n v="0"/>
    <n v="310422.375"/>
    <n v="0"/>
    <n v="0"/>
    <n v="0"/>
    <n v="15"/>
    <n v="72191.25"/>
    <n v="0"/>
    <n v="40"/>
    <n v="99"/>
    <n v="10.5"/>
    <n v="100"/>
    <n v="100"/>
    <n v="0"/>
    <n v="709880.625"/>
    <n v="461092.5"/>
    <n v="50533.875"/>
    <n v="0"/>
    <n v="15"/>
    <n v="72191.25"/>
    <n v="148220.46465645081"/>
    <n v="40"/>
    <n v="93"/>
    <n v="54"/>
    <n v="0"/>
    <n v="0"/>
    <n v="845646.75"/>
    <n v="447585.75"/>
    <n v="259888.5"/>
    <n v="0"/>
    <n v="15"/>
    <n v="72191.25"/>
    <n v="907109.24369747902"/>
    <n v="50"/>
    <n v="127"/>
    <n v="83"/>
    <n v="95"/>
    <n v="0"/>
    <n v="591502.5"/>
    <n v="399458.25"/>
    <x v="2"/>
    <x v="0"/>
    <n v="15"/>
    <n v="72191.25"/>
    <n v="1394260.5042016807"/>
    <n v="40"/>
    <n v="48"/>
    <n v="40"/>
    <m/>
    <n v="0"/>
    <n v="0"/>
    <n v="231012"/>
    <n v="186300"/>
    <x v="0"/>
    <n v="0"/>
    <n v="15"/>
    <n v="72191.25"/>
    <n v="671932.77310924372"/>
    <n v="60"/>
    <n v="53"/>
    <n v="38"/>
    <m/>
    <n v="0"/>
    <n v="0"/>
    <n v="255075.75"/>
    <n v="176985"/>
    <n v="0"/>
    <n v="0"/>
    <n v="53"/>
    <n v="72191.25"/>
    <n v="638336.13445378153"/>
    <n v="50"/>
    <n v="58"/>
    <n v="50"/>
    <n v="75"/>
    <n v="75"/>
    <n v="0"/>
    <n v="279139.5"/>
    <n v="232875"/>
    <n v="337668.75"/>
    <n v="0"/>
    <n v="58"/>
    <n v="72191.25"/>
    <n v="839915.96638655465"/>
    <n v="60"/>
    <n v="8"/>
    <n v="60"/>
    <n v="50"/>
    <n v="50"/>
    <n v="0"/>
    <n v="38502"/>
    <n v="279450"/>
    <n v="232875"/>
    <n v="0"/>
    <n v="58"/>
    <n v="271377"/>
    <n v="1007899.1596638656"/>
    <n v="30"/>
    <n v="0"/>
    <n v="30"/>
    <n v="50"/>
    <n v="50"/>
    <n v="100"/>
    <n v="0"/>
    <n v="139725"/>
    <n v="232875"/>
    <n v="465750"/>
    <n v="100"/>
    <n v="465750"/>
    <n v="503949.57983193279"/>
    <n v="150"/>
    <n v="70"/>
    <n v="70"/>
    <n v="250"/>
    <n v="250"/>
    <n v="250"/>
    <n v="0"/>
    <n v="326025"/>
    <n v="326025"/>
    <n v="1164375"/>
    <n v="1164375"/>
    <n v="320"/>
    <n v="1490400"/>
    <n v="999411.76470588241"/>
    <n v="150"/>
    <n v="250"/>
    <n v="150"/>
    <m/>
    <n v="0"/>
    <n v="1164375"/>
    <n v="698625"/>
    <n v="0"/>
    <n v="0"/>
    <n v="250"/>
    <n v="1164375"/>
    <n v="2248676.4705882357"/>
    <n v="250"/>
    <n v="100"/>
    <n v="250"/>
    <n v="0"/>
    <n v="0"/>
    <n v="465750"/>
    <n v="1164375"/>
    <n v="0"/>
    <n v="100"/>
    <n v="465750"/>
    <n v="4199579.8319327729"/>
    <n v="90"/>
    <n v="0"/>
    <n v="90"/>
    <n v="0"/>
    <m/>
    <n v="0"/>
    <n v="433147.5"/>
    <n v="0"/>
    <n v="0"/>
    <n v="0"/>
    <n v="1511848.7394957985"/>
  </r>
  <r>
    <s v="Levo-Perifericos de Computacion"/>
    <x v="0"/>
    <x v="1"/>
    <x v="4"/>
    <n v="66436804863605"/>
    <x v="14"/>
    <x v="14"/>
    <x v="0"/>
    <x v="1"/>
    <n v="1"/>
    <x v="14"/>
    <n v="20"/>
    <m/>
    <n v="0"/>
    <n v="4812.75"/>
    <n v="96255"/>
    <n v="4.5"/>
    <n v="4812.75"/>
    <n v="16798.319327731093"/>
    <n v="14277.310924369749"/>
    <s v="Shenzhen"/>
    <x v="0"/>
    <n v="30"/>
    <n v="50"/>
    <n v="13"/>
    <n v="0.51735783446053041"/>
    <n v="29"/>
    <n v="0.49145999728059175"/>
    <n v="39"/>
    <n v="0.4866759704352972"/>
    <n v="34"/>
    <n v="0.47912514530447475"/>
    <n v="9"/>
    <n v="0.47298282969836325"/>
    <n v="36"/>
    <n v="0.50748685201616794"/>
    <n v="25"/>
    <n v="0.53547571551810891"/>
    <n v="29"/>
    <n v="0.52320248551710902"/>
    <n v="41"/>
    <n v="0.5189823374777317"/>
    <n v="58"/>
    <n v="0.41384273566748686"/>
    <n v="28"/>
    <n v="0.42143670771593517"/>
    <n v="16"/>
    <n v="0.41433620665226811"/>
    <n v="0"/>
    <n v="0.51154907710527198"/>
    <n v="9"/>
    <n v="0.49799100839365956"/>
    <n v="25"/>
    <n v="0.48667596530055857"/>
    <n v="31"/>
    <n v="0.4738923253238253"/>
    <n v="1.0333333333333334"/>
    <n v="66"/>
    <n v="0.47298283599071683"/>
    <n v="2.64"/>
    <n v="39"/>
    <n v="0.51301603843946253"/>
    <n v="1.1142857142857143"/>
    <n v="0"/>
    <n v="0.53099008884673804"/>
    <n v="0"/>
    <n v="30"/>
    <n v="9"/>
    <n v="30"/>
    <n v="60"/>
    <n v="60"/>
    <n v="0"/>
    <n v="329673.375"/>
    <n v="41917.5"/>
    <n v="144382.5"/>
    <n v="0"/>
    <n v="20"/>
    <n v="96255"/>
    <n v="423487.04187557381"/>
    <n v="25"/>
    <n v="146"/>
    <n v="13.5"/>
    <n v="75"/>
    <n v="75"/>
    <n v="0"/>
    <n v="334486.125"/>
    <n v="679995"/>
    <n v="64972.125"/>
    <n v="0"/>
    <n v="20"/>
    <n v="96255"/>
    <n v="190569.16884400821"/>
    <n v="20"/>
    <n v="129"/>
    <n v="25"/>
    <n v="0"/>
    <n v="0"/>
    <n v="385951.5"/>
    <n v="620844.75"/>
    <n v="120318.75"/>
    <n v="0"/>
    <n v="20"/>
    <n v="96255"/>
    <n v="419957.98319327732"/>
    <n v="30"/>
    <n v="142"/>
    <n v="31"/>
    <n v="30"/>
    <n v="0"/>
    <n v="661365"/>
    <n v="149195.25"/>
    <x v="3"/>
    <x v="0"/>
    <n v="20"/>
    <n v="96255"/>
    <n v="520747.89915966388"/>
    <n v="25"/>
    <n v="86"/>
    <n v="25"/>
    <m/>
    <n v="0"/>
    <n v="0"/>
    <n v="413896.5"/>
    <n v="116437.5"/>
    <x v="0"/>
    <n v="0"/>
    <n v="20"/>
    <n v="96255"/>
    <n v="419957.98319327732"/>
    <n v="35"/>
    <n v="59"/>
    <n v="39"/>
    <m/>
    <n v="0"/>
    <n v="0"/>
    <n v="283952.25"/>
    <n v="181642.5"/>
    <n v="0"/>
    <n v="0"/>
    <n v="59"/>
    <n v="96255"/>
    <n v="655134.45378151257"/>
    <n v="25"/>
    <n v="20"/>
    <n v="25"/>
    <n v="0"/>
    <n v="0"/>
    <n v="0"/>
    <n v="96255"/>
    <n v="116437.5"/>
    <n v="0"/>
    <n v="0"/>
    <n v="20"/>
    <n v="96255"/>
    <n v="419957.98319327732"/>
    <n v="40"/>
    <n v="0"/>
    <n v="40"/>
    <n v="50"/>
    <n v="50"/>
    <n v="0"/>
    <n v="0"/>
    <n v="186300"/>
    <n v="232875"/>
    <n v="0"/>
    <n v="50"/>
    <n v="232875"/>
    <n v="671932.77310924372"/>
    <n v="15"/>
    <n v="0"/>
    <n v="15"/>
    <n v="50"/>
    <n v="50"/>
    <n v="100"/>
    <n v="0"/>
    <n v="69862.5"/>
    <n v="232875"/>
    <n v="465750"/>
    <n v="100"/>
    <n v="465750"/>
    <n v="251974.78991596639"/>
    <n v="75"/>
    <n v="85"/>
    <n v="75"/>
    <n v="105"/>
    <n v="105"/>
    <n v="105"/>
    <n v="0"/>
    <n v="395887.5"/>
    <n v="349312.5"/>
    <n v="489037.5"/>
    <n v="489037.5"/>
    <n v="190"/>
    <n v="884925"/>
    <n v="1070798.3193277312"/>
    <n v="75"/>
    <n v="115"/>
    <n v="75"/>
    <m/>
    <n v="0"/>
    <n v="535612.5"/>
    <n v="349312.5"/>
    <n v="0"/>
    <n v="0"/>
    <n v="115"/>
    <n v="535612.5"/>
    <n v="1124338.2352941178"/>
    <n v="100"/>
    <n v="40"/>
    <n v="100"/>
    <n v="0"/>
    <n v="0"/>
    <n v="186300"/>
    <n v="465750"/>
    <n v="0"/>
    <n v="40"/>
    <n v="186300"/>
    <n v="1679831.9327731093"/>
    <n v="45"/>
    <n v="0"/>
    <n v="45"/>
    <n v="0"/>
    <m/>
    <n v="0"/>
    <n v="216573.75"/>
    <n v="0"/>
    <n v="0"/>
    <n v="0"/>
    <n v="755924.36974789924"/>
  </r>
  <r>
    <s v="Levo-Perifericos de Computacion"/>
    <x v="0"/>
    <x v="1"/>
    <x v="4"/>
    <s v="LVAUDGM-BK"/>
    <x v="15"/>
    <x v="15"/>
    <x v="0"/>
    <x v="3"/>
    <n v="1"/>
    <x v="15"/>
    <n v="170"/>
    <m/>
    <n v="0"/>
    <n v="17160"/>
    <n v="2917200"/>
    <n v="17"/>
    <n v="18572.5"/>
    <n v="37806.722689075636"/>
    <n v="31924.36974789916"/>
    <s v="Shenzhen"/>
    <x v="0"/>
    <n v="45"/>
    <n v="1000"/>
    <n v="0"/>
    <s v=""/>
    <n v="0"/>
    <s v=""/>
    <n v="16"/>
    <n v="0.30542992034485911"/>
    <n v="23"/>
    <n v="0.31762034328764427"/>
    <n v="34"/>
    <n v="0.56337821191988169"/>
    <n v="85"/>
    <n v="0.53176576076061421"/>
    <n v="87"/>
    <n v="0.54798197905348467"/>
    <n v="128"/>
    <n v="0.52531330924968622"/>
    <n v="42"/>
    <n v="0.56137079282011759"/>
    <n v="96"/>
    <n v="0.47076461710617273"/>
    <n v="134"/>
    <n v="0.48374569926087185"/>
    <n v="309"/>
    <n v="0.49521197365852915"/>
    <n v="53"/>
    <s v=""/>
    <n v="107"/>
    <s v=""/>
    <n v="143"/>
    <s v=""/>
    <n v="110"/>
    <s v=""/>
    <n v="1.1000000000000001"/>
    <n v="91"/>
    <s v=""/>
    <n v="0.91"/>
    <n v="337"/>
    <s v=""/>
    <n v="1.6850000000000001"/>
    <n v="90"/>
    <s v=""/>
    <n v="0.6"/>
    <n v="100"/>
    <n v="993"/>
    <n v="50"/>
    <n v="0"/>
    <n v="633"/>
    <n v="0"/>
    <n v="6066060"/>
    <n v="17471835"/>
    <n v="858000"/>
    <n v="0"/>
    <n v="170"/>
    <n v="2917200"/>
    <n v="1588517.760045195"/>
    <n v="100"/>
    <n v="1005"/>
    <n v="160.5"/>
    <n v="0"/>
    <m/>
    <n v="0"/>
    <n v="7095660"/>
    <n v="17682975"/>
    <n v="2754180"/>
    <n v="0"/>
    <n v="170"/>
    <n v="2917200"/>
    <n v="5099142.0097450754"/>
    <n v="150"/>
    <n v="822"/>
    <n v="143"/>
    <n v="0"/>
    <n v="0"/>
    <n v="6100980"/>
    <n v="14105520"/>
    <n v="2453880"/>
    <n v="0"/>
    <n v="170"/>
    <n v="2917200"/>
    <n v="5406361.344537816"/>
    <n v="100"/>
    <n v="714"/>
    <n v="110"/>
    <n v="0"/>
    <n v="0"/>
    <n v="12562830"/>
    <n v="1887600"/>
    <x v="0"/>
    <x v="0"/>
    <n v="170"/>
    <n v="2917200"/>
    <n v="4158739.49579832"/>
    <n v="100"/>
    <n v="261"/>
    <n v="100"/>
    <m/>
    <n v="0"/>
    <n v="0"/>
    <n v="4478760"/>
    <n v="1759500"/>
    <x v="0"/>
    <n v="0"/>
    <n v="170"/>
    <n v="2917200"/>
    <n v="3780672.2689075638"/>
    <n v="200"/>
    <n v="507"/>
    <n v="337"/>
    <m/>
    <n v="0"/>
    <n v="0"/>
    <n v="8700120"/>
    <n v="5929515"/>
    <n v="0"/>
    <n v="0"/>
    <n v="507"/>
    <n v="2917200"/>
    <n v="12740865.546218488"/>
    <n v="150"/>
    <n v="260"/>
    <n v="150"/>
    <n v="0"/>
    <n v="0"/>
    <n v="0"/>
    <n v="4461600"/>
    <n v="2639250"/>
    <n v="0"/>
    <n v="0"/>
    <n v="260"/>
    <n v="2917200"/>
    <n v="5671008.4033613456"/>
    <n v="110"/>
    <n v="110"/>
    <n v="110"/>
    <n v="1000"/>
    <n v="1000"/>
    <n v="0"/>
    <n v="1887600"/>
    <n v="1935450"/>
    <n v="17595000"/>
    <n v="0"/>
    <n v="1110"/>
    <n v="19482600"/>
    <n v="4158739.49579832"/>
    <n v="70"/>
    <n v="0"/>
    <n v="70"/>
    <n v="0"/>
    <n v="0"/>
    <n v="1000"/>
    <n v="0"/>
    <n v="1231650"/>
    <n v="0"/>
    <n v="17595000"/>
    <n v="1000"/>
    <n v="17595000"/>
    <n v="2646470.5882352944"/>
    <n v="300"/>
    <n v="930"/>
    <n v="300"/>
    <n v="0"/>
    <n v="0"/>
    <n v="0"/>
    <m/>
    <n v="16363350"/>
    <n v="5278500"/>
    <n v="0"/>
    <n v="0"/>
    <n v="930"/>
    <n v="16363350"/>
    <n v="9577310.9243697487"/>
    <n v="200"/>
    <n v="630"/>
    <n v="200"/>
    <m/>
    <n v="0"/>
    <n v="11084850"/>
    <n v="3519000"/>
    <n v="0"/>
    <n v="0"/>
    <n v="630"/>
    <n v="11084850"/>
    <n v="6704117.6470588241"/>
    <n v="400"/>
    <n v="430"/>
    <n v="400"/>
    <n v="0"/>
    <n v="0"/>
    <n v="7565850"/>
    <n v="7038000"/>
    <n v="0"/>
    <n v="430"/>
    <n v="7565850"/>
    <n v="15122689.075630255"/>
    <n v="120"/>
    <n v="30"/>
    <n v="120"/>
    <n v="0"/>
    <m/>
    <n v="527850"/>
    <n v="2059200"/>
    <n v="0"/>
    <n v="30"/>
    <n v="527850"/>
    <n v="4536806.7226890763"/>
  </r>
  <r>
    <m/>
    <x v="0"/>
    <x v="1"/>
    <x v="4"/>
    <s v="LVAUDGM-WH"/>
    <x v="16"/>
    <x v="16"/>
    <x v="0"/>
    <x v="3"/>
    <n v="1"/>
    <x v="16"/>
    <n v="237"/>
    <m/>
    <n v="0"/>
    <n v="17185"/>
    <n v="4072845"/>
    <n v="17.2"/>
    <n v="18791"/>
    <n v="42008.403361344543"/>
    <n v="37806.722689075636"/>
    <s v="Shenzhen"/>
    <x v="0"/>
    <n v="45"/>
    <n v="1000"/>
    <m/>
    <m/>
    <m/>
    <m/>
    <m/>
    <m/>
    <m/>
    <m/>
    <m/>
    <m/>
    <m/>
    <m/>
    <m/>
    <m/>
    <m/>
    <m/>
    <m/>
    <m/>
    <m/>
    <m/>
    <n v="0"/>
    <s v=""/>
    <n v="0"/>
    <s v=""/>
    <n v="2"/>
    <s v=""/>
    <n v="34"/>
    <s v=""/>
    <n v="68"/>
    <s v=""/>
    <n v="59"/>
    <s v=""/>
    <n v="0.98333333333333328"/>
    <n v="43"/>
    <s v=""/>
    <n v="0.66153846153846152"/>
    <n v="66"/>
    <s v=""/>
    <n v="0.77647058823529413"/>
    <n v="28"/>
    <s v=""/>
    <n v="0.46666666666666667"/>
    <n v="30"/>
    <n v="500"/>
    <n v="10"/>
    <n v="0"/>
    <m/>
    <n v="0"/>
    <n v="2216865"/>
    <n v="8901000"/>
    <n v="171850"/>
    <n v="0"/>
    <n v="237"/>
    <n v="4072845"/>
    <n v="353011.79295247514"/>
    <n v="50"/>
    <n v="498"/>
    <n v="51"/>
    <n v="0"/>
    <m/>
    <n v="0"/>
    <n v="3058930"/>
    <n v="8865396"/>
    <n v="876435"/>
    <n v="0"/>
    <n v="237"/>
    <n v="4072845"/>
    <n v="1800360.1440576233"/>
    <n v="75"/>
    <n v="439"/>
    <n v="68"/>
    <n v="0"/>
    <n v="0"/>
    <n v="3339625"/>
    <n v="7544215"/>
    <n v="1168580"/>
    <n v="0"/>
    <n v="237"/>
    <n v="4072845"/>
    <n v="2856571.4285714291"/>
    <n v="60"/>
    <n v="393"/>
    <n v="59"/>
    <n v="0"/>
    <n v="0"/>
    <n v="6996186"/>
    <n v="1013915"/>
    <x v="0"/>
    <x v="0"/>
    <n v="237"/>
    <n v="4072845"/>
    <n v="2478495.7983193281"/>
    <n v="65"/>
    <n v="280"/>
    <n v="65"/>
    <m/>
    <n v="0"/>
    <n v="0"/>
    <n v="4811800"/>
    <n v="1157130"/>
    <x v="0"/>
    <n v="0"/>
    <n v="237"/>
    <n v="4072845"/>
    <n v="2730546.2184873954"/>
    <n v="85"/>
    <n v="303"/>
    <n v="66"/>
    <m/>
    <n v="0"/>
    <n v="0"/>
    <n v="5207055"/>
    <n v="1174932"/>
    <n v="0"/>
    <n v="0"/>
    <n v="303"/>
    <n v="4072845"/>
    <n v="2772554.6218487397"/>
    <n v="60"/>
    <n v="265"/>
    <n v="60"/>
    <n v="0"/>
    <n v="0"/>
    <n v="0"/>
    <n v="4554025"/>
    <n v="1068120"/>
    <n v="0"/>
    <n v="0"/>
    <n v="265"/>
    <n v="4072845"/>
    <n v="2520504.2016806724"/>
    <n v="70"/>
    <n v="205"/>
    <n v="70"/>
    <n v="0"/>
    <n v="0"/>
    <n v="0"/>
    <n v="3522925"/>
    <n v="1246140"/>
    <n v="0"/>
    <n v="0"/>
    <n v="205"/>
    <n v="3522925"/>
    <n v="2940588.2352941181"/>
    <n v="35"/>
    <n v="135"/>
    <n v="35"/>
    <n v="0"/>
    <n v="0"/>
    <m/>
    <n v="2403270"/>
    <n v="623070"/>
    <n v="0"/>
    <n v="0"/>
    <n v="135"/>
    <n v="2403270"/>
    <n v="1470294.117647059"/>
    <n v="100"/>
    <n v="100"/>
    <n v="100"/>
    <n v="1000"/>
    <n v="1000"/>
    <n v="1000"/>
    <n v="0"/>
    <n v="1780200"/>
    <n v="1780200"/>
    <n v="17802000"/>
    <n v="17802000"/>
    <n v="1100"/>
    <n v="19582200"/>
    <n v="3780672.2689075638"/>
    <n v="75"/>
    <n v="1000"/>
    <n v="75"/>
    <m/>
    <n v="0"/>
    <n v="17802000"/>
    <n v="1335150"/>
    <n v="0"/>
    <n v="0"/>
    <n v="1000"/>
    <n v="17802000"/>
    <n v="2977279.4117647065"/>
    <n v="150"/>
    <n v="925"/>
    <n v="150"/>
    <n v="0"/>
    <n v="0"/>
    <n v="16466850"/>
    <n v="2670300"/>
    <n v="0"/>
    <n v="925"/>
    <n v="16466850"/>
    <n v="6301260.5042016814"/>
    <n v="45"/>
    <n v="775"/>
    <n v="45"/>
    <n v="0"/>
    <m/>
    <n v="13796550"/>
    <n v="773325"/>
    <n v="0"/>
    <n v="775"/>
    <n v="13796550"/>
    <n v="1890378.1512605045"/>
  </r>
  <r>
    <s v="Levo-Perifericos de Computacion"/>
    <x v="0"/>
    <x v="1"/>
    <x v="4"/>
    <s v="LVMPADXXL-BK"/>
    <x v="17"/>
    <x v="17"/>
    <x v="0"/>
    <x v="4"/>
    <n v="1"/>
    <x v="17"/>
    <n v="765"/>
    <m/>
    <n v="0"/>
    <n v="3247"/>
    <n v="2483955"/>
    <n v="3.4"/>
    <n v="3714.4999999999995"/>
    <n v="10915.966386554623"/>
    <n v="9235.2941176470595"/>
    <s v="Shenzhen"/>
    <x v="0"/>
    <n v="30"/>
    <n v="500"/>
    <n v="0"/>
    <s v=""/>
    <n v="0"/>
    <s v=""/>
    <n v="0"/>
    <s v=""/>
    <n v="5"/>
    <n v="0.59516777731910142"/>
    <n v="2"/>
    <n v="0.65002879624294629"/>
    <n v="41"/>
    <n v="0.59800462845968028"/>
    <n v="93"/>
    <n v="0.61558837795742705"/>
    <n v="151"/>
    <n v="0.56021255948334003"/>
    <n v="212"/>
    <n v="0.56830610642752577"/>
    <n v="276"/>
    <n v="0.57738206000181158"/>
    <n v="197"/>
    <n v="0.58914855671715971"/>
    <n v="9"/>
    <n v="0.68039116680871869"/>
    <n v="2"/>
    <s v=""/>
    <n v="15"/>
    <s v=""/>
    <n v="143"/>
    <s v=""/>
    <n v="136"/>
    <s v=""/>
    <n v="0.90666666666666662"/>
    <n v="105"/>
    <s v=""/>
    <n v="0.7"/>
    <n v="424"/>
    <s v=""/>
    <n v="1.696"/>
    <n v="188"/>
    <s v=""/>
    <n v="0.62666666666666671"/>
    <n v="250"/>
    <n v="7"/>
    <n v="30"/>
    <n v="500"/>
    <n v="500"/>
    <n v="0"/>
    <n v="634788.5"/>
    <n v="24632.999999999996"/>
    <n v="97410"/>
    <n v="0"/>
    <n v="765"/>
    <n v="2483955"/>
    <n v="275192.42991314176"/>
    <n v="250"/>
    <n v="513"/>
    <n v="22.5"/>
    <n v="500"/>
    <n v="500"/>
    <n v="0"/>
    <n v="978970.5"/>
    <n v="1805246.9999999998"/>
    <n v="73057.5"/>
    <n v="0"/>
    <n v="765"/>
    <n v="2483955"/>
    <n v="206394.32243485632"/>
    <n v="250"/>
    <n v="976"/>
    <n v="143"/>
    <n v="0"/>
    <n v="0"/>
    <n v="1433763"/>
    <n v="3169072"/>
    <n v="464321"/>
    <n v="0"/>
    <n v="765"/>
    <n v="2483955"/>
    <n v="1560983.193277311"/>
    <n v="150"/>
    <n v="1488"/>
    <n v="136"/>
    <n v="650"/>
    <n v="0"/>
    <n v="5236271.9999999991"/>
    <n v="441592"/>
    <x v="4"/>
    <x v="0"/>
    <n v="765"/>
    <n v="2483955"/>
    <n v="1484571.4285714286"/>
    <n v="150"/>
    <n v="870"/>
    <n v="150"/>
    <m/>
    <n v="0"/>
    <n v="0"/>
    <n v="2824890"/>
    <n v="527849.99999999988"/>
    <x v="0"/>
    <n v="0"/>
    <n v="765"/>
    <n v="2483955"/>
    <n v="1637394.9579831935"/>
    <n v="250"/>
    <n v="1189"/>
    <n v="424"/>
    <m/>
    <n v="0"/>
    <n v="0"/>
    <n v="3860683"/>
    <n v="1492055.9999999998"/>
    <n v="0"/>
    <n v="0"/>
    <n v="1189"/>
    <n v="2483955"/>
    <n v="4628369.7478991598"/>
    <n v="300"/>
    <n v="953"/>
    <n v="300"/>
    <n v="0"/>
    <n v="0"/>
    <n v="0"/>
    <n v="3094391"/>
    <n v="1055699.9999999998"/>
    <n v="0"/>
    <n v="0"/>
    <n v="953"/>
    <n v="2483955"/>
    <n v="3274789.9159663869"/>
    <n v="300"/>
    <n v="653"/>
    <n v="300"/>
    <n v="500"/>
    <n v="500"/>
    <n v="0"/>
    <n v="2120291"/>
    <n v="1055699.9999999998"/>
    <n v="1759499.9999999998"/>
    <n v="0"/>
    <n v="1153"/>
    <n v="3879791"/>
    <n v="3274789.9159663869"/>
    <n v="200"/>
    <n v="353"/>
    <n v="200"/>
    <n v="0"/>
    <n v="0"/>
    <n v="0"/>
    <n v="1242206.9999999998"/>
    <n v="703799.99999999988"/>
    <n v="0"/>
    <n v="0"/>
    <n v="353"/>
    <n v="1242206.9999999998"/>
    <n v="2183193.2773109246"/>
    <n v="400"/>
    <n v="653"/>
    <n v="400"/>
    <n v="0"/>
    <n v="0"/>
    <n v="0"/>
    <n v="500"/>
    <n v="2297906.9999999995"/>
    <n v="1407599.9999999998"/>
    <n v="0"/>
    <n v="1759499.9999999998"/>
    <n v="653"/>
    <n v="4057406.9999999991"/>
    <n v="3694117.6470588236"/>
    <n v="250"/>
    <n v="253"/>
    <n v="250"/>
    <m/>
    <n v="0"/>
    <n v="890306.99999999988"/>
    <n v="879749.99999999988"/>
    <n v="0"/>
    <n v="0"/>
    <n v="253"/>
    <n v="890306.99999999988"/>
    <n v="2424264.7058823532"/>
    <n v="300"/>
    <n v="3"/>
    <n v="300"/>
    <n v="0"/>
    <n v="0"/>
    <n v="10556.999999999998"/>
    <n v="1055699.9999999998"/>
    <n v="0"/>
    <n v="3"/>
    <n v="10556.999999999998"/>
    <n v="3274789.9159663869"/>
    <n v="150"/>
    <n v="0"/>
    <n v="150"/>
    <n v="0"/>
    <m/>
    <n v="0"/>
    <n v="487050"/>
    <n v="0"/>
    <n v="0"/>
    <n v="0"/>
    <n v="1637394.9579831935"/>
  </r>
  <r>
    <m/>
    <x v="0"/>
    <x v="1"/>
    <x v="4"/>
    <s v="LVMPADOFS-BK"/>
    <x v="18"/>
    <x v="18"/>
    <x v="0"/>
    <x v="4"/>
    <n v="1"/>
    <x v="12"/>
    <n v="970"/>
    <m/>
    <n v="0"/>
    <n v="1311"/>
    <n v="1271670"/>
    <n v="1.2"/>
    <n v="1311"/>
    <n v="6714.2857142857147"/>
    <n v="5873.9495798319331"/>
    <s v="Shenzhen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2"/>
    <s v=""/>
    <n v="0.4"/>
    <n v="6"/>
    <s v=""/>
    <n v="0.15"/>
    <n v="17"/>
    <s v=""/>
    <n v="0.11333333333333333"/>
    <n v="5"/>
    <s v=""/>
    <n v="0.25"/>
    <n v="0"/>
    <n v="0"/>
    <n v="0"/>
    <n v="0"/>
    <n v="0"/>
    <n v="0"/>
    <n v="0"/>
    <n v="0"/>
    <n v="0"/>
    <n v="0"/>
    <n v="970"/>
    <n v="1271670"/>
    <n v="0"/>
    <n v="0"/>
    <n v="0"/>
    <n v="0"/>
    <n v="0"/>
    <n v="0"/>
    <n v="0"/>
    <n v="2622"/>
    <n v="0"/>
    <n v="0"/>
    <n v="0"/>
    <n v="970"/>
    <n v="1271670"/>
    <n v="0"/>
    <n v="0"/>
    <n v="0"/>
    <n v="0"/>
    <n v="0"/>
    <n v="0"/>
    <n v="52302"/>
    <n v="0"/>
    <n v="0"/>
    <n v="0"/>
    <n v="970"/>
    <n v="1271670"/>
    <n v="0"/>
    <n v="5"/>
    <n v="500"/>
    <n v="2"/>
    <n v="500"/>
    <n v="0"/>
    <n v="621000"/>
    <n v="2622"/>
    <x v="5"/>
    <x v="0"/>
    <n v="970"/>
    <n v="1271670"/>
    <n v="13428.571428571429"/>
    <n v="40"/>
    <n v="976"/>
    <n v="40"/>
    <m/>
    <n v="500"/>
    <n v="0"/>
    <n v="1279536"/>
    <n v="49680"/>
    <x v="0"/>
    <n v="0"/>
    <n v="970"/>
    <n v="1271670"/>
    <n v="268571.42857142858"/>
    <n v="150"/>
    <n v="987"/>
    <n v="17"/>
    <m/>
    <n v="0"/>
    <n v="0"/>
    <n v="1293957"/>
    <n v="21114"/>
    <n v="0"/>
    <n v="0"/>
    <n v="987"/>
    <n v="1271670"/>
    <n v="114142.85714285714"/>
    <n v="20"/>
    <n v="975"/>
    <n v="20"/>
    <n v="500"/>
    <n v="250"/>
    <n v="0"/>
    <n v="1278225"/>
    <n v="24840"/>
    <n v="600300"/>
    <n v="0"/>
    <n v="975"/>
    <n v="1271670"/>
    <n v="134285.71428571429"/>
    <n v="40"/>
    <n v="955"/>
    <n v="40"/>
    <n v="0"/>
    <n v="0"/>
    <n v="0"/>
    <n v="1252005"/>
    <n v="49680"/>
    <n v="0"/>
    <n v="0"/>
    <n v="955"/>
    <n v="1252005"/>
    <n v="268571.42857142858"/>
    <n v="50"/>
    <n v="915"/>
    <n v="50"/>
    <n v="0"/>
    <n v="0"/>
    <m/>
    <n v="1136430"/>
    <n v="62100"/>
    <n v="0"/>
    <n v="0"/>
    <n v="915"/>
    <n v="1136430"/>
    <n v="335714.28571428574"/>
    <n v="80"/>
    <n v="865"/>
    <n v="80"/>
    <n v="0"/>
    <n v="0"/>
    <n v="0"/>
    <m/>
    <n v="1074330"/>
    <n v="99360"/>
    <n v="0"/>
    <n v="0"/>
    <n v="865"/>
    <n v="1074330"/>
    <n v="469915.96638655465"/>
    <n v="85"/>
    <n v="785"/>
    <n v="85"/>
    <m/>
    <n v="0"/>
    <n v="974970"/>
    <n v="105570"/>
    <n v="0"/>
    <n v="0"/>
    <n v="785"/>
    <n v="974970"/>
    <n v="524250.00000000006"/>
    <n v="100"/>
    <n v="700"/>
    <n v="100"/>
    <n v="0"/>
    <n v="0"/>
    <n v="869400"/>
    <n v="124200"/>
    <n v="0"/>
    <n v="700"/>
    <n v="869400"/>
    <n v="671428.57142857148"/>
    <n v="51"/>
    <n v="600"/>
    <n v="51"/>
    <n v="0"/>
    <m/>
    <n v="745200"/>
    <n v="66861"/>
    <n v="0"/>
    <n v="600"/>
    <n v="745200"/>
    <n v="342428.57142857142"/>
  </r>
  <r>
    <m/>
    <x v="0"/>
    <x v="1"/>
    <x v="4"/>
    <s v="LVMPADBML-BK"/>
    <x v="19"/>
    <x v="19"/>
    <x v="0"/>
    <x v="4"/>
    <n v="1"/>
    <x v="12"/>
    <n v="913"/>
    <m/>
    <n v="0"/>
    <n v="2403.5"/>
    <n v="2194395.5"/>
    <n v="2.2000000000000002"/>
    <n v="2403.5"/>
    <n v="8394.957983193277"/>
    <n v="8394.957983193277"/>
    <s v="Shenzhen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6"/>
    <s v=""/>
    <n v="0.52"/>
    <n v="44"/>
    <s v=""/>
    <n v="0.44"/>
    <n v="24"/>
    <s v=""/>
    <n v="0.6"/>
    <n v="0"/>
    <n v="0"/>
    <n v="0"/>
    <n v="0"/>
    <n v="0"/>
    <n v="0"/>
    <n v="0"/>
    <n v="0"/>
    <n v="0"/>
    <n v="0"/>
    <n v="913"/>
    <n v="2194395.5"/>
    <n v="0"/>
    <n v="0"/>
    <n v="0"/>
    <n v="0"/>
    <n v="0"/>
    <n v="0"/>
    <n v="0"/>
    <n v="0"/>
    <n v="0"/>
    <n v="0"/>
    <n v="0"/>
    <n v="913"/>
    <n v="2194395.5"/>
    <n v="0"/>
    <n v="0"/>
    <n v="0"/>
    <n v="0"/>
    <n v="0"/>
    <n v="0"/>
    <n v="113850"/>
    <n v="0"/>
    <n v="0"/>
    <n v="0"/>
    <n v="913"/>
    <n v="2194395.5"/>
    <n v="0"/>
    <n v="5"/>
    <n v="500"/>
    <n v="0"/>
    <n v="500"/>
    <n v="0"/>
    <n v="1138500"/>
    <n v="0"/>
    <x v="6"/>
    <x v="0"/>
    <n v="913"/>
    <n v="2194395.5"/>
    <n v="0"/>
    <n v="50"/>
    <n v="939"/>
    <n v="50"/>
    <m/>
    <n v="500"/>
    <n v="0"/>
    <n v="2256886.5"/>
    <n v="113850"/>
    <x v="0"/>
    <n v="0"/>
    <n v="913"/>
    <n v="2194395.5"/>
    <n v="419747.89915966382"/>
    <n v="100"/>
    <n v="957"/>
    <n v="44"/>
    <m/>
    <n v="0"/>
    <n v="0"/>
    <n v="2300149.5"/>
    <n v="100188"/>
    <n v="0"/>
    <n v="0"/>
    <n v="957"/>
    <n v="2194395.5"/>
    <n v="369378.15126050421"/>
    <n v="40"/>
    <n v="937"/>
    <n v="40"/>
    <n v="500"/>
    <n v="250"/>
    <n v="0"/>
    <n v="2252079.5"/>
    <n v="91080"/>
    <n v="1100550"/>
    <n v="0"/>
    <n v="937"/>
    <n v="2194395.5"/>
    <n v="335798.31932773109"/>
    <n v="80"/>
    <n v="897"/>
    <n v="80"/>
    <n v="0"/>
    <n v="0"/>
    <n v="0"/>
    <n v="2155939.5"/>
    <n v="182160"/>
    <n v="0"/>
    <n v="0"/>
    <n v="897"/>
    <n v="2155939.5"/>
    <n v="671596.63865546219"/>
    <n v="60"/>
    <n v="817"/>
    <n v="60"/>
    <n v="0"/>
    <n v="0"/>
    <m/>
    <n v="1860309"/>
    <n v="136620"/>
    <n v="0"/>
    <n v="0"/>
    <n v="817"/>
    <n v="1860309"/>
    <n v="503697.47899159661"/>
    <n v="100"/>
    <n v="757"/>
    <n v="100"/>
    <n v="0"/>
    <n v="0"/>
    <n v="0"/>
    <m/>
    <n v="1723689"/>
    <n v="227700"/>
    <n v="0"/>
    <n v="0"/>
    <n v="757"/>
    <n v="1723689"/>
    <n v="839495.79831932765"/>
    <n v="125"/>
    <n v="657"/>
    <n v="125"/>
    <m/>
    <n v="0"/>
    <n v="1495989"/>
    <n v="284625"/>
    <n v="0"/>
    <n v="0"/>
    <n v="657"/>
    <n v="1495989"/>
    <n v="1101838.2352941176"/>
    <n v="150"/>
    <n v="532"/>
    <n v="150"/>
    <n v="0"/>
    <n v="0"/>
    <n v="1211364"/>
    <n v="341550"/>
    <n v="0"/>
    <n v="532"/>
    <n v="1211364"/>
    <n v="1259243.6974789915"/>
    <n v="75"/>
    <n v="382"/>
    <n v="75"/>
    <n v="0"/>
    <m/>
    <n v="869814"/>
    <n v="180262.5"/>
    <n v="0"/>
    <n v="382"/>
    <n v="869814"/>
    <n v="629621.84873949573"/>
  </r>
  <r>
    <s v="Levo-Perifericos de Computacion"/>
    <x v="0"/>
    <x v="1"/>
    <x v="4"/>
    <s v="LVTECMCC-BK"/>
    <x v="20"/>
    <x v="20"/>
    <x v="0"/>
    <x v="3"/>
    <n v="1"/>
    <x v="18"/>
    <n v="813"/>
    <m/>
    <n v="0"/>
    <n v="9424"/>
    <n v="7661712"/>
    <n v="9.5"/>
    <n v="10378.75"/>
    <n v="22680.672268907565"/>
    <n v="21000"/>
    <s v="Shenzhen"/>
    <x v="0"/>
    <n v="45"/>
    <n v="1000"/>
    <n v="0"/>
    <s v=""/>
    <n v="0"/>
    <s v=""/>
    <n v="2"/>
    <n v="0.47284501790707945"/>
    <n v="34"/>
    <n v="0.57364272435448593"/>
    <n v="6"/>
    <n v="0.57628434319359367"/>
    <n v="6"/>
    <n v="0.55969943305647862"/>
    <n v="30"/>
    <n v="0.54280388842138505"/>
    <n v="39"/>
    <n v="0.54416405023668868"/>
    <n v="41"/>
    <n v="0.5140384703357882"/>
    <n v="128"/>
    <n v="0.47496824122803794"/>
    <n v="97"/>
    <n v="0.49692629380729025"/>
    <n v="237"/>
    <n v="0.50513076369667864"/>
    <n v="57"/>
    <s v=""/>
    <n v="90"/>
    <s v=""/>
    <n v="184"/>
    <s v=""/>
    <n v="24"/>
    <s v=""/>
    <n v="0.53333333333333333"/>
    <n v="16"/>
    <s v=""/>
    <n v="0.66666666666666663"/>
    <n v="156"/>
    <s v=""/>
    <n v="1.04"/>
    <n v="94"/>
    <s v=""/>
    <n v="0.94"/>
    <n v="70"/>
    <n v="325"/>
    <n v="40"/>
    <n v="0"/>
    <n v="364"/>
    <n v="0"/>
    <n v="3383216"/>
    <n v="3195562.5"/>
    <n v="376960"/>
    <n v="0"/>
    <n v="813"/>
    <n v="7661712"/>
    <n v="762375.5384506745"/>
    <n v="70"/>
    <n v="338"/>
    <n v="135"/>
    <n v="0"/>
    <m/>
    <n v="0"/>
    <n v="3232432"/>
    <n v="3323385"/>
    <n v="1272240"/>
    <n v="0"/>
    <n v="813"/>
    <n v="7661712"/>
    <n v="2573017.4422710263"/>
    <n v="120"/>
    <n v="216"/>
    <n v="184"/>
    <n v="0"/>
    <n v="0"/>
    <n v="2196172"/>
    <n v="2035584"/>
    <n v="1734016"/>
    <n v="0"/>
    <n v="813"/>
    <n v="7661712"/>
    <n v="4173243.6974789919"/>
    <n v="45"/>
    <n v="48"/>
    <n v="24"/>
    <n v="1000"/>
    <n v="0"/>
    <n v="471960"/>
    <n v="226176"/>
    <x v="7"/>
    <x v="0"/>
    <n v="813"/>
    <n v="7661712"/>
    <n v="544336.13445378153"/>
    <n v="24"/>
    <n v="829"/>
    <n v="24"/>
    <m/>
    <n v="0"/>
    <n v="0"/>
    <n v="7812496"/>
    <n v="235980"/>
    <x v="0"/>
    <n v="0"/>
    <n v="813"/>
    <n v="7661712"/>
    <n v="544336.13445378153"/>
    <n v="150"/>
    <n v="969"/>
    <n v="156"/>
    <m/>
    <n v="1000"/>
    <n v="0"/>
    <n v="9131856"/>
    <n v="1533870"/>
    <n v="0"/>
    <n v="0"/>
    <n v="969"/>
    <n v="7661712"/>
    <n v="3538184.8739495804"/>
    <n v="100"/>
    <n v="907"/>
    <n v="100"/>
    <n v="0"/>
    <n v="0"/>
    <n v="0"/>
    <n v="8547568"/>
    <n v="983250"/>
    <n v="0"/>
    <n v="0"/>
    <n v="907"/>
    <n v="7661712"/>
    <n v="2268067.2268907563"/>
    <n v="175"/>
    <n v="807"/>
    <n v="175"/>
    <n v="0"/>
    <n v="0"/>
    <n v="0"/>
    <n v="7605168"/>
    <n v="1720687.5"/>
    <n v="0"/>
    <n v="0"/>
    <n v="807"/>
    <n v="7605168"/>
    <n v="3969117.6470588241"/>
    <n v="100"/>
    <n v="632"/>
    <n v="100"/>
    <n v="0"/>
    <n v="0"/>
    <m/>
    <n v="6214140"/>
    <n v="983250"/>
    <n v="0"/>
    <n v="0"/>
    <n v="632"/>
    <n v="6214140"/>
    <n v="2268067.2268907563"/>
    <n v="200"/>
    <n v="532"/>
    <n v="200"/>
    <n v="0"/>
    <n v="0"/>
    <n v="0"/>
    <m/>
    <n v="5230890"/>
    <n v="1966500"/>
    <n v="0"/>
    <n v="0"/>
    <n v="532"/>
    <n v="5230890"/>
    <n v="4200000"/>
    <n v="200"/>
    <n v="332"/>
    <n v="200"/>
    <n v="0"/>
    <n v="0"/>
    <n v="3264390"/>
    <n v="1966500"/>
    <n v="0"/>
    <n v="0"/>
    <n v="332"/>
    <n v="3264390"/>
    <n v="4410000"/>
    <n v="400"/>
    <n v="132"/>
    <n v="400"/>
    <n v="1000"/>
    <n v="1000"/>
    <n v="1297890"/>
    <n v="3933000"/>
    <n v="9832500"/>
    <n v="1132"/>
    <n v="11130390"/>
    <n v="9072268.9075630251"/>
    <n v="120"/>
    <n v="732"/>
    <n v="120"/>
    <n v="0"/>
    <m/>
    <n v="7197390"/>
    <n v="1130880"/>
    <n v="0"/>
    <n v="732"/>
    <n v="7197390"/>
    <n v="2721680.672268908"/>
  </r>
  <r>
    <m/>
    <x v="0"/>
    <x v="1"/>
    <x v="4"/>
    <s v="LVTECMCL-BK"/>
    <x v="21"/>
    <x v="21"/>
    <x v="0"/>
    <x v="2"/>
    <n v="1"/>
    <x v="12"/>
    <n v="0"/>
    <m/>
    <m/>
    <n v="10378.75"/>
    <n v="0"/>
    <n v="9.5"/>
    <n v="10378.75"/>
    <n v="26164.915966386558"/>
    <n v="22240.178571428572"/>
    <s v="Shenzhen"/>
    <x v="0"/>
    <n v="45"/>
    <n v="10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30"/>
    <n v="0"/>
    <n v="30"/>
    <n v="1000"/>
    <n v="1000"/>
    <n v="0"/>
    <n v="0"/>
    <n v="294975"/>
    <n v="9832500"/>
    <n v="0"/>
    <n v="1000"/>
    <n v="9832500"/>
    <n v="784947.47899159673"/>
    <n v="45"/>
    <n v="0"/>
    <n v="45"/>
    <n v="0"/>
    <n v="0"/>
    <n v="1000"/>
    <n v="0"/>
    <n v="442462.5"/>
    <n v="0"/>
    <n v="9832500"/>
    <n v="1000"/>
    <n v="9832500"/>
    <n v="1177421.218487395"/>
    <n v="125"/>
    <n v="955"/>
    <n v="125"/>
    <n v="0"/>
    <n v="0"/>
    <n v="0"/>
    <m/>
    <n v="9390037.5"/>
    <n v="1229062.5"/>
    <n v="0"/>
    <n v="0"/>
    <n v="955"/>
    <n v="9390037.5"/>
    <n v="2780022.3214285714"/>
    <n v="120"/>
    <n v="830"/>
    <n v="120"/>
    <m/>
    <n v="0"/>
    <n v="8160975"/>
    <n v="1179900"/>
    <n v="0"/>
    <n v="0"/>
    <n v="830"/>
    <n v="8160975"/>
    <n v="2802262.5"/>
    <n v="250"/>
    <n v="710"/>
    <n v="250"/>
    <n v="0"/>
    <n v="0"/>
    <n v="6981075"/>
    <n v="2458125"/>
    <n v="0"/>
    <n v="710"/>
    <n v="6981075"/>
    <n v="6541228.9915966392"/>
    <n v="72"/>
    <n v="460"/>
    <n v="72"/>
    <n v="0"/>
    <m/>
    <n v="4522950"/>
    <n v="747270"/>
    <n v="0"/>
    <n v="460"/>
    <n v="4522950"/>
    <n v="1883873.9495798321"/>
  </r>
  <r>
    <m/>
    <x v="0"/>
    <x v="1"/>
    <x v="4"/>
    <s v="LVMSGMNS-BK"/>
    <x v="22"/>
    <x v="22"/>
    <x v="0"/>
    <x v="0"/>
    <n v="1"/>
    <x v="19"/>
    <n v="196"/>
    <m/>
    <n v="0"/>
    <n v="14265"/>
    <n v="2795940"/>
    <n v="14.2"/>
    <n v="15513.499999999998"/>
    <n v="25201.680672268907"/>
    <n v="19319.327731092439"/>
    <s v="Shenzhen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1"/>
    <s v=""/>
    <n v="9"/>
    <n v="0.30605112787704841"/>
    <n v="14"/>
    <n v="0.20614240954563876"/>
    <n v="97"/>
    <n v="0.28008196693653892"/>
    <n v="22"/>
    <s v=""/>
    <n v="17"/>
    <s v=""/>
    <n v="24"/>
    <s v=""/>
    <n v="18"/>
    <s v=""/>
    <n v="0.72"/>
    <n v="22"/>
    <s v=""/>
    <n v="1.1000000000000001"/>
    <n v="51"/>
    <s v=""/>
    <n v="1.02"/>
    <n v="21"/>
    <s v=""/>
    <n v="0.7"/>
    <n v="20"/>
    <n v="213"/>
    <n v="25"/>
    <n v="0"/>
    <m/>
    <n v="0"/>
    <n v="1062742.5"/>
    <n v="3130460.9999999995"/>
    <n v="356625"/>
    <n v="0"/>
    <n v="196"/>
    <n v="2795940"/>
    <n v="529447.07294682588"/>
    <n v="25"/>
    <n v="342"/>
    <n v="25.5"/>
    <n v="0"/>
    <m/>
    <n v="0"/>
    <n v="962887.5"/>
    <n v="5026373.9999999991"/>
    <n v="363757.5"/>
    <n v="0"/>
    <n v="196"/>
    <n v="2795940"/>
    <n v="540036.01440576231"/>
    <n v="40"/>
    <n v="323"/>
    <n v="24"/>
    <n v="0"/>
    <n v="0"/>
    <n v="893070"/>
    <n v="4607595"/>
    <n v="342360"/>
    <n v="0"/>
    <n v="196"/>
    <n v="2795940"/>
    <n v="604840.33613445377"/>
    <n v="25"/>
    <n v="303"/>
    <n v="18"/>
    <n v="0"/>
    <n v="0"/>
    <n v="4453190.9999999991"/>
    <n v="256770"/>
    <x v="0"/>
    <x v="0"/>
    <n v="196"/>
    <n v="2795940"/>
    <n v="453630.25210084033"/>
    <n v="20"/>
    <n v="218"/>
    <n v="20"/>
    <m/>
    <n v="0"/>
    <n v="0"/>
    <n v="3109770"/>
    <n v="293939.99999999994"/>
    <x v="0"/>
    <n v="0"/>
    <n v="196"/>
    <n v="2795940"/>
    <n v="504033.61344537814"/>
    <n v="50"/>
    <n v="247"/>
    <n v="51"/>
    <m/>
    <n v="0"/>
    <n v="0"/>
    <n v="3523455"/>
    <n v="749546.99999999988"/>
    <n v="0"/>
    <n v="0"/>
    <n v="247"/>
    <n v="2795940"/>
    <n v="1285285.7142857143"/>
    <n v="30"/>
    <n v="217"/>
    <n v="30"/>
    <n v="0"/>
    <n v="0"/>
    <n v="0"/>
    <n v="3095505"/>
    <n v="440909.99999999994"/>
    <n v="0"/>
    <n v="0"/>
    <n v="217"/>
    <n v="2795940"/>
    <n v="756050.42016806721"/>
    <n v="40"/>
    <n v="187"/>
    <n v="40"/>
    <n v="0"/>
    <n v="0"/>
    <n v="0"/>
    <n v="2667555"/>
    <n v="587879.99999999988"/>
    <n v="0"/>
    <n v="0"/>
    <n v="187"/>
    <n v="2667555"/>
    <n v="1008067.2268907563"/>
    <n v="20"/>
    <n v="147"/>
    <n v="20"/>
    <n v="0"/>
    <n v="0"/>
    <m/>
    <n v="2160458.9999999995"/>
    <n v="293939.99999999994"/>
    <n v="0"/>
    <n v="0"/>
    <n v="147"/>
    <n v="2160458.9999999995"/>
    <n v="504033.61344537814"/>
    <n v="40"/>
    <n v="127"/>
    <n v="40"/>
    <n v="0"/>
    <n v="0"/>
    <n v="0"/>
    <m/>
    <n v="1866518.9999999998"/>
    <n v="587879.99999999988"/>
    <n v="0"/>
    <n v="0"/>
    <n v="127"/>
    <n v="1866518.9999999998"/>
    <n v="772773.10924369749"/>
    <n v="30"/>
    <n v="87"/>
    <n v="30"/>
    <m/>
    <n v="0"/>
    <n v="1278638.9999999998"/>
    <n v="440909.99999999994"/>
    <n v="0"/>
    <n v="0"/>
    <n v="87"/>
    <n v="1278638.9999999998"/>
    <n v="608558.82352941181"/>
    <n v="43"/>
    <n v="57"/>
    <n v="43"/>
    <n v="0"/>
    <n v="0"/>
    <n v="837728.99999999988"/>
    <n v="631970.99999999988"/>
    <n v="0"/>
    <n v="57"/>
    <n v="837728.99999999988"/>
    <n v="1083672.2689075631"/>
    <n v="18"/>
    <n v="14"/>
    <n v="18"/>
    <n v="0"/>
    <m/>
    <n v="205757.99999999997"/>
    <n v="256770"/>
    <n v="0"/>
    <n v="14"/>
    <n v="205757.99999999997"/>
    <n v="453630.25210084033"/>
  </r>
  <r>
    <m/>
    <x v="0"/>
    <x v="2"/>
    <x v="5"/>
    <m/>
    <x v="23"/>
    <x v="23"/>
    <x v="1"/>
    <x v="5"/>
    <n v="1"/>
    <x v="20"/>
    <n v="0"/>
    <m/>
    <m/>
    <n v="4812.75"/>
    <m/>
    <n v="4.5"/>
    <n v="4812.75"/>
    <n v="12132.983193277312"/>
    <n v="10313.035714285716"/>
    <s v="Shenzhen"/>
    <x v="0"/>
    <n v="30"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9838221178879034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8"/>
    <x v="1"/>
    <m/>
    <m/>
    <m/>
    <m/>
    <m/>
    <m/>
    <m/>
    <m/>
    <m/>
    <m/>
    <m/>
    <x v="0"/>
    <m/>
    <m/>
    <m/>
    <m/>
    <m/>
    <m/>
    <n v="0"/>
    <m/>
    <m/>
    <m/>
    <m/>
    <m/>
    <n v="0"/>
    <m/>
    <m/>
    <m/>
    <m/>
    <m/>
    <n v="0"/>
    <m/>
    <m/>
    <m/>
    <m/>
    <m/>
    <m/>
    <m/>
    <m/>
    <m/>
    <n v="0"/>
    <m/>
    <m/>
    <m/>
    <m/>
    <m/>
    <m/>
    <n v="0"/>
    <n v="0"/>
    <m/>
    <m/>
    <n v="0"/>
    <m/>
    <m/>
    <m/>
    <m/>
    <n v="0"/>
    <m/>
    <m/>
    <m/>
    <m/>
    <m/>
    <m/>
    <m/>
    <n v="0"/>
    <n v="0"/>
    <m/>
    <m/>
    <n v="40"/>
    <n v="0"/>
    <n v="0"/>
    <n v="1000"/>
    <n v="1000"/>
    <n v="1000"/>
    <n v="0"/>
    <n v="0"/>
    <n v="0"/>
    <n v="4657500"/>
    <n v="4657500"/>
    <n v="1000"/>
    <n v="4657500"/>
    <n v="0"/>
    <n v="75"/>
    <n v="1000"/>
    <n v="75"/>
    <m/>
    <n v="0"/>
    <n v="4657500"/>
    <n v="349312.5"/>
    <n v="0"/>
    <n v="0"/>
    <n v="1000"/>
    <n v="4657500"/>
    <n v="812151.56250000012"/>
    <n v="150"/>
    <n v="925"/>
    <n v="150"/>
    <n v="0"/>
    <n v="0"/>
    <n v="4308187.5"/>
    <n v="698625"/>
    <n v="0"/>
    <n v="925"/>
    <n v="4308187.5"/>
    <n v="1819947.4789915967"/>
    <n v="45"/>
    <n v="775"/>
    <n v="45"/>
    <n v="0"/>
    <m/>
    <n v="3609562.5"/>
    <n v="216573.75"/>
    <n v="0"/>
    <n v="775"/>
    <n v="3609562.5"/>
    <n v="545984.24369747902"/>
  </r>
  <r>
    <s v="Levo-Perifericos de Computacion"/>
    <x v="0"/>
    <x v="1"/>
    <x v="4"/>
    <n v="1479750635184"/>
    <x v="24"/>
    <x v="24"/>
    <x v="0"/>
    <x v="0"/>
    <n v="1"/>
    <x v="21"/>
    <n v="189"/>
    <m/>
    <n v="0"/>
    <n v="2650.840336134454"/>
    <n v="501008.82352941181"/>
    <n v="2.6"/>
    <n v="2840.5"/>
    <n v="7554.6218487394963"/>
    <n v="6714.2857142857147"/>
    <s v="Shenzhen"/>
    <x v="1"/>
    <n v="30"/>
    <n v="200"/>
    <n v="139"/>
    <n v="0.59803282191536411"/>
    <n v="55"/>
    <n v="0.61844836002420933"/>
    <n v="62"/>
    <n v="0.60455991828934608"/>
    <n v="66"/>
    <n v="0.59375181985818426"/>
    <n v="281"/>
    <n v="0.55222085337552107"/>
    <n v="88"/>
    <n v="0.59428018950521"/>
    <n v="108"/>
    <n v="0.61152772703609914"/>
    <n v="103"/>
    <n v="0.60063967471981106"/>
    <n v="78"/>
    <n v="0.62167723350595439"/>
    <n v="96"/>
    <n v="0.60275518599984446"/>
    <n v="296"/>
    <n v="0.59777389292017957"/>
    <n v="41"/>
    <n v="0.72549534176546626"/>
    <n v="17"/>
    <n v="0.59936272060113183"/>
    <n v="21"/>
    <n v="0.6131967419722566"/>
    <n v="95"/>
    <n v="0.60795768943548945"/>
    <n v="79"/>
    <n v="0.59330687558275208"/>
    <n v="1.2153846153846153"/>
    <n v="193"/>
    <n v="0.54961925161704595"/>
    <n v="3.2166666666666668"/>
    <n v="201"/>
    <n v="0.59332635633430975"/>
    <n v="1.0049999999999999"/>
    <n v="34"/>
    <n v="0.60801100461576052"/>
    <n v="0.42499999999999999"/>
    <n v="3"/>
    <n v="18"/>
    <n v="18"/>
    <n v="0"/>
    <m/>
    <n v="0"/>
    <n v="383046.42857142858"/>
    <n v="48438"/>
    <n v="47715.126050420171"/>
    <n v="0"/>
    <n v="189"/>
    <n v="501008.82352941181"/>
    <n v="114271.59098933692"/>
    <n v="10"/>
    <n v="200"/>
    <n v="31.5"/>
    <n v="200"/>
    <n v="200"/>
    <n v="0"/>
    <n v="544747.68907563027"/>
    <n v="538200"/>
    <n v="83501.470588235301"/>
    <n v="0"/>
    <n v="189"/>
    <n v="501008.82352941181"/>
    <n v="199975.28423133961"/>
    <n v="80"/>
    <n v="169"/>
    <n v="95"/>
    <n v="0"/>
    <n v="0"/>
    <n v="622706.21848739497"/>
    <n v="447992.01680672274"/>
    <n v="251829.83193277312"/>
    <n v="0"/>
    <n v="189"/>
    <n v="501008.82352941181"/>
    <n v="717689.07563025213"/>
    <n v="65"/>
    <n v="332"/>
    <n v="79"/>
    <n v="250"/>
    <n v="0"/>
    <n v="893412"/>
    <n v="209416.38655462186"/>
    <x v="9"/>
    <x v="0"/>
    <n v="189"/>
    <n v="501008.82352941181"/>
    <n v="596815.12605042022"/>
    <n v="60"/>
    <n v="382"/>
    <n v="60"/>
    <n v="200"/>
    <n v="200"/>
    <n v="0"/>
    <n v="1012621.0084033614"/>
    <n v="161460"/>
    <x v="1"/>
    <n v="0"/>
    <n v="189"/>
    <n v="501008.82352941181"/>
    <n v="453277.31092436978"/>
    <n v="200"/>
    <n v="390"/>
    <n v="201"/>
    <m/>
    <n v="200"/>
    <n v="0"/>
    <n v="1033827.7310924371"/>
    <n v="540891"/>
    <n v="0"/>
    <n v="0"/>
    <n v="390"/>
    <n v="501008.82352941181"/>
    <n v="1518478.9915966387"/>
    <n v="80"/>
    <n v="223"/>
    <n v="80"/>
    <n v="150"/>
    <n v="150"/>
    <n v="0"/>
    <n v="591137.39495798328"/>
    <n v="215280"/>
    <n v="390194.99999999994"/>
    <n v="0"/>
    <n v="223"/>
    <n v="501008.82352941181"/>
    <n v="604369.74789915967"/>
    <n v="150"/>
    <n v="143"/>
    <n v="150"/>
    <n v="200"/>
    <n v="200"/>
    <n v="200"/>
    <n v="379070.16806722694"/>
    <n v="403650"/>
    <n v="538200"/>
    <n v="538200"/>
    <n v="343"/>
    <n v="917270.16806722688"/>
    <n v="1133193.2773109244"/>
    <n v="50"/>
    <n v="193"/>
    <n v="50"/>
    <n v="0"/>
    <n v="0"/>
    <m/>
    <n v="519363"/>
    <n v="134550"/>
    <n v="0"/>
    <n v="0"/>
    <n v="193"/>
    <n v="519363"/>
    <n v="377731.09243697481"/>
    <n v="150"/>
    <n v="143"/>
    <n v="143"/>
    <n v="0"/>
    <n v="0"/>
    <n v="0"/>
    <m/>
    <n v="384813"/>
    <n v="384813"/>
    <n v="0"/>
    <n v="0"/>
    <n v="143"/>
    <n v="384813"/>
    <n v="960142.85714285716"/>
    <n v="150"/>
    <n v="0"/>
    <n v="150"/>
    <n v="150"/>
    <n v="150"/>
    <n v="0"/>
    <n v="403650"/>
    <n v="403650"/>
    <n v="403650"/>
    <n v="150"/>
    <n v="403650"/>
    <n v="1057500"/>
    <n v="300"/>
    <n v="0"/>
    <n v="300"/>
    <n v="200"/>
    <n v="200"/>
    <n v="0"/>
    <n v="807300"/>
    <n v="538200"/>
    <n v="200"/>
    <n v="538200"/>
    <n v="2266386.5546218487"/>
    <n v="90"/>
    <n v="0"/>
    <n v="90"/>
    <n v="0"/>
    <m/>
    <n v="0"/>
    <n v="238575.63025210085"/>
    <n v="0"/>
    <n v="0"/>
    <n v="0"/>
    <n v="679915.96638655465"/>
  </r>
  <r>
    <s v="Levo-Perifericos de Computacion"/>
    <x v="0"/>
    <x v="1"/>
    <x v="4"/>
    <n v="1658329968514"/>
    <x v="25"/>
    <x v="25"/>
    <x v="0"/>
    <x v="1"/>
    <n v="1"/>
    <x v="22"/>
    <n v="302"/>
    <m/>
    <n v="0"/>
    <n v="6324.2824427480919"/>
    <n v="1909933.2977099237"/>
    <n v="6.35"/>
    <n v="6937.3749999999991"/>
    <n v="16798.319327731093"/>
    <n v="15117.64705882353"/>
    <s v="Shenzhen"/>
    <x v="0"/>
    <n v="30"/>
    <n v="200"/>
    <n v="46"/>
    <n v="0.63010443733361876"/>
    <n v="45"/>
    <n v="0.58522302309152885"/>
    <n v="31"/>
    <n v="0.59783314928121833"/>
    <n v="26"/>
    <n v="0.5834393546373281"/>
    <n v="133"/>
    <n v="0.47453756408339265"/>
    <n v="26"/>
    <n v="0.58152359537662413"/>
    <n v="22"/>
    <n v="0.59342642781369692"/>
    <n v="47"/>
    <n v="0.59886558031046333"/>
    <n v="24"/>
    <n v="0.60748847235970749"/>
    <n v="101"/>
    <n v="0.51266799626109549"/>
    <n v="151"/>
    <n v="0.57713647672524016"/>
    <n v="163"/>
    <n v="0.59792314082049391"/>
    <n v="15"/>
    <n v="0.58551390937664105"/>
    <n v="2"/>
    <n v="0.59423996514270105"/>
    <n v="0"/>
    <n v="0.59784598552467638"/>
    <n v="15"/>
    <n v="0.58288170558174357"/>
    <n v="1"/>
    <n v="35"/>
    <n v="0.47354959136902147"/>
    <n v="1.75"/>
    <n v="182"/>
    <n v="0.5825842439526816"/>
    <n v="1.82"/>
    <n v="9"/>
    <n v="0.59342644583079918"/>
    <n v="0.3"/>
    <n v="5"/>
    <n v="2"/>
    <n v="2"/>
    <n v="0"/>
    <m/>
    <n v="0"/>
    <n v="31621.412213740459"/>
    <n v="13144.499999999998"/>
    <n v="12648.564885496184"/>
    <n v="0"/>
    <n v="302"/>
    <n v="1909933.2977099237"/>
    <n v="28232.469458371586"/>
    <n v="0"/>
    <n v="3"/>
    <n v="3"/>
    <n v="0"/>
    <m/>
    <n v="0"/>
    <n v="113837.08396946565"/>
    <n v="19716.749999999996"/>
    <n v="18972.847328244276"/>
    <n v="0"/>
    <n v="302"/>
    <n v="1909933.2977099237"/>
    <n v="42348.704187557378"/>
    <n v="0"/>
    <n v="0"/>
    <n v="0"/>
    <n v="0"/>
    <n v="0"/>
    <n v="226309.23664122133"/>
    <n v="0"/>
    <n v="0"/>
    <n v="0"/>
    <n v="302"/>
    <n v="1909933.2977099237"/>
    <n v="0"/>
    <n v="15"/>
    <n v="383"/>
    <n v="15"/>
    <n v="200"/>
    <n v="0"/>
    <n v="2517171.7499999995"/>
    <n v="94864.236641221374"/>
    <x v="10"/>
    <x v="0"/>
    <n v="302"/>
    <n v="1909933.2977099237"/>
    <n v="251974.78991596639"/>
    <n v="20"/>
    <n v="337"/>
    <n v="20"/>
    <n v="200"/>
    <n v="200"/>
    <n v="0"/>
    <n v="2131283.183206107"/>
    <n v="131444.99999999997"/>
    <x v="2"/>
    <n v="0"/>
    <n v="302"/>
    <n v="1909933.2977099237"/>
    <n v="335966.38655462186"/>
    <n v="100"/>
    <n v="484"/>
    <n v="182"/>
    <m/>
    <n v="0"/>
    <n v="0"/>
    <n v="3060952.7022900763"/>
    <n v="1196149.4999999998"/>
    <n v="0"/>
    <n v="0"/>
    <n v="484"/>
    <n v="1909933.2977099237"/>
    <n v="3057294.1176470588"/>
    <n v="30"/>
    <n v="311"/>
    <n v="30"/>
    <n v="130"/>
    <n v="130"/>
    <n v="0"/>
    <n v="1966851.8396946567"/>
    <n v="197167.49999999997"/>
    <n v="825912.74999999988"/>
    <n v="0"/>
    <n v="311"/>
    <n v="1909933.2977099237"/>
    <n v="503949.57983193279"/>
    <n v="80"/>
    <n v="281"/>
    <n v="80"/>
    <n v="170"/>
    <n v="170"/>
    <n v="170"/>
    <n v="1777123.3664122138"/>
    <n v="525779.99999999988"/>
    <n v="1117282.4999999998"/>
    <n v="1117282.4999999998"/>
    <n v="451"/>
    <n v="2894405.8664122135"/>
    <n v="1343865.5462184874"/>
    <n v="30"/>
    <n v="371"/>
    <n v="30"/>
    <n v="0"/>
    <n v="0"/>
    <m/>
    <n v="2438304.7499999995"/>
    <n v="197167.49999999997"/>
    <n v="0"/>
    <n v="0"/>
    <n v="371"/>
    <n v="2438304.7499999995"/>
    <n v="503949.57983193279"/>
    <n v="120"/>
    <n v="341"/>
    <n v="120"/>
    <n v="0"/>
    <n v="0"/>
    <n v="0"/>
    <m/>
    <n v="2241137.2499999995"/>
    <n v="788669.99999999988"/>
    <n v="0"/>
    <n v="0"/>
    <n v="341"/>
    <n v="2241137.2499999995"/>
    <n v="1814117.6470588236"/>
    <n v="150"/>
    <n v="221"/>
    <n v="150"/>
    <m/>
    <n v="0"/>
    <n v="1452467.2499999998"/>
    <n v="985837.49999999988"/>
    <n v="0"/>
    <n v="0"/>
    <n v="221"/>
    <n v="1452467.2499999998"/>
    <n v="2381029.411764706"/>
    <n v="250"/>
    <n v="71"/>
    <n v="250"/>
    <n v="0"/>
    <n v="0"/>
    <n v="466629.74999999994"/>
    <n v="1643062.4999999998"/>
    <n v="0"/>
    <n v="71"/>
    <n v="466629.74999999994"/>
    <n v="4199579.8319327729"/>
    <n v="90"/>
    <n v="0"/>
    <n v="90"/>
    <n v="0"/>
    <m/>
    <n v="0"/>
    <n v="569185.41984732822"/>
    <n v="0"/>
    <n v="0"/>
    <n v="0"/>
    <n v="1511848.7394957985"/>
  </r>
  <r>
    <s v="Levo-Perifericos de Computacion"/>
    <x v="0"/>
    <x v="1"/>
    <x v="6"/>
    <s v="LVMICPORT"/>
    <x v="26"/>
    <x v="26"/>
    <x v="0"/>
    <x v="6"/>
    <n v="1"/>
    <x v="12"/>
    <n v="0"/>
    <m/>
    <n v="0"/>
    <n v="13499"/>
    <n v="0"/>
    <n v="12.4"/>
    <n v="13546.999999999998"/>
    <n v="25201.680672268907"/>
    <n v="21000"/>
    <s v="Shenzhen"/>
    <x v="1"/>
    <n v="30"/>
    <n v="300"/>
    <n v="3"/>
    <n v="0.44622150204600697"/>
    <n v="6"/>
    <n v="0.46831673289337789"/>
    <n v="7"/>
    <n v="0.46135227340741769"/>
    <n v="6"/>
    <n v="0.44342742288762338"/>
    <n v="7"/>
    <n v="0.47289459592128152"/>
    <n v="15"/>
    <n v="0.48336025121199128"/>
    <n v="11"/>
    <n v="0.53115386004260956"/>
    <n v="16"/>
    <n v="0.34903821579264599"/>
    <n v="11"/>
    <n v="0.3109971324900937"/>
    <n v="17"/>
    <n v="0.32668446624730063"/>
    <n v="7"/>
    <n v="0.38931728880157174"/>
    <n v="11"/>
    <n v="0.36297738348548292"/>
    <n v="4"/>
    <s v=""/>
    <n v="2"/>
    <s v=""/>
    <n v="4"/>
    <s v=""/>
    <n v="3"/>
    <s v=""/>
    <n v="0.75"/>
    <n v="6"/>
    <s v=""/>
    <n v="3"/>
    <n v="0"/>
    <s v=""/>
    <n v="0"/>
    <n v="0"/>
    <s v=""/>
    <n v="0"/>
    <n v="5.333333333333333"/>
    <n v="18"/>
    <n v="5.333333333333333"/>
    <n v="0"/>
    <m/>
    <n v="0"/>
    <n v="166487.66666666666"/>
    <n v="231011.99999999997"/>
    <n v="71994.666666666657"/>
    <n v="0"/>
    <n v="0"/>
    <n v="0"/>
    <n v="112948.70889532284"/>
    <n v="4"/>
    <n v="15"/>
    <n v="3"/>
    <n v="0"/>
    <m/>
    <n v="0"/>
    <n v="134990"/>
    <n v="192509.99999999997"/>
    <n v="40497"/>
    <n v="0"/>
    <n v="0"/>
    <n v="0"/>
    <n v="63533.648753619098"/>
    <n v="4"/>
    <n v="13"/>
    <n v="4"/>
    <n v="0"/>
    <n v="0"/>
    <n v="120161"/>
    <n v="175487"/>
    <n v="53996"/>
    <n v="0"/>
    <n v="0"/>
    <n v="0"/>
    <n v="100806.72268907563"/>
    <n v="4"/>
    <n v="6"/>
    <n v="3"/>
    <n v="0"/>
    <n v="0"/>
    <n v="77003.999999999985"/>
    <n v="40497"/>
    <x v="0"/>
    <x v="0"/>
    <n v="0"/>
    <n v="0"/>
    <n v="75605.042016806721"/>
    <n v="2"/>
    <n v="6"/>
    <n v="2"/>
    <m/>
    <n v="0"/>
    <n v="0"/>
    <n v="80994"/>
    <n v="25667.999999999996"/>
    <x v="0"/>
    <n v="0"/>
    <n v="0"/>
    <n v="0"/>
    <n v="50403.361344537814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Perifericos de Computacion"/>
    <x v="0"/>
    <x v="1"/>
    <x v="6"/>
    <s v="LVTECOFSL-GR"/>
    <x v="27"/>
    <x v="27"/>
    <x v="0"/>
    <x v="3"/>
    <n v="1"/>
    <x v="23"/>
    <n v="175"/>
    <m/>
    <n v="0"/>
    <n v="14045"/>
    <n v="2457875"/>
    <n v="13.2"/>
    <n v="14420.999999999998"/>
    <n v="27722.689075630253"/>
    <n v="24361.344537815126"/>
    <s v="Shenzhen"/>
    <x v="0"/>
    <n v="30"/>
    <n v="1000"/>
    <n v="0"/>
    <s v=""/>
    <n v="0"/>
    <s v=""/>
    <n v="1"/>
    <n v="0.55143579824430888"/>
    <n v="36"/>
    <n v="0.54573705113297066"/>
    <n v="47"/>
    <n v="0.56462813584416238"/>
    <n v="98"/>
    <n v="0.49236583395648503"/>
    <n v="77"/>
    <n v="0.53172214507156701"/>
    <n v="93"/>
    <n v="0.55061432513308362"/>
    <n v="43"/>
    <n v="0.55647963863933236"/>
    <n v="161"/>
    <n v="0.47950907138111826"/>
    <n v="116"/>
    <n v="0.52718074146322902"/>
    <n v="84"/>
    <n v="0.53142281421716153"/>
    <n v="77"/>
    <s v=""/>
    <n v="87"/>
    <s v=""/>
    <n v="126"/>
    <s v=""/>
    <n v="188"/>
    <s v=""/>
    <n v="1.5666666666666667"/>
    <n v="200"/>
    <s v=""/>
    <n v="2.2222222222222223"/>
    <n v="330"/>
    <s v=""/>
    <n v="2.3571428571428572"/>
    <n v="114"/>
    <s v=""/>
    <n v="0.45600000000000002"/>
    <n v="75"/>
    <n v="250"/>
    <n v="75"/>
    <n v="1000"/>
    <n v="1000"/>
    <n v="0"/>
    <n v="4655917.5"/>
    <n v="3415499.9999999995"/>
    <n v="1053375"/>
    <n v="0"/>
    <n v="175"/>
    <n v="2457875"/>
    <n v="1747228.3030859404"/>
    <n v="80"/>
    <n v="141"/>
    <n v="130.5"/>
    <n v="0"/>
    <m/>
    <n v="0"/>
    <n v="6243002.5"/>
    <n v="1926341.9999999998"/>
    <n v="1832872.5"/>
    <n v="0"/>
    <n v="175"/>
    <n v="2457875"/>
    <n v="3040177.2473695362"/>
    <n v="120"/>
    <n v="1027"/>
    <n v="126"/>
    <n v="0"/>
    <n v="0"/>
    <n v="5639710"/>
    <n v="14424215"/>
    <n v="1769670"/>
    <n v="0"/>
    <n v="175"/>
    <n v="2457875"/>
    <n v="3493058.823529412"/>
    <n v="120"/>
    <n v="914"/>
    <n v="188"/>
    <n v="0"/>
    <n v="0"/>
    <n v="12487067.999999998"/>
    <n v="2640460"/>
    <x v="0"/>
    <x v="0"/>
    <n v="175"/>
    <n v="2457875"/>
    <n v="5211865.5462184874"/>
    <n v="90"/>
    <n v="375"/>
    <n v="90"/>
    <m/>
    <n v="0"/>
    <n v="0"/>
    <n v="5266875"/>
    <n v="1229579.9999999998"/>
    <x v="0"/>
    <n v="0"/>
    <n v="175"/>
    <n v="2457875"/>
    <n v="2495042.0168067226"/>
    <n v="140"/>
    <n v="505"/>
    <n v="330"/>
    <m/>
    <n v="0"/>
    <n v="0"/>
    <n v="7092725"/>
    <n v="4508459.9999999991"/>
    <n v="0"/>
    <n v="0"/>
    <n v="505"/>
    <n v="2457875"/>
    <n v="9148487.3949579839"/>
    <n v="250"/>
    <n v="289"/>
    <n v="250"/>
    <n v="0"/>
    <n v="0"/>
    <n v="0"/>
    <n v="4059005"/>
    <n v="3415499.9999999995"/>
    <n v="0"/>
    <n v="0"/>
    <n v="289"/>
    <n v="2457875"/>
    <n v="6930672.2689075628"/>
    <n v="139"/>
    <n v="39"/>
    <n v="139"/>
    <n v="0"/>
    <n v="0"/>
    <n v="0"/>
    <n v="547755"/>
    <n v="1899017.9999999998"/>
    <n v="0"/>
    <n v="0"/>
    <n v="39"/>
    <n v="547755"/>
    <n v="3853453.781512605"/>
    <n v="0"/>
    <n v="0"/>
    <n v="0"/>
    <n v="0"/>
    <n v="0"/>
    <m/>
    <n v="0"/>
    <n v="0"/>
    <n v="0"/>
    <n v="0"/>
    <n v="0"/>
    <n v="0"/>
    <n v="0"/>
    <n v="100"/>
    <n v="0"/>
    <n v="100"/>
    <n v="1000"/>
    <n v="1000"/>
    <n v="1000"/>
    <n v="0"/>
    <n v="0"/>
    <n v="1366199.9999999998"/>
    <n v="13661999.999999998"/>
    <n v="13661999.999999998"/>
    <n v="1000"/>
    <n v="13661999.999999998"/>
    <n v="2436134.4537815126"/>
    <n v="250"/>
    <n v="900"/>
    <n v="250"/>
    <m/>
    <n v="0"/>
    <n v="12295799.999999998"/>
    <n v="3415499.9999999995"/>
    <n v="0"/>
    <n v="0"/>
    <n v="900"/>
    <n v="12295799.999999998"/>
    <n v="6394852.9411764713"/>
    <n v="250"/>
    <n v="650"/>
    <n v="250"/>
    <n v="0"/>
    <n v="0"/>
    <n v="8880299.9999999981"/>
    <n v="3415499.9999999995"/>
    <n v="0"/>
    <n v="650"/>
    <n v="8880299.9999999981"/>
    <n v="6930672.2689075628"/>
    <n v="150"/>
    <n v="400"/>
    <n v="150"/>
    <n v="0"/>
    <m/>
    <n v="5464799.9999999991"/>
    <n v="2106750"/>
    <n v="0"/>
    <n v="400"/>
    <n v="5464799.9999999991"/>
    <n v="4158403.3613445377"/>
  </r>
  <r>
    <m/>
    <x v="0"/>
    <x v="1"/>
    <x v="6"/>
    <s v="LVMSVEL-GR"/>
    <x v="28"/>
    <x v="28"/>
    <x v="0"/>
    <x v="0"/>
    <n v="1"/>
    <x v="24"/>
    <n v="1058"/>
    <m/>
    <n v="0"/>
    <n v="3137"/>
    <n v="3318946"/>
    <n v="3.2"/>
    <n v="3495.9999999999995"/>
    <n v="8394.957983193277"/>
    <n v="7554.6218487394963"/>
    <s v="Shenzhen"/>
    <x v="0"/>
    <n v="30"/>
    <n v="1000"/>
    <n v="0"/>
    <s v=""/>
    <n v="0"/>
    <s v=""/>
    <n v="0"/>
    <s v=""/>
    <n v="0"/>
    <s v=""/>
    <n v="0"/>
    <s v=""/>
    <n v="0"/>
    <s v=""/>
    <n v="0"/>
    <s v=""/>
    <n v="0"/>
    <n v="0"/>
    <n v="19"/>
    <n v="0.58474997675257134"/>
    <n v="126"/>
    <n v="0.44249878893893974"/>
    <n v="89"/>
    <n v="0.53691477246627473"/>
    <n v="102"/>
    <n v="0.51721652771600779"/>
    <n v="63"/>
    <s v=""/>
    <n v="60"/>
    <s v=""/>
    <n v="85"/>
    <s v=""/>
    <n v="98"/>
    <s v=""/>
    <n v="1.3066666666666666"/>
    <n v="87"/>
    <s v=""/>
    <n v="1.1599999999999999"/>
    <n v="146"/>
    <s v=""/>
    <n v="1.2166666666666666"/>
    <n v="50"/>
    <s v=""/>
    <n v="0.58823529411764708"/>
    <n v="80"/>
    <n v="447"/>
    <n v="60"/>
    <n v="0"/>
    <m/>
    <n v="0"/>
    <n v="737195"/>
    <n v="1480463.9999999998"/>
    <n v="188220"/>
    <n v="0"/>
    <n v="1058"/>
    <n v="3318946"/>
    <n v="423275.19242991315"/>
    <n v="100"/>
    <n v="568"/>
    <n v="90"/>
    <n v="0"/>
    <m/>
    <n v="0"/>
    <n v="856401"/>
    <n v="1881215.9999999998"/>
    <n v="282330"/>
    <n v="0"/>
    <n v="1058"/>
    <n v="3318946"/>
    <n v="634912.7886448697"/>
    <n v="150"/>
    <n v="520"/>
    <n v="85"/>
    <n v="0"/>
    <n v="0"/>
    <n v="822471"/>
    <n v="1631240"/>
    <n v="266645"/>
    <n v="0"/>
    <n v="1058"/>
    <n v="3318946"/>
    <n v="713571.42857142852"/>
    <n v="75"/>
    <n v="1414"/>
    <n v="98"/>
    <n v="1000"/>
    <n v="0"/>
    <n v="4683167.9999999991"/>
    <n v="307426"/>
    <x v="11"/>
    <x v="0"/>
    <n v="1058"/>
    <n v="3318946"/>
    <n v="822705.88235294109"/>
    <n v="75"/>
    <n v="1145"/>
    <n v="75"/>
    <m/>
    <n v="300"/>
    <n v="0"/>
    <n v="3591865"/>
    <n v="248399.99999999997"/>
    <x v="0"/>
    <n v="0"/>
    <n v="1058"/>
    <n v="3318946"/>
    <n v="629621.84873949573"/>
    <n v="120"/>
    <n v="1204"/>
    <n v="146"/>
    <m/>
    <n v="0"/>
    <n v="0"/>
    <n v="3776948"/>
    <n v="483551.99999999994"/>
    <n v="0"/>
    <n v="0"/>
    <n v="1204"/>
    <n v="3318946"/>
    <n v="1225663.8655462184"/>
    <n v="85"/>
    <n v="1108"/>
    <n v="85"/>
    <n v="0"/>
    <n v="0"/>
    <n v="0"/>
    <n v="3475796"/>
    <n v="281519.99999999994"/>
    <n v="0"/>
    <n v="0"/>
    <n v="1108"/>
    <n v="3318946"/>
    <n v="713571.42857142852"/>
    <n v="90"/>
    <n v="1023"/>
    <n v="90"/>
    <n v="0"/>
    <n v="0"/>
    <n v="0"/>
    <n v="3209151"/>
    <n v="298079.99999999994"/>
    <n v="0"/>
    <n v="0"/>
    <n v="1023"/>
    <n v="3209151"/>
    <n v="755546.21848739497"/>
    <n v="75"/>
    <n v="933"/>
    <n v="75"/>
    <n v="0"/>
    <n v="0"/>
    <m/>
    <n v="3090095.9999999995"/>
    <n v="248399.99999999997"/>
    <n v="0"/>
    <n v="0"/>
    <n v="933"/>
    <n v="3090095.9999999995"/>
    <n v="629621.84873949573"/>
    <n v="100"/>
    <n v="858"/>
    <n v="100"/>
    <n v="0"/>
    <n v="0"/>
    <n v="0"/>
    <m/>
    <n v="2841695.9999999995"/>
    <n v="331199.99999999994"/>
    <n v="0"/>
    <n v="0"/>
    <n v="858"/>
    <n v="2841695.9999999995"/>
    <n v="755462.18487394962"/>
    <n v="80"/>
    <n v="758"/>
    <n v="80"/>
    <m/>
    <n v="0"/>
    <n v="2510495.9999999995"/>
    <n v="264959.99999999994"/>
    <n v="0"/>
    <n v="0"/>
    <n v="758"/>
    <n v="2510495.9999999995"/>
    <n v="634588.23529411771"/>
    <n v="125"/>
    <n v="678"/>
    <n v="125"/>
    <n v="0"/>
    <n v="0"/>
    <n v="2245535.9999999995"/>
    <n v="413999.99999999994"/>
    <n v="0"/>
    <n v="678"/>
    <n v="2245535.9999999995"/>
    <n v="1049369.7478991596"/>
    <n v="48"/>
    <n v="553"/>
    <n v="48"/>
    <n v="0"/>
    <m/>
    <n v="1831535.9999999998"/>
    <n v="150576"/>
    <n v="0"/>
    <n v="553"/>
    <n v="1831535.9999999998"/>
    <n v="402957.98319327726"/>
  </r>
  <r>
    <s v="Levo-Perifericos de Computacion"/>
    <x v="0"/>
    <x v="1"/>
    <x v="6"/>
    <n v="67898087132855"/>
    <x v="29"/>
    <x v="29"/>
    <x v="0"/>
    <x v="3"/>
    <n v="1"/>
    <x v="25"/>
    <n v="503"/>
    <m/>
    <n v="0"/>
    <n v="40885.526795117461"/>
    <n v="20565419.977944084"/>
    <n v="35"/>
    <n v="38237.5"/>
    <n v="84025.210084033621"/>
    <n v="67218.487394957992"/>
    <s v="Ningbo"/>
    <x v="1"/>
    <n v="30"/>
    <n v="100"/>
    <n v="4"/>
    <n v="0.36688256499539051"/>
    <n v="1"/>
    <n v="0.45130753075307534"/>
    <n v="65"/>
    <n v="0.48299818344847073"/>
    <n v="42"/>
    <n v="0.47192638819699884"/>
    <n v="44"/>
    <n v="0.48528087478109921"/>
    <n v="115"/>
    <n v="0.44035195384353176"/>
    <n v="64"/>
    <n v="0.45503211889651962"/>
    <n v="182"/>
    <n v="0.38341626129384482"/>
    <n v="134"/>
    <n v="0.32710572527683368"/>
    <n v="77"/>
    <n v="0.45552379190560421"/>
    <n v="38"/>
    <n v="0.41798482650471375"/>
    <n v="39"/>
    <n v="0.42076207866024051"/>
    <n v="11"/>
    <n v="0.45130754091034098"/>
    <n v="35"/>
    <n v="0.45130754091034098"/>
    <n v="42"/>
    <n v="0.4835590951291347"/>
    <n v="39"/>
    <n v="0.46554337376807986"/>
    <n v="0.78"/>
    <n v="36"/>
    <n v="0.48359203748331203"/>
    <n v="0.72"/>
    <n v="41"/>
    <n v="0.44167528686605689"/>
    <n v="0.4823529411764706"/>
    <n v="13"/>
    <n v="0.45888241154847209"/>
    <n v="0.26"/>
    <n v="100"/>
    <n v="174"/>
    <n v="45"/>
    <n v="150"/>
    <n v="150"/>
    <n v="0"/>
    <n v="5703530.9879188854"/>
    <n v="6303150"/>
    <n v="1839848.7057802856"/>
    <n v="0"/>
    <n v="503"/>
    <n v="20565419.977944084"/>
    <n v="3177423.9107407671"/>
    <n v="100"/>
    <n v="152"/>
    <n v="52.5"/>
    <n v="250"/>
    <n v="250"/>
    <n v="0"/>
    <n v="5458217.8271481805"/>
    <n v="5506200"/>
    <n v="2146490.1567436666"/>
    <n v="0"/>
    <n v="503"/>
    <n v="20565419.977944084"/>
    <n v="3706994.5625308948"/>
    <n v="120"/>
    <n v="346"/>
    <n v="42"/>
    <n v="0"/>
    <n v="0"/>
    <n v="5122977.6704045143"/>
    <n v="14146392.271110641"/>
    <n v="1717192.1253949334"/>
    <n v="0"/>
    <n v="503"/>
    <n v="20565419.977944084"/>
    <n v="3529058.823529412"/>
    <n v="50"/>
    <n v="565"/>
    <n v="39"/>
    <n v="200"/>
    <n v="0"/>
    <n v="20467125"/>
    <n v="1594535.5450095809"/>
    <x v="12"/>
    <x v="0"/>
    <n v="503"/>
    <n v="20565419.977944084"/>
    <n v="3276983.193277311"/>
    <n v="50"/>
    <n v="539"/>
    <n v="50"/>
    <n v="100"/>
    <n v="100"/>
    <n v="0"/>
    <n v="22037298.942568313"/>
    <n v="1811250"/>
    <x v="3"/>
    <n v="0"/>
    <n v="503"/>
    <n v="20565419.977944084"/>
    <n v="4201260.5042016814"/>
    <n v="85"/>
    <n v="544"/>
    <n v="41"/>
    <m/>
    <n v="0"/>
    <n v="0"/>
    <n v="22241726.576543897"/>
    <n v="1485225"/>
    <n v="0"/>
    <n v="0"/>
    <n v="544"/>
    <n v="20565419.977944084"/>
    <n v="3445033.6134453784"/>
    <n v="50"/>
    <n v="516"/>
    <n v="50"/>
    <n v="0"/>
    <n v="41"/>
    <n v="0"/>
    <n v="21096931.826280609"/>
    <n v="1811250"/>
    <n v="0"/>
    <n v="0"/>
    <n v="516"/>
    <n v="20565419.977944084"/>
    <n v="4201260.5042016814"/>
    <n v="70"/>
    <n v="466"/>
    <n v="70"/>
    <n v="70"/>
    <n v="70"/>
    <n v="0"/>
    <n v="19052655.486524738"/>
    <n v="2535750"/>
    <n v="2535750"/>
    <n v="0"/>
    <n v="536"/>
    <n v="21588405.486524738"/>
    <n v="5881764.7058823537"/>
    <n v="45"/>
    <n v="396"/>
    <n v="45"/>
    <n v="0"/>
    <n v="0"/>
    <n v="70"/>
    <n v="14345100"/>
    <n v="1630125"/>
    <n v="0"/>
    <n v="2535750"/>
    <n v="466"/>
    <n v="16880850"/>
    <n v="3781134.453781513"/>
    <n v="60"/>
    <n v="421"/>
    <n v="60"/>
    <n v="0"/>
    <n v="0"/>
    <n v="0"/>
    <m/>
    <n v="15250725"/>
    <n v="2173500"/>
    <n v="0"/>
    <n v="0"/>
    <n v="421"/>
    <n v="15250725"/>
    <n v="4033109.2436974794"/>
    <n v="40"/>
    <n v="361"/>
    <n v="40"/>
    <m/>
    <n v="0"/>
    <n v="13077225"/>
    <n v="1449000"/>
    <n v="0"/>
    <n v="0"/>
    <n v="361"/>
    <n v="13077225"/>
    <n v="2823176.4705882357"/>
    <n v="60"/>
    <n v="321"/>
    <n v="60"/>
    <n v="0"/>
    <n v="0"/>
    <n v="11628225"/>
    <n v="2173500"/>
    <n v="0"/>
    <n v="321"/>
    <n v="11628225"/>
    <n v="5041512.6050420171"/>
    <n v="24"/>
    <n v="261"/>
    <n v="24"/>
    <n v="0"/>
    <m/>
    <n v="9454725"/>
    <n v="981252.64308281906"/>
    <n v="0"/>
    <n v="261"/>
    <n v="9454725"/>
    <n v="2016605.042016807"/>
  </r>
  <r>
    <s v="Levo-Perifericos de Computacion"/>
    <x v="0"/>
    <x v="1"/>
    <x v="6"/>
    <s v="LVSILLERGO-BL"/>
    <x v="30"/>
    <x v="30"/>
    <x v="0"/>
    <x v="3"/>
    <n v="1"/>
    <x v="26"/>
    <n v="413"/>
    <m/>
    <n v="0"/>
    <n v="36291"/>
    <n v="14988183"/>
    <n v="30.5"/>
    <n v="33321.25"/>
    <n v="75621.848739495807"/>
    <n v="71420.168067226899"/>
    <s v="Shenzhen"/>
    <x v="0"/>
    <n v="30"/>
    <n v="100"/>
    <n v="0"/>
    <s v=""/>
    <n v="0"/>
    <s v=""/>
    <n v="2"/>
    <n v="0.42897229638951717"/>
    <n v="20"/>
    <n v="0.57072010292801201"/>
    <n v="57"/>
    <n v="0.54441526411619512"/>
    <n v="119"/>
    <n v="0.49534823733964356"/>
    <n v="91"/>
    <n v="0.57865383828923844"/>
    <n v="60"/>
    <n v="0.45929549177425544"/>
    <n v="18"/>
    <n v="0.46155922038687808"/>
    <n v="117"/>
    <n v="0.46796768497652891"/>
    <n v="94"/>
    <n v="0.49442077822620034"/>
    <n v="159"/>
    <n v="0.47313148855635123"/>
    <n v="36"/>
    <s v=""/>
    <n v="79"/>
    <s v=""/>
    <n v="111"/>
    <s v=""/>
    <n v="71"/>
    <s v=""/>
    <n v="0.88749999999999996"/>
    <n v="78"/>
    <s v=""/>
    <n v="0.91764705882352937"/>
    <n v="77"/>
    <s v=""/>
    <n v="0.59230769230769231"/>
    <n v="41"/>
    <s v=""/>
    <n v="0.51249999999999996"/>
    <n v="125"/>
    <n v="33"/>
    <n v="25"/>
    <n v="150"/>
    <n v="150"/>
    <n v="0"/>
    <n v="9236059.5"/>
    <n v="1041727.4999999999"/>
    <n v="907275"/>
    <n v="0"/>
    <n v="413"/>
    <n v="14988183"/>
    <n v="1588694.301249912"/>
    <n v="125"/>
    <n v="388"/>
    <n v="118.5"/>
    <n v="325"/>
    <n v="325"/>
    <n v="0"/>
    <n v="10905445.5"/>
    <n v="12248189.999999998"/>
    <n v="4300483.5"/>
    <n v="0"/>
    <n v="413"/>
    <n v="14988183"/>
    <n v="7530410.9879245823"/>
    <n v="150"/>
    <n v="524"/>
    <n v="111"/>
    <n v="0"/>
    <n v="0"/>
    <n v="9288199.5"/>
    <n v="19016484"/>
    <n v="4028301"/>
    <n v="0"/>
    <n v="413"/>
    <n v="14988183"/>
    <n v="8394025.2100840341"/>
    <n v="80"/>
    <n v="469"/>
    <n v="71"/>
    <n v="200"/>
    <n v="0"/>
    <n v="14805157.499999998"/>
    <n v="2576661"/>
    <x v="13"/>
    <x v="0"/>
    <n v="413"/>
    <n v="14988183"/>
    <n v="5369151.260504202"/>
    <n v="85"/>
    <n v="491"/>
    <n v="85"/>
    <n v="100"/>
    <n v="100"/>
    <n v="0"/>
    <n v="17818881"/>
    <n v="2683237.4999999995"/>
    <x v="4"/>
    <n v="0"/>
    <n v="413"/>
    <n v="14988183"/>
    <n v="6427857.1428571437"/>
    <n v="130"/>
    <n v="490"/>
    <n v="77"/>
    <m/>
    <n v="100"/>
    <n v="0"/>
    <n v="17782590"/>
    <n v="2430697.4999999995"/>
    <n v="0"/>
    <n v="0"/>
    <n v="490"/>
    <n v="14988183"/>
    <n v="5822882.3529411769"/>
    <n v="80"/>
    <n v="454"/>
    <n v="80"/>
    <n v="100"/>
    <n v="100"/>
    <n v="0"/>
    <n v="16476114"/>
    <n v="2525399.9999999995"/>
    <n v="3051524.9999999995"/>
    <n v="0"/>
    <n v="454"/>
    <n v="14988183"/>
    <n v="6049747.8991596643"/>
    <n v="80"/>
    <n v="374"/>
    <n v="80"/>
    <n v="104.72413793103448"/>
    <n v="104.72413793103448"/>
    <n v="0"/>
    <n v="13572834"/>
    <n v="2525399.9999999995"/>
    <n v="3305879.2241379307"/>
    <n v="0"/>
    <n v="478.72413793103448"/>
    <n v="16878713.224137932"/>
    <n v="6049747.8991596643"/>
    <n v="60"/>
    <n v="294"/>
    <n v="60"/>
    <n v="0"/>
    <n v="0"/>
    <n v="104.72413793103448"/>
    <n v="9280844.9999999981"/>
    <n v="1894049.9999999998"/>
    <n v="0"/>
    <n v="3305879.2241379307"/>
    <n v="398.72413793103448"/>
    <n v="12586724.224137928"/>
    <n v="4537310.9243697487"/>
    <n v="80"/>
    <n v="338.72413793103448"/>
    <n v="80"/>
    <n v="0"/>
    <n v="0"/>
    <n v="0"/>
    <m/>
    <n v="10692674.22413793"/>
    <n v="2525399.9999999995"/>
    <n v="0"/>
    <n v="0"/>
    <n v="338.72413793103448"/>
    <n v="10692674.22413793"/>
    <n v="5713613.4453781517"/>
    <n v="70"/>
    <n v="258.72413793103448"/>
    <n v="70"/>
    <m/>
    <n v="0"/>
    <n v="8167274.2241379302"/>
    <n v="2209724.9999999995"/>
    <n v="0"/>
    <n v="0"/>
    <n v="258.72413793103448"/>
    <n v="8167274.2241379302"/>
    <n v="5249382.3529411778"/>
    <n v="80"/>
    <n v="188.72413793103448"/>
    <n v="80"/>
    <n v="0"/>
    <n v="0"/>
    <n v="5957549.2241379302"/>
    <n v="2525399.9999999995"/>
    <n v="0"/>
    <n v="188.72413793103448"/>
    <n v="5957549.2241379302"/>
    <n v="6049747.8991596643"/>
    <n v="42"/>
    <n v="108.72413793103448"/>
    <n v="42"/>
    <n v="0"/>
    <m/>
    <n v="3432149.2241379307"/>
    <n v="1524222"/>
    <n v="0"/>
    <n v="108.72413793103448"/>
    <n v="3432149.2241379307"/>
    <n v="3176117.6470588241"/>
  </r>
  <r>
    <m/>
    <x v="0"/>
    <x v="1"/>
    <x v="6"/>
    <s v="LVSILLLIT-BL"/>
    <x v="31"/>
    <x v="31"/>
    <x v="0"/>
    <x v="3"/>
    <n v="1"/>
    <x v="12"/>
    <n v="367"/>
    <m/>
    <n v="0"/>
    <n v="9204.5999999999985"/>
    <n v="3378088.1999999993"/>
    <n v="9.1999999999999993"/>
    <n v="10051"/>
    <n v="33605.042016806721"/>
    <n v="33605.042016806721"/>
    <s v="Shenzhen"/>
    <x v="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4"/>
    <s v=""/>
    <n v="0.04"/>
    <n v="33"/>
    <s v=""/>
    <n v="0.33"/>
    <n v="89"/>
    <s v=""/>
    <n v="0.89"/>
    <n v="-8"/>
    <s v=""/>
    <n v="-0.13333333333333333"/>
    <n v="0"/>
    <n v="0"/>
    <n v="0"/>
    <n v="0"/>
    <n v="0"/>
    <n v="0"/>
    <n v="0"/>
    <n v="0"/>
    <n v="0"/>
    <n v="0"/>
    <n v="367"/>
    <n v="3378088.1999999993"/>
    <n v="0"/>
    <n v="0"/>
    <n v="0"/>
    <n v="0"/>
    <n v="200"/>
    <n v="200"/>
    <n v="0"/>
    <n v="36818.399999999994"/>
    <n v="0"/>
    <n v="0"/>
    <n v="0"/>
    <n v="367"/>
    <n v="3378088.1999999993"/>
    <n v="0"/>
    <n v="25"/>
    <n v="0"/>
    <n v="0"/>
    <n v="0"/>
    <n v="0"/>
    <n v="989018.4"/>
    <n v="0"/>
    <n v="0"/>
    <n v="0"/>
    <n v="367"/>
    <n v="3378088.1999999993"/>
    <n v="0"/>
    <n v="100"/>
    <n v="406"/>
    <n v="4"/>
    <n v="200"/>
    <n v="0"/>
    <n v="3865932"/>
    <n v="36818.399999999994"/>
    <x v="14"/>
    <x v="0"/>
    <n v="367"/>
    <n v="3378088.1999999993"/>
    <n v="134420.16806722688"/>
    <n v="100"/>
    <n v="400"/>
    <n v="100"/>
    <n v="100"/>
    <n v="100"/>
    <n v="0"/>
    <n v="3681839.9999999995"/>
    <n v="952200"/>
    <x v="5"/>
    <n v="0"/>
    <n v="367"/>
    <n v="3378088.1999999993"/>
    <n v="3360504.2016806724"/>
    <n v="100"/>
    <n v="456"/>
    <n v="89"/>
    <m/>
    <n v="0"/>
    <n v="0"/>
    <n v="4197297.5999999996"/>
    <n v="847458"/>
    <n v="0"/>
    <n v="0"/>
    <n v="456"/>
    <n v="3378088.1999999993"/>
    <n v="2990848.739495798"/>
    <n v="60"/>
    <n v="359"/>
    <n v="60"/>
    <n v="0"/>
    <n v="0"/>
    <n v="0"/>
    <n v="3304451.3999999994"/>
    <n v="571320"/>
    <n v="0"/>
    <n v="0"/>
    <n v="359"/>
    <n v="3378088.1999999993"/>
    <n v="2016302.5210084033"/>
    <n v="80"/>
    <n v="299"/>
    <n v="80"/>
    <n v="100"/>
    <n v="100"/>
    <n v="0"/>
    <n v="2752175.3999999994"/>
    <n v="761760"/>
    <n v="952200"/>
    <n v="0"/>
    <n v="399"/>
    <n v="3704375.3999999994"/>
    <n v="2688403.3613445377"/>
    <n v="50"/>
    <n v="219"/>
    <n v="50"/>
    <n v="0"/>
    <n v="0"/>
    <n v="0"/>
    <n v="2085318"/>
    <n v="476100"/>
    <n v="0"/>
    <n v="0"/>
    <n v="219"/>
    <n v="2085318"/>
    <n v="1680252.1008403362"/>
    <n v="60"/>
    <n v="269"/>
    <n v="60"/>
    <n v="0"/>
    <n v="0"/>
    <n v="0"/>
    <n v="100"/>
    <n v="2561418"/>
    <n v="571320"/>
    <n v="0"/>
    <n v="952200"/>
    <n v="269"/>
    <n v="3513618"/>
    <n v="2016302.5210084033"/>
    <n v="60"/>
    <n v="209"/>
    <n v="60"/>
    <m/>
    <n v="0"/>
    <n v="1990098"/>
    <n v="571320"/>
    <n v="0"/>
    <n v="0"/>
    <n v="209"/>
    <n v="1990098"/>
    <n v="2117117.6470588236"/>
    <n v="60"/>
    <n v="149"/>
    <n v="60"/>
    <n v="0"/>
    <n v="0"/>
    <n v="1418778"/>
    <n v="571320"/>
    <n v="0"/>
    <n v="149"/>
    <n v="1418778"/>
    <n v="2016302.5210084033"/>
    <n v="36"/>
    <n v="89"/>
    <n v="36"/>
    <n v="0"/>
    <m/>
    <n v="847458"/>
    <n v="331365.59999999998"/>
    <n v="0"/>
    <n v="89"/>
    <n v="847458"/>
    <n v="1209781.512605042"/>
  </r>
  <r>
    <s v="Levo-Smart Home"/>
    <x v="0"/>
    <x v="3"/>
    <x v="7"/>
    <n v="1652825027456"/>
    <x v="32"/>
    <x v="32"/>
    <x v="0"/>
    <x v="4"/>
    <n v="0.9"/>
    <x v="27"/>
    <n v="165"/>
    <m/>
    <n v="0"/>
    <n v="6466.6202531645567"/>
    <n v="1066992.3417721519"/>
    <n v="6.5"/>
    <n v="7101.2499999999991"/>
    <n v="16798.319327731093"/>
    <n v="15117.64705882353"/>
    <s v="Shenzhen"/>
    <x v="1"/>
    <n v="30"/>
    <n v="300"/>
    <n v="91"/>
    <n v="0.60619619504897482"/>
    <n v="100"/>
    <n v="0.58807412773635404"/>
    <n v="91"/>
    <n v="0.63162312601463411"/>
    <n v="105"/>
    <n v="0.6165755820968829"/>
    <n v="51"/>
    <n v="0.66711490969526088"/>
    <n v="79"/>
    <n v="0.61229877820720258"/>
    <n v="114"/>
    <n v="0.57751407137123312"/>
    <n v="66"/>
    <n v="0.6164749808099762"/>
    <n v="85"/>
    <n v="0.5622003956349827"/>
    <n v="82"/>
    <n v="0.55645380097848451"/>
    <n v="60"/>
    <n v="0.56635651976822976"/>
    <n v="92"/>
    <n v="0.51739422471656082"/>
    <n v="26"/>
    <n v="0.61658785152887963"/>
    <n v="90"/>
    <n v="0.59260793190898997"/>
    <n v="58"/>
    <n v="0.63268917840171313"/>
    <n v="35"/>
    <n v="0.62753847121202411"/>
    <n v="0.4375"/>
    <n v="53"/>
    <n v="0.66529216020539195"/>
    <n v="0.66249999999999998"/>
    <n v="201"/>
    <n v="0.61111241318657961"/>
    <n v="2.0099999999999998"/>
    <n v="11"/>
    <n v="0.5891497199815251"/>
    <n v="0.15714285714285714"/>
    <n v="80"/>
    <n v="47"/>
    <n v="50"/>
    <n v="300"/>
    <n v="150"/>
    <n v="0"/>
    <n v="1571388.7215189873"/>
    <n v="316192.49999999994"/>
    <n v="323331.01265822782"/>
    <n v="0"/>
    <n v="165"/>
    <n v="1066992.3417721519"/>
    <n v="705811.73645928968"/>
    <n v="80"/>
    <n v="315"/>
    <n v="135"/>
    <n v="0"/>
    <m/>
    <n v="0"/>
    <n v="1474389.4177215188"/>
    <n v="2119162.4999999995"/>
    <n v="872993.73417721514"/>
    <n v="0"/>
    <n v="165"/>
    <n v="1066992.3417721519"/>
    <n v="1905691.6884400821"/>
    <n v="80"/>
    <n v="209"/>
    <n v="58"/>
    <n v="0"/>
    <n v="0"/>
    <n v="1085775.6835443038"/>
    <n v="1351523.6329113923"/>
    <n v="375063.97468354431"/>
    <n v="0"/>
    <n v="165"/>
    <n v="1066992.3417721519"/>
    <n v="974302.52100840339"/>
    <n v="80"/>
    <n v="445"/>
    <n v="35"/>
    <n v="300"/>
    <n v="0"/>
    <n v="2993737.4999999995"/>
    <n v="226331.70886075948"/>
    <x v="15"/>
    <x v="0"/>
    <n v="165"/>
    <n v="1066992.3417721519"/>
    <n v="587941.17647058819"/>
    <n v="80"/>
    <n v="218"/>
    <n v="72"/>
    <m/>
    <n v="0"/>
    <n v="0"/>
    <n v="1409723.2151898735"/>
    <n v="484379.99999999994"/>
    <x v="0"/>
    <n v="0"/>
    <n v="165"/>
    <n v="1066992.3417721519"/>
    <n v="1209478.9915966387"/>
    <n v="100"/>
    <n v="366"/>
    <n v="201"/>
    <m/>
    <n v="0"/>
    <n v="0"/>
    <n v="2366783.0126582277"/>
    <n v="1352227.4999999998"/>
    <n v="0"/>
    <n v="0"/>
    <n v="366"/>
    <n v="1066992.3417721519"/>
    <n v="3376462.1848739497"/>
    <n v="70"/>
    <n v="176"/>
    <n v="63"/>
    <n v="0"/>
    <n v="0"/>
    <n v="0"/>
    <n v="1138125.164556962"/>
    <n v="423832.49999999994"/>
    <n v="0"/>
    <n v="0"/>
    <n v="176"/>
    <n v="1066992.3417721519"/>
    <n v="1058294.1176470588"/>
    <n v="70"/>
    <n v="113"/>
    <n v="63"/>
    <n v="0"/>
    <n v="0"/>
    <n v="0"/>
    <n v="730728.08860759495"/>
    <n v="423832.49999999994"/>
    <n v="0"/>
    <n v="0"/>
    <n v="113"/>
    <n v="730728.08860759495"/>
    <n v="1058294.1176470588"/>
    <n v="70"/>
    <n v="50"/>
    <n v="63"/>
    <n v="0"/>
    <n v="0"/>
    <m/>
    <n v="336374.99999999994"/>
    <n v="423832.49999999994"/>
    <n v="0"/>
    <n v="0"/>
    <n v="50"/>
    <n v="336374.99999999994"/>
    <n v="1058294.1176470588"/>
    <n v="90"/>
    <n v="0"/>
    <n v="0"/>
    <n v="0"/>
    <n v="0"/>
    <n v="0"/>
    <m/>
    <n v="0"/>
    <n v="0"/>
    <n v="0"/>
    <n v="0"/>
    <n v="0"/>
    <n v="0"/>
    <n v="0"/>
    <n v="80"/>
    <n v="0"/>
    <n v="72"/>
    <n v="300"/>
    <n v="300"/>
    <n v="0"/>
    <n v="484379.99999999994"/>
    <n v="2018249.9999999998"/>
    <n v="2018249.9999999998"/>
    <n v="300"/>
    <n v="2018249.9999999998"/>
    <n v="1142894.117647059"/>
    <n v="80"/>
    <n v="228"/>
    <n v="72"/>
    <n v="0"/>
    <n v="0"/>
    <n v="1533869.9999999998"/>
    <n v="484379.99999999994"/>
    <n v="0"/>
    <n v="228"/>
    <n v="1533869.9999999998"/>
    <n v="1209478.9915966387"/>
    <n v="48"/>
    <n v="156"/>
    <n v="43.2"/>
    <n v="0"/>
    <m/>
    <n v="1049489.9999999998"/>
    <n v="279357.99493670888"/>
    <n v="0"/>
    <n v="156"/>
    <n v="1049489.9999999998"/>
    <n v="725687.39495798328"/>
  </r>
  <r>
    <s v="Levo-Smart Home"/>
    <x v="0"/>
    <x v="3"/>
    <x v="8"/>
    <n v="67327559384453"/>
    <x v="33"/>
    <x v="33"/>
    <x v="0"/>
    <x v="3"/>
    <n v="1"/>
    <x v="28"/>
    <n v="89"/>
    <m/>
    <n v="0"/>
    <n v="11465.675735018631"/>
    <n v="1020445.1404166581"/>
    <n v="13.4"/>
    <n v="14639.499999999998"/>
    <n v="25201.680672268907"/>
    <n v="25201.680672268907"/>
    <s v="Shenzhen"/>
    <x v="0"/>
    <n v="30"/>
    <n v="50"/>
    <n v="103"/>
    <n v="0.64575686889778683"/>
    <n v="58"/>
    <n v="0.66168817546325598"/>
    <n v="33"/>
    <n v="0.69131495459074543"/>
    <n v="20"/>
    <n v="0.7233715346778159"/>
    <n v="5"/>
    <n v="0.67548559116361739"/>
    <n v="56"/>
    <n v="0.66280045279664712"/>
    <n v="30"/>
    <n v="0.69780135304453195"/>
    <n v="46"/>
    <n v="0.65620693381004236"/>
    <n v="16"/>
    <n v="0.68086623531657564"/>
    <n v="60"/>
    <n v="0.61227444670969633"/>
    <n v="50"/>
    <n v="0.59268777797853922"/>
    <n v="85"/>
    <n v="0.558975139939484"/>
    <n v="33"/>
    <n v="0.64461434935728235"/>
    <n v="104"/>
    <n v="0.66749296618434228"/>
    <n v="126"/>
    <n v="0.68970925289124163"/>
    <n v="18"/>
    <n v="0.7233715327627992"/>
    <n v="0.4"/>
    <n v="2"/>
    <n v="0.68750564543202441"/>
    <n v="4.4444444444444446E-2"/>
    <n v="11"/>
    <n v="0.66321183391397476"/>
    <n v="2.2000000000000002"/>
    <n v="19"/>
    <n v="0.69802962433343474"/>
    <n v="0.38"/>
    <n v="50"/>
    <n v="149"/>
    <n v="30"/>
    <n v="50"/>
    <n v="50"/>
    <n v="0"/>
    <n v="3577290.8293258129"/>
    <n v="2066480.9999999998"/>
    <n v="343970.27205055894"/>
    <n v="0"/>
    <n v="89"/>
    <n v="1020445.1404166581"/>
    <n v="635336.48753619101"/>
    <n v="50"/>
    <n v="245"/>
    <n v="156"/>
    <n v="80"/>
    <n v="80"/>
    <n v="0"/>
    <n v="3439702.7205055892"/>
    <n v="3397904.9999999995"/>
    <n v="1788645.4146629064"/>
    <n v="0"/>
    <n v="89"/>
    <n v="1020445.1404166581"/>
    <n v="3303749.7351881932"/>
    <n v="50"/>
    <n v="93"/>
    <n v="126"/>
    <n v="0"/>
    <n v="0"/>
    <n v="2275162.3058426827"/>
    <n v="1066307.8433567327"/>
    <n v="1444675.1426123474"/>
    <n v="0"/>
    <n v="89"/>
    <n v="1020445.1404166581"/>
    <n v="3175411.7647058824"/>
    <n v="45"/>
    <n v="19"/>
    <n v="18"/>
    <n v="0"/>
    <n v="0"/>
    <n v="263510.99999999994"/>
    <n v="206382.16323033534"/>
    <x v="0"/>
    <x v="0"/>
    <n v="89"/>
    <n v="1020445.1404166581"/>
    <n v="453630.25210084033"/>
    <n v="45"/>
    <n v="91"/>
    <n v="45"/>
    <m/>
    <n v="0"/>
    <n v="0"/>
    <n v="1043376.4918866954"/>
    <n v="624104.99999999988"/>
    <x v="0"/>
    <n v="0"/>
    <n v="89"/>
    <n v="1020445.1404166581"/>
    <n v="1134075.6302521008"/>
    <n v="5"/>
    <n v="100"/>
    <n v="11"/>
    <m/>
    <n v="0"/>
    <n v="0"/>
    <n v="1146567.5735018631"/>
    <n v="152558.99999999997"/>
    <n v="0"/>
    <n v="0"/>
    <n v="100"/>
    <n v="1020445.1404166581"/>
    <n v="277218.48739495798"/>
    <n v="50"/>
    <n v="108"/>
    <n v="50"/>
    <n v="100"/>
    <n v="100"/>
    <n v="0"/>
    <n v="1238292.979382012"/>
    <n v="693449.99999999988"/>
    <n v="1340670"/>
    <n v="0"/>
    <n v="108"/>
    <n v="1020445.1404166581"/>
    <n v="1260084.0336134452"/>
    <n v="50"/>
    <n v="58"/>
    <n v="50"/>
    <n v="110"/>
    <n v="110"/>
    <n v="0"/>
    <n v="665009.19263108063"/>
    <n v="693449.99999999988"/>
    <n v="1525589.9999999998"/>
    <n v="0"/>
    <n v="168"/>
    <n v="2190599.1926310803"/>
    <n v="1260084.0336134452"/>
    <n v="50"/>
    <n v="8"/>
    <n v="50"/>
    <n v="100"/>
    <n v="100"/>
    <n v="100"/>
    <n v="110951.99999999999"/>
    <n v="693449.99999999988"/>
    <n v="1386899.9999999998"/>
    <n v="1386899.9999999998"/>
    <n v="108"/>
    <n v="1497851.9999999998"/>
    <n v="1260084.0336134452"/>
    <n v="75"/>
    <n v="58"/>
    <n v="58"/>
    <n v="0"/>
    <n v="0"/>
    <n v="0"/>
    <m/>
    <n v="804401.99999999988"/>
    <n v="804401.99999999988"/>
    <n v="0"/>
    <n v="0"/>
    <n v="58"/>
    <n v="804401.99999999988"/>
    <n v="1461697.4789915965"/>
    <n v="80"/>
    <n v="0"/>
    <n v="80"/>
    <n v="0"/>
    <n v="0"/>
    <n v="0"/>
    <n v="1109519.9999999998"/>
    <n v="0"/>
    <n v="0"/>
    <n v="0"/>
    <n v="0"/>
    <n v="2116941.1764705884"/>
    <n v="90"/>
    <n v="0"/>
    <n v="90"/>
    <n v="100"/>
    <n v="100"/>
    <n v="0"/>
    <n v="1248209.9999999998"/>
    <n v="1386899.9999999998"/>
    <n v="100"/>
    <n v="1386899.9999999998"/>
    <n v="2268151.2605042015"/>
    <n v="48"/>
    <n v="10"/>
    <n v="48"/>
    <n v="0"/>
    <m/>
    <n v="138689.99999999997"/>
    <n v="550352.43528089428"/>
    <n v="0"/>
    <n v="10"/>
    <n v="138689.99999999997"/>
    <n v="1209680.6722689075"/>
  </r>
  <r>
    <s v="Levo-Smart Home"/>
    <x v="0"/>
    <x v="3"/>
    <x v="9"/>
    <n v="1538141129434"/>
    <x v="34"/>
    <x v="34"/>
    <x v="0"/>
    <x v="0"/>
    <n v="1"/>
    <x v="29"/>
    <n v="103"/>
    <m/>
    <n v="0"/>
    <n v="3249.7245688532898"/>
    <n v="334721.63059188885"/>
    <n v="3.5300000000000002"/>
    <n v="3856.5250000000001"/>
    <n v="8394.957983193277"/>
    <n v="8394.957983193277"/>
    <s v="Shenzhen"/>
    <x v="0"/>
    <n v="30"/>
    <n v="100"/>
    <n v="55"/>
    <n v="0.71497455404704002"/>
    <n v="59"/>
    <n v="0.65447059749825853"/>
    <n v="79"/>
    <n v="0.67755968215068918"/>
    <n v="68"/>
    <n v="0.65438146532824493"/>
    <n v="46"/>
    <n v="0.65477951631414721"/>
    <n v="155"/>
    <n v="0.60753616826677392"/>
    <n v="133"/>
    <n v="0.64207232032981465"/>
    <n v="83"/>
    <n v="0.64650675370789279"/>
    <n v="46"/>
    <n v="0.68710011278693328"/>
    <n v="94"/>
    <n v="0.58193796285435362"/>
    <n v="96"/>
    <n v="0.59369825280329647"/>
    <n v="39"/>
    <n v="0.57023438577712626"/>
    <n v="9"/>
    <n v="0.70923281837441265"/>
    <n v="41"/>
    <n v="0.66190131902896132"/>
    <n v="106"/>
    <n v="0.67779921998925641"/>
    <n v="112"/>
    <n v="0.65989175165832159"/>
    <n v="1.6"/>
    <n v="110"/>
    <n v="0.67793839275962242"/>
    <n v="1.5714285714285714"/>
    <n v="65"/>
    <n v="0.60510066952325403"/>
    <n v="0.72222222222222221"/>
    <n v="5"/>
    <n v="0.64748927061139983"/>
    <n v="7.1428571428571425E-2"/>
    <n v="70"/>
    <n v="6"/>
    <n v="10"/>
    <n v="150"/>
    <n v="150"/>
    <n v="0"/>
    <n v="576826.11097145895"/>
    <n v="21921.3"/>
    <n v="32497.245688532897"/>
    <n v="0"/>
    <n v="103"/>
    <n v="334721.63059188885"/>
    <n v="70545.865404985525"/>
    <n v="70"/>
    <n v="351"/>
    <n v="61.5"/>
    <n v="200"/>
    <n v="200"/>
    <n v="0"/>
    <n v="908298.01699449448"/>
    <n v="1282396.0499999998"/>
    <n v="199858.06098447731"/>
    <n v="0"/>
    <n v="103"/>
    <n v="334721.63059188885"/>
    <n v="433857.07224066096"/>
    <n v="70"/>
    <n v="294"/>
    <n v="106"/>
    <n v="0"/>
    <n v="0"/>
    <n v="964188.45601001719"/>
    <n v="955419.0232428672"/>
    <n v="344470.80429844873"/>
    <n v="0"/>
    <n v="103"/>
    <n v="334721.63059188885"/>
    <n v="889865.54621848732"/>
    <n v="70"/>
    <n v="267"/>
    <n v="112"/>
    <n v="90"/>
    <n v="0"/>
    <n v="975497.85"/>
    <n v="363969.15171156847"/>
    <x v="16"/>
    <x v="0"/>
    <n v="103"/>
    <n v="334721.63059188885"/>
    <n v="940235.29411764699"/>
    <n v="70"/>
    <n v="213"/>
    <n v="70"/>
    <m/>
    <n v="0"/>
    <n v="0"/>
    <n v="692191.33316575072"/>
    <n v="255748.49999999997"/>
    <x v="0"/>
    <n v="0"/>
    <n v="103"/>
    <n v="334721.63059188885"/>
    <n v="587647.0588235294"/>
    <n v="90"/>
    <n v="168"/>
    <n v="65"/>
    <m/>
    <n v="0"/>
    <n v="0"/>
    <n v="545953.7275673527"/>
    <n v="237480.74999999997"/>
    <n v="0"/>
    <n v="0"/>
    <n v="168"/>
    <n v="334721.63059188885"/>
    <n v="545672.26890756295"/>
    <n v="70"/>
    <n v="108"/>
    <n v="70"/>
    <n v="100"/>
    <n v="100"/>
    <n v="0"/>
    <n v="350970.25343615533"/>
    <n v="255748.49999999997"/>
    <n v="353176.50000000006"/>
    <n v="0"/>
    <n v="108"/>
    <n v="334721.63059188885"/>
    <n v="587647.0588235294"/>
    <n v="70"/>
    <n v="38"/>
    <n v="70"/>
    <n v="100"/>
    <n v="100"/>
    <n v="100"/>
    <n v="123489.53361642502"/>
    <n v="255748.49999999997"/>
    <n v="365355"/>
    <n v="365355"/>
    <n v="138"/>
    <n v="488844.533616425"/>
    <n v="587647.0588235294"/>
    <n v="70"/>
    <n v="68"/>
    <n v="70"/>
    <n v="0"/>
    <n v="0"/>
    <m/>
    <n v="248441.4"/>
    <n v="255748.49999999997"/>
    <n v="0"/>
    <n v="0"/>
    <n v="68"/>
    <n v="248441.4"/>
    <n v="587647.0588235294"/>
    <n v="0"/>
    <n v="0"/>
    <n v="0"/>
    <n v="0"/>
    <n v="0"/>
    <n v="0"/>
    <m/>
    <n v="0"/>
    <n v="0"/>
    <n v="0"/>
    <n v="0"/>
    <n v="0"/>
    <n v="0"/>
    <n v="0"/>
    <n v="90"/>
    <n v="0"/>
    <n v="90"/>
    <m/>
    <n v="0"/>
    <n v="0"/>
    <n v="328819.5"/>
    <n v="0"/>
    <n v="0"/>
    <n v="0"/>
    <n v="0"/>
    <n v="793323.5294117647"/>
    <n v="90"/>
    <n v="0"/>
    <n v="90"/>
    <n v="0"/>
    <n v="0"/>
    <n v="0"/>
    <n v="328819.5"/>
    <n v="0"/>
    <n v="0"/>
    <n v="0"/>
    <n v="755546.21848739497"/>
    <n v="54"/>
    <n v="0"/>
    <n v="54"/>
    <n v="0"/>
    <m/>
    <n v="0"/>
    <n v="175485.12671807766"/>
    <n v="0"/>
    <n v="0"/>
    <n v="0"/>
    <n v="453327.73109243694"/>
  </r>
  <r>
    <s v="Levo-Smart Home"/>
    <x v="0"/>
    <x v="3"/>
    <x v="9"/>
    <n v="1543406075297"/>
    <x v="35"/>
    <x v="35"/>
    <x v="0"/>
    <x v="4"/>
    <n v="1"/>
    <x v="30"/>
    <n v="209"/>
    <m/>
    <n v="0"/>
    <n v="3664"/>
    <n v="765776"/>
    <n v="3.5300000000000002"/>
    <n v="3856.5250000000001"/>
    <n v="8394.957983193277"/>
    <n v="8394.957983193277"/>
    <s v="Shenzhen"/>
    <x v="0"/>
    <n v="30"/>
    <n v="100"/>
    <n v="178"/>
    <n v="0.66425932298221302"/>
    <n v="34"/>
    <n v="0.67679399117210781"/>
    <n v="106"/>
    <n v="0.68763161597372324"/>
    <n v="1"/>
    <n v="0.65754841416474208"/>
    <n v="0"/>
    <s v=""/>
    <n v="29"/>
    <n v="0.62954120963195326"/>
    <n v="42"/>
    <n v="0.67877488556371968"/>
    <n v="36"/>
    <n v="0.67173218398065804"/>
    <n v="39"/>
    <n v="0.64557692103088071"/>
    <n v="69"/>
    <n v="0.58958982339452648"/>
    <n v="55"/>
    <n v="0.62398147608954158"/>
    <n v="55"/>
    <n v="0.63337521895777449"/>
    <n v="53"/>
    <n v="0.66397091810300546"/>
    <n v="62"/>
    <n v="0.68186487278820296"/>
    <n v="54"/>
    <n v="0.6876316084485774"/>
    <n v="39"/>
    <n v="0.65754841239054074"/>
    <n v="0.78"/>
    <n v="12"/>
    <s v=""/>
    <n v="0.26666666666666666"/>
    <n v="16"/>
    <n v="0.63432412179132014"/>
    <n v="0.32"/>
    <n v="7"/>
    <n v="0.68168588403914832"/>
    <n v="0.14000000000000001"/>
    <n v="35"/>
    <n v="307"/>
    <n v="35"/>
    <n v="0"/>
    <m/>
    <n v="0"/>
    <n v="666848"/>
    <n v="1121639.8499999999"/>
    <n v="128240"/>
    <n v="0"/>
    <n v="209"/>
    <n v="765776"/>
    <n v="246910.52891744935"/>
    <n v="35"/>
    <n v="246"/>
    <n v="93"/>
    <n v="0"/>
    <m/>
    <n v="0"/>
    <n v="681504"/>
    <n v="898773.29999999993"/>
    <n v="340752"/>
    <n v="0"/>
    <n v="209"/>
    <n v="765776"/>
    <n v="656076.54826636543"/>
    <n v="50"/>
    <n v="171"/>
    <n v="54"/>
    <n v="0"/>
    <n v="0"/>
    <n v="505161.75"/>
    <n v="626544"/>
    <n v="197856"/>
    <n v="0"/>
    <n v="209"/>
    <n v="765776"/>
    <n v="453327.73109243694"/>
    <n v="50"/>
    <n v="119"/>
    <n v="39"/>
    <n v="0"/>
    <n v="0"/>
    <n v="434772.44999999995"/>
    <n v="142896"/>
    <x v="0"/>
    <x v="0"/>
    <n v="209"/>
    <n v="765776"/>
    <n v="327403.36134453781"/>
    <n v="45"/>
    <n v="221"/>
    <n v="45"/>
    <m/>
    <n v="0"/>
    <n v="0"/>
    <n v="809744"/>
    <n v="164409.75"/>
    <x v="0"/>
    <n v="0"/>
    <n v="209"/>
    <n v="765776"/>
    <n v="377773.10924369749"/>
    <n v="50"/>
    <n v="225"/>
    <n v="16"/>
    <m/>
    <n v="0"/>
    <n v="0"/>
    <n v="824400"/>
    <n v="58456.799999999996"/>
    <n v="0"/>
    <n v="0"/>
    <n v="225"/>
    <n v="765776"/>
    <n v="134319.32773109243"/>
    <n v="50"/>
    <n v="216"/>
    <n v="50"/>
    <n v="145"/>
    <n v="145"/>
    <n v="0"/>
    <n v="791424"/>
    <n v="182677.5"/>
    <n v="512105.92500000005"/>
    <n v="0"/>
    <n v="216"/>
    <n v="765776"/>
    <n v="419747.89915966382"/>
    <n v="50"/>
    <n v="166"/>
    <n v="50"/>
    <n v="60"/>
    <n v="60"/>
    <n v="100"/>
    <n v="608224"/>
    <n v="182677.5"/>
    <n v="219212.99999999997"/>
    <n v="365355"/>
    <n v="226"/>
    <n v="827437"/>
    <n v="419747.89915966382"/>
    <n v="45"/>
    <n v="216"/>
    <n v="45"/>
    <n v="0"/>
    <n v="0"/>
    <m/>
    <n v="789166.79999999993"/>
    <n v="164409.75"/>
    <n v="0"/>
    <n v="0"/>
    <n v="216"/>
    <n v="789166.79999999993"/>
    <n v="377773.10924369749"/>
    <n v="60"/>
    <n v="171"/>
    <n v="60"/>
    <n v="0"/>
    <n v="0"/>
    <n v="0"/>
    <m/>
    <n v="624757.04999999993"/>
    <n v="219212.99999999997"/>
    <n v="0"/>
    <n v="0"/>
    <n v="171"/>
    <n v="624757.04999999993"/>
    <n v="503697.47899159661"/>
    <n v="60"/>
    <n v="111"/>
    <n v="60"/>
    <m/>
    <n v="0"/>
    <n v="405544.05"/>
    <n v="219212.99999999997"/>
    <n v="0"/>
    <n v="0"/>
    <n v="111"/>
    <n v="405544.05"/>
    <n v="528882.3529411765"/>
    <n v="60"/>
    <n v="51"/>
    <n v="60"/>
    <n v="0"/>
    <n v="0"/>
    <n v="186331.05"/>
    <n v="219212.99999999997"/>
    <n v="0"/>
    <n v="51"/>
    <n v="186331.05"/>
    <n v="503697.47899159661"/>
    <n v="36"/>
    <n v="0"/>
    <n v="36"/>
    <n v="0"/>
    <m/>
    <n v="0"/>
    <n v="131904"/>
    <n v="0"/>
    <n v="0"/>
    <n v="0"/>
    <n v="302218.48739495798"/>
  </r>
  <r>
    <s v="Levo-Smart Home"/>
    <x v="0"/>
    <x v="3"/>
    <x v="10"/>
    <s v="LVCAMSEGEX-BK"/>
    <x v="36"/>
    <x v="36"/>
    <x v="0"/>
    <x v="4"/>
    <n v="1"/>
    <x v="31"/>
    <n v="134"/>
    <m/>
    <n v="0"/>
    <n v="7602"/>
    <n v="1018668"/>
    <n v="7.4"/>
    <n v="7602"/>
    <n v="16798.319327731093"/>
    <n v="12596.638655462186"/>
    <s v="Shenzhen"/>
    <x v="0"/>
    <n v="30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26"/>
    <n v="0.52362451435016921"/>
    <n v="79"/>
    <n v="0.50540088304681163"/>
    <n v="47"/>
    <n v="0.54710954594846029"/>
    <n v="27"/>
    <s v=""/>
    <n v="108"/>
    <s v=""/>
    <n v="236"/>
    <s v=""/>
    <n v="128"/>
    <s v=""/>
    <n v="1.0666666666666667"/>
    <n v="86"/>
    <s v=""/>
    <n v="0.71666666666666667"/>
    <n v="438"/>
    <s v=""/>
    <n v="1.752"/>
    <n v="121"/>
    <s v=""/>
    <n v="0.50416666666666665"/>
    <n v="110"/>
    <n v="351"/>
    <n v="60"/>
    <n v="0"/>
    <n v="176"/>
    <n v="0"/>
    <n v="3481716"/>
    <n v="2688308.9999999995"/>
    <n v="456120"/>
    <n v="0"/>
    <n v="134"/>
    <n v="1018668"/>
    <n v="846974.08375114761"/>
    <n v="160"/>
    <n v="318"/>
    <n v="162"/>
    <n v="700"/>
    <n v="700"/>
    <n v="0"/>
    <n v="3998652"/>
    <n v="2435561.9999999995"/>
    <n v="1231524"/>
    <n v="0"/>
    <n v="134"/>
    <n v="1018668"/>
    <n v="2286830.0261280984"/>
    <n v="200"/>
    <n v="929"/>
    <n v="236"/>
    <n v="0"/>
    <n v="0"/>
    <n v="3686208"/>
    <n v="7062258"/>
    <n v="1794072"/>
    <n v="0"/>
    <n v="134"/>
    <n v="1018668"/>
    <n v="3964403.3613445377"/>
    <n v="120"/>
    <n v="852"/>
    <n v="128"/>
    <n v="200"/>
    <n v="0"/>
    <n v="6525467.9999999991"/>
    <n v="973056"/>
    <x v="17"/>
    <x v="0"/>
    <n v="134"/>
    <n v="1018668"/>
    <n v="2150184.8739495799"/>
    <n v="120"/>
    <n v="220"/>
    <n v="120"/>
    <m/>
    <n v="0"/>
    <n v="0"/>
    <n v="1672440"/>
    <n v="919079.99999999988"/>
    <x v="0"/>
    <n v="0"/>
    <n v="134"/>
    <n v="1018668"/>
    <n v="2015798.3193277312"/>
    <n v="250"/>
    <n v="572"/>
    <n v="438"/>
    <m/>
    <n v="0"/>
    <n v="0"/>
    <n v="4348344"/>
    <n v="3354641.9999999995"/>
    <n v="0"/>
    <n v="0"/>
    <n v="572"/>
    <n v="1018668"/>
    <n v="7357663.8655462191"/>
    <n v="240"/>
    <n v="255"/>
    <n v="240"/>
    <n v="0"/>
    <n v="0"/>
    <n v="0"/>
    <n v="1938510"/>
    <n v="1838159.9999999998"/>
    <n v="0"/>
    <n v="0"/>
    <n v="255"/>
    <n v="1018668"/>
    <n v="4031596.6386554623"/>
    <n v="15"/>
    <n v="15"/>
    <n v="15"/>
    <n v="300"/>
    <n v="300"/>
    <n v="300"/>
    <n v="114030"/>
    <n v="114884.99999999999"/>
    <n v="2297699.9999999995"/>
    <n v="2297699.9999999995"/>
    <n v="315"/>
    <n v="2411729.9999999995"/>
    <n v="251974.78991596639"/>
    <n v="100"/>
    <n v="300"/>
    <n v="100"/>
    <n v="0"/>
    <n v="0"/>
    <m/>
    <n v="2297699.9999999995"/>
    <n v="765899.99999999988"/>
    <n v="0"/>
    <n v="0"/>
    <n v="300"/>
    <n v="2297699.9999999995"/>
    <n v="1679831.9327731093"/>
    <n v="250"/>
    <n v="200"/>
    <n v="200"/>
    <n v="0"/>
    <n v="0"/>
    <n v="0"/>
    <m/>
    <n v="1531799.9999999998"/>
    <n v="1531799.9999999998"/>
    <n v="0"/>
    <n v="0"/>
    <n v="200"/>
    <n v="1531799.9999999998"/>
    <n v="2519327.7310924372"/>
    <n v="175"/>
    <n v="0"/>
    <n v="175"/>
    <n v="200"/>
    <n v="200"/>
    <n v="0"/>
    <n v="1340324.9999999998"/>
    <n v="1531799.9999999998"/>
    <n v="1531799.9999999998"/>
    <n v="200"/>
    <n v="1531799.9999999998"/>
    <n v="2314632.3529411769"/>
    <n v="200"/>
    <n v="25"/>
    <n v="200"/>
    <n v="200"/>
    <n v="200"/>
    <n v="191474.99999999997"/>
    <n v="1531799.9999999998"/>
    <n v="1531799.9999999998"/>
    <n v="225"/>
    <n v="1723274.9999999998"/>
    <n v="3359663.8655462186"/>
    <n v="105"/>
    <n v="25"/>
    <n v="105"/>
    <n v="0"/>
    <m/>
    <n v="191474.99999999997"/>
    <n v="798210"/>
    <n v="0"/>
    <n v="25"/>
    <n v="191474.99999999997"/>
    <n v="1763823.5294117648"/>
  </r>
  <r>
    <s v="Levo-Smart Home"/>
    <x v="0"/>
    <x v="3"/>
    <x v="11"/>
    <s v="LVCITMONWF"/>
    <x v="37"/>
    <x v="37"/>
    <x v="0"/>
    <x v="6"/>
    <n v="1"/>
    <x v="12"/>
    <n v="11"/>
    <m/>
    <n v="0"/>
    <n v="65373"/>
    <n v="719103"/>
    <n v="62"/>
    <n v="67735"/>
    <n v="126042.01680672269"/>
    <n v="123521.00840336135"/>
    <s v="Shenzhen"/>
    <x v="0"/>
    <n v="30"/>
    <n v="50"/>
    <n v="0"/>
    <s v=""/>
    <n v="0"/>
    <n v="0"/>
    <n v="0"/>
    <s v=""/>
    <n v="2"/>
    <n v="0.4234259449123336"/>
    <n v="0"/>
    <n v="0.45972727272727271"/>
    <n v="4"/>
    <n v="0.51375723854852595"/>
    <n v="5"/>
    <n v="0.4948110801725259"/>
    <n v="2"/>
    <n v="0.48133958806184335"/>
    <n v="4"/>
    <n v="0.439285543038613"/>
    <n v="5"/>
    <n v="0.46712904604733607"/>
    <n v="0"/>
    <n v="1"/>
    <n v="5"/>
    <n v="0.42370694353472771"/>
    <n v="4"/>
    <s v=""/>
    <n v="0"/>
    <s v=""/>
    <n v="4"/>
    <s v=""/>
    <n v="2"/>
    <s v=""/>
    <n v="0.66666666666666663"/>
    <n v="1"/>
    <s v=""/>
    <n v="0.33333333333333331"/>
    <n v="2"/>
    <s v=""/>
    <n v="0.25"/>
    <n v="0"/>
    <s v=""/>
    <n v="0"/>
    <n v="2"/>
    <n v="15"/>
    <n v="2"/>
    <n v="0"/>
    <m/>
    <n v="0"/>
    <n v="392238"/>
    <n v="962549.99999999988"/>
    <n v="130746"/>
    <n v="0"/>
    <n v="11"/>
    <n v="719103"/>
    <n v="211835.32236423984"/>
    <n v="2"/>
    <n v="18"/>
    <n v="0"/>
    <n v="0"/>
    <m/>
    <n v="0"/>
    <n v="392238"/>
    <n v="1155059.9999999998"/>
    <n v="0"/>
    <n v="0"/>
    <n v="11"/>
    <n v="719103"/>
    <n v="0"/>
    <n v="3"/>
    <n v="18"/>
    <n v="4"/>
    <n v="0"/>
    <n v="0"/>
    <n v="584748"/>
    <n v="1176714"/>
    <n v="261492"/>
    <n v="0"/>
    <n v="11"/>
    <n v="719103"/>
    <n v="504168.06722689077"/>
    <n v="3"/>
    <n v="14"/>
    <n v="2"/>
    <n v="0"/>
    <n v="0"/>
    <n v="898379.99999999988"/>
    <n v="130746"/>
    <x v="0"/>
    <x v="0"/>
    <n v="11"/>
    <n v="719103"/>
    <n v="252084.03361344538"/>
    <n v="3"/>
    <n v="12"/>
    <n v="3"/>
    <m/>
    <n v="0"/>
    <n v="0"/>
    <n v="784476"/>
    <n v="192509.99999999997"/>
    <x v="0"/>
    <n v="0"/>
    <n v="11"/>
    <n v="719103"/>
    <n v="378126.05042016809"/>
    <n v="8"/>
    <n v="13"/>
    <n v="2"/>
    <m/>
    <n v="0"/>
    <n v="0"/>
    <n v="849849"/>
    <n v="128339.99999999999"/>
    <n v="0"/>
    <n v="0"/>
    <n v="13"/>
    <n v="719103"/>
    <n v="252084.03361344538"/>
    <n v="0"/>
    <n v="11"/>
    <n v="0"/>
    <n v="0"/>
    <n v="0"/>
    <n v="0"/>
    <n v="719103"/>
    <n v="0"/>
    <n v="0"/>
    <n v="0"/>
    <n v="11"/>
    <n v="719103"/>
    <n v="0"/>
    <n v="0"/>
    <n v="11"/>
    <n v="0"/>
    <n v="0"/>
    <n v="0"/>
    <n v="0"/>
    <n v="719103"/>
    <n v="0"/>
    <n v="0"/>
    <n v="0"/>
    <n v="11"/>
    <n v="719103"/>
    <n v="0"/>
    <n v="3"/>
    <n v="11"/>
    <n v="3"/>
    <n v="0"/>
    <n v="0"/>
    <m/>
    <n v="705869.99999999988"/>
    <n v="192509.99999999997"/>
    <n v="0"/>
    <n v="0"/>
    <n v="11"/>
    <n v="705869.99999999988"/>
    <n v="378126.05042016809"/>
    <n v="0"/>
    <n v="8"/>
    <n v="0"/>
    <n v="0"/>
    <n v="0"/>
    <n v="0"/>
    <m/>
    <n v="513359.99999999994"/>
    <n v="0"/>
    <n v="0"/>
    <n v="0"/>
    <n v="8"/>
    <n v="513359.99999999994"/>
    <n v="0"/>
    <n v="0"/>
    <n v="8"/>
    <n v="0"/>
    <m/>
    <n v="0"/>
    <n v="513359.99999999994"/>
    <n v="0"/>
    <n v="0"/>
    <n v="0"/>
    <n v="8"/>
    <n v="513359.99999999994"/>
    <n v="0"/>
    <n v="0"/>
    <n v="8"/>
    <n v="0"/>
    <n v="0"/>
    <n v="0"/>
    <n v="513359.99999999994"/>
    <n v="0"/>
    <n v="0"/>
    <n v="8"/>
    <n v="513359.99999999994"/>
    <n v="0"/>
    <n v="0"/>
    <n v="8"/>
    <n v="0"/>
    <n v="0"/>
    <m/>
    <n v="513359.99999999994"/>
    <n v="0"/>
    <n v="0"/>
    <n v="8"/>
    <n v="513359.99999999994"/>
    <n v="0"/>
  </r>
  <r>
    <s v="Levo-Mochilas y Fundas"/>
    <x v="0"/>
    <x v="4"/>
    <x v="12"/>
    <n v="1659999392257"/>
    <x v="38"/>
    <x v="38"/>
    <x v="0"/>
    <x v="4"/>
    <n v="0.8"/>
    <x v="32"/>
    <n v="292"/>
    <m/>
    <n v="0"/>
    <n v="3637"/>
    <n v="1062004"/>
    <n v="3.4"/>
    <n v="3714.4999999999995"/>
    <n v="10915.966386554623"/>
    <n v="8394.957983193277"/>
    <s v="Shenzhen"/>
    <x v="0"/>
    <n v="30"/>
    <n v="500"/>
    <n v="161"/>
    <n v="0.53843832208044251"/>
    <n v="7"/>
    <n v="0.66293037099251884"/>
    <n v="51"/>
    <n v="0.53228517126325114"/>
    <n v="27"/>
    <n v="0.56695241115235073"/>
    <n v="86"/>
    <n v="0.54884712019612314"/>
    <n v="131"/>
    <n v="0.67732134849422376"/>
    <n v="103"/>
    <n v="0.42027439211732021"/>
    <n v="11"/>
    <n v="0.66206302069759626"/>
    <n v="18"/>
    <n v="0.63347145560195717"/>
    <n v="221"/>
    <n v="0.58328444757807596"/>
    <n v="30"/>
    <n v="0.58681951741516747"/>
    <n v="80"/>
    <n v="0.59343046712841074"/>
    <n v="14"/>
    <n v="0.53936781452288174"/>
    <n v="158"/>
    <n v="0.66293036462615207"/>
    <n v="102"/>
    <n v="0.53933363438354565"/>
    <n v="6"/>
    <n v="0.56695241747285918"/>
    <n v="0.12"/>
    <n v="6"/>
    <n v="0.55678307474066913"/>
    <n v="7.4999999999999997E-2"/>
    <n v="28"/>
    <n v="0.63094480331301461"/>
    <n v="0.28000000000000003"/>
    <n v="8"/>
    <n v="0.59761058420655178"/>
    <n v="0.1"/>
    <n v="50"/>
    <n v="411"/>
    <n v="30"/>
    <n v="0"/>
    <m/>
    <n v="0"/>
    <n v="1342053"/>
    <n v="1446308.9999999998"/>
    <n v="109110"/>
    <n v="0"/>
    <n v="292"/>
    <n v="1062004"/>
    <n v="275192.42991314176"/>
    <n v="50"/>
    <n v="403"/>
    <n v="237"/>
    <n v="0"/>
    <m/>
    <n v="0"/>
    <n v="1254765"/>
    <n v="1418156.9999999998"/>
    <n v="861969"/>
    <n v="0"/>
    <n v="292"/>
    <n v="1062004"/>
    <n v="2174020.1963138198"/>
    <n v="100"/>
    <n v="240"/>
    <n v="102"/>
    <n v="0"/>
    <n v="0"/>
    <n v="618012"/>
    <n v="872880"/>
    <n v="370974"/>
    <n v="0"/>
    <n v="292"/>
    <n v="1062004"/>
    <n v="1113428.5714285716"/>
    <n v="50"/>
    <n v="134"/>
    <n v="6"/>
    <n v="50"/>
    <n v="0"/>
    <n v="471545.99999999994"/>
    <n v="21822"/>
    <x v="18"/>
    <x v="0"/>
    <n v="292"/>
    <n v="1062004"/>
    <n v="65495.798319327732"/>
    <n v="80"/>
    <n v="298"/>
    <n v="64"/>
    <m/>
    <n v="0"/>
    <n v="0"/>
    <n v="1083826"/>
    <n v="225215.99999999997"/>
    <x v="0"/>
    <n v="0"/>
    <n v="292"/>
    <n v="1062004"/>
    <n v="698621.84873949585"/>
    <n v="100"/>
    <n v="320"/>
    <n v="28"/>
    <m/>
    <n v="50"/>
    <n v="0"/>
    <n v="1163840"/>
    <n v="98531.999999999985"/>
    <n v="0"/>
    <n v="0"/>
    <n v="320"/>
    <n v="1062004"/>
    <n v="305647.05882352946"/>
    <n v="80"/>
    <n v="300"/>
    <n v="64"/>
    <n v="0"/>
    <n v="150"/>
    <n v="0"/>
    <n v="1091100"/>
    <n v="225215.99999999997"/>
    <n v="0"/>
    <n v="0"/>
    <n v="300"/>
    <n v="1062004"/>
    <n v="698621.84873949585"/>
    <n v="0"/>
    <n v="236"/>
    <n v="0"/>
    <n v="110"/>
    <n v="110"/>
    <n v="0"/>
    <n v="858332"/>
    <n v="0"/>
    <n v="387089.99999999994"/>
    <n v="0"/>
    <n v="346"/>
    <n v="1245422"/>
    <n v="0"/>
    <n v="80"/>
    <n v="236"/>
    <n v="64"/>
    <n v="0"/>
    <n v="0"/>
    <n v="110"/>
    <n v="830483.99999999988"/>
    <n v="225215.99999999997"/>
    <n v="0"/>
    <n v="387089.99999999994"/>
    <n v="346"/>
    <n v="1217573.9999999998"/>
    <n v="698621.84873949585"/>
    <n v="100"/>
    <n v="282"/>
    <n v="80"/>
    <n v="0"/>
    <n v="0"/>
    <n v="0"/>
    <m/>
    <n v="992357.99999999988"/>
    <n v="281519.99999999994"/>
    <n v="0"/>
    <n v="0"/>
    <n v="282"/>
    <n v="992357.99999999988"/>
    <n v="671596.63865546219"/>
    <n v="100"/>
    <n v="202"/>
    <n v="80"/>
    <m/>
    <n v="0"/>
    <n v="710837.99999999988"/>
    <n v="281519.99999999994"/>
    <n v="0"/>
    <n v="0"/>
    <n v="202"/>
    <n v="710837.99999999988"/>
    <n v="705176.4705882353"/>
    <n v="100"/>
    <n v="122"/>
    <n v="80"/>
    <n v="0"/>
    <n v="0"/>
    <n v="429317.99999999994"/>
    <n v="281519.99999999994"/>
    <n v="0"/>
    <n v="122"/>
    <n v="429317.99999999994"/>
    <n v="873277.31092436984"/>
    <n v="60"/>
    <n v="42"/>
    <n v="48"/>
    <n v="0"/>
    <m/>
    <n v="147797.99999999997"/>
    <n v="174576"/>
    <n v="0"/>
    <n v="42"/>
    <n v="147797.99999999997"/>
    <n v="523966.38655462186"/>
  </r>
  <r>
    <s v="Levo-Mochilas y Fundas"/>
    <x v="0"/>
    <x v="4"/>
    <x v="12"/>
    <n v="1659999410637"/>
    <x v="39"/>
    <x v="39"/>
    <x v="0"/>
    <x v="4"/>
    <n v="0.8"/>
    <x v="33"/>
    <n v="147"/>
    <m/>
    <n v="0"/>
    <n v="3526.5533392377588"/>
    <n v="518403.34086795052"/>
    <n v="3.4"/>
    <n v="3714.4999999999995"/>
    <n v="10915.966386554623"/>
    <n v="8394.957983193277"/>
    <s v="Shenzhen"/>
    <x v="0"/>
    <n v="30"/>
    <n v="500"/>
    <n v="220"/>
    <n v="0.57322651907095767"/>
    <n v="79"/>
    <n v="0.66214208219278725"/>
    <n v="174"/>
    <n v="0.56125446946415081"/>
    <n v="71"/>
    <n v="0.62469833592504498"/>
    <n v="144"/>
    <n v="0.58679437471186902"/>
    <n v="301"/>
    <n v="0.60541405580178764"/>
    <n v="125"/>
    <n v="0.54410245465006835"/>
    <n v="30"/>
    <n v="0.63914190831303486"/>
    <n v="176"/>
    <n v="0.57613248053784172"/>
    <n v="21"/>
    <n v="0.64170941371029921"/>
    <n v="59"/>
    <n v="0.58381355132824075"/>
    <n v="57"/>
    <n v="0.61949605587790035"/>
    <n v="40"/>
    <n v="0.57508761633992944"/>
    <n v="35"/>
    <n v="0.6612530013499488"/>
    <n v="84"/>
    <n v="0.56198439457975635"/>
    <n v="42"/>
    <n v="0.62469832497753797"/>
    <n v="0.52500000000000002"/>
    <n v="180"/>
    <n v="0.59705992220744486"/>
    <n v="1.5"/>
    <n v="322"/>
    <n v="0.59984485465301252"/>
    <n v="2.476923076923077"/>
    <n v="18"/>
    <n v="0.60079241394795946"/>
    <n v="0.15"/>
    <n v="100"/>
    <n v="147"/>
    <n v="30"/>
    <n v="200"/>
    <n v="200"/>
    <n v="0"/>
    <n v="587171.13098308677"/>
    <n v="517292.99999999994"/>
    <n v="105796.60017713276"/>
    <n v="0"/>
    <n v="147"/>
    <n v="518403.34086795052"/>
    <n v="275192.42991314176"/>
    <n v="100"/>
    <n v="304"/>
    <n v="52.5"/>
    <n v="300"/>
    <n v="300"/>
    <n v="0"/>
    <n v="629489.77105393994"/>
    <n v="1069775.9999999998"/>
    <n v="185144.05030998233"/>
    <n v="0"/>
    <n v="147"/>
    <n v="518403.34086795052"/>
    <n v="481586.75234799809"/>
    <n v="150"/>
    <n v="572"/>
    <n v="84"/>
    <n v="0"/>
    <n v="0"/>
    <n v="782169.72074395756"/>
    <n v="2017188.510043998"/>
    <n v="296230.48049597174"/>
    <n v="0"/>
    <n v="147"/>
    <n v="518403.34086795052"/>
    <n v="916941.17647058831"/>
    <n v="80"/>
    <n v="477"/>
    <n v="42"/>
    <n v="50"/>
    <n v="0"/>
    <n v="1678562.9999999998"/>
    <n v="148115.24024798587"/>
    <x v="18"/>
    <x v="0"/>
    <n v="147"/>
    <n v="518403.34086795052"/>
    <n v="458470.58823529416"/>
    <n v="120"/>
    <n v="327"/>
    <n v="96"/>
    <m/>
    <n v="0"/>
    <n v="0"/>
    <n v="1153182.9419307471"/>
    <n v="337823.99999999994"/>
    <x v="0"/>
    <n v="0"/>
    <n v="147"/>
    <n v="518403.34086795052"/>
    <n v="1047932.7731092437"/>
    <n v="130"/>
    <n v="469"/>
    <n v="322"/>
    <m/>
    <n v="50"/>
    <n v="0"/>
    <n v="1653953.5161025089"/>
    <n v="1133117.9999999998"/>
    <n v="0"/>
    <n v="0"/>
    <n v="469"/>
    <n v="518403.34086795052"/>
    <n v="3514941.1764705884"/>
    <n v="120"/>
    <n v="165"/>
    <n v="96"/>
    <n v="500"/>
    <n v="350"/>
    <n v="0"/>
    <n v="581881.30097423017"/>
    <n v="337823.99999999994"/>
    <n v="1700850"/>
    <n v="0"/>
    <n v="165"/>
    <n v="518403.34086795052"/>
    <n v="1047932.7731092437"/>
    <n v="0"/>
    <n v="69"/>
    <n v="0"/>
    <n v="0"/>
    <n v="0"/>
    <n v="500"/>
    <n v="243332.18040740537"/>
    <n v="0"/>
    <n v="0"/>
    <n v="1759499.9999999998"/>
    <n v="69"/>
    <n v="243332.18040740537"/>
    <n v="0"/>
    <n v="120"/>
    <n v="569"/>
    <n v="96"/>
    <n v="0"/>
    <n v="0"/>
    <m/>
    <n v="2002310.9999999998"/>
    <n v="337823.99999999994"/>
    <n v="0"/>
    <n v="0"/>
    <n v="569"/>
    <n v="2002310.9999999998"/>
    <n v="1047932.7731092437"/>
    <n v="100"/>
    <n v="473"/>
    <n v="80"/>
    <n v="0"/>
    <n v="0"/>
    <n v="0"/>
    <m/>
    <n v="1664486.9999999998"/>
    <n v="281519.99999999994"/>
    <n v="0"/>
    <n v="0"/>
    <n v="473"/>
    <n v="1664486.9999999998"/>
    <n v="671596.63865546219"/>
    <n v="100"/>
    <n v="393"/>
    <n v="80"/>
    <m/>
    <n v="0"/>
    <n v="1382966.9999999998"/>
    <n v="281519.99999999994"/>
    <n v="0"/>
    <n v="0"/>
    <n v="393"/>
    <n v="1382966.9999999998"/>
    <n v="705176.4705882353"/>
    <n v="100"/>
    <n v="313"/>
    <n v="80"/>
    <n v="0"/>
    <n v="0"/>
    <n v="1101446.9999999998"/>
    <n v="281519.99999999994"/>
    <n v="0"/>
    <n v="313"/>
    <n v="1101446.9999999998"/>
    <n v="873277.31092436984"/>
    <n v="60"/>
    <n v="233"/>
    <n v="48"/>
    <n v="0"/>
    <m/>
    <n v="819926.99999999988"/>
    <n v="169274.56028341243"/>
    <n v="0"/>
    <n v="233"/>
    <n v="819926.99999999988"/>
    <n v="523966.38655462186"/>
  </r>
  <r>
    <s v="Levo-Mochilas y Fundas"/>
    <x v="0"/>
    <x v="4"/>
    <x v="12"/>
    <s v="LVMOMA"/>
    <x v="40"/>
    <x v="40"/>
    <x v="0"/>
    <x v="6"/>
    <n v="1"/>
    <x v="12"/>
    <n v="2"/>
    <m/>
    <n v="0"/>
    <n v="8666"/>
    <n v="17332"/>
    <n v="7"/>
    <n v="8666"/>
    <n v="21000"/>
    <n v="21000"/>
    <s v="Shenzhen"/>
    <x v="0"/>
    <n v="30"/>
    <n v="50"/>
    <n v="9"/>
    <n v="0.25930488822395487"/>
    <n v="4"/>
    <s v=""/>
    <n v="5"/>
    <n v="0.51140317427599702"/>
    <n v="5"/>
    <n v="0.52946702396903389"/>
    <n v="33"/>
    <n v="0.36724561238485171"/>
    <n v="17"/>
    <n v="0.41316634441144051"/>
    <n v="2"/>
    <n v="0.43469567486463573"/>
    <n v="2"/>
    <n v="0.35924652469683532"/>
    <n v="2"/>
    <n v="0.58322672181608315"/>
    <n v="43"/>
    <n v="0.40520946188745172"/>
    <n v="6"/>
    <n v="0.54918975159318506"/>
    <n v="3"/>
    <n v="0.57015404335139641"/>
    <n v="22"/>
    <s v=""/>
    <n v="22"/>
    <s v=""/>
    <n v="2"/>
    <s v=""/>
    <n v="0"/>
    <s v=""/>
    <n v="0"/>
    <n v="13"/>
    <s v=""/>
    <n v="1.3"/>
    <n v="-1"/>
    <s v=""/>
    <n v="-0.05"/>
    <n v="0"/>
    <s v=""/>
    <n v="0"/>
    <n v="0"/>
    <n v="35"/>
    <n v="2"/>
    <n v="0"/>
    <m/>
    <n v="0"/>
    <n v="320642"/>
    <n v="253574.99999999997"/>
    <n v="17332"/>
    <n v="0"/>
    <n v="2"/>
    <n v="17332"/>
    <n v="35294.117647058825"/>
    <n v="10"/>
    <n v="36"/>
    <n v="33"/>
    <n v="0"/>
    <n v="0"/>
    <n v="0"/>
    <n v="303310"/>
    <n v="260819.99999999997"/>
    <n v="285978"/>
    <n v="0"/>
    <n v="2"/>
    <n v="17332"/>
    <n v="582352.9411764706"/>
    <n v="10"/>
    <n v="13"/>
    <n v="2"/>
    <n v="0"/>
    <n v="0"/>
    <n v="89781.999999999985"/>
    <n v="112658"/>
    <n v="17332"/>
    <n v="0"/>
    <n v="2"/>
    <n v="17332"/>
    <n v="42000"/>
    <n v="10"/>
    <n v="9"/>
    <n v="0"/>
    <n v="0"/>
    <n v="0"/>
    <n v="65204.999999999993"/>
    <n v="0"/>
    <x v="0"/>
    <x v="0"/>
    <n v="2"/>
    <n v="17332"/>
    <n v="0"/>
    <n v="10"/>
    <n v="15"/>
    <n v="10"/>
    <m/>
    <n v="0"/>
    <n v="0"/>
    <n v="129990"/>
    <n v="72449.999999999985"/>
    <x v="0"/>
    <n v="0"/>
    <n v="2"/>
    <n v="17332"/>
    <n v="210000"/>
    <n v="20"/>
    <n v="1"/>
    <n v="-1"/>
    <m/>
    <n v="0"/>
    <n v="0"/>
    <n v="8666"/>
    <n v="-7244.9999999999991"/>
    <n v="0"/>
    <n v="0"/>
    <n v="1"/>
    <n v="17332"/>
    <n v="-21000"/>
    <n v="0"/>
    <n v="2"/>
    <n v="0"/>
    <n v="0"/>
    <n v="0"/>
    <n v="0"/>
    <n v="17332"/>
    <n v="0"/>
    <n v="0"/>
    <n v="0"/>
    <n v="2"/>
    <n v="17332"/>
    <n v="0"/>
    <n v="0"/>
    <n v="2"/>
    <n v="0"/>
    <n v="0"/>
    <n v="0"/>
    <n v="0"/>
    <n v="17332"/>
    <n v="0"/>
    <n v="0"/>
    <n v="0"/>
    <n v="2"/>
    <n v="17332"/>
    <n v="0"/>
    <n v="10"/>
    <n v="2"/>
    <n v="10"/>
    <n v="0"/>
    <n v="0"/>
    <m/>
    <n v="14489.999999999998"/>
    <n v="72449.999999999985"/>
    <n v="0"/>
    <n v="0"/>
    <n v="2"/>
    <n v="14489.999999999998"/>
    <n v="21000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Mochilas y Fundas"/>
    <x v="0"/>
    <x v="4"/>
    <x v="12"/>
    <s v="LVMOMA"/>
    <x v="41"/>
    <x v="41"/>
    <x v="0"/>
    <x v="6"/>
    <n v="1"/>
    <x v="12"/>
    <n v="1"/>
    <m/>
    <n v="0"/>
    <n v="8609"/>
    <n v="8609"/>
    <n v="7"/>
    <n v="8609"/>
    <n v="21000"/>
    <n v="21000"/>
    <s v="Shenzhen"/>
    <x v="0"/>
    <n v="30"/>
    <n v="50"/>
    <n v="2"/>
    <n v="0.39795749128919861"/>
    <n v="1"/>
    <n v="0.55481242914562512"/>
    <n v="0"/>
    <s v=""/>
    <n v="4"/>
    <n v="0.59672981149639281"/>
    <n v="0"/>
    <s v=""/>
    <n v="21"/>
    <n v="0.42404188643901886"/>
    <n v="3"/>
    <n v="0.57177902311237849"/>
    <n v="1"/>
    <n v="0.41433741496598642"/>
    <n v="2"/>
    <n v="0.48272658996004447"/>
    <n v="2"/>
    <n v="0.59929066790784269"/>
    <n v="4"/>
    <n v="0.53306450082032786"/>
    <n v="121"/>
    <n v="0.33099350592635601"/>
    <n v="0"/>
    <s v=""/>
    <n v="3"/>
    <s v=""/>
    <n v="0"/>
    <s v=""/>
    <n v="0"/>
    <s v=""/>
    <n v="0"/>
    <n v="0"/>
    <s v=""/>
    <n v="0"/>
    <n v="1"/>
    <s v=""/>
    <n v="0.05"/>
    <n v="0"/>
    <s v=""/>
    <n v="0"/>
    <n v="15"/>
    <n v="5"/>
    <n v="5"/>
    <n v="0"/>
    <m/>
    <n v="0"/>
    <n v="81785.5"/>
    <n v="36224.999999999993"/>
    <n v="43045"/>
    <n v="0"/>
    <n v="1"/>
    <n v="8609"/>
    <n v="88235.294117647063"/>
    <n v="0"/>
    <n v="5"/>
    <n v="4.5"/>
    <n v="0"/>
    <m/>
    <n v="0"/>
    <n v="38740.5"/>
    <n v="36224.999999999993"/>
    <n v="38740.5"/>
    <n v="0"/>
    <n v="1"/>
    <n v="8609"/>
    <n v="79411.76470588235"/>
    <n v="0"/>
    <n v="2"/>
    <n v="0"/>
    <n v="0"/>
    <n v="0"/>
    <n v="0"/>
    <n v="17218"/>
    <n v="0"/>
    <n v="0"/>
    <n v="1"/>
    <n v="8609"/>
    <n v="0"/>
    <n v="1"/>
    <n v="2"/>
    <n v="0"/>
    <n v="0"/>
    <n v="0"/>
    <n v="14489.999999999998"/>
    <n v="0"/>
    <x v="0"/>
    <x v="0"/>
    <n v="1"/>
    <n v="8609"/>
    <n v="0"/>
    <n v="0"/>
    <n v="1"/>
    <n v="0"/>
    <m/>
    <n v="0"/>
    <n v="0"/>
    <n v="8609"/>
    <n v="0"/>
    <x v="0"/>
    <n v="0"/>
    <n v="1"/>
    <n v="8609"/>
    <n v="0"/>
    <n v="20"/>
    <n v="2"/>
    <n v="1"/>
    <m/>
    <n v="0"/>
    <n v="0"/>
    <n v="17218"/>
    <n v="7244.9999999999991"/>
    <n v="0"/>
    <n v="0"/>
    <n v="2"/>
    <n v="8609"/>
    <n v="21000"/>
    <n v="0"/>
    <n v="1"/>
    <n v="0"/>
    <n v="0"/>
    <n v="0"/>
    <n v="0"/>
    <n v="8609"/>
    <n v="0"/>
    <n v="0"/>
    <n v="0"/>
    <n v="1"/>
    <n v="8609"/>
    <n v="0"/>
    <n v="0"/>
    <n v="1"/>
    <n v="0"/>
    <n v="0"/>
    <n v="0"/>
    <n v="0"/>
    <n v="8609"/>
    <n v="0"/>
    <n v="0"/>
    <n v="0"/>
    <n v="1"/>
    <n v="8609"/>
    <n v="0"/>
    <n v="0"/>
    <n v="1"/>
    <n v="0"/>
    <n v="0"/>
    <n v="0"/>
    <m/>
    <n v="7244.9999999999991"/>
    <n v="0"/>
    <n v="0"/>
    <n v="0"/>
    <n v="1"/>
    <n v="7244.9999999999991"/>
    <n v="0"/>
    <n v="0"/>
    <n v="1"/>
    <n v="0"/>
    <n v="0"/>
    <n v="0"/>
    <n v="0"/>
    <m/>
    <n v="7244.9999999999991"/>
    <n v="0"/>
    <n v="0"/>
    <n v="0"/>
    <n v="1"/>
    <n v="7244.9999999999991"/>
    <n v="0"/>
    <n v="0"/>
    <n v="1"/>
    <n v="0"/>
    <m/>
    <n v="0"/>
    <n v="7244.9999999999991"/>
    <n v="0"/>
    <n v="0"/>
    <n v="0"/>
    <n v="1"/>
    <n v="7244.9999999999991"/>
    <n v="0"/>
    <n v="0"/>
    <n v="1"/>
    <n v="0"/>
    <n v="0"/>
    <n v="0"/>
    <n v="7244.9999999999991"/>
    <n v="0"/>
    <n v="0"/>
    <n v="1"/>
    <n v="7244.9999999999991"/>
    <n v="0"/>
    <n v="0"/>
    <n v="1"/>
    <n v="0"/>
    <n v="0"/>
    <m/>
    <n v="7244.9999999999991"/>
    <n v="0"/>
    <n v="0"/>
    <n v="1"/>
    <n v="7244.9999999999991"/>
    <n v="0"/>
  </r>
  <r>
    <s v="Levo-Mochilas y Fundas"/>
    <x v="0"/>
    <x v="4"/>
    <x v="12"/>
    <s v="LVMOWO-BK"/>
    <x v="42"/>
    <x v="42"/>
    <x v="0"/>
    <x v="6"/>
    <n v="1"/>
    <x v="12"/>
    <n v="1"/>
    <m/>
    <n v="0"/>
    <n v="8775"/>
    <n v="8775"/>
    <n v="4.5"/>
    <n v="4916.25"/>
    <n v="21000"/>
    <n v="21000"/>
    <s v="Shenzhen"/>
    <x v="0"/>
    <n v="30"/>
    <n v="50"/>
    <n v="0"/>
    <s v=""/>
    <n v="0"/>
    <s v=""/>
    <n v="3"/>
    <n v="0.64420139631928086"/>
    <n v="14"/>
    <n v="0.56915882336609469"/>
    <n v="4"/>
    <n v="0.62962785063904436"/>
    <n v="10"/>
    <n v="0.54159412813363206"/>
    <n v="23"/>
    <n v="0.58144707944046381"/>
    <n v="12"/>
    <n v="0.46766539250162881"/>
    <n v="18"/>
    <n v="0.47062393364073291"/>
    <n v="24"/>
    <n v="0.543559044160285"/>
    <n v="11"/>
    <n v="0.49976952197476149"/>
    <n v="64"/>
    <n v="0.41631697440312976"/>
    <n v="5"/>
    <s v=""/>
    <n v="9"/>
    <s v=""/>
    <n v="78"/>
    <s v=""/>
    <n v="5"/>
    <s v=""/>
    <n v="0.625"/>
    <n v="18"/>
    <s v=""/>
    <n v="0.47368421052631576"/>
    <n v="-7"/>
    <s v=""/>
    <n v="-0.17499999999999999"/>
    <n v="0"/>
    <s v=""/>
    <n v="0"/>
    <n v="0"/>
    <n v="124"/>
    <n v="15"/>
    <n v="0"/>
    <m/>
    <n v="0"/>
    <n v="934537.5"/>
    <n v="577530"/>
    <n v="131625"/>
    <n v="0"/>
    <n v="1"/>
    <n v="8775"/>
    <n v="264705.8823529412"/>
    <n v="20"/>
    <n v="45"/>
    <n v="13.5"/>
    <n v="0"/>
    <n v="0"/>
    <n v="0"/>
    <n v="846787.5"/>
    <n v="209587.5"/>
    <n v="118462.5"/>
    <n v="0"/>
    <n v="1"/>
    <n v="8775"/>
    <n v="238235.29411764708"/>
    <n v="40"/>
    <n v="32"/>
    <n v="78"/>
    <n v="0"/>
    <n v="0"/>
    <n v="905310"/>
    <n v="280800"/>
    <n v="684450"/>
    <n v="0"/>
    <n v="1"/>
    <n v="8775"/>
    <n v="1638000"/>
    <n v="8"/>
    <n v="19"/>
    <n v="5"/>
    <n v="0"/>
    <n v="0"/>
    <n v="88492.5"/>
    <n v="43875"/>
    <x v="0"/>
    <x v="0"/>
    <n v="1"/>
    <n v="8775"/>
    <n v="105000"/>
    <n v="38"/>
    <n v="19"/>
    <n v="38"/>
    <m/>
    <n v="0"/>
    <n v="0"/>
    <n v="166725"/>
    <n v="176985"/>
    <x v="0"/>
    <n v="0"/>
    <n v="1"/>
    <n v="8775"/>
    <n v="798000"/>
    <n v="40"/>
    <n v="-6"/>
    <n v="-7"/>
    <m/>
    <n v="0"/>
    <n v="0"/>
    <n v="-52650"/>
    <n v="-32602.5"/>
    <n v="0"/>
    <n v="0"/>
    <n v="-6"/>
    <n v="8775"/>
    <n v="-147000"/>
    <n v="0"/>
    <n v="1"/>
    <n v="0"/>
    <n v="0"/>
    <n v="0"/>
    <n v="0"/>
    <n v="8775"/>
    <n v="0"/>
    <n v="0"/>
    <n v="0"/>
    <n v="1"/>
    <n v="8775"/>
    <n v="0"/>
    <n v="0"/>
    <n v="1"/>
    <n v="0"/>
    <n v="0"/>
    <n v="0"/>
    <n v="0"/>
    <n v="8775"/>
    <n v="0"/>
    <n v="0"/>
    <n v="0"/>
    <n v="1"/>
    <n v="8775"/>
    <n v="0"/>
    <n v="38"/>
    <n v="1"/>
    <n v="38"/>
    <n v="0"/>
    <n v="0"/>
    <m/>
    <n v="4657.5"/>
    <n v="176985"/>
    <n v="0"/>
    <n v="0"/>
    <n v="1"/>
    <n v="4657.5"/>
    <n v="79800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0"/>
    <x v="4"/>
    <x v="12"/>
    <s v="LVMOVITR-BK"/>
    <x v="43"/>
    <x v="43"/>
    <x v="0"/>
    <x v="1"/>
    <n v="1"/>
    <x v="34"/>
    <n v="75"/>
    <m/>
    <n v="0"/>
    <n v="18056"/>
    <n v="1354200"/>
    <n v="18.7"/>
    <n v="20429.75"/>
    <n v="42008.403361344543"/>
    <n v="31084.033613445379"/>
    <s v="Shenzhen"/>
    <x v="0"/>
    <n v="45"/>
    <n v="300"/>
    <n v="0"/>
    <s v=""/>
    <n v="0"/>
    <s v=""/>
    <n v="0"/>
    <s v=""/>
    <n v="0"/>
    <s v=""/>
    <n v="0"/>
    <s v=""/>
    <n v="0"/>
    <s v=""/>
    <n v="0"/>
    <n v="0.6126299293818932"/>
    <n v="1"/>
    <n v="0.52165626290350009"/>
    <n v="1"/>
    <n v="0.39897183141575365"/>
    <n v="21"/>
    <n v="0.37402599282390092"/>
    <n v="8"/>
    <n v="0.36742286088258796"/>
    <n v="81"/>
    <n v="0.2733496105989533"/>
    <n v="4"/>
    <s v=""/>
    <n v="11"/>
    <s v=""/>
    <n v="25"/>
    <s v=""/>
    <n v="17"/>
    <s v=""/>
    <n v="1.1333333333333333"/>
    <n v="38"/>
    <s v=""/>
    <n v="1.2666666666666666"/>
    <n v="205"/>
    <s v=""/>
    <n v="5.125"/>
    <n v="6"/>
    <s v=""/>
    <n v="0.2"/>
    <n v="25"/>
    <n v="89"/>
    <n v="10"/>
    <n v="0"/>
    <n v="300"/>
    <n v="0"/>
    <n v="929884"/>
    <n v="1722550.5"/>
    <n v="180560"/>
    <n v="0"/>
    <n v="75"/>
    <n v="1354200"/>
    <n v="353011.79295247514"/>
    <n v="35"/>
    <n v="379"/>
    <n v="16.5"/>
    <n v="0"/>
    <n v="0"/>
    <n v="0"/>
    <n v="1056276"/>
    <n v="7335355.5"/>
    <n v="297924"/>
    <n v="0"/>
    <n v="75"/>
    <n v="1354200"/>
    <n v="582469.45837158395"/>
    <n v="40"/>
    <n v="359"/>
    <n v="25"/>
    <n v="0"/>
    <n v="0"/>
    <n v="1338987"/>
    <n v="6482104"/>
    <n v="451400"/>
    <n v="0"/>
    <n v="75"/>
    <n v="1354200"/>
    <n v="1050210.0840336136"/>
    <n v="15"/>
    <n v="338"/>
    <n v="17"/>
    <n v="0"/>
    <n v="0"/>
    <n v="6541821"/>
    <n v="306952"/>
    <x v="0"/>
    <x v="0"/>
    <n v="75"/>
    <n v="1354200"/>
    <n v="714142.85714285728"/>
    <n v="30"/>
    <n v="113"/>
    <n v="30"/>
    <m/>
    <n v="0"/>
    <n v="0"/>
    <n v="2040328"/>
    <n v="580635"/>
    <x v="0"/>
    <n v="0"/>
    <n v="75"/>
    <n v="1354200"/>
    <n v="1260252.1008403362"/>
    <n v="40"/>
    <n v="280"/>
    <n v="205"/>
    <m/>
    <n v="0"/>
    <n v="0"/>
    <n v="5055680"/>
    <n v="3967672.5"/>
    <n v="0"/>
    <n v="0"/>
    <n v="280"/>
    <n v="1354200"/>
    <n v="8611722.689075632"/>
    <n v="30"/>
    <n v="81"/>
    <n v="30"/>
    <n v="0"/>
    <n v="0"/>
    <n v="0"/>
    <n v="1462536"/>
    <n v="580635"/>
    <n v="0"/>
    <n v="0"/>
    <n v="81"/>
    <n v="1354200"/>
    <n v="1260252.1008403362"/>
    <n v="30"/>
    <n v="51"/>
    <n v="30"/>
    <n v="0"/>
    <n v="0"/>
    <n v="0"/>
    <n v="920856"/>
    <n v="580635"/>
    <n v="0"/>
    <n v="0"/>
    <n v="51"/>
    <n v="920856"/>
    <n v="1260252.1008403362"/>
    <n v="30"/>
    <n v="21"/>
    <n v="30"/>
    <n v="0"/>
    <n v="0"/>
    <m/>
    <n v="406444.5"/>
    <n v="580635"/>
    <n v="0"/>
    <n v="0"/>
    <n v="21"/>
    <n v="406444.5"/>
    <n v="1260252.1008403362"/>
    <n v="40"/>
    <n v="0"/>
    <n v="0"/>
    <n v="0"/>
    <n v="0"/>
    <n v="0"/>
    <m/>
    <n v="0"/>
    <n v="0"/>
    <n v="0"/>
    <n v="0"/>
    <n v="0"/>
    <n v="0"/>
    <n v="0"/>
    <n v="40"/>
    <n v="0"/>
    <n v="40"/>
    <m/>
    <n v="0"/>
    <n v="0"/>
    <n v="774180"/>
    <n v="0"/>
    <n v="0"/>
    <n v="0"/>
    <n v="0"/>
    <n v="1305529.4117647058"/>
    <n v="40"/>
    <n v="0"/>
    <n v="40"/>
    <n v="0"/>
    <n v="0"/>
    <n v="0"/>
    <n v="774180"/>
    <n v="0"/>
    <n v="0"/>
    <n v="0"/>
    <n v="1680336.1344537816"/>
    <n v="24"/>
    <n v="0"/>
    <n v="24"/>
    <n v="0"/>
    <m/>
    <n v="0"/>
    <n v="433344"/>
    <n v="0"/>
    <n v="0"/>
    <n v="0"/>
    <n v="1008201.6806722691"/>
  </r>
  <r>
    <m/>
    <x v="0"/>
    <x v="4"/>
    <x v="12"/>
    <s v="LVMOPRL-BK"/>
    <x v="44"/>
    <x v="44"/>
    <x v="0"/>
    <x v="2"/>
    <n v="1"/>
    <x v="12"/>
    <n v="0"/>
    <m/>
    <n v="0"/>
    <n v="7003.4999999999991"/>
    <n v="0"/>
    <n v="7"/>
    <n v="7003.4999999999991"/>
    <n v="17655.882352941175"/>
    <n v="15007.499999999998"/>
    <s v="Shenzhen"/>
    <x v="0"/>
    <n v="45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10"/>
    <n v="0"/>
    <n v="10"/>
    <n v="100"/>
    <n v="100"/>
    <n v="0"/>
    <n v="0"/>
    <n v="72449.999999999985"/>
    <n v="700349.99999999988"/>
    <n v="0"/>
    <n v="0"/>
    <n v="0"/>
    <n v="176558.82352941175"/>
    <n v="20"/>
    <n v="0"/>
    <n v="20"/>
    <n v="0"/>
    <n v="0"/>
    <n v="99"/>
    <n v="0"/>
    <n v="144899.99999999997"/>
    <n v="0"/>
    <n v="717254.99999999988"/>
    <n v="0"/>
    <n v="0"/>
    <n v="353117.6470588235"/>
    <n v="25"/>
    <n v="79"/>
    <n v="25"/>
    <n v="0"/>
    <n v="0"/>
    <m/>
    <n v="572354.99999999988"/>
    <n v="181124.99999999997"/>
    <n v="0"/>
    <n v="0"/>
    <n v="79"/>
    <n v="572354.99999999988"/>
    <n v="441397.0588235294"/>
    <n v="50"/>
    <n v="54"/>
    <n v="50"/>
    <n v="0"/>
    <n v="0"/>
    <n v="0"/>
    <n v="0"/>
    <n v="391229.99999999994"/>
    <n v="362249.99999999994"/>
    <n v="0"/>
    <n v="0"/>
    <n v="54"/>
    <n v="391229.99999999994"/>
    <n v="750374.99999999988"/>
    <n v="50"/>
    <n v="4"/>
    <n v="50"/>
    <n v="100"/>
    <n v="100"/>
    <n v="28979.999999999996"/>
    <n v="362249.99999999994"/>
    <n v="724499.99999999988"/>
    <n v="724499.99999999988"/>
    <n v="104"/>
    <n v="753479.99999999988"/>
    <n v="787893.74999999988"/>
    <n v="50"/>
    <n v="54"/>
    <n v="50"/>
    <n v="0"/>
    <n v="0"/>
    <n v="391229.99999999994"/>
    <n v="362249.99999999994"/>
    <n v="0"/>
    <n v="54"/>
    <n v="391229.99999999994"/>
    <n v="882794.1176470588"/>
    <n v="30"/>
    <n v="4"/>
    <n v="30"/>
    <n v="0"/>
    <m/>
    <n v="28979.999999999996"/>
    <n v="210104.99999999997"/>
    <n v="0"/>
    <n v="4"/>
    <n v="28979.999999999996"/>
    <n v="529676.47058823518"/>
  </r>
  <r>
    <m/>
    <x v="0"/>
    <x v="4"/>
    <x v="12"/>
    <s v="LVMOVEL-BK"/>
    <x v="45"/>
    <x v="45"/>
    <x v="0"/>
    <x v="2"/>
    <n v="1"/>
    <x v="12"/>
    <n v="0"/>
    <m/>
    <n v="0"/>
    <n v="6503.2499999999991"/>
    <n v="0"/>
    <n v="6.5"/>
    <n v="6503.2499999999991"/>
    <n v="16394.747899159662"/>
    <n v="13935.535714285712"/>
    <s v="Shenzhen"/>
    <x v="0"/>
    <n v="45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10"/>
    <n v="0"/>
    <n v="10"/>
    <n v="100"/>
    <n v="100"/>
    <n v="0"/>
    <n v="0"/>
    <n v="67274.999999999985"/>
    <n v="650324.99999999988"/>
    <n v="0"/>
    <n v="0"/>
    <n v="0"/>
    <n v="163947.47899159661"/>
    <n v="20"/>
    <n v="0"/>
    <n v="20"/>
    <n v="0"/>
    <n v="0"/>
    <n v="99"/>
    <n v="0"/>
    <n v="134549.99999999997"/>
    <n v="0"/>
    <n v="666022.49999999988"/>
    <n v="0"/>
    <n v="0"/>
    <n v="327894.95798319322"/>
    <n v="25"/>
    <n v="79"/>
    <n v="25"/>
    <n v="0"/>
    <n v="0"/>
    <m/>
    <n v="531472.49999999988"/>
    <n v="168187.49999999997"/>
    <n v="0"/>
    <n v="0"/>
    <n v="79"/>
    <n v="531472.49999999988"/>
    <n v="409868.69747899153"/>
    <n v="50"/>
    <n v="54"/>
    <n v="50"/>
    <n v="0"/>
    <n v="0"/>
    <n v="0"/>
    <n v="0"/>
    <n v="363284.99999999994"/>
    <n v="336374.99999999994"/>
    <n v="0"/>
    <n v="0"/>
    <n v="54"/>
    <n v="363284.99999999994"/>
    <n v="696776.78571428556"/>
    <n v="50"/>
    <n v="4"/>
    <n v="50"/>
    <n v="100"/>
    <n v="100"/>
    <n v="26909.999999999996"/>
    <n v="336374.99999999994"/>
    <n v="672749.99999999988"/>
    <n v="672749.99999999988"/>
    <n v="104"/>
    <n v="699659.99999999988"/>
    <n v="731615.62499999988"/>
    <n v="50"/>
    <n v="54"/>
    <n v="50"/>
    <n v="0"/>
    <n v="0"/>
    <n v="363284.99999999994"/>
    <n v="336374.99999999994"/>
    <n v="0"/>
    <n v="54"/>
    <n v="363284.99999999994"/>
    <n v="819737.39495798305"/>
    <n v="30"/>
    <n v="4"/>
    <n v="30"/>
    <n v="0"/>
    <m/>
    <n v="26909.999999999996"/>
    <n v="195097.49999999997"/>
    <n v="0"/>
    <n v="4"/>
    <n v="26909.999999999996"/>
    <n v="491842.43697478983"/>
  </r>
  <r>
    <s v="Levo-Mochilas y Fundas"/>
    <x v="0"/>
    <x v="4"/>
    <x v="13"/>
    <s v="LVFUEX"/>
    <x v="46"/>
    <x v="46"/>
    <x v="0"/>
    <x v="6"/>
    <n v="1"/>
    <x v="12"/>
    <n v="8"/>
    <m/>
    <n v="0"/>
    <n v="11441"/>
    <n v="91528"/>
    <n v="4.8"/>
    <n v="5244"/>
    <n v="12596.638655462186"/>
    <n v="8394.957983193277"/>
    <s v="Shenzhen"/>
    <x v="0"/>
    <n v="30"/>
    <n v="50"/>
    <n v="9"/>
    <n v="-0.1008019242333132"/>
    <n v="6"/>
    <n v="0.14863754743656529"/>
    <n v="7"/>
    <n v="0.16939193309521741"/>
    <n v="7"/>
    <n v="0.1891585049537228"/>
    <n v="3"/>
    <n v="0.1696601774407171"/>
    <n v="11"/>
    <n v="6.1821670465913449E-2"/>
    <n v="5"/>
    <n v="0.16938767666622262"/>
    <n v="3"/>
    <n v="0.14863754743656529"/>
    <n v="4"/>
    <n v="0.19865541064876119"/>
    <n v="3"/>
    <n v="0.19866507914273715"/>
    <n v="0"/>
    <s v=""/>
    <n v="3"/>
    <n v="6.9093621175960143E-2"/>
    <n v="2"/>
    <s v=""/>
    <n v="2"/>
    <s v=""/>
    <n v="99"/>
    <s v=""/>
    <n v="4"/>
    <s v=""/>
    <n v="1"/>
    <n v="5"/>
    <s v=""/>
    <n v="0.55555555555555558"/>
    <n v="8"/>
    <s v=""/>
    <n v="0.88888888888888884"/>
    <n v="1"/>
    <s v=""/>
    <n v="6.6666666666666666E-2"/>
    <n v="7.333333333333333"/>
    <n v="123"/>
    <n v="5"/>
    <n v="0"/>
    <m/>
    <n v="0"/>
    <n v="1224187"/>
    <n v="611064"/>
    <n v="57205"/>
    <n v="0"/>
    <n v="8"/>
    <n v="91528"/>
    <n v="52927.053174210872"/>
    <n v="9"/>
    <n v="126"/>
    <n v="3"/>
    <n v="0"/>
    <m/>
    <n v="0"/>
    <n v="1212746"/>
    <n v="625968"/>
    <n v="34323"/>
    <n v="0"/>
    <n v="8"/>
    <n v="91528"/>
    <n v="31756.231904526521"/>
    <n v="9"/>
    <n v="124"/>
    <n v="99"/>
    <n v="0"/>
    <n v="0"/>
    <n v="1223135"/>
    <n v="1418684"/>
    <n v="1132659"/>
    <n v="0"/>
    <n v="8"/>
    <n v="91528"/>
    <n v="1247067.2268907563"/>
    <n v="4"/>
    <n v="25"/>
    <n v="4"/>
    <n v="0"/>
    <n v="0"/>
    <n v="124200"/>
    <n v="45764"/>
    <x v="0"/>
    <x v="0"/>
    <n v="8"/>
    <n v="91528"/>
    <n v="50386.554621848743"/>
    <n v="9"/>
    <n v="13"/>
    <n v="9"/>
    <m/>
    <n v="0"/>
    <n v="0"/>
    <n v="148733"/>
    <n v="44712"/>
    <x v="0"/>
    <n v="0"/>
    <n v="8"/>
    <n v="91528"/>
    <n v="113369.74789915967"/>
    <n v="9"/>
    <n v="16"/>
    <n v="8"/>
    <m/>
    <n v="0"/>
    <n v="0"/>
    <n v="183056"/>
    <n v="39744"/>
    <n v="0"/>
    <n v="0"/>
    <n v="16"/>
    <n v="91528"/>
    <n v="100773.10924369749"/>
    <n v="15"/>
    <n v="9"/>
    <n v="15"/>
    <n v="0"/>
    <n v="0"/>
    <n v="0"/>
    <n v="102969"/>
    <n v="74520"/>
    <n v="0"/>
    <n v="0"/>
    <n v="9"/>
    <n v="91528"/>
    <n v="188949.57983193279"/>
    <n v="10"/>
    <n v="0"/>
    <n v="10"/>
    <n v="0"/>
    <n v="0"/>
    <n v="0"/>
    <n v="0"/>
    <n v="49680"/>
    <n v="0"/>
    <n v="0"/>
    <n v="0"/>
    <n v="0"/>
    <n v="125966.38655462186"/>
    <n v="9"/>
    <n v="0"/>
    <n v="9"/>
    <n v="0"/>
    <n v="0"/>
    <m/>
    <n v="0"/>
    <n v="44712"/>
    <n v="0"/>
    <n v="0"/>
    <n v="0"/>
    <n v="0"/>
    <n v="113369.74789915967"/>
    <n v="9"/>
    <n v="0"/>
    <n v="0"/>
    <n v="0"/>
    <n v="0"/>
    <n v="0"/>
    <m/>
    <n v="0"/>
    <n v="0"/>
    <n v="0"/>
    <n v="0"/>
    <n v="0"/>
    <n v="0"/>
    <n v="0"/>
    <n v="9"/>
    <n v="0"/>
    <n v="9"/>
    <m/>
    <n v="0"/>
    <n v="0"/>
    <n v="44712"/>
    <n v="0"/>
    <n v="0"/>
    <n v="0"/>
    <n v="0"/>
    <n v="79332.352941176476"/>
    <n v="9"/>
    <n v="0"/>
    <n v="9"/>
    <n v="0"/>
    <n v="0"/>
    <n v="0"/>
    <n v="44712"/>
    <n v="0"/>
    <n v="0"/>
    <n v="0"/>
    <n v="113369.74789915967"/>
    <n v="5.3999999999999995"/>
    <n v="0"/>
    <n v="5.3999999999999995"/>
    <n v="0"/>
    <m/>
    <n v="0"/>
    <n v="61781.399999999994"/>
    <n v="0"/>
    <n v="0"/>
    <n v="0"/>
    <n v="68021.848739495792"/>
  </r>
  <r>
    <s v="Levo-Mochilas y Fundas"/>
    <x v="0"/>
    <x v="4"/>
    <x v="13"/>
    <s v="LVFUEX"/>
    <x v="47"/>
    <x v="46"/>
    <x v="0"/>
    <x v="6"/>
    <n v="1"/>
    <x v="12"/>
    <n v="4"/>
    <m/>
    <n v="0"/>
    <n v="7961"/>
    <n v="31844"/>
    <n v="4.8"/>
    <n v="5244"/>
    <n v="12596.638655462186"/>
    <n v="8394.957983193277"/>
    <s v="Shenzhen"/>
    <x v="0"/>
    <n v="30"/>
    <n v="50"/>
    <n v="4"/>
    <n v="0.35900030935742655"/>
    <n v="2"/>
    <s v=""/>
    <n v="1"/>
    <s v=""/>
    <n v="1"/>
    <s v=""/>
    <n v="3"/>
    <n v="0.40571961779635718"/>
    <n v="1"/>
    <s v=""/>
    <n v="2"/>
    <n v="0.47340435714758194"/>
    <n v="0"/>
    <s v=""/>
    <n v="0"/>
    <s v=""/>
    <n v="2"/>
    <n v="0.32298834934943449"/>
    <n v="1"/>
    <n v="0.36812604174934521"/>
    <n v="1"/>
    <n v="0.47340918110861224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4"/>
    <n v="4"/>
    <n v="0"/>
    <m/>
    <n v="0"/>
    <n v="31844"/>
    <n v="19872"/>
    <n v="31844"/>
    <n v="0"/>
    <n v="4"/>
    <n v="31844"/>
    <n v="42341.642539368695"/>
    <n v="0"/>
    <n v="4"/>
    <n v="0"/>
    <n v="0"/>
    <m/>
    <n v="0"/>
    <n v="0"/>
    <n v="19872"/>
    <n v="0"/>
    <n v="0"/>
    <n v="4"/>
    <n v="31844"/>
    <n v="0"/>
    <n v="0"/>
    <n v="4"/>
    <n v="0"/>
    <n v="0"/>
    <n v="0"/>
    <n v="0"/>
    <n v="31844"/>
    <n v="0"/>
    <n v="0"/>
    <n v="4"/>
    <n v="31844"/>
    <n v="0"/>
    <n v="0"/>
    <n v="2"/>
    <n v="0"/>
    <n v="0"/>
    <n v="0"/>
    <n v="9936"/>
    <n v="0"/>
    <x v="0"/>
    <x v="0"/>
    <n v="4"/>
    <n v="31844"/>
    <n v="0"/>
    <n v="0"/>
    <n v="4"/>
    <n v="0"/>
    <m/>
    <n v="0"/>
    <n v="0"/>
    <n v="31844"/>
    <n v="0"/>
    <x v="0"/>
    <n v="0"/>
    <n v="4"/>
    <n v="31844"/>
    <n v="0"/>
    <n v="0"/>
    <n v="4"/>
    <n v="0"/>
    <m/>
    <n v="0"/>
    <n v="0"/>
    <n v="31844"/>
    <n v="0"/>
    <n v="0"/>
    <n v="0"/>
    <n v="4"/>
    <n v="31844"/>
    <n v="0"/>
    <n v="4"/>
    <n v="4"/>
    <n v="4"/>
    <n v="0"/>
    <n v="0"/>
    <n v="0"/>
    <n v="31844"/>
    <n v="19872"/>
    <n v="0"/>
    <n v="0"/>
    <n v="4"/>
    <n v="31844"/>
    <n v="50386.554621848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Mochilas y Fundas"/>
    <x v="0"/>
    <x v="4"/>
    <x v="13"/>
    <s v="LVFNOTHS13-BK"/>
    <x v="48"/>
    <x v="47"/>
    <x v="0"/>
    <x v="4"/>
    <n v="1"/>
    <x v="35"/>
    <n v="281"/>
    <m/>
    <n v="0"/>
    <n v="8004"/>
    <n v="2249124"/>
    <n v="8.75"/>
    <n v="9559.375"/>
    <n v="19319.327731092439"/>
    <n v="16798.319327731093"/>
    <s v="Shenzhen"/>
    <x v="0"/>
    <n v="30"/>
    <n v="200"/>
    <n v="0"/>
    <s v=""/>
    <n v="0"/>
    <s v=""/>
    <n v="7"/>
    <n v="0.59856501914306304"/>
    <n v="32"/>
    <n v="0.60120178876277319"/>
    <n v="9"/>
    <n v="0.5758128702420261"/>
    <n v="13"/>
    <n v="0.48693205998581418"/>
    <n v="20"/>
    <n v="0.60963361941112149"/>
    <n v="157"/>
    <n v="0.47537535381582885"/>
    <n v="15"/>
    <n v="0.5736285181080133"/>
    <n v="55"/>
    <n v="0.56064251964294898"/>
    <n v="22"/>
    <n v="0.5601349356274955"/>
    <n v="24"/>
    <n v="0.61670726593708347"/>
    <n v="23"/>
    <s v=""/>
    <n v="31"/>
    <s v=""/>
    <n v="68"/>
    <s v=""/>
    <n v="71"/>
    <s v=""/>
    <n v="1.1833333333333333"/>
    <n v="65"/>
    <s v=""/>
    <n v="1.0833333333333333"/>
    <n v="117"/>
    <s v=""/>
    <n v="1.4624999999999999"/>
    <n v="22"/>
    <s v=""/>
    <n v="0.36666666666666664"/>
    <n v="35"/>
    <n v="27"/>
    <n v="25"/>
    <n v="0"/>
    <n v="200"/>
    <n v="0"/>
    <n v="1116558"/>
    <n v="244518.75"/>
    <n v="200100"/>
    <n v="0"/>
    <n v="281"/>
    <n v="2249124"/>
    <n v="405868.22964479914"/>
    <n v="60"/>
    <n v="425"/>
    <n v="46.5"/>
    <n v="200"/>
    <n v="200"/>
    <n v="0"/>
    <n v="1484742"/>
    <n v="3848906.25"/>
    <n v="372186"/>
    <n v="0"/>
    <n v="281"/>
    <n v="2249124"/>
    <n v="754914.90713932645"/>
    <n v="85"/>
    <n v="365"/>
    <n v="68"/>
    <n v="0"/>
    <n v="0"/>
    <n v="1655931"/>
    <n v="2921460"/>
    <n v="544272"/>
    <n v="0"/>
    <n v="281"/>
    <n v="2249124"/>
    <n v="1313714.2857142859"/>
    <n v="60"/>
    <n v="430"/>
    <n v="71"/>
    <n v="100"/>
    <n v="0"/>
    <n v="3894187.5"/>
    <n v="568284"/>
    <x v="19"/>
    <x v="0"/>
    <n v="281"/>
    <n v="2249124"/>
    <n v="1371672.2689075631"/>
    <n v="60"/>
    <n v="346"/>
    <n v="60"/>
    <m/>
    <n v="0"/>
    <n v="0"/>
    <n v="2769384"/>
    <n v="543375"/>
    <x v="0"/>
    <n v="0"/>
    <n v="281"/>
    <n v="2249124"/>
    <n v="1159159.6638655462"/>
    <n v="80"/>
    <n v="398"/>
    <n v="117"/>
    <m/>
    <n v="0"/>
    <n v="0"/>
    <n v="3185592"/>
    <n v="1059581.25"/>
    <n v="0"/>
    <n v="0"/>
    <n v="398"/>
    <n v="2249124"/>
    <n v="2260361.3445378155"/>
    <n v="60"/>
    <n v="303"/>
    <n v="60"/>
    <n v="100"/>
    <n v="100"/>
    <n v="0"/>
    <n v="2425212"/>
    <n v="543375"/>
    <n v="875437.5"/>
    <n v="0"/>
    <n v="303"/>
    <n v="2249124"/>
    <n v="1159159.6638655462"/>
    <n v="60"/>
    <n v="243"/>
    <n v="60"/>
    <n v="50"/>
    <n v="50"/>
    <n v="0"/>
    <n v="1944972"/>
    <n v="543375"/>
    <n v="452812.5"/>
    <n v="0"/>
    <n v="293"/>
    <n v="2397784.5"/>
    <n v="1159159.6638655462"/>
    <n v="35"/>
    <n v="183"/>
    <n v="35"/>
    <n v="0"/>
    <n v="0"/>
    <n v="100"/>
    <n v="1657293.75"/>
    <n v="316968.75"/>
    <n v="0"/>
    <n v="905625"/>
    <n v="283"/>
    <n v="2562918.75"/>
    <n v="676176.4705882353"/>
    <n v="80"/>
    <n v="248"/>
    <n v="80"/>
    <n v="0"/>
    <n v="0"/>
    <n v="0"/>
    <m/>
    <n v="2245950"/>
    <n v="724500"/>
    <n v="0"/>
    <n v="0"/>
    <n v="248"/>
    <n v="2245950"/>
    <n v="1343865.5462184874"/>
    <n v="80"/>
    <n v="168"/>
    <n v="80"/>
    <m/>
    <n v="0"/>
    <n v="1521450"/>
    <n v="724500"/>
    <n v="0"/>
    <n v="0"/>
    <n v="168"/>
    <n v="1521450"/>
    <n v="1411058.8235294118"/>
    <n v="60"/>
    <n v="88"/>
    <n v="60"/>
    <n v="0"/>
    <n v="0"/>
    <n v="796950"/>
    <n v="543375"/>
    <n v="0"/>
    <n v="88"/>
    <n v="796950"/>
    <n v="1159159.6638655462"/>
    <n v="48"/>
    <n v="28"/>
    <n v="48"/>
    <n v="0"/>
    <m/>
    <n v="253575"/>
    <n v="384192"/>
    <n v="0"/>
    <n v="28"/>
    <n v="253575"/>
    <n v="927327.73109243705"/>
  </r>
  <r>
    <s v="Levo-Mochilas y Fundas"/>
    <x v="0"/>
    <x v="4"/>
    <x v="13"/>
    <s v="LVFNOTHS15-BK"/>
    <x v="49"/>
    <x v="48"/>
    <x v="0"/>
    <x v="4"/>
    <n v="1"/>
    <x v="36"/>
    <n v="154"/>
    <m/>
    <n v="0"/>
    <n v="9561"/>
    <n v="1472394"/>
    <n v="10.129999999999999"/>
    <n v="11067.024999999998"/>
    <n v="21000"/>
    <n v="19319.327731092439"/>
    <s v="Shenzhen"/>
    <x v="0"/>
    <n v="30"/>
    <n v="200"/>
    <n v="0"/>
    <s v=""/>
    <n v="0"/>
    <s v=""/>
    <n v="16"/>
    <n v="0.59288603094469305"/>
    <n v="68"/>
    <n v="0.56460203623716454"/>
    <n v="6"/>
    <n v="0.51525768315463549"/>
    <n v="27"/>
    <n v="0.57126523003488205"/>
    <n v="10"/>
    <n v="0.58133992955079017"/>
    <n v="37"/>
    <n v="0.54437506005668923"/>
    <n v="45"/>
    <n v="0.5499489972144892"/>
    <n v="95"/>
    <n v="0.52611811434207478"/>
    <n v="47"/>
    <n v="0.5401607995137645"/>
    <n v="56"/>
    <n v="0.57376131596589652"/>
    <n v="40"/>
    <s v=""/>
    <n v="47"/>
    <s v=""/>
    <n v="80"/>
    <s v=""/>
    <n v="125"/>
    <s v=""/>
    <n v="1.25"/>
    <n v="105"/>
    <s v=""/>
    <n v="1.05"/>
    <n v="39"/>
    <s v=""/>
    <n v="1.4444444444444444"/>
    <n v="47"/>
    <s v=""/>
    <n v="0.47"/>
    <n v="30"/>
    <n v="169"/>
    <n v="35"/>
    <n v="0"/>
    <m/>
    <n v="0"/>
    <n v="1773565.5"/>
    <n v="1771888.95"/>
    <n v="334635"/>
    <n v="0"/>
    <n v="154"/>
    <n v="1472394"/>
    <n v="617647.0588235294"/>
    <n v="60"/>
    <n v="284"/>
    <n v="70.5"/>
    <n v="150"/>
    <n v="150"/>
    <n v="0"/>
    <n v="2634055.5"/>
    <n v="2977612.1999999997"/>
    <n v="674050.5"/>
    <n v="0"/>
    <n v="154"/>
    <n v="1472394"/>
    <n v="1244117.6470588236"/>
    <n v="100"/>
    <n v="189"/>
    <n v="80"/>
    <n v="0"/>
    <n v="0"/>
    <n v="3008460"/>
    <n v="1807029"/>
    <n v="764880"/>
    <n v="0"/>
    <n v="154"/>
    <n v="1472394"/>
    <n v="1680000"/>
    <n v="100"/>
    <n v="267"/>
    <n v="125"/>
    <n v="100"/>
    <n v="0"/>
    <n v="2799374.8499999996"/>
    <n v="1195125"/>
    <x v="20"/>
    <x v="0"/>
    <n v="154"/>
    <n v="1472394"/>
    <n v="2625000"/>
    <n v="100"/>
    <n v="259"/>
    <n v="100"/>
    <m/>
    <n v="0"/>
    <n v="0"/>
    <n v="2476299"/>
    <n v="1048454.9999999999"/>
    <x v="0"/>
    <n v="0"/>
    <n v="154"/>
    <n v="1472394"/>
    <n v="2100000"/>
    <n v="27"/>
    <n v="193"/>
    <n v="39"/>
    <m/>
    <n v="0"/>
    <n v="0"/>
    <n v="1845273"/>
    <n v="408897.44999999995"/>
    <n v="0"/>
    <n v="0"/>
    <n v="193"/>
    <n v="1472394"/>
    <n v="819000"/>
    <n v="100"/>
    <n v="201"/>
    <n v="100"/>
    <n v="200"/>
    <n v="200"/>
    <n v="0"/>
    <n v="1921761"/>
    <n v="1048454.9999999999"/>
    <n v="2027012.9999999993"/>
    <n v="0"/>
    <n v="201"/>
    <n v="1472394"/>
    <n v="2100000"/>
    <n v="100"/>
    <n v="101"/>
    <n v="100"/>
    <n v="140"/>
    <n v="140"/>
    <n v="0"/>
    <n v="965661"/>
    <n v="1048454.9999999999"/>
    <n v="1467837"/>
    <n v="0"/>
    <n v="241"/>
    <n v="2433498"/>
    <n v="2100000"/>
    <n v="75"/>
    <n v="1"/>
    <n v="75"/>
    <n v="0"/>
    <n v="0"/>
    <n v="140"/>
    <n v="10484.549999999999"/>
    <n v="786341.25"/>
    <n v="0"/>
    <n v="1467837"/>
    <n v="141"/>
    <n v="1478321.55"/>
    <n v="1575000"/>
    <n v="140"/>
    <n v="66"/>
    <n v="66"/>
    <n v="150"/>
    <n v="150"/>
    <n v="150"/>
    <n v="0"/>
    <n v="691980.29999999993"/>
    <n v="691980.29999999993"/>
    <n v="1572682.5"/>
    <n v="1572682.5"/>
    <n v="216"/>
    <n v="2264662.7999999998"/>
    <n v="1275075.630252101"/>
    <n v="140"/>
    <n v="150"/>
    <n v="140"/>
    <n v="200"/>
    <n v="200"/>
    <n v="1572682.5"/>
    <n v="1467837"/>
    <n v="2096909.9999999998"/>
    <n v="2096909.9999999998"/>
    <n v="350"/>
    <n v="3669592.5"/>
    <n v="2839941.1764705884"/>
    <n v="120"/>
    <n v="210"/>
    <n v="120"/>
    <n v="0"/>
    <n v="0"/>
    <n v="2201755.5"/>
    <n v="1258146"/>
    <n v="0"/>
    <n v="210"/>
    <n v="2201755.5"/>
    <n v="2520000"/>
    <n v="84"/>
    <n v="90"/>
    <n v="84"/>
    <n v="0"/>
    <m/>
    <n v="943609.49999999988"/>
    <n v="803124"/>
    <n v="0"/>
    <n v="90"/>
    <n v="943609.49999999988"/>
    <n v="1764000"/>
  </r>
  <r>
    <s v="Levo-Telones y Proyectores"/>
    <x v="0"/>
    <x v="5"/>
    <x v="14"/>
    <s v="LVPROLUM"/>
    <x v="50"/>
    <x v="49"/>
    <x v="0"/>
    <x v="3"/>
    <n v="1"/>
    <x v="37"/>
    <n v="94"/>
    <m/>
    <n v="0"/>
    <n v="88385"/>
    <n v="8308190"/>
    <n v="90"/>
    <n v="98324.999999999985"/>
    <n v="168058.82352941178"/>
    <n v="151252.10084033615"/>
    <s v="Shenzhen"/>
    <x v="2"/>
    <n v="30"/>
    <n v="250"/>
    <n v="10"/>
    <n v="0.46856062700936507"/>
    <n v="40"/>
    <n v="0.42885586728135222"/>
    <n v="89"/>
    <n v="0.48127308889344517"/>
    <n v="45"/>
    <n v="0.43954809273642526"/>
    <n v="79"/>
    <n v="0.5303250097078902"/>
    <n v="76"/>
    <n v="0.41848966792255371"/>
    <n v="44"/>
    <n v="0.36983726609522544"/>
    <n v="53"/>
    <n v="0.36803474647444057"/>
    <n v="60"/>
    <n v="0.41046892635461579"/>
    <n v="60"/>
    <n v="0.41171067168626629"/>
    <n v="50"/>
    <n v="0.39321388611918706"/>
    <n v="31"/>
    <n v="0.45744366495177374"/>
    <n v="23"/>
    <s v=""/>
    <n v="13"/>
    <s v=""/>
    <n v="65"/>
    <s v=""/>
    <n v="14"/>
    <s v=""/>
    <n v="0.7"/>
    <n v="6"/>
    <s v=""/>
    <n v="0.3"/>
    <n v="33"/>
    <s v=""/>
    <n v="0.73333333333333328"/>
    <n v="21"/>
    <s v=""/>
    <n v="0.52500000000000002"/>
    <n v="30"/>
    <n v="134"/>
    <n v="15"/>
    <n v="0"/>
    <n v="100"/>
    <n v="0"/>
    <n v="8794307.5"/>
    <n v="12482100"/>
    <n v="1325775"/>
    <n v="0"/>
    <n v="94"/>
    <n v="8308190"/>
    <n v="2118388.5318833417"/>
    <n v="45"/>
    <n v="243"/>
    <n v="19.5"/>
    <n v="0"/>
    <m/>
    <n v="0"/>
    <n v="8705922.5"/>
    <n v="22635450"/>
    <n v="1723507.5"/>
    <n v="0"/>
    <n v="94"/>
    <n v="8308190"/>
    <n v="2753905.0914483443"/>
    <n v="40"/>
    <n v="236"/>
    <n v="65"/>
    <n v="0"/>
    <n v="0"/>
    <n v="8845415"/>
    <n v="20858860"/>
    <n v="5745025"/>
    <n v="0"/>
    <n v="94"/>
    <n v="8308190"/>
    <n v="10923823.529411765"/>
    <n v="20"/>
    <n v="159"/>
    <n v="14"/>
    <n v="0"/>
    <n v="0"/>
    <n v="14810850"/>
    <n v="1237390"/>
    <x v="0"/>
    <x v="0"/>
    <n v="94"/>
    <n v="8308190"/>
    <n v="2352823.5294117648"/>
    <n v="20"/>
    <n v="100"/>
    <n v="20"/>
    <m/>
    <n v="0"/>
    <n v="0"/>
    <n v="8838500"/>
    <n v="1863000"/>
    <x v="0"/>
    <n v="0"/>
    <n v="94"/>
    <n v="8308190"/>
    <n v="3361176.4705882357"/>
    <n v="45"/>
    <n v="127"/>
    <n v="33"/>
    <m/>
    <n v="0"/>
    <n v="0"/>
    <n v="11224895"/>
    <n v="3073950"/>
    <n v="0"/>
    <n v="0"/>
    <n v="127"/>
    <n v="8308190"/>
    <n v="5545941.1764705889"/>
    <n v="40"/>
    <n v="115"/>
    <n v="40"/>
    <n v="0"/>
    <n v="0"/>
    <n v="0"/>
    <n v="10164275"/>
    <n v="3726000"/>
    <n v="0"/>
    <n v="0"/>
    <n v="115"/>
    <n v="8308190"/>
    <n v="6722352.9411764713"/>
    <n v="30"/>
    <n v="75"/>
    <n v="30"/>
    <n v="0"/>
    <n v="0"/>
    <n v="0"/>
    <n v="6628875"/>
    <n v="2794500"/>
    <n v="0"/>
    <n v="0"/>
    <n v="75"/>
    <n v="6628875"/>
    <n v="5041764.7058823537"/>
    <n v="20"/>
    <n v="45"/>
    <n v="20"/>
    <n v="0"/>
    <n v="0"/>
    <m/>
    <n v="4191750"/>
    <n v="1863000"/>
    <n v="0"/>
    <n v="0"/>
    <n v="45"/>
    <n v="4191750"/>
    <n v="3361176.4705882357"/>
    <n v="25"/>
    <n v="25"/>
    <n v="25"/>
    <n v="0.25"/>
    <n v="0.25"/>
    <n v="0.25"/>
    <m/>
    <n v="2328750"/>
    <n v="2328750"/>
    <n v="23287.5"/>
    <n v="23287.5"/>
    <n v="25.25"/>
    <n v="2352037.5"/>
    <n v="3781302.5210084035"/>
    <n v="25"/>
    <n v="0.25"/>
    <n v="25"/>
    <m/>
    <n v="0"/>
    <n v="23287.5"/>
    <n v="2328750"/>
    <n v="0"/>
    <n v="0"/>
    <n v="0.25"/>
    <n v="23287.5"/>
    <n v="3970367.6470588241"/>
    <n v="30"/>
    <n v="0"/>
    <n v="30"/>
    <n v="0"/>
    <n v="0"/>
    <n v="0"/>
    <n v="2794500"/>
    <n v="0"/>
    <n v="0"/>
    <n v="0"/>
    <n v="5041764.7058823537"/>
    <n v="15"/>
    <n v="0"/>
    <n v="15"/>
    <n v="0"/>
    <m/>
    <n v="0"/>
    <n v="1325775"/>
    <n v="0"/>
    <n v="0"/>
    <n v="0"/>
    <n v="2520882.3529411769"/>
  </r>
  <r>
    <s v="Levo-Telones y Proyectores"/>
    <x v="0"/>
    <x v="5"/>
    <x v="14"/>
    <s v="LVPROORI"/>
    <x v="51"/>
    <x v="50"/>
    <x v="0"/>
    <x v="3"/>
    <n v="1"/>
    <x v="38"/>
    <n v="242"/>
    <m/>
    <n v="0"/>
    <n v="76077"/>
    <n v="18410634"/>
    <n v="74"/>
    <n v="80845"/>
    <n v="142848.73949579833"/>
    <n v="126042.01680672269"/>
    <s v="Shenzhen"/>
    <x v="2"/>
    <n v="30"/>
    <n v="250"/>
    <n v="15"/>
    <n v="0.48787178032596712"/>
    <n v="36"/>
    <n v="0.46444884309648377"/>
    <n v="73"/>
    <n v="0.49731945773554831"/>
    <n v="88"/>
    <n v="0.46253183122502628"/>
    <n v="107"/>
    <n v="0.52459469857397178"/>
    <n v="142"/>
    <n v="0.45722138762964321"/>
    <n v="86"/>
    <n v="0.43289579805891198"/>
    <n v="78"/>
    <n v="0.4250417873204107"/>
    <n v="12"/>
    <n v="0.47789647098189841"/>
    <n v="42"/>
    <n v="0.45740238927205396"/>
    <n v="50"/>
    <n v="0.43462820783417044"/>
    <n v="111"/>
    <n v="0.44587001391234776"/>
    <n v="37"/>
    <s v=""/>
    <n v="58"/>
    <s v=""/>
    <n v="67"/>
    <s v=""/>
    <n v="122"/>
    <s v=""/>
    <n v="2.0333333333333332"/>
    <n v="73"/>
    <s v=""/>
    <n v="1.825"/>
    <n v="171"/>
    <s v=""/>
    <n v="2.1375000000000002"/>
    <n v="36"/>
    <s v=""/>
    <n v="0.45"/>
    <n v="70"/>
    <n v="322"/>
    <n v="40"/>
    <n v="0"/>
    <n v="53"/>
    <n v="0"/>
    <n v="14758938"/>
    <n v="24661980"/>
    <n v="3043080"/>
    <n v="0"/>
    <n v="242"/>
    <n v="18410634"/>
    <n v="4801638.3023797758"/>
    <n v="70"/>
    <n v="295"/>
    <n v="87"/>
    <n v="500"/>
    <n v="250"/>
    <n v="0"/>
    <n v="20997252"/>
    <n v="22594050"/>
    <n v="6618699"/>
    <n v="0"/>
    <n v="242"/>
    <n v="18410634"/>
    <n v="10443563.307676014"/>
    <n v="100"/>
    <n v="257"/>
    <n v="67"/>
    <n v="0"/>
    <n v="0"/>
    <n v="17442153"/>
    <n v="19551789"/>
    <n v="5097159"/>
    <n v="0"/>
    <n v="242"/>
    <n v="18410634"/>
    <n v="9570865.5462184884"/>
    <n v="60"/>
    <n v="419"/>
    <n v="122"/>
    <n v="0"/>
    <n v="0"/>
    <n v="32091210"/>
    <n v="9281394"/>
    <x v="0"/>
    <x v="0"/>
    <n v="242"/>
    <n v="18410634"/>
    <n v="17427546.218487397"/>
    <n v="40"/>
    <n v="315"/>
    <n v="40"/>
    <m/>
    <n v="100"/>
    <n v="0"/>
    <n v="23964255"/>
    <n v="3063600"/>
    <x v="0"/>
    <n v="0"/>
    <n v="242"/>
    <n v="18410634"/>
    <n v="5713949.5798319336"/>
    <n v="80"/>
    <n v="413"/>
    <n v="171"/>
    <m/>
    <n v="150"/>
    <n v="0"/>
    <n v="31419801"/>
    <n v="13096890"/>
    <n v="0"/>
    <n v="0"/>
    <n v="413"/>
    <n v="18410634"/>
    <n v="24427134.453781515"/>
    <n v="80"/>
    <n v="278"/>
    <n v="80"/>
    <n v="0"/>
    <n v="100"/>
    <n v="0"/>
    <n v="21149406"/>
    <n v="6127200"/>
    <n v="0"/>
    <n v="0"/>
    <n v="278"/>
    <n v="18410634"/>
    <n v="11427899.159663867"/>
    <n v="80"/>
    <n v="198"/>
    <n v="80"/>
    <n v="0"/>
    <n v="0"/>
    <n v="0"/>
    <n v="15063246"/>
    <n v="6127200"/>
    <n v="0"/>
    <n v="0"/>
    <n v="198"/>
    <n v="15063246"/>
    <n v="11427899.159663867"/>
    <n v="50"/>
    <n v="118"/>
    <n v="50"/>
    <n v="0"/>
    <n v="0"/>
    <m/>
    <n v="9037620"/>
    <n v="3829500"/>
    <n v="0"/>
    <n v="0"/>
    <n v="118"/>
    <n v="9037620"/>
    <n v="7142436.9747899165"/>
    <n v="140"/>
    <n v="68"/>
    <n v="140"/>
    <n v="500"/>
    <n v="250"/>
    <n v="250"/>
    <n v="0"/>
    <n v="5208120"/>
    <n v="10722600"/>
    <n v="38295000"/>
    <n v="19147500"/>
    <n v="318"/>
    <n v="24355620"/>
    <n v="17645882.352941178"/>
    <n v="80"/>
    <n v="178"/>
    <n v="80"/>
    <m/>
    <n v="0"/>
    <n v="13633020"/>
    <n v="6127200"/>
    <n v="0"/>
    <n v="0"/>
    <n v="178"/>
    <n v="13633020"/>
    <n v="10587529.411764706"/>
    <n v="120"/>
    <n v="98"/>
    <n v="120"/>
    <n v="0"/>
    <n v="0"/>
    <n v="7505820"/>
    <n v="9190800"/>
    <n v="0"/>
    <n v="98"/>
    <n v="7505820"/>
    <n v="17141848.739495799"/>
    <n v="48"/>
    <n v="0"/>
    <n v="48"/>
    <n v="0"/>
    <n v="250"/>
    <n v="0"/>
    <n v="3651696"/>
    <n v="19147500"/>
    <n v="250"/>
    <n v="19147500"/>
    <n v="6856739.4957983196"/>
  </r>
  <r>
    <s v="Levo-Telones y Proyectores"/>
    <x v="0"/>
    <x v="5"/>
    <x v="14"/>
    <s v="LVPRONOV"/>
    <x v="52"/>
    <x v="51"/>
    <x v="0"/>
    <x v="3"/>
    <n v="1"/>
    <x v="39"/>
    <n v="288"/>
    <m/>
    <n v="0"/>
    <n v="56843"/>
    <n v="16370784"/>
    <n v="54"/>
    <n v="58994.999999999993"/>
    <n v="117638.65546218488"/>
    <n v="92428.571428571435"/>
    <s v="Shenzhen"/>
    <x v="2"/>
    <n v="30"/>
    <n v="250"/>
    <n v="32"/>
    <n v="0.4849181712483196"/>
    <n v="53"/>
    <n v="0.48315147158583427"/>
    <n v="84"/>
    <n v="0.48429110078129856"/>
    <n v="100"/>
    <n v="0.48103526099036514"/>
    <n v="236"/>
    <n v="0.49743984679917547"/>
    <n v="57"/>
    <n v="0.43010980703176838"/>
    <n v="22"/>
    <n v="0.45913391911788554"/>
    <n v="27"/>
    <n v="0.43780193801674172"/>
    <n v="122"/>
    <n v="0.44337225233698174"/>
    <n v="165"/>
    <n v="0.45873765639151554"/>
    <n v="130"/>
    <n v="0.49980768861943825"/>
    <n v="216"/>
    <n v="0.47149540517598659"/>
    <n v="87"/>
    <s v=""/>
    <n v="50"/>
    <s v=""/>
    <n v="132"/>
    <s v=""/>
    <n v="73"/>
    <s v=""/>
    <n v="0.91249999999999998"/>
    <n v="40"/>
    <s v=""/>
    <n v="0.5"/>
    <n v="200"/>
    <s v=""/>
    <n v="1.6666666666666667"/>
    <n v="38"/>
    <s v=""/>
    <n v="0.38"/>
    <n v="100"/>
    <n v="353"/>
    <n v="130"/>
    <n v="0"/>
    <m/>
    <n v="0"/>
    <n v="19156091"/>
    <n v="19729169.999999996"/>
    <n v="7389590"/>
    <n v="0"/>
    <n v="288"/>
    <n v="16370784"/>
    <n v="12851281.689146247"/>
    <n v="100"/>
    <n v="482"/>
    <n v="75"/>
    <n v="500"/>
    <n v="200"/>
    <n v="0"/>
    <n v="15916040"/>
    <n v="26938979.999999996"/>
    <n v="4263225"/>
    <n v="0"/>
    <n v="288"/>
    <n v="16370784"/>
    <n v="7414200.9745074501"/>
    <n v="150"/>
    <n v="440"/>
    <n v="132"/>
    <n v="0"/>
    <n v="0"/>
    <n v="16124015"/>
    <n v="25010920"/>
    <n v="7503276"/>
    <n v="0"/>
    <n v="288"/>
    <n v="16370784"/>
    <n v="15528302.521008404"/>
    <n v="80"/>
    <n v="305"/>
    <n v="73"/>
    <n v="0"/>
    <n v="0"/>
    <n v="17046449.999999996"/>
    <n v="4149539"/>
    <x v="0"/>
    <x v="0"/>
    <n v="288"/>
    <n v="16370784"/>
    <n v="8587621.8487394955"/>
    <n v="80"/>
    <n v="328"/>
    <n v="80"/>
    <m/>
    <n v="300"/>
    <n v="0"/>
    <n v="18644504"/>
    <n v="4471199.9999999991"/>
    <x v="0"/>
    <n v="0"/>
    <n v="288"/>
    <n v="16370784"/>
    <n v="9411092.4369747899"/>
    <n v="120"/>
    <n v="488"/>
    <n v="200"/>
    <m/>
    <n v="300"/>
    <n v="0"/>
    <n v="27739384"/>
    <n v="11177999.999999998"/>
    <n v="0"/>
    <n v="0"/>
    <n v="488"/>
    <n v="16370784"/>
    <n v="23527731.092436977"/>
    <n v="100"/>
    <n v="326"/>
    <n v="100"/>
    <n v="0"/>
    <n v="0"/>
    <n v="0"/>
    <n v="18530818"/>
    <n v="5588999.9999999991"/>
    <n v="0"/>
    <n v="0"/>
    <n v="326"/>
    <n v="16370784"/>
    <n v="11763865.546218488"/>
    <n v="100"/>
    <n v="226"/>
    <n v="100"/>
    <n v="0"/>
    <n v="0"/>
    <n v="0"/>
    <n v="12846518"/>
    <n v="5588999.9999999991"/>
    <n v="0"/>
    <n v="0"/>
    <n v="226"/>
    <n v="12846518"/>
    <n v="11763865.546218488"/>
    <n v="70"/>
    <n v="126"/>
    <n v="70"/>
    <n v="0"/>
    <n v="0"/>
    <m/>
    <n v="7042139.9999999991"/>
    <n v="3912299.9999999995"/>
    <n v="0"/>
    <n v="0"/>
    <n v="126"/>
    <n v="7042139.9999999991"/>
    <n v="8234705.8823529417"/>
    <n v="150"/>
    <n v="56"/>
    <n v="56"/>
    <n v="500"/>
    <n v="300"/>
    <n v="300"/>
    <n v="0"/>
    <n v="3129839.9999999995"/>
    <n v="3129839.9999999995"/>
    <n v="27944999.999999996"/>
    <n v="16766999.999999998"/>
    <n v="356"/>
    <n v="19896839.999999996"/>
    <n v="5176000"/>
    <n v="100"/>
    <n v="300"/>
    <n v="100"/>
    <m/>
    <n v="0"/>
    <n v="16766999.999999998"/>
    <n v="5588999.9999999991"/>
    <n v="0"/>
    <n v="0"/>
    <n v="300"/>
    <n v="16766999.999999998"/>
    <n v="9705000.0000000019"/>
    <n v="150"/>
    <n v="200"/>
    <n v="150"/>
    <n v="0"/>
    <n v="0"/>
    <n v="11177999.999999998"/>
    <n v="8383499.9999999991"/>
    <n v="0"/>
    <n v="200"/>
    <n v="11177999.999999998"/>
    <n v="17645798.319327731"/>
    <n v="60"/>
    <n v="50"/>
    <n v="60"/>
    <n v="0"/>
    <n v="200"/>
    <n v="2794499.9999999995"/>
    <n v="3410580"/>
    <n v="11177999.999999998"/>
    <n v="250"/>
    <n v="13972499.999999998"/>
    <n v="7058319.3277310925"/>
  </r>
  <r>
    <m/>
    <x v="0"/>
    <x v="5"/>
    <x v="14"/>
    <s v="LVPROHEX"/>
    <x v="53"/>
    <x v="52"/>
    <x v="0"/>
    <x v="3"/>
    <n v="1"/>
    <x v="40"/>
    <n v="107"/>
    <n v="500"/>
    <n v="18050000"/>
    <n v="36795"/>
    <n v="3937065"/>
    <n v="38"/>
    <n v="41515"/>
    <n v="84025.210084033621"/>
    <n v="58815.126050420171"/>
    <s v="Shenzhen"/>
    <x v="2"/>
    <n v="30"/>
    <n v="25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7"/>
    <s v=""/>
    <n v="31"/>
    <s v=""/>
    <n v="0.38750000000000001"/>
    <n v="68"/>
    <s v=""/>
    <n v="0.97142857142857142"/>
    <n v="208"/>
    <s v=""/>
    <n v="1.7333333333333334"/>
    <n v="94"/>
    <s v=""/>
    <n v="0.62666666666666671"/>
    <n v="5"/>
    <n v="0"/>
    <n v="0"/>
    <n v="500"/>
    <n v="200"/>
    <n v="0"/>
    <n v="257565"/>
    <n v="0"/>
    <n v="0"/>
    <n v="0"/>
    <n v="107"/>
    <n v="3937065"/>
    <n v="0"/>
    <n v="5"/>
    <n v="0"/>
    <n v="0"/>
    <n v="0"/>
    <m/>
    <n v="0"/>
    <n v="1398210"/>
    <n v="0"/>
    <n v="0"/>
    <n v="0"/>
    <n v="107"/>
    <n v="3937065"/>
    <n v="0"/>
    <n v="70"/>
    <n v="200"/>
    <n v="7"/>
    <n v="0"/>
    <n v="0"/>
    <n v="4151310"/>
    <n v="7359000"/>
    <n v="257565"/>
    <n v="0"/>
    <n v="107"/>
    <n v="3937065"/>
    <n v="588176.4705882353"/>
    <n v="80"/>
    <n v="477"/>
    <n v="31"/>
    <n v="0"/>
    <n v="0"/>
    <n v="18760410"/>
    <n v="1140645"/>
    <x v="0"/>
    <x v="0"/>
    <n v="107"/>
    <n v="3937065"/>
    <n v="2604781.5126050422"/>
    <n v="70"/>
    <n v="175"/>
    <n v="70"/>
    <n v="500"/>
    <n v="250"/>
    <n v="0"/>
    <n v="6439125"/>
    <n v="2753100"/>
    <x v="6"/>
    <n v="0"/>
    <n v="107"/>
    <n v="3937065"/>
    <n v="5881764.7058823537"/>
    <n v="120"/>
    <n v="315"/>
    <n v="208"/>
    <m/>
    <n v="0"/>
    <n v="0"/>
    <n v="11590425"/>
    <n v="8180640"/>
    <n v="0"/>
    <n v="0"/>
    <n v="315"/>
    <n v="3937065"/>
    <n v="17477243.697478995"/>
    <n v="150"/>
    <n v="201"/>
    <n v="150"/>
    <n v="0"/>
    <n v="0"/>
    <n v="0"/>
    <n v="7395795"/>
    <n v="5899500"/>
    <n v="0"/>
    <n v="0"/>
    <n v="201"/>
    <n v="3937065"/>
    <n v="12603781.512605043"/>
    <n v="51"/>
    <n v="51"/>
    <n v="51"/>
    <n v="0"/>
    <n v="0"/>
    <n v="0"/>
    <n v="1876545"/>
    <n v="2005830"/>
    <n v="0"/>
    <n v="0"/>
    <n v="51"/>
    <n v="1876545"/>
    <n v="4285285.7142857146"/>
    <n v="70"/>
    <n v="0"/>
    <n v="70"/>
    <n v="0"/>
    <n v="250"/>
    <n v="510"/>
    <n v="0"/>
    <n v="2753100"/>
    <n v="0"/>
    <n v="20058300"/>
    <n v="510"/>
    <n v="20058300"/>
    <n v="5881764.7058823537"/>
    <n v="200"/>
    <n v="440"/>
    <n v="200"/>
    <n v="0"/>
    <n v="0"/>
    <n v="0"/>
    <m/>
    <n v="17305200"/>
    <n v="7866000"/>
    <n v="0"/>
    <n v="0"/>
    <n v="440"/>
    <n v="17305200"/>
    <n v="11763025.210084034"/>
    <n v="120"/>
    <n v="240"/>
    <n v="120"/>
    <m/>
    <n v="0"/>
    <n v="9439200"/>
    <n v="4719600"/>
    <n v="0"/>
    <n v="0"/>
    <n v="240"/>
    <n v="9439200"/>
    <n v="7410705.8823529417"/>
    <n v="150"/>
    <n v="120"/>
    <n v="150"/>
    <n v="500"/>
    <n v="250"/>
    <n v="4719600"/>
    <n v="5899500"/>
    <n v="9832500"/>
    <n v="370"/>
    <n v="14552100"/>
    <n v="12603781.512605043"/>
    <n v="72"/>
    <n v="220"/>
    <n v="72"/>
    <n v="0"/>
    <m/>
    <n v="8652600"/>
    <n v="2649240"/>
    <n v="0"/>
    <n v="220"/>
    <n v="8652600"/>
    <n v="6049815.126050421"/>
  </r>
  <r>
    <m/>
    <x v="0"/>
    <x v="5"/>
    <x v="14"/>
    <m/>
    <x v="23"/>
    <x v="53"/>
    <x v="1"/>
    <x v="5"/>
    <n v="1"/>
    <x v="20"/>
    <n v="0"/>
    <m/>
    <n v="0"/>
    <n v="18181.499999999996"/>
    <n v="0"/>
    <n v="17"/>
    <n v="18181.499999999996"/>
    <n v="45835.714285714275"/>
    <n v="38960.35714285713"/>
    <s v="Shenzhen"/>
    <x v="2"/>
    <n v="30"/>
    <n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9838221178879034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8"/>
    <x v="1"/>
    <m/>
    <m/>
    <m/>
    <m/>
    <m/>
    <m/>
    <m/>
    <m/>
    <m/>
    <m/>
    <m/>
    <x v="7"/>
    <m/>
    <m/>
    <m/>
    <m/>
    <m/>
    <m/>
    <n v="0"/>
    <m/>
    <m/>
    <m/>
    <m/>
    <m/>
    <n v="0"/>
    <m/>
    <m/>
    <m/>
    <m/>
    <m/>
    <n v="0"/>
    <m/>
    <m/>
    <m/>
    <m/>
    <m/>
    <m/>
    <m/>
    <m/>
    <m/>
    <n v="0"/>
    <m/>
    <m/>
    <m/>
    <m/>
    <m/>
    <m/>
    <n v="0"/>
    <n v="0"/>
    <m/>
    <m/>
    <n v="0"/>
    <m/>
    <m/>
    <m/>
    <m/>
    <n v="0"/>
    <m/>
    <m/>
    <m/>
    <m/>
    <m/>
    <m/>
    <m/>
    <n v="0"/>
    <n v="0"/>
    <m/>
    <m/>
    <n v="40"/>
    <n v="0"/>
    <n v="0"/>
    <n v="300"/>
    <n v="300"/>
    <n v="300"/>
    <n v="0"/>
    <n v="0"/>
    <n v="0"/>
    <n v="5278500"/>
    <n v="5278500"/>
    <n v="300"/>
    <n v="5278500"/>
    <n v="0"/>
    <n v="75"/>
    <n v="300"/>
    <n v="75"/>
    <m/>
    <n v="0"/>
    <n v="5278500"/>
    <n v="1319625"/>
    <n v="0"/>
    <n v="0"/>
    <n v="300"/>
    <n v="5278500"/>
    <n v="3068128.1249999995"/>
    <n v="180"/>
    <n v="225"/>
    <n v="180"/>
    <n v="0"/>
    <n v="0"/>
    <n v="3958875"/>
    <n v="3167100"/>
    <n v="0"/>
    <n v="225"/>
    <n v="3958875"/>
    <n v="8250428.57142857"/>
    <n v="45"/>
    <n v="45"/>
    <n v="45"/>
    <n v="0"/>
    <m/>
    <n v="791775"/>
    <n v="818167.49999999988"/>
    <n v="0"/>
    <n v="45"/>
    <n v="791775"/>
    <n v="2062607.1428571425"/>
  </r>
  <r>
    <s v="Levo-Telones y Proyectores"/>
    <x v="0"/>
    <x v="5"/>
    <x v="15"/>
    <n v="1659991971809"/>
    <x v="54"/>
    <x v="54"/>
    <x v="0"/>
    <x v="3"/>
    <n v="1"/>
    <x v="41"/>
    <n v="722"/>
    <m/>
    <n v="0"/>
    <n v="20217.27812703657"/>
    <n v="14596874.807720404"/>
    <n v="19"/>
    <n v="20757.5"/>
    <n v="54613.445378151264"/>
    <n v="50411.764705882357"/>
    <s v="Shenzhen"/>
    <x v="2"/>
    <n v="30"/>
    <n v="100"/>
    <n v="142"/>
    <n v="0.62670506653719982"/>
    <n v="130"/>
    <n v="0.632357005365073"/>
    <n v="175"/>
    <n v="0.62259612706611123"/>
    <n v="189"/>
    <n v="0.6545333027726179"/>
    <n v="13"/>
    <n v="0.63894544221087579"/>
    <n v="127"/>
    <n v="0.61650109730574643"/>
    <n v="174"/>
    <n v="0.63647310664033385"/>
    <n v="183"/>
    <n v="0.64906425412515889"/>
    <n v="178"/>
    <n v="0.656168767531357"/>
    <n v="214"/>
    <n v="0.59971861618214362"/>
    <n v="28"/>
    <n v="0.64496344141239548"/>
    <n v="122"/>
    <n v="0.55731029637962115"/>
    <n v="135"/>
    <n v="0.63141548311206341"/>
    <n v="122"/>
    <n v="0.623847897795758"/>
    <n v="121"/>
    <n v="0.63370044069331588"/>
    <n v="113"/>
    <n v="0.65444186261773585"/>
    <n v="1.1299999999999999"/>
    <n v="77"/>
    <n v="0.64322950372822374"/>
    <n v="0.64166666666666672"/>
    <n v="159"/>
    <n v="0.61558332640514402"/>
    <n v="0.8833333333333333"/>
    <n v="46"/>
    <n v="0.63615424882735416"/>
    <n v="0.46"/>
    <n v="160"/>
    <n v="197"/>
    <n v="120"/>
    <n v="300"/>
    <n v="300"/>
    <n v="0"/>
    <n v="8572125.9258635063"/>
    <n v="3874005"/>
    <n v="2426073.3752443884"/>
    <n v="0"/>
    <n v="722"/>
    <n v="14596874.807720404"/>
    <n v="5507238.1893934049"/>
    <n v="180"/>
    <n v="624"/>
    <n v="183"/>
    <n v="275"/>
    <n v="275"/>
    <n v="0"/>
    <n v="8430604.9789742492"/>
    <n v="12270960"/>
    <n v="3699761.8972476926"/>
    <n v="0"/>
    <n v="722"/>
    <n v="14596874.807720404"/>
    <n v="8398538.2388249431"/>
    <n v="200"/>
    <n v="519"/>
    <n v="121"/>
    <n v="0"/>
    <n v="0"/>
    <n v="7090643.0817265566"/>
    <n v="10492767.347931979"/>
    <n v="2446290.6533714249"/>
    <n v="0"/>
    <n v="722"/>
    <n v="14596874.807720404"/>
    <n v="6608226.8907563025"/>
    <n v="100"/>
    <n v="589"/>
    <n v="113"/>
    <n v="200"/>
    <n v="0"/>
    <n v="11582685"/>
    <n v="2284552.4283551322"/>
    <x v="21"/>
    <x v="0"/>
    <n v="722"/>
    <n v="14596874.807720404"/>
    <n v="6171319.3277310925"/>
    <n v="120"/>
    <n v="799"/>
    <n v="120"/>
    <n v="200"/>
    <n v="200"/>
    <n v="0"/>
    <n v="16153605.223502221"/>
    <n v="2359800"/>
    <x v="8"/>
    <n v="0"/>
    <n v="722"/>
    <n v="14596874.807720404"/>
    <n v="6553613.4453781517"/>
    <n v="180"/>
    <n v="881"/>
    <n v="159"/>
    <m/>
    <n v="200"/>
    <n v="0"/>
    <n v="17811422.029919218"/>
    <n v="3126735"/>
    <n v="0"/>
    <n v="0"/>
    <n v="881"/>
    <n v="14596874.807720404"/>
    <n v="8683537.8151260503"/>
    <n v="100"/>
    <n v="768"/>
    <n v="100"/>
    <n v="300"/>
    <n v="300"/>
    <n v="0"/>
    <n v="15526869.601564087"/>
    <n v="1966500"/>
    <n v="5702850"/>
    <n v="0"/>
    <n v="768"/>
    <n v="14596874.807720404"/>
    <n v="5461344.5378151266"/>
    <n v="100"/>
    <n v="668"/>
    <n v="100"/>
    <n v="80"/>
    <n v="80"/>
    <n v="80"/>
    <n v="13505141.788860429"/>
    <n v="1966500"/>
    <n v="1573200"/>
    <n v="1573200"/>
    <n v="748"/>
    <n v="15078341.788860429"/>
    <n v="5461344.5378151266"/>
    <n v="80"/>
    <n v="648"/>
    <n v="80"/>
    <n v="0"/>
    <n v="0"/>
    <m/>
    <n v="12742920"/>
    <n v="1573200"/>
    <n v="0"/>
    <n v="0"/>
    <n v="648"/>
    <n v="12742920"/>
    <n v="4369075.6302521015"/>
    <n v="200"/>
    <n v="568"/>
    <n v="200"/>
    <n v="0"/>
    <n v="0"/>
    <n v="0"/>
    <m/>
    <n v="11169720"/>
    <n v="3933000"/>
    <n v="0"/>
    <n v="0"/>
    <n v="568"/>
    <n v="11169720"/>
    <n v="10082352.941176472"/>
    <n v="120"/>
    <n v="368"/>
    <n v="120"/>
    <m/>
    <n v="0"/>
    <n v="7236720"/>
    <n v="2359800"/>
    <n v="0"/>
    <n v="0"/>
    <n v="368"/>
    <n v="7236720"/>
    <n v="6351882.3529411769"/>
    <n v="150"/>
    <n v="248"/>
    <n v="150"/>
    <n v="0"/>
    <n v="0"/>
    <n v="4876920"/>
    <n v="2949750"/>
    <n v="0"/>
    <n v="248"/>
    <n v="4876920"/>
    <n v="8192016.8067226894"/>
    <n v="72"/>
    <n v="98"/>
    <n v="72"/>
    <n v="0"/>
    <m/>
    <n v="1927170"/>
    <n v="1455644.0251466332"/>
    <n v="0"/>
    <n v="98"/>
    <n v="1927170"/>
    <n v="3932168.0672268909"/>
  </r>
  <r>
    <s v="Levo-Telones y Proyectores"/>
    <x v="0"/>
    <x v="5"/>
    <x v="15"/>
    <s v="LVTEL-80"/>
    <x v="55"/>
    <x v="55"/>
    <x v="0"/>
    <x v="4"/>
    <n v="1"/>
    <x v="42"/>
    <n v="462"/>
    <m/>
    <n v="0"/>
    <n v="17844"/>
    <n v="8243928"/>
    <n v="17"/>
    <n v="18572.5"/>
    <n v="46210.08403361345"/>
    <n v="42008.403361344543"/>
    <s v="Shenzhen"/>
    <x v="2"/>
    <n v="30"/>
    <n v="100"/>
    <n v="28"/>
    <n v="0.6508188478188478"/>
    <n v="25"/>
    <n v="0.59107559075181704"/>
    <n v="66"/>
    <n v="0.62328616902927081"/>
    <n v="91"/>
    <n v="0.54379131494712241"/>
    <n v="90"/>
    <n v="0.62582100819780129"/>
    <n v="91"/>
    <n v="0.6056306623273755"/>
    <n v="62"/>
    <n v="0.6234281552614741"/>
    <n v="40"/>
    <n v="0.63550585238258073"/>
    <n v="77"/>
    <n v="0.64571694876026031"/>
    <n v="282"/>
    <n v="0.56643460333796736"/>
    <n v="89"/>
    <n v="0.63960615058782377"/>
    <n v="8"/>
    <n v="0.64019337435812751"/>
    <n v="3"/>
    <s v=""/>
    <n v="24"/>
    <s v=""/>
    <n v="58"/>
    <s v=""/>
    <n v="41"/>
    <s v=""/>
    <n v="1.0249999999999999"/>
    <n v="39"/>
    <s v=""/>
    <n v="0.65"/>
    <n v="47"/>
    <s v=""/>
    <n v="0.47"/>
    <n v="12"/>
    <s v=""/>
    <n v="0.24"/>
    <n v="80"/>
    <n v="3"/>
    <n v="3"/>
    <n v="150"/>
    <n v="150"/>
    <n v="0"/>
    <n v="1730868"/>
    <n v="52785"/>
    <n v="53532"/>
    <n v="0"/>
    <n v="462"/>
    <n v="8243928"/>
    <n v="116496.0101687734"/>
    <n v="100"/>
    <n v="376"/>
    <n v="36"/>
    <n v="225"/>
    <n v="225"/>
    <n v="0"/>
    <n v="2408940"/>
    <n v="6615720"/>
    <n v="642384"/>
    <n v="0"/>
    <n v="462"/>
    <n v="8243928"/>
    <n v="1397952.1220252807"/>
    <n v="75"/>
    <n v="350"/>
    <n v="58"/>
    <n v="0"/>
    <n v="0"/>
    <n v="2822256"/>
    <n v="6245400"/>
    <n v="1034952"/>
    <n v="0"/>
    <n v="462"/>
    <n v="8243928"/>
    <n v="2680184.8739495799"/>
    <n v="40"/>
    <n v="488"/>
    <n v="41"/>
    <n v="200"/>
    <n v="0"/>
    <n v="8586360"/>
    <n v="731604"/>
    <x v="22"/>
    <x v="0"/>
    <n v="462"/>
    <n v="8243928"/>
    <n v="1894613.4453781515"/>
    <n v="60"/>
    <n v="501"/>
    <n v="60"/>
    <n v="100"/>
    <n v="100"/>
    <n v="0"/>
    <n v="8939844"/>
    <n v="1055700"/>
    <x v="9"/>
    <n v="0"/>
    <n v="462"/>
    <n v="8243928"/>
    <n v="2772605.042016807"/>
    <n v="100"/>
    <n v="509"/>
    <n v="47"/>
    <m/>
    <n v="100"/>
    <n v="0"/>
    <n v="9082596"/>
    <n v="826965"/>
    <n v="0"/>
    <n v="0"/>
    <n v="509"/>
    <n v="8243928"/>
    <n v="2171873.9495798321"/>
    <n v="50"/>
    <n v="474"/>
    <n v="50"/>
    <n v="0"/>
    <n v="0"/>
    <n v="0"/>
    <n v="8458056"/>
    <n v="879750"/>
    <n v="0"/>
    <n v="0"/>
    <n v="474"/>
    <n v="8243928"/>
    <n v="2310504.2016806724"/>
    <n v="50"/>
    <n v="424"/>
    <n v="50"/>
    <n v="0"/>
    <n v="0"/>
    <n v="0"/>
    <n v="7565856"/>
    <n v="879750"/>
    <n v="0"/>
    <n v="0"/>
    <n v="424"/>
    <n v="7565856"/>
    <n v="2310504.2016806724"/>
    <n v="30"/>
    <n v="374"/>
    <n v="30"/>
    <n v="0"/>
    <n v="0"/>
    <m/>
    <n v="6580530"/>
    <n v="527850"/>
    <n v="0"/>
    <n v="0"/>
    <n v="374"/>
    <n v="6580530"/>
    <n v="1386302.5210084035"/>
    <n v="100"/>
    <n v="344"/>
    <n v="100"/>
    <n v="0"/>
    <n v="0"/>
    <n v="0"/>
    <m/>
    <n v="6052680"/>
    <n v="1759500"/>
    <n v="0"/>
    <n v="0"/>
    <n v="344"/>
    <n v="6052680"/>
    <n v="4200840.3361344542"/>
    <n v="70"/>
    <n v="244"/>
    <n v="70"/>
    <m/>
    <n v="0"/>
    <n v="4293180"/>
    <n v="1231650"/>
    <n v="0"/>
    <n v="0"/>
    <n v="244"/>
    <n v="4293180"/>
    <n v="3087617.6470588241"/>
    <n v="80"/>
    <n v="174"/>
    <n v="80"/>
    <n v="0"/>
    <n v="0"/>
    <n v="3061530"/>
    <n v="1407600"/>
    <n v="0"/>
    <n v="174"/>
    <n v="3061530"/>
    <n v="3696806.7226890759"/>
    <n v="42"/>
    <n v="94"/>
    <n v="42"/>
    <n v="0"/>
    <m/>
    <n v="1653930"/>
    <n v="749448"/>
    <n v="0"/>
    <n v="94"/>
    <n v="1653930"/>
    <n v="1940823.5294117648"/>
  </r>
  <r>
    <s v="Levo-Telones y Proyectores"/>
    <x v="0"/>
    <x v="5"/>
    <x v="15"/>
    <n v="1659991999728"/>
    <x v="56"/>
    <x v="56"/>
    <x v="0"/>
    <x v="4"/>
    <n v="1"/>
    <x v="43"/>
    <n v="161"/>
    <m/>
    <n v="0"/>
    <n v="9617.2176897411955"/>
    <n v="1548372.0480483326"/>
    <n v="9.5"/>
    <n v="10378.75"/>
    <n v="33605.042016806721"/>
    <n v="25201.680672268907"/>
    <s v="Shenzhen"/>
    <x v="2"/>
    <n v="30"/>
    <n v="100"/>
    <n v="27"/>
    <n v="0.68067381834599761"/>
    <n v="16"/>
    <n v="0.59651128196519454"/>
    <n v="68"/>
    <n v="0.69323627220578565"/>
    <n v="66"/>
    <n v="0.58982155076357035"/>
    <n v="53"/>
    <n v="0.67797600912068845"/>
    <n v="65"/>
    <n v="0.6444661529533442"/>
    <n v="69"/>
    <n v="0.64395523778882779"/>
    <n v="71"/>
    <n v="0.64657736497946317"/>
    <n v="108"/>
    <n v="0.6981561732420174"/>
    <n v="155"/>
    <n v="0.69054980495745988"/>
    <n v="65"/>
    <n v="0.70782881092161198"/>
    <n v="20"/>
    <n v="0.74086195145613187"/>
    <n v="0"/>
    <n v="0.66274623357760931"/>
    <n v="29"/>
    <n v="0.6381063960149489"/>
    <n v="73"/>
    <n v="0.69489547849497435"/>
    <n v="53"/>
    <n v="0.58982151659545168"/>
    <n v="1.06"/>
    <n v="46"/>
    <n v="0.67651677682415057"/>
    <n v="0.76666666666666672"/>
    <n v="88"/>
    <n v="0.64889754355770124"/>
    <n v="0.88"/>
    <n v="37"/>
    <n v="0.64416448754714217"/>
    <n v="0.52857142857142858"/>
    <n v="60"/>
    <n v="2"/>
    <n v="2"/>
    <n v="100"/>
    <n v="100"/>
    <n v="0"/>
    <n v="1139640.2962343316"/>
    <n v="19665"/>
    <n v="19234.435379482391"/>
    <n v="0"/>
    <n v="161"/>
    <n v="1548372.0480483326"/>
    <n v="56479.062213120545"/>
    <n v="60"/>
    <n v="301"/>
    <n v="43.5"/>
    <n v="200"/>
    <n v="200"/>
    <n v="0"/>
    <n v="1630118.3984111326"/>
    <n v="2959582.5"/>
    <n v="418348.969503742"/>
    <n v="0"/>
    <n v="161"/>
    <n v="1548372.0480483326"/>
    <n v="1228419.6031353718"/>
    <n v="50"/>
    <n v="280"/>
    <n v="73"/>
    <n v="0"/>
    <n v="0"/>
    <n v="1801719.4289073907"/>
    <n v="2692820.9531275346"/>
    <n v="702056.89135110728"/>
    <n v="0"/>
    <n v="161"/>
    <n v="1548372.0480483326"/>
    <n v="2453168.0672268905"/>
    <n v="50"/>
    <n v="334"/>
    <n v="53"/>
    <n v="150"/>
    <n v="0"/>
    <n v="3284055"/>
    <n v="509712.53755628335"/>
    <x v="23"/>
    <x v="0"/>
    <n v="161"/>
    <n v="1548372.0480483326"/>
    <n v="1781067.2268907563"/>
    <n v="60"/>
    <n v="207"/>
    <n v="60"/>
    <n v="50"/>
    <n v="50"/>
    <n v="0"/>
    <n v="1990764.0617764276"/>
    <n v="589950"/>
    <x v="10"/>
    <n v="0"/>
    <n v="161"/>
    <n v="1548372.0480483326"/>
    <n v="2016302.5210084033"/>
    <n v="100"/>
    <n v="249"/>
    <n v="88"/>
    <m/>
    <n v="50"/>
    <n v="0"/>
    <n v="2394687.2047455576"/>
    <n v="865260"/>
    <n v="0"/>
    <n v="0"/>
    <n v="249"/>
    <n v="1548372.0480483326"/>
    <n v="2957243.6974789915"/>
    <n v="70"/>
    <n v="198"/>
    <n v="70"/>
    <n v="0"/>
    <n v="0"/>
    <n v="0"/>
    <n v="1904209.1025687568"/>
    <n v="688275"/>
    <n v="0"/>
    <n v="0"/>
    <n v="198"/>
    <n v="1548372.0480483326"/>
    <n v="2352352.9411764704"/>
    <n v="70"/>
    <n v="128"/>
    <n v="70"/>
    <n v="0"/>
    <n v="0"/>
    <n v="0"/>
    <n v="1231003.864286873"/>
    <n v="688275"/>
    <n v="0"/>
    <n v="0"/>
    <n v="128"/>
    <n v="1231003.864286873"/>
    <n v="2352352.9411764704"/>
    <n v="40"/>
    <n v="58"/>
    <n v="40"/>
    <n v="0"/>
    <n v="0"/>
    <m/>
    <n v="570285"/>
    <n v="393300"/>
    <n v="0"/>
    <n v="0"/>
    <n v="58"/>
    <n v="570285"/>
    <n v="1344201.6806722688"/>
    <n v="70"/>
    <n v="18"/>
    <n v="18"/>
    <n v="0"/>
    <n v="0"/>
    <n v="0"/>
    <m/>
    <n v="176985"/>
    <n v="176985"/>
    <n v="0"/>
    <n v="0"/>
    <n v="18"/>
    <n v="176985"/>
    <n v="453630.25210084033"/>
    <n v="50"/>
    <n v="0"/>
    <n v="50"/>
    <m/>
    <n v="0"/>
    <n v="0"/>
    <n v="491625"/>
    <n v="0"/>
    <n v="0"/>
    <n v="0"/>
    <n v="0"/>
    <n v="1323088.2352941176"/>
    <n v="70"/>
    <n v="0"/>
    <n v="70"/>
    <n v="0"/>
    <n v="0"/>
    <n v="0"/>
    <n v="688275"/>
    <n v="0"/>
    <n v="0"/>
    <n v="0"/>
    <n v="2352352.9411764704"/>
    <n v="30"/>
    <n v="0"/>
    <n v="30"/>
    <n v="0"/>
    <m/>
    <n v="0"/>
    <n v="288516.53069223586"/>
    <n v="0"/>
    <n v="0"/>
    <n v="0"/>
    <n v="1008151.2605042016"/>
  </r>
  <r>
    <m/>
    <x v="0"/>
    <x v="5"/>
    <x v="15"/>
    <s v="LVTELBK-100"/>
    <x v="57"/>
    <x v="57"/>
    <x v="0"/>
    <x v="3"/>
    <n v="1"/>
    <x v="44"/>
    <n v="210"/>
    <m/>
    <n v="0"/>
    <n v="20134.2"/>
    <n v="4228182"/>
    <n v="19"/>
    <n v="20757.5"/>
    <n v="58815.126050420171"/>
    <n v="50411.764705882357"/>
    <s v="Shenzhen"/>
    <x v="2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s v=""/>
    <n v="10"/>
    <s v=""/>
    <n v="1"/>
    <n v="14"/>
    <s v=""/>
    <n v="0.35"/>
    <n v="54"/>
    <s v=""/>
    <n v="1.08"/>
    <n v="17"/>
    <s v=""/>
    <n v="0.28333333333333333"/>
    <n v="0"/>
    <n v="0"/>
    <n v="0"/>
    <n v="0"/>
    <n v="0"/>
    <n v="0"/>
    <n v="20134.2"/>
    <n v="0"/>
    <n v="0"/>
    <n v="0"/>
    <n v="210"/>
    <n v="4228182"/>
    <n v="0"/>
    <n v="0"/>
    <n v="0"/>
    <n v="0"/>
    <n v="0"/>
    <n v="0"/>
    <n v="0"/>
    <n v="221476.2"/>
    <n v="0"/>
    <n v="0"/>
    <n v="0"/>
    <n v="210"/>
    <n v="4228182"/>
    <n v="0"/>
    <n v="0"/>
    <n v="0"/>
    <n v="1"/>
    <n v="0"/>
    <n v="0"/>
    <n v="1008076.2"/>
    <n v="0"/>
    <n v="20134.2"/>
    <n v="0"/>
    <n v="210"/>
    <n v="4228182"/>
    <n v="58815.126050420171"/>
    <n v="10"/>
    <n v="78"/>
    <n v="10"/>
    <n v="80"/>
    <n v="0"/>
    <n v="1533870"/>
    <n v="201342"/>
    <x v="24"/>
    <x v="0"/>
    <n v="210"/>
    <n v="4228182"/>
    <n v="588151.26050420175"/>
    <n v="40"/>
    <n v="224"/>
    <n v="40"/>
    <n v="80"/>
    <n v="80"/>
    <n v="0"/>
    <n v="4510060.8"/>
    <n v="786600"/>
    <x v="11"/>
    <n v="0"/>
    <n v="210"/>
    <n v="4228182"/>
    <n v="2352605.042016807"/>
    <n v="50"/>
    <n v="264"/>
    <n v="54"/>
    <m/>
    <n v="0"/>
    <n v="0"/>
    <n v="5315428.8"/>
    <n v="1061910"/>
    <n v="0"/>
    <n v="0"/>
    <n v="264"/>
    <n v="4228182"/>
    <n v="3176016.8067226894"/>
    <n v="60"/>
    <n v="227"/>
    <n v="60"/>
    <n v="150"/>
    <n v="150"/>
    <n v="0"/>
    <n v="4570463.4000000004"/>
    <n v="1179900"/>
    <n v="2851425"/>
    <n v="0"/>
    <n v="227"/>
    <n v="4228182"/>
    <n v="3528907.5630252101"/>
    <n v="80"/>
    <n v="167"/>
    <n v="80"/>
    <n v="20"/>
    <n v="20"/>
    <n v="20"/>
    <n v="3362411.4"/>
    <n v="1573200"/>
    <n v="393300"/>
    <n v="393300"/>
    <n v="187"/>
    <n v="3755711.4"/>
    <n v="4705210.084033614"/>
    <n v="60"/>
    <n v="107"/>
    <n v="60"/>
    <n v="0"/>
    <n v="0"/>
    <m/>
    <n v="2104155"/>
    <n v="1179900"/>
    <n v="0"/>
    <n v="0"/>
    <n v="107"/>
    <n v="2104155"/>
    <n v="3528907.5630252101"/>
    <n v="80"/>
    <n v="47"/>
    <n v="47"/>
    <n v="70"/>
    <n v="70"/>
    <n v="70"/>
    <n v="0"/>
    <n v="924255"/>
    <n v="924255"/>
    <n v="1376550"/>
    <n v="1376550"/>
    <n v="117"/>
    <n v="2300805"/>
    <n v="2369352.9411764708"/>
    <n v="60"/>
    <n v="70"/>
    <n v="60"/>
    <m/>
    <n v="0"/>
    <n v="1376550"/>
    <n v="1179900"/>
    <n v="0"/>
    <n v="0"/>
    <n v="70"/>
    <n v="1376550"/>
    <n v="3175941.1764705884"/>
    <n v="80"/>
    <n v="10"/>
    <n v="80"/>
    <n v="0"/>
    <n v="0"/>
    <n v="196650"/>
    <n v="1573200"/>
    <n v="0"/>
    <n v="10"/>
    <n v="196650"/>
    <n v="4705210.084033614"/>
    <n v="36"/>
    <n v="0"/>
    <n v="36"/>
    <n v="0"/>
    <m/>
    <n v="0"/>
    <n v="724831.20000000007"/>
    <n v="0"/>
    <n v="0"/>
    <n v="0"/>
    <n v="2117344.5378151261"/>
  </r>
  <r>
    <m/>
    <x v="0"/>
    <x v="5"/>
    <x v="15"/>
    <s v="LVTELBK-80"/>
    <x v="58"/>
    <x v="58"/>
    <x v="0"/>
    <x v="4"/>
    <n v="1"/>
    <x v="45"/>
    <n v="165"/>
    <m/>
    <n v="0"/>
    <n v="17733.7"/>
    <n v="2926060.5"/>
    <n v="17"/>
    <n v="18572.5"/>
    <n v="50411.764705882357"/>
    <n v="42008.403361344543"/>
    <s v="Shenzhen"/>
    <x v="2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6"/>
    <s v=""/>
    <n v="0.6"/>
    <n v="6"/>
    <s v=""/>
    <n v="0.2"/>
    <n v="26"/>
    <s v=""/>
    <n v="0.74285714285714288"/>
    <n v="4"/>
    <s v=""/>
    <n v="0.4"/>
    <n v="0"/>
    <n v="0"/>
    <n v="0"/>
    <n v="0"/>
    <n v="0"/>
    <n v="0"/>
    <n v="0"/>
    <n v="0"/>
    <n v="0"/>
    <n v="0"/>
    <n v="165"/>
    <n v="2926060.5"/>
    <n v="0"/>
    <n v="0"/>
    <n v="0"/>
    <n v="0"/>
    <n v="0"/>
    <n v="0"/>
    <n v="0"/>
    <n v="106402.20000000001"/>
    <n v="0"/>
    <n v="0"/>
    <n v="0"/>
    <n v="165"/>
    <n v="2926060.5"/>
    <n v="0"/>
    <n v="0"/>
    <n v="0"/>
    <n v="0"/>
    <n v="0"/>
    <n v="0"/>
    <n v="634252.19999999995"/>
    <n v="0"/>
    <n v="0"/>
    <n v="0"/>
    <n v="165"/>
    <n v="2926060.5"/>
    <n v="0"/>
    <n v="10"/>
    <n v="60"/>
    <n v="6"/>
    <n v="60"/>
    <n v="0"/>
    <n v="1055700"/>
    <n v="106402.20000000001"/>
    <x v="25"/>
    <x v="0"/>
    <n v="165"/>
    <n v="2926060.5"/>
    <n v="302470.58823529416"/>
    <n v="30"/>
    <n v="171"/>
    <n v="30"/>
    <n v="60"/>
    <n v="60"/>
    <n v="0"/>
    <n v="3032462.7"/>
    <n v="527850"/>
    <x v="12"/>
    <n v="0"/>
    <n v="165"/>
    <n v="2926060.5"/>
    <n v="1512352.9411764706"/>
    <n v="35"/>
    <n v="191"/>
    <n v="26"/>
    <m/>
    <n v="0"/>
    <n v="0"/>
    <n v="3387136.7"/>
    <n v="457470"/>
    <n v="0"/>
    <n v="0"/>
    <n v="191"/>
    <n v="2926060.5"/>
    <n v="1310705.8823529412"/>
    <n v="10"/>
    <n v="169"/>
    <n v="10"/>
    <n v="90"/>
    <n v="90"/>
    <n v="0"/>
    <n v="2996995.3000000003"/>
    <n v="175950"/>
    <n v="1530765"/>
    <n v="0"/>
    <n v="169"/>
    <n v="2926060.5"/>
    <n v="504117.64705882355"/>
    <n v="15"/>
    <n v="159"/>
    <n v="15"/>
    <n v="0"/>
    <n v="0"/>
    <n v="0"/>
    <n v="2819658.3000000003"/>
    <n v="263925"/>
    <n v="0"/>
    <n v="0"/>
    <n v="159"/>
    <n v="2819658.3000000003"/>
    <n v="756176.4705882353"/>
    <n v="15"/>
    <n v="144"/>
    <n v="15"/>
    <n v="0"/>
    <n v="0"/>
    <m/>
    <n v="2533680"/>
    <n v="263925"/>
    <n v="0"/>
    <n v="0"/>
    <n v="144"/>
    <n v="2533680"/>
    <n v="756176.4705882353"/>
    <n v="60"/>
    <n v="129"/>
    <n v="60"/>
    <n v="0"/>
    <n v="0"/>
    <n v="0"/>
    <m/>
    <n v="2269755"/>
    <n v="1055700"/>
    <n v="0"/>
    <n v="0"/>
    <n v="129"/>
    <n v="2269755"/>
    <n v="2520504.2016806724"/>
    <n v="35"/>
    <n v="69"/>
    <n v="35"/>
    <m/>
    <n v="0"/>
    <n v="1214055"/>
    <n v="615825"/>
    <n v="0"/>
    <n v="0"/>
    <n v="69"/>
    <n v="1214055"/>
    <n v="1543808.823529412"/>
    <n v="40"/>
    <n v="34"/>
    <n v="40"/>
    <n v="0"/>
    <n v="0"/>
    <n v="598230"/>
    <n v="703800"/>
    <n v="0"/>
    <n v="34"/>
    <n v="598230"/>
    <n v="2016470.5882352942"/>
    <n v="21"/>
    <n v="0"/>
    <n v="21"/>
    <n v="0"/>
    <m/>
    <n v="0"/>
    <n v="372407.7"/>
    <n v="0"/>
    <n v="0"/>
    <n v="0"/>
    <n v="1058647.0588235294"/>
  </r>
  <r>
    <m/>
    <x v="0"/>
    <x v="5"/>
    <x v="15"/>
    <s v="LVTELBK-60"/>
    <x v="59"/>
    <x v="59"/>
    <x v="0"/>
    <x v="4"/>
    <n v="1"/>
    <x v="46"/>
    <n v="23"/>
    <m/>
    <n v="0"/>
    <n v="9493.2000000000007"/>
    <n v="218343.6"/>
    <n v="9.5"/>
    <n v="10378.75"/>
    <n v="33605.042016806721"/>
    <n v="25201.680672268907"/>
    <s v="Shenzhen"/>
    <x v="2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s v=""/>
    <n v="12"/>
    <s v=""/>
    <n v="1.2"/>
    <n v="14"/>
    <s v=""/>
    <n v="0.7"/>
    <n v="55"/>
    <s v=""/>
    <n v="2.2000000000000002"/>
    <n v="32"/>
    <s v=""/>
    <n v="0.64"/>
    <n v="0"/>
    <n v="0"/>
    <n v="0"/>
    <n v="0"/>
    <n v="0"/>
    <n v="0"/>
    <n v="9493.2000000000007"/>
    <n v="0"/>
    <n v="0"/>
    <n v="0"/>
    <n v="23"/>
    <n v="218343.6"/>
    <n v="0"/>
    <n v="0"/>
    <n v="0"/>
    <n v="0"/>
    <n v="0"/>
    <n v="0"/>
    <n v="0"/>
    <n v="123411.6"/>
    <n v="0"/>
    <n v="0"/>
    <n v="0"/>
    <n v="23"/>
    <n v="218343.6"/>
    <n v="0"/>
    <n v="0"/>
    <n v="0"/>
    <n v="1"/>
    <n v="0"/>
    <n v="0"/>
    <n v="320061.59999999998"/>
    <n v="0"/>
    <n v="9493.2000000000007"/>
    <n v="0"/>
    <n v="23"/>
    <n v="218343.6"/>
    <n v="33605.042016806721"/>
    <n v="10"/>
    <n v="37"/>
    <n v="12"/>
    <n v="40"/>
    <n v="0"/>
    <n v="363802.5"/>
    <n v="113918.40000000001"/>
    <x v="26"/>
    <x v="0"/>
    <n v="23"/>
    <n v="218343.6"/>
    <n v="403260.50420168065"/>
    <n v="20"/>
    <n v="37"/>
    <n v="20"/>
    <n v="40"/>
    <n v="40"/>
    <n v="0"/>
    <n v="351248.4"/>
    <n v="196650"/>
    <x v="13"/>
    <n v="0"/>
    <n v="23"/>
    <n v="218343.6"/>
    <n v="672100.84033613442"/>
    <n v="25"/>
    <n v="78"/>
    <n v="55"/>
    <m/>
    <n v="0"/>
    <n v="0"/>
    <n v="740469.60000000009"/>
    <n v="540787.5"/>
    <n v="0"/>
    <n v="0"/>
    <n v="78"/>
    <n v="218343.6"/>
    <n v="1848277.3109243696"/>
    <n v="50"/>
    <n v="55"/>
    <n v="50"/>
    <n v="60"/>
    <n v="60"/>
    <n v="0"/>
    <n v="522126.00000000006"/>
    <n v="491625"/>
    <n v="570285"/>
    <n v="0"/>
    <n v="55"/>
    <n v="218343.6"/>
    <n v="1680252.1008403362"/>
    <n v="5"/>
    <n v="5"/>
    <n v="5"/>
    <n v="0"/>
    <n v="0"/>
    <n v="0"/>
    <n v="47466"/>
    <n v="49162.5"/>
    <n v="0"/>
    <n v="0"/>
    <n v="5"/>
    <n v="47466"/>
    <n v="168025.21008403361"/>
    <n v="0"/>
    <n v="0"/>
    <n v="0"/>
    <n v="0"/>
    <n v="0"/>
    <m/>
    <n v="0"/>
    <n v="0"/>
    <n v="0"/>
    <n v="0"/>
    <n v="0"/>
    <n v="0"/>
    <n v="0"/>
    <n v="30"/>
    <n v="0"/>
    <n v="0"/>
    <n v="45"/>
    <n v="45"/>
    <n v="45"/>
    <n v="0"/>
    <n v="0"/>
    <n v="0"/>
    <n v="442462.5"/>
    <n v="442462.5"/>
    <n v="45"/>
    <n v="442462.5"/>
    <n v="0"/>
    <n v="20"/>
    <n v="45"/>
    <n v="20"/>
    <m/>
    <n v="0"/>
    <n v="442462.5"/>
    <n v="196650"/>
    <n v="0"/>
    <n v="0"/>
    <n v="45"/>
    <n v="442462.5"/>
    <n v="529235.29411764711"/>
    <n v="30"/>
    <n v="25"/>
    <n v="30"/>
    <n v="0"/>
    <n v="0"/>
    <n v="245812.5"/>
    <n v="294975"/>
    <n v="0"/>
    <n v="25"/>
    <n v="245812.5"/>
    <n v="1008151.2605042016"/>
    <n v="12"/>
    <n v="0"/>
    <n v="12"/>
    <n v="0"/>
    <m/>
    <n v="0"/>
    <n v="113918.40000000001"/>
    <n v="0"/>
    <n v="0"/>
    <n v="0"/>
    <n v="403260.50420168065"/>
  </r>
  <r>
    <s v="Levo-Telones y Proyectores"/>
    <x v="0"/>
    <x v="5"/>
    <x v="15"/>
    <s v="LVTELELE-100"/>
    <x v="60"/>
    <x v="60"/>
    <x v="0"/>
    <x v="3"/>
    <n v="1"/>
    <x v="47"/>
    <n v="108"/>
    <m/>
    <n v="0"/>
    <n v="22754"/>
    <n v="2457432"/>
    <n v="22.5"/>
    <n v="24581.249999999996"/>
    <n v="63016.806722689078"/>
    <n v="58815.126050420171"/>
    <s v="Shenzhen"/>
    <x v="2"/>
    <n v="30"/>
    <n v="100"/>
    <n v="19"/>
    <n v="0.6182655435105997"/>
    <n v="89"/>
    <n v="0.55237934393275812"/>
    <n v="79"/>
    <n v="0.68443850720772759"/>
    <n v="80"/>
    <n v="0.63279558459688046"/>
    <n v="63"/>
    <n v="0.65311619403594168"/>
    <n v="143"/>
    <n v="0.61550883003189616"/>
    <n v="62"/>
    <n v="0.64847601921194653"/>
    <n v="51"/>
    <n v="0.67424530303403141"/>
    <n v="34"/>
    <n v="0.68261112246863653"/>
    <n v="129"/>
    <n v="0.61698553668888423"/>
    <n v="176"/>
    <n v="0.59921260659293307"/>
    <n v="144"/>
    <n v="0.60917394046986839"/>
    <n v="48"/>
    <s v=""/>
    <n v="63"/>
    <s v=""/>
    <n v="81"/>
    <s v=""/>
    <n v="94"/>
    <s v=""/>
    <n v="1.175"/>
    <n v="82"/>
    <s v=""/>
    <n v="1.0249999999999999"/>
    <n v="190"/>
    <s v=""/>
    <n v="1.5833333333333333"/>
    <n v="60"/>
    <s v=""/>
    <n v="0.75"/>
    <n v="85"/>
    <n v="67"/>
    <n v="50"/>
    <n v="50"/>
    <n v="50"/>
    <n v="0"/>
    <n v="5131027"/>
    <n v="1560262.5"/>
    <n v="1137700"/>
    <n v="0"/>
    <n v="108"/>
    <n v="2457432"/>
    <n v="2647764.9883482805"/>
    <n v="70"/>
    <n v="196"/>
    <n v="94.5"/>
    <n v="125"/>
    <n v="125"/>
    <n v="0"/>
    <n v="6132203"/>
    <n v="4564350"/>
    <n v="2150253"/>
    <n v="0"/>
    <n v="108"/>
    <n v="2457432"/>
    <n v="5004275.8279782506"/>
    <n v="100"/>
    <n v="152"/>
    <n v="81"/>
    <n v="0"/>
    <n v="0"/>
    <n v="5844950"/>
    <n v="3458608"/>
    <n v="1843074"/>
    <n v="0"/>
    <n v="108"/>
    <n v="2457432"/>
    <n v="5104361.3445378151"/>
    <n v="80"/>
    <n v="357"/>
    <n v="94"/>
    <n v="300"/>
    <n v="0"/>
    <n v="8313637.5"/>
    <n v="2138876"/>
    <x v="27"/>
    <x v="0"/>
    <n v="108"/>
    <n v="2457432"/>
    <n v="5923579.8319327729"/>
    <n v="80"/>
    <n v="190"/>
    <n v="80"/>
    <n v="100"/>
    <n v="100"/>
    <n v="0"/>
    <n v="4323260"/>
    <n v="1863000"/>
    <x v="14"/>
    <n v="0"/>
    <n v="108"/>
    <n v="2457432"/>
    <n v="5041344.5378151266"/>
    <n v="120"/>
    <n v="298"/>
    <n v="190"/>
    <m/>
    <n v="100"/>
    <n v="0"/>
    <n v="6780692"/>
    <n v="4424625"/>
    <n v="0"/>
    <n v="0"/>
    <n v="298"/>
    <n v="2457432"/>
    <n v="11973193.277310925"/>
    <n v="80"/>
    <n v="168"/>
    <n v="80"/>
    <n v="60"/>
    <n v="60"/>
    <n v="0"/>
    <n v="3822672"/>
    <n v="1863000"/>
    <n v="1350675"/>
    <n v="0"/>
    <n v="168"/>
    <n v="2457432"/>
    <n v="5041344.5378151266"/>
    <n v="80"/>
    <n v="88"/>
    <n v="80"/>
    <n v="0"/>
    <n v="0"/>
    <n v="0"/>
    <n v="2002352"/>
    <n v="1863000"/>
    <n v="0"/>
    <n v="0"/>
    <n v="88"/>
    <n v="2002352"/>
    <n v="5041344.5378151266"/>
    <n v="60"/>
    <n v="8"/>
    <n v="60"/>
    <n v="0"/>
    <n v="0"/>
    <m/>
    <n v="186300"/>
    <n v="1397250"/>
    <n v="0"/>
    <n v="0"/>
    <n v="8"/>
    <n v="186300"/>
    <n v="3781008.4033613447"/>
    <n v="100"/>
    <n v="0"/>
    <n v="0"/>
    <n v="150"/>
    <n v="150"/>
    <n v="150"/>
    <n v="0"/>
    <n v="0"/>
    <n v="0"/>
    <n v="3493125"/>
    <n v="3493125"/>
    <n v="150"/>
    <n v="3493125"/>
    <n v="0"/>
    <n v="80"/>
    <n v="150"/>
    <n v="80"/>
    <n v="130"/>
    <n v="130"/>
    <n v="3493125"/>
    <n v="1863000"/>
    <n v="3027375"/>
    <n v="3027375"/>
    <n v="280"/>
    <n v="6520500"/>
    <n v="4940470.5882352954"/>
    <n v="100"/>
    <n v="200"/>
    <n v="100"/>
    <n v="0"/>
    <n v="0"/>
    <n v="4657500"/>
    <n v="2328750"/>
    <n v="0"/>
    <n v="200"/>
    <n v="4657500"/>
    <n v="6301680.6722689075"/>
    <n v="48"/>
    <n v="100"/>
    <n v="48"/>
    <n v="0"/>
    <m/>
    <n v="2328750"/>
    <n v="1092192"/>
    <n v="0"/>
    <n v="100"/>
    <n v="2328750"/>
    <n v="3024806.7226890759"/>
  </r>
  <r>
    <s v="Levo-Telones y Proyectores"/>
    <x v="0"/>
    <x v="5"/>
    <x v="15"/>
    <s v="LVTELELE-80"/>
    <x v="61"/>
    <x v="61"/>
    <x v="0"/>
    <x v="3"/>
    <n v="1"/>
    <x v="48"/>
    <n v="40"/>
    <m/>
    <n v="0"/>
    <n v="22341"/>
    <n v="893640"/>
    <n v="21"/>
    <n v="22942.5"/>
    <n v="54613.445378151264"/>
    <n v="50411.764705882357"/>
    <s v="Shenzhen"/>
    <x v="2"/>
    <n v="30"/>
    <n v="100"/>
    <n v="0"/>
    <s v=""/>
    <n v="0"/>
    <s v=""/>
    <n v="3"/>
    <n v="0.65430254288362288"/>
    <n v="10"/>
    <n v="0.59481550954506601"/>
    <n v="12"/>
    <n v="0.63281699147319814"/>
    <n v="49"/>
    <n v="0.57900988780011253"/>
    <n v="19"/>
    <n v="0.59742261333603586"/>
    <n v="32"/>
    <n v="0.59379906785858372"/>
    <n v="19"/>
    <n v="0.5902113960242239"/>
    <n v="35"/>
    <n v="0.58170257014326687"/>
    <n v="34"/>
    <n v="0.57802553194238548"/>
    <n v="46"/>
    <n v="0.59581946991640766"/>
    <n v="27"/>
    <s v=""/>
    <n v="23"/>
    <s v=""/>
    <n v="29"/>
    <s v=""/>
    <n v="24"/>
    <s v=""/>
    <n v="1.2"/>
    <n v="25"/>
    <s v=""/>
    <n v="1"/>
    <n v="77"/>
    <s v=""/>
    <n v="1.54"/>
    <n v="22"/>
    <s v=""/>
    <n v="0.55000000000000004"/>
    <n v="30"/>
    <n v="34"/>
    <n v="30"/>
    <n v="75"/>
    <n v="75"/>
    <n v="0"/>
    <n v="2088883.5"/>
    <n v="738990"/>
    <n v="670230"/>
    <n v="0"/>
    <n v="40"/>
    <n v="893640"/>
    <n v="1376809.5473483512"/>
    <n v="30"/>
    <n v="87"/>
    <n v="34.5"/>
    <n v="0"/>
    <m/>
    <n v="0"/>
    <n v="1954837.5"/>
    <n v="1890945"/>
    <n v="770764.5"/>
    <n v="0"/>
    <n v="40"/>
    <n v="893640"/>
    <n v="1583330.9794506039"/>
    <n v="40"/>
    <n v="66"/>
    <n v="29"/>
    <n v="0"/>
    <n v="0"/>
    <n v="1727448"/>
    <n v="1474506"/>
    <n v="647889"/>
    <n v="0"/>
    <n v="40"/>
    <n v="893640"/>
    <n v="1583789.9159663867"/>
    <n v="20"/>
    <n v="94"/>
    <n v="24"/>
    <n v="90"/>
    <n v="0"/>
    <n v="2043090"/>
    <n v="536184"/>
    <x v="28"/>
    <x v="0"/>
    <n v="40"/>
    <n v="893640"/>
    <n v="1310722.6890756304"/>
    <n v="25"/>
    <n v="65"/>
    <n v="25"/>
    <n v="30"/>
    <n v="30"/>
    <n v="0"/>
    <n v="1452165"/>
    <n v="543375"/>
    <x v="15"/>
    <n v="0"/>
    <n v="40"/>
    <n v="893640"/>
    <n v="1365336.1344537816"/>
    <n v="50"/>
    <n v="117"/>
    <n v="77"/>
    <m/>
    <n v="30"/>
    <n v="0"/>
    <n v="2613897"/>
    <n v="1673595"/>
    <n v="0"/>
    <n v="0"/>
    <n v="117"/>
    <n v="893640"/>
    <n v="4205235.2941176472"/>
    <n v="40"/>
    <n v="62"/>
    <n v="40"/>
    <n v="60"/>
    <n v="60"/>
    <n v="0"/>
    <n v="1385142"/>
    <n v="869400"/>
    <n v="1260630"/>
    <n v="0"/>
    <n v="62"/>
    <n v="893640"/>
    <n v="2184537.8151260507"/>
    <n v="22"/>
    <n v="22"/>
    <n v="22"/>
    <n v="0"/>
    <n v="0"/>
    <n v="0"/>
    <n v="491502"/>
    <n v="478170"/>
    <n v="0"/>
    <n v="0"/>
    <n v="22"/>
    <n v="491502"/>
    <n v="1201495.7983193279"/>
    <n v="30"/>
    <n v="0"/>
    <n v="30"/>
    <n v="0"/>
    <n v="0"/>
    <m/>
    <n v="0"/>
    <n v="652050"/>
    <n v="0"/>
    <n v="0"/>
    <n v="0"/>
    <n v="0"/>
    <n v="1638403.3613445379"/>
    <n v="50"/>
    <n v="0"/>
    <n v="0"/>
    <n v="75"/>
    <n v="75"/>
    <n v="75"/>
    <n v="0"/>
    <n v="0"/>
    <n v="0"/>
    <n v="1630125"/>
    <n v="1630125"/>
    <n v="75"/>
    <n v="1630125"/>
    <n v="0"/>
    <n v="50"/>
    <n v="75"/>
    <n v="50"/>
    <m/>
    <n v="0"/>
    <n v="1630125"/>
    <n v="1086750"/>
    <n v="0"/>
    <n v="0"/>
    <n v="75"/>
    <n v="1630125"/>
    <n v="2646617.6470588241"/>
    <n v="60"/>
    <n v="25"/>
    <n v="60"/>
    <n v="0"/>
    <n v="0"/>
    <n v="543375"/>
    <n v="1304100"/>
    <n v="0"/>
    <n v="25"/>
    <n v="543375"/>
    <n v="3276806.7226890759"/>
    <n v="30"/>
    <n v="0"/>
    <n v="30"/>
    <n v="0"/>
    <m/>
    <n v="0"/>
    <n v="670230"/>
    <n v="0"/>
    <n v="0"/>
    <n v="0"/>
    <n v="1638403.3613445379"/>
  </r>
  <r>
    <s v="Levo-Telones y Proyectores"/>
    <x v="0"/>
    <x v="5"/>
    <x v="15"/>
    <s v="LVTELELE-60"/>
    <x v="62"/>
    <x v="62"/>
    <x v="0"/>
    <x v="0"/>
    <n v="1"/>
    <x v="49"/>
    <n v="41"/>
    <m/>
    <n v="0"/>
    <n v="20312"/>
    <n v="832792"/>
    <n v="18.5"/>
    <n v="20211.25"/>
    <n v="42008.403361344543"/>
    <n v="40327.731092436974"/>
    <s v="Shenzhen"/>
    <x v="2"/>
    <n v="30"/>
    <n v="100"/>
    <n v="0"/>
    <s v=""/>
    <n v="0"/>
    <s v=""/>
    <n v="3"/>
    <n v="0.6079723105032232"/>
    <n v="5"/>
    <n v="0.57834134864892917"/>
    <n v="9"/>
    <n v="0.58850416950500262"/>
    <n v="19"/>
    <n v="0.56700371630983937"/>
    <n v="8"/>
    <n v="0.56607827339534655"/>
    <n v="20"/>
    <n v="0.50588813685464185"/>
    <n v="27"/>
    <n v="0.51158800659452619"/>
    <n v="47"/>
    <n v="0.47867487118942054"/>
    <n v="33"/>
    <n v="0.47860259088649038"/>
    <n v="77"/>
    <n v="0.49344606366925958"/>
    <n v="17"/>
    <s v=""/>
    <n v="19"/>
    <s v=""/>
    <n v="12"/>
    <s v=""/>
    <n v="23"/>
    <s v=""/>
    <n v="1.1499999999999999"/>
    <n v="18"/>
    <s v=""/>
    <n v="0.9"/>
    <n v="19"/>
    <s v=""/>
    <n v="0.54285714285714282"/>
    <n v="6"/>
    <s v=""/>
    <n v="0.3"/>
    <n v="30"/>
    <n v="47"/>
    <n v="25"/>
    <n v="0"/>
    <m/>
    <n v="0"/>
    <n v="1330436"/>
    <n v="899932.5"/>
    <n v="507800"/>
    <n v="0"/>
    <n v="41"/>
    <n v="832792"/>
    <n v="882529.48238118785"/>
    <n v="22"/>
    <n v="32"/>
    <n v="28.5"/>
    <n v="0"/>
    <m/>
    <n v="0"/>
    <n v="1289812"/>
    <n v="612720"/>
    <n v="578892"/>
    <n v="0"/>
    <n v="41"/>
    <n v="832792"/>
    <n v="1006083.6099145542"/>
    <n v="30"/>
    <n v="20"/>
    <n v="12"/>
    <n v="0"/>
    <n v="0"/>
    <n v="1093870"/>
    <n v="406240"/>
    <n v="243744"/>
    <n v="0"/>
    <n v="41"/>
    <n v="832792"/>
    <n v="504100.84033613454"/>
    <n v="20"/>
    <n v="53"/>
    <n v="23"/>
    <n v="60"/>
    <n v="0"/>
    <n v="1014817.5"/>
    <n v="467176"/>
    <x v="29"/>
    <x v="0"/>
    <n v="41"/>
    <n v="832792"/>
    <n v="966193.27731092449"/>
    <n v="20"/>
    <n v="59"/>
    <n v="20"/>
    <m/>
    <n v="0"/>
    <n v="0"/>
    <n v="1198408"/>
    <n v="382950"/>
    <x v="0"/>
    <n v="0"/>
    <n v="41"/>
    <n v="832792"/>
    <n v="840168.06722689082"/>
    <n v="35"/>
    <n v="60"/>
    <n v="19"/>
    <m/>
    <n v="0"/>
    <n v="0"/>
    <n v="1218720"/>
    <n v="363802.5"/>
    <n v="0"/>
    <n v="0"/>
    <n v="60"/>
    <n v="832792"/>
    <n v="798159.66386554635"/>
    <n v="20"/>
    <n v="47"/>
    <n v="20"/>
    <n v="40"/>
    <n v="40"/>
    <n v="0"/>
    <n v="954664"/>
    <n v="382950"/>
    <n v="740370"/>
    <n v="0"/>
    <n v="47"/>
    <n v="832792"/>
    <n v="840168.06722689082"/>
    <n v="20"/>
    <n v="27"/>
    <n v="20"/>
    <n v="35"/>
    <n v="35"/>
    <n v="35"/>
    <n v="548424"/>
    <n v="382950"/>
    <n v="670162.5"/>
    <n v="670162.5"/>
    <n v="62"/>
    <n v="1218586.5"/>
    <n v="840168.06722689082"/>
    <n v="10"/>
    <n v="42"/>
    <n v="10"/>
    <n v="0"/>
    <n v="0"/>
    <m/>
    <n v="804195"/>
    <n v="191475"/>
    <n v="0"/>
    <n v="0"/>
    <n v="42"/>
    <n v="804195"/>
    <n v="420084.03361344541"/>
    <n v="35"/>
    <n v="32"/>
    <n v="32"/>
    <n v="30"/>
    <n v="30"/>
    <n v="30"/>
    <n v="0"/>
    <n v="612720"/>
    <n v="612720"/>
    <n v="574425"/>
    <n v="574425"/>
    <n v="62"/>
    <n v="1187145"/>
    <n v="1290487.3949579832"/>
    <n v="30"/>
    <n v="30"/>
    <n v="30"/>
    <m/>
    <n v="0"/>
    <n v="574425"/>
    <n v="574425"/>
    <n v="0"/>
    <n v="0"/>
    <n v="30"/>
    <n v="574425"/>
    <n v="1270323.5294117648"/>
    <n v="40"/>
    <n v="0"/>
    <n v="40"/>
    <n v="0"/>
    <n v="0"/>
    <n v="0"/>
    <n v="765900"/>
    <n v="0"/>
    <n v="0"/>
    <n v="0"/>
    <n v="1680336.1344537816"/>
    <n v="18"/>
    <n v="0"/>
    <n v="18"/>
    <n v="0"/>
    <m/>
    <n v="0"/>
    <n v="365616"/>
    <n v="0"/>
    <n v="0"/>
    <n v="0"/>
    <n v="756151.26050420175"/>
  </r>
  <r>
    <m/>
    <x v="0"/>
    <x v="5"/>
    <x v="15"/>
    <s v="LVTELRETR-100"/>
    <x v="63"/>
    <x v="63"/>
    <x v="0"/>
    <x v="0"/>
    <n v="1"/>
    <x v="50"/>
    <n v="9"/>
    <m/>
    <n v="0"/>
    <n v="101484"/>
    <n v="913356"/>
    <n v="96"/>
    <n v="104879.99999999999"/>
    <n v="210075.63025210085"/>
    <n v="193268.90756302522"/>
    <s v="Shenzhen"/>
    <x v="2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s v=""/>
    <n v="3"/>
    <n v="0.40751759798642145"/>
    <n v="3"/>
    <n v="0.49576393495753807"/>
    <n v="3"/>
    <n v="0.43573280442020257"/>
    <n v="3"/>
    <s v=""/>
    <n v="1"/>
    <s v=""/>
    <n v="3"/>
    <s v=""/>
    <n v="3"/>
    <s v=""/>
    <n v="1"/>
    <n v="4"/>
    <s v=""/>
    <n v="1.3333333333333333"/>
    <n v="4"/>
    <s v=""/>
    <n v="0.8"/>
    <n v="2"/>
    <s v=""/>
    <n v="0.66666666666666663"/>
    <n v="3"/>
    <n v="2"/>
    <n v="2"/>
    <n v="5"/>
    <n v="5"/>
    <n v="0"/>
    <n v="659646"/>
    <n v="198719.99999999997"/>
    <n v="202968"/>
    <n v="0"/>
    <n v="9"/>
    <n v="913356"/>
    <n v="353068.28613798466"/>
    <n v="3"/>
    <n v="6"/>
    <n v="1.5"/>
    <n v="0"/>
    <m/>
    <n v="0"/>
    <n v="761130"/>
    <n v="596159.99999999988"/>
    <n v="152226"/>
    <n v="0"/>
    <n v="9"/>
    <n v="913356"/>
    <n v="264801.21460348851"/>
    <n v="3"/>
    <n v="5"/>
    <n v="3"/>
    <n v="0"/>
    <n v="0"/>
    <n v="906984"/>
    <n v="507420"/>
    <n v="304452"/>
    <n v="0"/>
    <n v="9"/>
    <n v="913356"/>
    <n v="630226.89075630251"/>
    <n v="3"/>
    <n v="15"/>
    <n v="3"/>
    <n v="15"/>
    <n v="0"/>
    <n v="1490399.9999999998"/>
    <n v="304452"/>
    <x v="30"/>
    <x v="0"/>
    <n v="9"/>
    <n v="913356"/>
    <n v="630226.89075630251"/>
    <n v="3"/>
    <n v="13"/>
    <n v="3"/>
    <m/>
    <n v="0"/>
    <n v="0"/>
    <n v="1319292"/>
    <n v="298079.99999999994"/>
    <x v="0"/>
    <n v="0"/>
    <n v="9"/>
    <n v="913356"/>
    <n v="630226.89075630251"/>
    <n v="5"/>
    <n v="13"/>
    <n v="4"/>
    <m/>
    <n v="0"/>
    <n v="0"/>
    <n v="1319292"/>
    <n v="397439.99999999994"/>
    <n v="0"/>
    <n v="0"/>
    <n v="13"/>
    <n v="913356"/>
    <n v="840302.52100840339"/>
    <n v="3"/>
    <n v="11"/>
    <n v="3"/>
    <n v="5"/>
    <n v="5"/>
    <n v="0"/>
    <n v="1116324"/>
    <n v="298079.99999999994"/>
    <n v="480239.99999999994"/>
    <n v="0"/>
    <n v="11"/>
    <n v="913356"/>
    <n v="630226.89075630251"/>
    <n v="3"/>
    <n v="8"/>
    <n v="3"/>
    <n v="0"/>
    <n v="0"/>
    <n v="0"/>
    <n v="811872"/>
    <n v="298079.99999999994"/>
    <n v="0"/>
    <n v="0"/>
    <n v="8"/>
    <n v="811872"/>
    <n v="630226.89075630251"/>
    <n v="3"/>
    <n v="5"/>
    <n v="3"/>
    <n v="0"/>
    <n v="0"/>
    <m/>
    <n v="496799.99999999994"/>
    <n v="298079.99999999994"/>
    <n v="0"/>
    <n v="0"/>
    <n v="5"/>
    <n v="496799.99999999994"/>
    <n v="630226.89075630251"/>
    <n v="3"/>
    <n v="2"/>
    <n v="2"/>
    <n v="2"/>
    <n v="2"/>
    <n v="2"/>
    <n v="0"/>
    <n v="198719.99999999997"/>
    <n v="198719.99999999997"/>
    <n v="198719.99999999997"/>
    <n v="198719.99999999997"/>
    <n v="4"/>
    <n v="397439.99999999994"/>
    <n v="386537.81512605044"/>
    <n v="3"/>
    <n v="2"/>
    <n v="3"/>
    <m/>
    <n v="0"/>
    <n v="198719.99999999997"/>
    <n v="298079.99999999994"/>
    <n v="0"/>
    <n v="0"/>
    <n v="2"/>
    <n v="198719.99999999997"/>
    <n v="608797.0588235294"/>
    <n v="5"/>
    <n v="0"/>
    <n v="5"/>
    <n v="0"/>
    <n v="0"/>
    <n v="0"/>
    <n v="496799.99999999994"/>
    <n v="0"/>
    <n v="0"/>
    <n v="0"/>
    <n v="1050378.1512605043"/>
    <n v="1.7999999999999998"/>
    <n v="0"/>
    <n v="1.7999999999999998"/>
    <n v="0"/>
    <m/>
    <n v="0"/>
    <n v="182671.19999999998"/>
    <n v="0"/>
    <n v="0"/>
    <n v="0"/>
    <n v="378136.13445378147"/>
  </r>
  <r>
    <s v="Levo-Pantallas"/>
    <x v="0"/>
    <x v="6"/>
    <x v="16"/>
    <s v="LVMONPOR-15"/>
    <x v="64"/>
    <x v="64"/>
    <x v="0"/>
    <x v="6"/>
    <n v="1"/>
    <x v="12"/>
    <n v="19"/>
    <m/>
    <n v="0"/>
    <n v="48288"/>
    <n v="917472"/>
    <n v="44.1"/>
    <n v="48179.249999999993"/>
    <n v="84025.210084033621"/>
    <n v="84025.210084033621"/>
    <s v="Shenzhen"/>
    <x v="0"/>
    <n v="30"/>
    <n v="300"/>
    <n v="25"/>
    <n v="0.39086430708274261"/>
    <n v="43"/>
    <n v="0.33865871033075673"/>
    <n v="95"/>
    <n v="0.46167887717073969"/>
    <n v="58"/>
    <n v="0.43359442511005492"/>
    <n v="50"/>
    <n v="0.52190787164890562"/>
    <n v="64"/>
    <n v="0.39455229072402126"/>
    <n v="4"/>
    <n v="0.4577506708131715"/>
    <n v="20"/>
    <n v="0.34711272166113233"/>
    <n v="26"/>
    <n v="0.50629934144902233"/>
    <n v="67"/>
    <n v="0.48384709029856782"/>
    <n v="66"/>
    <n v="0.36584954791704088"/>
    <n v="126"/>
    <n v="0.3833852911976865"/>
    <n v="13"/>
    <s v=""/>
    <n v="18"/>
    <s v=""/>
    <n v="63"/>
    <s v=""/>
    <n v="13"/>
    <s v=""/>
    <n v="0.8666666666666667"/>
    <n v="1"/>
    <s v=""/>
    <n v="1"/>
    <n v="0"/>
    <s v=""/>
    <n v="0"/>
    <n v="1"/>
    <s v=""/>
    <n v="0"/>
    <n v="40"/>
    <n v="106"/>
    <n v="15"/>
    <n v="0"/>
    <m/>
    <n v="0"/>
    <n v="5070240"/>
    <n v="4838211"/>
    <n v="724320"/>
    <n v="0"/>
    <n v="19"/>
    <n v="917472"/>
    <n v="1059141.3035802557"/>
    <n v="30"/>
    <n v="100"/>
    <n v="27"/>
    <n v="0"/>
    <m/>
    <n v="0"/>
    <n v="4973664"/>
    <n v="4564350"/>
    <n v="1303776"/>
    <n v="0"/>
    <n v="19"/>
    <n v="917472"/>
    <n v="1906454.3464444603"/>
    <n v="25"/>
    <n v="81"/>
    <n v="63"/>
    <n v="0"/>
    <n v="0"/>
    <n v="3715531.5"/>
    <n v="3911328"/>
    <n v="3042144"/>
    <n v="0"/>
    <n v="19"/>
    <n v="917472"/>
    <n v="5293588.2352941185"/>
    <n v="15"/>
    <n v="14"/>
    <n v="13"/>
    <n v="0"/>
    <n v="0"/>
    <n v="639009"/>
    <n v="627744"/>
    <x v="0"/>
    <x v="0"/>
    <n v="19"/>
    <n v="917472"/>
    <n v="1092327.7310924372"/>
    <n v="1"/>
    <n v="20"/>
    <n v="1"/>
    <m/>
    <n v="0"/>
    <n v="0"/>
    <n v="965760"/>
    <n v="45643.5"/>
    <x v="0"/>
    <n v="0"/>
    <n v="19"/>
    <n v="917472"/>
    <n v="84025.210084033621"/>
    <n v="0"/>
    <n v="19"/>
    <n v="0"/>
    <m/>
    <n v="0"/>
    <n v="0"/>
    <n v="917472"/>
    <n v="0"/>
    <n v="0"/>
    <n v="0"/>
    <n v="19"/>
    <n v="917472"/>
    <n v="0"/>
    <n v="0"/>
    <n v="20"/>
    <n v="0"/>
    <n v="0"/>
    <n v="0"/>
    <n v="0"/>
    <n v="965760"/>
    <n v="0"/>
    <n v="0"/>
    <n v="0"/>
    <n v="20"/>
    <n v="917472"/>
    <n v="0"/>
    <n v="0"/>
    <n v="20"/>
    <n v="0"/>
    <n v="0"/>
    <n v="0"/>
    <n v="0"/>
    <n v="965760"/>
    <n v="0"/>
    <n v="0"/>
    <n v="0"/>
    <n v="20"/>
    <n v="965760"/>
    <n v="0"/>
    <n v="0"/>
    <n v="20"/>
    <n v="0"/>
    <n v="0"/>
    <n v="0"/>
    <m/>
    <n v="912870"/>
    <n v="0"/>
    <n v="0"/>
    <n v="0"/>
    <n v="20"/>
    <n v="912870"/>
    <n v="0"/>
    <n v="0"/>
    <n v="20"/>
    <n v="0"/>
    <n v="0"/>
    <n v="0"/>
    <n v="0"/>
    <m/>
    <n v="912870"/>
    <n v="0"/>
    <n v="0"/>
    <n v="0"/>
    <n v="20"/>
    <n v="912870"/>
    <n v="0"/>
    <n v="0"/>
    <n v="20"/>
    <n v="0"/>
    <m/>
    <n v="0"/>
    <n v="912870"/>
    <n v="0"/>
    <n v="0"/>
    <n v="0"/>
    <n v="20"/>
    <n v="912870"/>
    <n v="0"/>
    <n v="0"/>
    <n v="20"/>
    <n v="0"/>
    <n v="0"/>
    <n v="0"/>
    <n v="912870"/>
    <n v="0"/>
    <n v="0"/>
    <n v="20"/>
    <n v="912870"/>
    <n v="0"/>
    <n v="0"/>
    <n v="20"/>
    <n v="0"/>
    <n v="0"/>
    <m/>
    <n v="912870"/>
    <n v="0"/>
    <n v="0"/>
    <n v="20"/>
    <n v="912870"/>
    <n v="0"/>
  </r>
  <r>
    <m/>
    <x v="0"/>
    <x v="6"/>
    <x v="16"/>
    <s v="LVMONEXV-15"/>
    <x v="65"/>
    <x v="65"/>
    <x v="0"/>
    <x v="3"/>
    <n v="1"/>
    <x v="51"/>
    <n v="34"/>
    <m/>
    <n v="0"/>
    <n v="37116"/>
    <n v="1261944"/>
    <n v="35"/>
    <n v="38237.5"/>
    <n v="84025.210084033621"/>
    <n v="58815.126050420171"/>
    <s v="Shenzhen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s v=""/>
    <n v="46"/>
    <s v=""/>
    <n v="49"/>
    <s v=""/>
    <n v="1.2250000000000001"/>
    <n v="34"/>
    <s v=""/>
    <n v="0.68"/>
    <n v="116"/>
    <s v=""/>
    <n v="1.3647058823529412"/>
    <n v="10"/>
    <s v=""/>
    <n v="0.2857142857142857"/>
    <n v="5"/>
    <n v="0"/>
    <n v="2"/>
    <n v="0"/>
    <n v="300"/>
    <n v="0"/>
    <n v="2115612"/>
    <n v="0"/>
    <n v="74232"/>
    <n v="0"/>
    <n v="34"/>
    <n v="1261944"/>
    <n v="141218.84047736743"/>
    <n v="30"/>
    <n v="300"/>
    <n v="9"/>
    <n v="0"/>
    <n v="0"/>
    <n v="0"/>
    <n v="3860064"/>
    <n v="10867500"/>
    <n v="334044"/>
    <n v="0"/>
    <n v="34"/>
    <n v="1261944"/>
    <n v="635484.7821481534"/>
    <n v="70"/>
    <n v="288"/>
    <n v="46"/>
    <n v="0"/>
    <n v="0"/>
    <n v="5337270"/>
    <n v="10689408"/>
    <n v="1707336"/>
    <n v="0"/>
    <n v="34"/>
    <n v="1261944"/>
    <n v="3865159.6638655467"/>
    <n v="40"/>
    <n v="239"/>
    <n v="49"/>
    <n v="0"/>
    <n v="0"/>
    <n v="8657775"/>
    <n v="1818684"/>
    <x v="0"/>
    <x v="0"/>
    <n v="34"/>
    <n v="1261944"/>
    <n v="4117235.2941176472"/>
    <n v="50"/>
    <n v="68"/>
    <n v="50"/>
    <m/>
    <n v="0"/>
    <n v="0"/>
    <n v="2523888"/>
    <n v="1811250"/>
    <x v="0"/>
    <n v="0"/>
    <n v="34"/>
    <n v="1261944"/>
    <n v="4201260.5042016814"/>
    <n v="85"/>
    <n v="150"/>
    <n v="116"/>
    <m/>
    <n v="0"/>
    <n v="0"/>
    <n v="5567400"/>
    <n v="4202100"/>
    <n v="0"/>
    <n v="0"/>
    <n v="150"/>
    <n v="1261944"/>
    <n v="9746924.3697478995"/>
    <n v="35"/>
    <n v="44"/>
    <n v="35"/>
    <n v="0"/>
    <n v="0"/>
    <n v="0"/>
    <n v="1633104"/>
    <n v="1267875"/>
    <n v="0"/>
    <n v="0"/>
    <n v="44"/>
    <n v="1261944"/>
    <n v="2940882.3529411769"/>
    <n v="0"/>
    <n v="9"/>
    <n v="0"/>
    <n v="0"/>
    <n v="0"/>
    <n v="0"/>
    <n v="334044"/>
    <n v="0"/>
    <n v="0"/>
    <n v="0"/>
    <n v="9"/>
    <n v="334044"/>
    <n v="0"/>
    <n v="0"/>
    <n v="9"/>
    <n v="0"/>
    <n v="0"/>
    <n v="0"/>
    <m/>
    <n v="326025"/>
    <n v="0"/>
    <n v="0"/>
    <n v="0"/>
    <n v="9"/>
    <n v="326025"/>
    <n v="0"/>
    <n v="75"/>
    <n v="9"/>
    <n v="9"/>
    <n v="300"/>
    <n v="300"/>
    <n v="300"/>
    <n v="0"/>
    <n v="326025"/>
    <n v="326025"/>
    <n v="10867500"/>
    <n v="10867500"/>
    <n v="309"/>
    <n v="11193525"/>
    <n v="529336.13445378153"/>
    <n v="50"/>
    <n v="300"/>
    <n v="50"/>
    <m/>
    <n v="0"/>
    <n v="10867500"/>
    <n v="1811250"/>
    <n v="0"/>
    <n v="0"/>
    <n v="300"/>
    <n v="10867500"/>
    <n v="3087794.1176470593"/>
    <n v="100"/>
    <n v="250"/>
    <n v="100"/>
    <n v="300"/>
    <n v="300"/>
    <n v="9056250"/>
    <n v="3622500"/>
    <n v="10867500"/>
    <n v="550"/>
    <n v="19923750"/>
    <n v="8402521.0084033627"/>
    <n v="30"/>
    <n v="450"/>
    <n v="30"/>
    <n v="0"/>
    <m/>
    <n v="16301250"/>
    <n v="1113480"/>
    <n v="0"/>
    <n v="450"/>
    <n v="16301250"/>
    <n v="2520756.3025210085"/>
  </r>
  <r>
    <s v="Levo-Pantallas"/>
    <x v="0"/>
    <x v="6"/>
    <x v="17"/>
    <s v="LVPANTOTPUB-43"/>
    <x v="66"/>
    <x v="66"/>
    <x v="0"/>
    <x v="3"/>
    <n v="1"/>
    <x v="52"/>
    <n v="10"/>
    <m/>
    <n v="0"/>
    <n v="300750"/>
    <n v="3007500"/>
    <n v="380"/>
    <n v="355062.5"/>
    <n v="756294.11764705891"/>
    <n v="697470.5882352941"/>
    <s v="Shenzhen"/>
    <x v="0"/>
    <n v="30"/>
    <n v="1"/>
    <n v="0"/>
    <s v=""/>
    <n v="0"/>
    <s v=""/>
    <n v="0"/>
    <s v=""/>
    <n v="0"/>
    <s v=""/>
    <n v="1"/>
    <n v="0.60956793061756842"/>
    <n v="1"/>
    <n v="0.60956793061756842"/>
    <n v="0"/>
    <s v=""/>
    <n v="0"/>
    <s v=""/>
    <n v="0"/>
    <s v=""/>
    <n v="4"/>
    <n v="0.45215503836609311"/>
    <n v="1"/>
    <n v="0.34780489832000394"/>
    <n v="0"/>
    <s v=""/>
    <n v="0"/>
    <s v=""/>
    <n v="2"/>
    <s v=""/>
    <n v="7"/>
    <s v=""/>
    <n v="9"/>
    <s v=""/>
    <n v="1.2857142857142858"/>
    <n v="4"/>
    <s v=""/>
    <n v="0.66666666666666663"/>
    <n v="1"/>
    <s v=""/>
    <n v="0.1"/>
    <n v="1"/>
    <s v=""/>
    <n v="0.14285714285714285"/>
    <n v="1"/>
    <n v="0"/>
    <n v="1"/>
    <n v="3"/>
    <n v="3"/>
    <n v="0"/>
    <n v="3308250"/>
    <n v="0"/>
    <n v="300750"/>
    <n v="0"/>
    <n v="10"/>
    <n v="3007500"/>
    <n v="635541.27533366298"/>
    <n v="3"/>
    <n v="9"/>
    <n v="3"/>
    <n v="6"/>
    <n v="6"/>
    <n v="0"/>
    <n v="5714250"/>
    <n v="3539699.9999999995"/>
    <n v="902250"/>
    <n v="0"/>
    <n v="10"/>
    <n v="3007500"/>
    <n v="1906623.8260009889"/>
    <n v="5"/>
    <n v="7"/>
    <n v="7"/>
    <n v="0"/>
    <n v="0"/>
    <n v="7171800"/>
    <n v="2105250"/>
    <n v="2105250"/>
    <n v="0"/>
    <n v="10"/>
    <n v="3007500"/>
    <n v="5294058.823529412"/>
    <n v="7"/>
    <n v="13"/>
    <n v="9"/>
    <n v="7"/>
    <n v="0"/>
    <n v="5112899.9999999991"/>
    <n v="2706750"/>
    <x v="31"/>
    <x v="0"/>
    <n v="10"/>
    <n v="3007500"/>
    <n v="6806647.0588235306"/>
    <n v="6"/>
    <n v="14"/>
    <n v="6"/>
    <n v="7"/>
    <n v="7"/>
    <n v="0"/>
    <n v="4210500"/>
    <n v="2359799.9999999995"/>
    <x v="16"/>
    <n v="0"/>
    <n v="10"/>
    <n v="3007500"/>
    <n v="4537764.7058823537"/>
    <n v="10"/>
    <n v="11"/>
    <n v="1"/>
    <m/>
    <n v="0"/>
    <n v="0"/>
    <n v="3308250"/>
    <n v="393299.99999999994"/>
    <n v="0"/>
    <n v="0"/>
    <n v="11"/>
    <n v="3007500"/>
    <n v="756294.11764705891"/>
    <n v="7"/>
    <n v="11"/>
    <n v="7"/>
    <n v="11"/>
    <n v="11"/>
    <n v="0"/>
    <n v="3308250"/>
    <n v="2753099.9999999995"/>
    <n v="4182089.9999999995"/>
    <n v="0"/>
    <n v="11"/>
    <n v="3007500"/>
    <n v="5294058.823529412"/>
    <n v="7"/>
    <n v="4"/>
    <n v="7"/>
    <n v="10"/>
    <n v="10"/>
    <n v="10"/>
    <n v="1203000"/>
    <n v="2753099.9999999995"/>
    <n v="3932999.9999999995"/>
    <n v="3932999.9999999995"/>
    <n v="14"/>
    <n v="5136000"/>
    <n v="5294058.823529412"/>
    <n v="5"/>
    <n v="7"/>
    <n v="5"/>
    <n v="8"/>
    <n v="8"/>
    <n v="8"/>
    <n v="2753099.9999999995"/>
    <n v="1966499.9999999998"/>
    <n v="3146399.9999999995"/>
    <n v="3146399.9999999995"/>
    <n v="15"/>
    <n v="5899499.9999999991"/>
    <n v="3781470.5882352944"/>
    <n v="10"/>
    <n v="10"/>
    <n v="10"/>
    <n v="10"/>
    <n v="10"/>
    <n v="10"/>
    <n v="0"/>
    <n v="3932999.9999999995"/>
    <n v="3932999.9999999995"/>
    <n v="3932999.9999999995"/>
    <n v="3932999.9999999995"/>
    <n v="20"/>
    <n v="7865999.9999999991"/>
    <n v="6974705.8823529407"/>
    <n v="10"/>
    <n v="10"/>
    <n v="10"/>
    <m/>
    <n v="0"/>
    <n v="3932999.9999999995"/>
    <n v="3932999.9999999995"/>
    <n v="0"/>
    <n v="0"/>
    <n v="10"/>
    <n v="3932999.9999999995"/>
    <n v="7323441.176470588"/>
    <n v="10"/>
    <n v="0"/>
    <n v="10"/>
    <n v="0"/>
    <n v="0"/>
    <n v="0"/>
    <n v="3932999.9999999995"/>
    <n v="0"/>
    <n v="0"/>
    <n v="0"/>
    <n v="7562941.1764705889"/>
    <n v="6"/>
    <n v="0"/>
    <n v="6"/>
    <n v="0"/>
    <m/>
    <n v="0"/>
    <n v="1804500"/>
    <n v="0"/>
    <n v="0"/>
    <n v="0"/>
    <n v="4537764.7058823537"/>
  </r>
  <r>
    <s v="Levo-Pantallas"/>
    <x v="0"/>
    <x v="6"/>
    <x v="17"/>
    <s v="LVPANTOTPUB-50"/>
    <x v="67"/>
    <x v="67"/>
    <x v="0"/>
    <x v="3"/>
    <n v="1"/>
    <x v="53"/>
    <n v="8"/>
    <m/>
    <n v="0"/>
    <n v="338793"/>
    <n v="2710344"/>
    <n v="435"/>
    <n v="415149.99999999994"/>
    <n v="840327.73109243705"/>
    <n v="714277.31092436973"/>
    <s v="Shenzhen"/>
    <x v="0"/>
    <n v="30"/>
    <n v="1"/>
    <n v="0"/>
    <s v=""/>
    <n v="0"/>
    <s v=""/>
    <n v="0"/>
    <s v=""/>
    <n v="0"/>
    <s v=""/>
    <n v="1"/>
    <n v="0.57707107937266933"/>
    <n v="0"/>
    <s v=""/>
    <n v="0"/>
    <s v=""/>
    <n v="0"/>
    <s v=""/>
    <n v="0"/>
    <s v=""/>
    <n v="3"/>
    <n v="0.45072683374454908"/>
    <n v="3"/>
    <n v="0.55303350645521909"/>
    <n v="0"/>
    <s v=""/>
    <n v="0"/>
    <s v=""/>
    <n v="0"/>
    <s v=""/>
    <n v="3"/>
    <s v=""/>
    <n v="8"/>
    <s v=""/>
    <n v="1.6"/>
    <n v="6"/>
    <s v=""/>
    <n v="1.2"/>
    <n v="0"/>
    <s v=""/>
    <n v="0"/>
    <n v="2"/>
    <s v=""/>
    <n v="0.4"/>
    <n v="0"/>
    <n v="0"/>
    <n v="0"/>
    <n v="0"/>
    <m/>
    <n v="0"/>
    <n v="1016379"/>
    <n v="0"/>
    <n v="0"/>
    <n v="0"/>
    <n v="8"/>
    <n v="2710344"/>
    <n v="0"/>
    <n v="1"/>
    <n v="4"/>
    <n v="0"/>
    <n v="4"/>
    <n v="4"/>
    <n v="0"/>
    <n v="3726723"/>
    <n v="1800899.9999999998"/>
    <n v="0"/>
    <n v="0"/>
    <n v="8"/>
    <n v="2710344"/>
    <n v="0"/>
    <n v="3"/>
    <n v="4"/>
    <n v="3"/>
    <n v="0"/>
    <n v="0"/>
    <n v="5977848"/>
    <n v="1355172"/>
    <n v="1016379"/>
    <n v="0"/>
    <n v="8"/>
    <n v="2710344"/>
    <n v="2520983.193277311"/>
    <n v="5"/>
    <n v="15"/>
    <n v="8"/>
    <n v="7"/>
    <n v="0"/>
    <n v="6753374.9999999991"/>
    <n v="2710344"/>
    <x v="32"/>
    <x v="0"/>
    <n v="8"/>
    <n v="2710344"/>
    <n v="6722621.8487394964"/>
    <n v="5"/>
    <n v="14"/>
    <n v="5"/>
    <n v="7"/>
    <n v="7"/>
    <n v="0"/>
    <n v="4743102"/>
    <n v="2251124.9999999995"/>
    <x v="17"/>
    <n v="0"/>
    <n v="8"/>
    <n v="2710344"/>
    <n v="4201638.6554621849"/>
    <n v="7"/>
    <n v="8"/>
    <n v="0"/>
    <m/>
    <n v="0"/>
    <n v="0"/>
    <n v="2710344"/>
    <n v="0"/>
    <n v="0"/>
    <n v="0"/>
    <n v="8"/>
    <n v="2710344"/>
    <n v="0"/>
    <n v="5"/>
    <n v="10"/>
    <n v="5"/>
    <n v="12"/>
    <n v="12"/>
    <n v="0"/>
    <n v="3387930"/>
    <n v="2251124.9999999995"/>
    <n v="5222609.9999999991"/>
    <n v="0"/>
    <n v="10"/>
    <n v="2710344"/>
    <n v="4201638.6554621849"/>
    <n v="5"/>
    <n v="5"/>
    <n v="5"/>
    <n v="10"/>
    <n v="10"/>
    <n v="10"/>
    <n v="1693965"/>
    <n v="2251124.9999999995"/>
    <n v="4502249.9999999991"/>
    <n v="4502249.9999999991"/>
    <n v="15"/>
    <n v="6196214.9999999991"/>
    <n v="4201638.6554621849"/>
    <n v="5"/>
    <n v="10"/>
    <n v="5"/>
    <n v="0"/>
    <n v="0"/>
    <m/>
    <n v="4502249.9999999991"/>
    <n v="2251124.9999999995"/>
    <n v="0"/>
    <n v="0"/>
    <n v="10"/>
    <n v="4502249.9999999991"/>
    <n v="4201638.6554621849"/>
    <n v="10"/>
    <n v="5"/>
    <n v="5"/>
    <n v="10"/>
    <n v="10"/>
    <n v="10"/>
    <n v="0"/>
    <n v="2251124.9999999995"/>
    <n v="2251124.9999999995"/>
    <n v="4502249.9999999991"/>
    <n v="4502249.9999999991"/>
    <n v="15"/>
    <n v="6753374.9999999981"/>
    <n v="3571386.5546218487"/>
    <n v="5"/>
    <n v="10"/>
    <n v="5"/>
    <m/>
    <n v="0"/>
    <n v="4502249.9999999991"/>
    <n v="2251124.9999999995"/>
    <n v="0"/>
    <n v="0"/>
    <n v="10"/>
    <n v="4502249.9999999991"/>
    <n v="3749955.8823529412"/>
    <n v="10"/>
    <n v="5"/>
    <n v="10"/>
    <n v="0"/>
    <n v="0"/>
    <n v="2251124.9999999995"/>
    <n v="4502249.9999999991"/>
    <n v="0"/>
    <n v="5"/>
    <n v="2251124.9999999995"/>
    <n v="8403277.3109243698"/>
    <n v="3"/>
    <n v="0"/>
    <n v="3"/>
    <n v="0"/>
    <m/>
    <n v="0"/>
    <n v="1016379"/>
    <n v="0"/>
    <n v="0"/>
    <n v="0"/>
    <n v="2520983.193277311"/>
  </r>
  <r>
    <s v="Levo-Soportes"/>
    <x v="0"/>
    <x v="7"/>
    <x v="18"/>
    <s v="LVSPTVUN"/>
    <x v="68"/>
    <x v="68"/>
    <x v="0"/>
    <x v="0"/>
    <n v="1"/>
    <x v="54"/>
    <n v="128"/>
    <m/>
    <n v="0"/>
    <n v="2955"/>
    <n v="378240"/>
    <n v="2.9"/>
    <n v="3168.2499999999995"/>
    <n v="5873.9495798319331"/>
    <n v="5873.9495798319331"/>
    <s v="Shenzhen"/>
    <x v="0"/>
    <n v="30"/>
    <n v="2000"/>
    <n v="5"/>
    <n v="0.56322330273012799"/>
    <n v="4"/>
    <n v="0.59091504796292182"/>
    <n v="368"/>
    <n v="0.28847151565989293"/>
    <n v="153"/>
    <n v="0.31526392471107084"/>
    <n v="8"/>
    <n v="0.60885943380879748"/>
    <n v="46"/>
    <n v="0.58561289096649838"/>
    <n v="164"/>
    <n v="0.4733908181902442"/>
    <n v="46"/>
    <n v="0.51677629667849612"/>
    <n v="30"/>
    <n v="0.52028943178246523"/>
    <n v="184"/>
    <n v="0.49974837897733115"/>
    <n v="132"/>
    <n v="0.4690448597708135"/>
    <n v="198"/>
    <n v="0.48143060564669155"/>
    <n v="191"/>
    <s v=""/>
    <n v="161"/>
    <s v=""/>
    <n v="255"/>
    <s v=""/>
    <n v="241"/>
    <s v=""/>
    <n v="1.2050000000000001"/>
    <n v="398"/>
    <s v=""/>
    <n v="1.99"/>
    <n v="1174"/>
    <s v=""/>
    <n v="2.3479999999999999"/>
    <n v="14"/>
    <s v=""/>
    <n v="9.1503267973856203E-2"/>
    <n v="120"/>
    <n v="2664"/>
    <n v="200"/>
    <n v="0"/>
    <m/>
    <n v="0"/>
    <n v="2058157.5"/>
    <n v="7995995.9999999991"/>
    <n v="591000"/>
    <n v="0"/>
    <n v="128"/>
    <n v="378240"/>
    <n v="987218.41677847621"/>
    <n v="200"/>
    <n v="2438"/>
    <n v="241.5"/>
    <n v="0"/>
    <m/>
    <n v="0"/>
    <n v="2179312.5"/>
    <n v="7317656.9999999991"/>
    <n v="713632.5"/>
    <n v="0"/>
    <n v="128"/>
    <n v="378240"/>
    <n v="1192066.23826001"/>
    <n v="200"/>
    <n v="2194"/>
    <n v="255"/>
    <n v="0"/>
    <n v="0"/>
    <n v="2065980"/>
    <n v="6483270"/>
    <n v="753525"/>
    <n v="0"/>
    <n v="128"/>
    <n v="378240"/>
    <n v="1497857.142857143"/>
    <n v="200"/>
    <n v="1853"/>
    <n v="241"/>
    <n v="0"/>
    <n v="0"/>
    <n v="5561779.4999999991"/>
    <n v="712155"/>
    <x v="0"/>
    <x v="0"/>
    <n v="128"/>
    <n v="378240"/>
    <n v="1415621.848739496"/>
    <n v="200"/>
    <n v="526"/>
    <n v="200"/>
    <m/>
    <n v="0"/>
    <n v="0"/>
    <n v="1554330"/>
    <n v="600299.99999999988"/>
    <x v="0"/>
    <n v="0"/>
    <n v="128"/>
    <n v="378240"/>
    <n v="1174789.9159663867"/>
    <n v="500"/>
    <n v="1302"/>
    <n v="1174"/>
    <m/>
    <n v="0"/>
    <n v="0"/>
    <n v="3847410"/>
    <n v="3523760.9999999995"/>
    <n v="0"/>
    <n v="0"/>
    <n v="1302"/>
    <n v="378240"/>
    <n v="6896016.8067226894"/>
    <n v="153"/>
    <n v="142"/>
    <n v="153"/>
    <n v="0"/>
    <n v="0"/>
    <n v="0"/>
    <n v="419610"/>
    <n v="459229.49999999994"/>
    <n v="0"/>
    <n v="0"/>
    <n v="142"/>
    <n v="378240"/>
    <n v="898714.2857142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300"/>
    <n v="0"/>
    <n v="0"/>
    <n v="1000"/>
    <n v="1000"/>
    <n v="1000"/>
    <n v="0"/>
    <n v="0"/>
    <n v="0"/>
    <n v="3001499.9999999995"/>
    <n v="3001499.9999999995"/>
    <n v="1000"/>
    <n v="3001499.9999999995"/>
    <n v="0"/>
    <n v="250"/>
    <n v="1000"/>
    <n v="250"/>
    <m/>
    <n v="0"/>
    <n v="3001499.9999999995"/>
    <n v="750374.99999999988"/>
    <n v="0"/>
    <n v="0"/>
    <n v="1000"/>
    <n v="3001499.9999999995"/>
    <n v="1541911.7647058824"/>
    <n v="300"/>
    <n v="750"/>
    <n v="300"/>
    <n v="0"/>
    <n v="0"/>
    <n v="2251124.9999999995"/>
    <n v="900449.99999999988"/>
    <n v="0"/>
    <n v="750"/>
    <n v="2251124.9999999995"/>
    <n v="1762184.8739495799"/>
    <n v="150"/>
    <n v="450"/>
    <n v="150"/>
    <n v="0"/>
    <m/>
    <n v="1350674.9999999998"/>
    <n v="443250"/>
    <n v="0"/>
    <n v="450"/>
    <n v="1350674.9999999998"/>
    <n v="881092.43697478995"/>
  </r>
  <r>
    <s v="Levo-Soportes"/>
    <x v="0"/>
    <x v="7"/>
    <x v="19"/>
    <s v="LVSPBRX2MN"/>
    <x v="69"/>
    <x v="69"/>
    <x v="0"/>
    <x v="2"/>
    <n v="1"/>
    <x v="55"/>
    <n v="52"/>
    <m/>
    <n v="0"/>
    <n v="9256"/>
    <n v="481312"/>
    <n v="8.5"/>
    <n v="9286.25"/>
    <n v="21000"/>
    <n v="21000"/>
    <s v="Shenzhen"/>
    <x v="0"/>
    <n v="30"/>
    <n v="3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22"/>
    <s v=""/>
    <n v="82"/>
    <s v=""/>
    <n v="1.64"/>
    <n v="62"/>
    <s v=""/>
    <n v="1.0333333333333334"/>
    <n v="105"/>
    <s v=""/>
    <n v="1.3125"/>
    <n v="6"/>
    <s v=""/>
    <n v="0.1"/>
    <n v="0"/>
    <n v="0"/>
    <n v="0"/>
    <n v="0"/>
    <m/>
    <n v="0"/>
    <n v="203632"/>
    <n v="0"/>
    <n v="0"/>
    <n v="0"/>
    <n v="52"/>
    <n v="481312"/>
    <n v="0"/>
    <n v="10"/>
    <n v="0"/>
    <n v="0"/>
    <n v="300"/>
    <n v="300"/>
    <n v="0"/>
    <n v="962624"/>
    <n v="0"/>
    <n v="0"/>
    <n v="0"/>
    <n v="52"/>
    <n v="481312"/>
    <n v="0"/>
    <n v="30"/>
    <n v="300"/>
    <n v="22"/>
    <n v="0"/>
    <n v="0"/>
    <n v="1490474"/>
    <n v="2776800"/>
    <n v="203632"/>
    <n v="0"/>
    <n v="52"/>
    <n v="481312"/>
    <n v="462000"/>
    <n v="50"/>
    <n v="278"/>
    <n v="82"/>
    <n v="0"/>
    <n v="0"/>
    <n v="2445705"/>
    <n v="758992"/>
    <x v="0"/>
    <x v="0"/>
    <n v="52"/>
    <n v="481312"/>
    <n v="1722000"/>
    <n v="60"/>
    <n v="114"/>
    <n v="60"/>
    <m/>
    <n v="0"/>
    <n v="0"/>
    <n v="1055184"/>
    <n v="527850"/>
    <x v="0"/>
    <n v="0"/>
    <n v="52"/>
    <n v="481312"/>
    <n v="1260000"/>
    <n v="80"/>
    <n v="157"/>
    <n v="105"/>
    <m/>
    <n v="0"/>
    <n v="0"/>
    <n v="1453192"/>
    <n v="923737.5"/>
    <n v="0"/>
    <n v="0"/>
    <n v="157"/>
    <n v="481312"/>
    <n v="2205000"/>
    <n v="60"/>
    <n v="58"/>
    <n v="60"/>
    <n v="0"/>
    <n v="0"/>
    <n v="0"/>
    <n v="536848"/>
    <n v="527850"/>
    <n v="0"/>
    <n v="0"/>
    <n v="58"/>
    <n v="481312"/>
    <n v="1260000"/>
    <n v="80"/>
    <n v="0"/>
    <n v="80"/>
    <n v="300"/>
    <n v="300"/>
    <n v="0"/>
    <n v="0"/>
    <n v="703800"/>
    <n v="2639250"/>
    <n v="0"/>
    <n v="300"/>
    <n v="2639250"/>
    <n v="1680000"/>
    <n v="60"/>
    <n v="0"/>
    <n v="60"/>
    <n v="0"/>
    <n v="0"/>
    <n v="300"/>
    <n v="0"/>
    <n v="527850"/>
    <n v="0"/>
    <n v="2639250"/>
    <n v="300"/>
    <n v="2639250"/>
    <n v="1260000"/>
    <n v="100"/>
    <n v="240"/>
    <n v="100"/>
    <n v="0"/>
    <n v="0"/>
    <n v="0"/>
    <m/>
    <n v="2111400"/>
    <n v="879750"/>
    <n v="0"/>
    <n v="0"/>
    <n v="240"/>
    <n v="2111400"/>
    <n v="2100000"/>
    <n v="80"/>
    <n v="140"/>
    <n v="80"/>
    <n v="300"/>
    <n v="300"/>
    <n v="1231650"/>
    <n v="703800"/>
    <n v="2639250"/>
    <n v="2639250"/>
    <n v="440"/>
    <n v="3870900"/>
    <n v="1764000"/>
    <n v="80"/>
    <n v="360"/>
    <n v="80"/>
    <n v="0"/>
    <n v="0"/>
    <n v="3167100"/>
    <n v="703800"/>
    <n v="0"/>
    <n v="360"/>
    <n v="3167100"/>
    <n v="1680000"/>
    <n v="48"/>
    <n v="280"/>
    <n v="48"/>
    <n v="0"/>
    <m/>
    <n v="2463300"/>
    <n v="444288"/>
    <n v="0"/>
    <n v="280"/>
    <n v="2463300"/>
    <n v="1008000"/>
  </r>
  <r>
    <m/>
    <x v="0"/>
    <x v="7"/>
    <x v="19"/>
    <s v="LVSPALZNPLE"/>
    <x v="70"/>
    <x v="70"/>
    <x v="0"/>
    <x v="2"/>
    <n v="1.2"/>
    <x v="56"/>
    <n v="141"/>
    <m/>
    <n v="0"/>
    <n v="4517"/>
    <n v="636897"/>
    <n v="5.28"/>
    <n v="5768.4"/>
    <n v="12596.638655462186"/>
    <n v="10915.966386554623"/>
    <s v="Shenzhen"/>
    <x v="0"/>
    <n v="30"/>
    <n v="3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20"/>
    <s v=""/>
    <n v="61"/>
    <s v=""/>
    <n v="1.22"/>
    <n v="33"/>
    <s v=""/>
    <n v="0.55000000000000004"/>
    <n v="39"/>
    <s v=""/>
    <n v="0.48749999999999999"/>
    <n v="6"/>
    <s v=""/>
    <n v="0.15"/>
    <n v="0"/>
    <n v="0"/>
    <n v="0"/>
    <n v="0"/>
    <m/>
    <n v="0"/>
    <n v="90340"/>
    <n v="0"/>
    <n v="0"/>
    <n v="0"/>
    <n v="141"/>
    <n v="636897"/>
    <n v="0"/>
    <n v="10"/>
    <n v="0"/>
    <n v="0"/>
    <n v="300"/>
    <n v="300"/>
    <n v="0"/>
    <n v="365877"/>
    <n v="0"/>
    <n v="0"/>
    <n v="0"/>
    <n v="141"/>
    <n v="636897"/>
    <n v="0"/>
    <n v="30"/>
    <n v="300"/>
    <n v="20"/>
    <n v="0"/>
    <n v="0"/>
    <n v="759342.6"/>
    <n v="1355100"/>
    <n v="90340"/>
    <n v="0"/>
    <n v="141"/>
    <n v="636897"/>
    <n v="251932.77310924372"/>
    <n v="50"/>
    <n v="277"/>
    <n v="61"/>
    <n v="0"/>
    <n v="0"/>
    <n v="1513749.5999999999"/>
    <n v="275537"/>
    <x v="0"/>
    <x v="0"/>
    <n v="141"/>
    <n v="636897"/>
    <n v="768394.95798319334"/>
    <n v="60"/>
    <n v="174"/>
    <n v="72"/>
    <m/>
    <n v="0"/>
    <n v="0"/>
    <n v="785958"/>
    <n v="393465.59999999998"/>
    <x v="0"/>
    <n v="0"/>
    <n v="141"/>
    <n v="636897"/>
    <n v="906957.98319327738"/>
    <n v="80"/>
    <n v="180"/>
    <n v="39"/>
    <m/>
    <n v="0"/>
    <n v="0"/>
    <n v="813060"/>
    <n v="213127.19999999998"/>
    <n v="0"/>
    <n v="0"/>
    <n v="180"/>
    <n v="636897"/>
    <n v="491268.90756302525"/>
    <n v="40"/>
    <n v="147"/>
    <n v="48"/>
    <n v="0"/>
    <n v="0"/>
    <n v="0"/>
    <n v="663999"/>
    <n v="262310.39999999997"/>
    <n v="0"/>
    <n v="0"/>
    <n v="147"/>
    <n v="636897"/>
    <n v="604638.65546218492"/>
    <n v="40"/>
    <n v="99"/>
    <n v="48"/>
    <n v="300"/>
    <n v="300"/>
    <n v="0"/>
    <n v="447183"/>
    <n v="262310.39999999997"/>
    <n v="1639439.9999999998"/>
    <n v="0"/>
    <n v="399"/>
    <n v="2086622.9999999998"/>
    <n v="604638.65546218492"/>
    <n v="40"/>
    <n v="51"/>
    <n v="48"/>
    <n v="0"/>
    <n v="0"/>
    <n v="300"/>
    <n v="278704.8"/>
    <n v="262310.39999999997"/>
    <n v="0"/>
    <n v="1639439.9999999998"/>
    <n v="351"/>
    <n v="1918144.7999999998"/>
    <n v="604638.65546218492"/>
    <n v="60"/>
    <n v="303"/>
    <n v="72"/>
    <n v="0"/>
    <n v="0"/>
    <n v="0"/>
    <m/>
    <n v="1655834.3999999997"/>
    <n v="393465.59999999998"/>
    <n v="0"/>
    <n v="0"/>
    <n v="303"/>
    <n v="1655834.3999999997"/>
    <n v="785949.57983193279"/>
    <n v="60"/>
    <n v="231"/>
    <n v="72"/>
    <m/>
    <n v="0"/>
    <n v="1262368.7999999998"/>
    <n v="393465.59999999998"/>
    <n v="0"/>
    <n v="0"/>
    <n v="231"/>
    <n v="1262368.7999999998"/>
    <n v="825247.05882352951"/>
    <n v="40"/>
    <n v="159"/>
    <n v="48"/>
    <n v="0"/>
    <n v="0"/>
    <n v="868903.19999999984"/>
    <n v="262310.39999999997"/>
    <n v="0"/>
    <n v="159"/>
    <n v="868903.19999999984"/>
    <n v="604638.65546218492"/>
    <n v="36"/>
    <n v="111"/>
    <n v="43.199999999999996"/>
    <n v="0"/>
    <m/>
    <n v="606592.79999999993"/>
    <n v="195134.4"/>
    <n v="0"/>
    <n v="111"/>
    <n v="606592.79999999993"/>
    <n v="544174.78991596634"/>
  </r>
  <r>
    <s v="Lhotse-Camping y Outdoor"/>
    <x v="1"/>
    <x v="8"/>
    <x v="20"/>
    <n v="1615383366170"/>
    <x v="71"/>
    <x v="71"/>
    <x v="0"/>
    <x v="4"/>
    <n v="1"/>
    <x v="57"/>
    <n v="54"/>
    <m/>
    <n v="0"/>
    <n v="34385.038666666667"/>
    <n v="1856792.088"/>
    <n v="33.5"/>
    <n v="36598.75"/>
    <n v="58815.126050420171"/>
    <n v="57134.45378151261"/>
    <s v="Shenzhen"/>
    <x v="1"/>
    <n v="30"/>
    <n v="100"/>
    <n v="29"/>
    <n v="0.32089841366761979"/>
    <n v="15"/>
    <n v="0.34525544284217607"/>
    <n v="17"/>
    <n v="0.35037413876904572"/>
    <n v="7"/>
    <n v="0.41405067582408239"/>
    <n v="8"/>
    <n v="0.29623401120166248"/>
    <n v="93"/>
    <n v="0.20926228317226017"/>
    <n v="4"/>
    <n v="0.48157104483983348"/>
    <n v="2"/>
    <n v="0.34225608400716512"/>
    <n v="4"/>
    <n v="0.37594843126884409"/>
    <n v="14"/>
    <n v="0.31246782650226362"/>
    <n v="5"/>
    <n v="0.38959429839869325"/>
    <n v="9"/>
    <n v="0.4667616595107798"/>
    <n v="39"/>
    <n v="0.26712533638158525"/>
    <n v="27"/>
    <n v="0.29848732006250311"/>
    <n v="40"/>
    <n v="0.35037414095976699"/>
    <n v="23"/>
    <n v="0.39217066091869063"/>
    <n v="1.5333333333333334"/>
    <n v="31"/>
    <n v="0.33577294293553872"/>
    <n v="1.55"/>
    <n v="19"/>
    <n v="0.20926195593433111"/>
    <n v="0.31666666666666665"/>
    <n v="5"/>
    <n v="0.42099407008713008"/>
    <n v="0.25"/>
    <n v="25"/>
    <n v="189"/>
    <n v="25"/>
    <n v="0"/>
    <n v="0"/>
    <n v="0"/>
    <n v="3627621.5793333333"/>
    <n v="6553102.5"/>
    <n v="859625.96666666667"/>
    <n v="0"/>
    <n v="54"/>
    <n v="1856792.088"/>
    <n v="1235611.8918155499"/>
    <n v="20"/>
    <n v="185"/>
    <n v="40.5"/>
    <n v="0"/>
    <n v="0"/>
    <n v="0"/>
    <n v="3558851.5019999999"/>
    <n v="6414412.5"/>
    <n v="1392594.0660000001"/>
    <n v="0"/>
    <n v="54"/>
    <n v="1856792.088"/>
    <n v="2001691.2647411907"/>
    <n v="20"/>
    <n v="138"/>
    <n v="40"/>
    <n v="0"/>
    <n v="0"/>
    <n v="2859707.4359999998"/>
    <n v="4745135.3360000001"/>
    <n v="1375401.5466666666"/>
    <n v="0"/>
    <n v="54"/>
    <n v="1856792.088"/>
    <n v="2352605.042016807"/>
    <n v="15"/>
    <n v="117"/>
    <n v="23"/>
    <n v="0"/>
    <n v="0"/>
    <n v="4056682.5"/>
    <n v="790855.88933333335"/>
    <x v="0"/>
    <x v="0"/>
    <n v="54"/>
    <n v="1856792.088"/>
    <n v="1352747.8991596638"/>
    <n v="20"/>
    <n v="85"/>
    <n v="20"/>
    <m/>
    <n v="0"/>
    <n v="0"/>
    <n v="2922728.2866666666"/>
    <n v="693450"/>
    <x v="0"/>
    <n v="0"/>
    <n v="54"/>
    <n v="1856792.088"/>
    <n v="1176302.5210084035"/>
    <n v="60"/>
    <n v="73"/>
    <n v="19"/>
    <m/>
    <n v="0"/>
    <n v="0"/>
    <n v="2510107.8226666669"/>
    <n v="658777.5"/>
    <n v="0"/>
    <n v="0"/>
    <n v="73"/>
    <n v="1856792.088"/>
    <n v="1117487.3949579832"/>
    <n v="20"/>
    <n v="59"/>
    <n v="20"/>
    <n v="0"/>
    <n v="0"/>
    <n v="0"/>
    <n v="2028717.2813333333"/>
    <n v="693450"/>
    <n v="0"/>
    <n v="0"/>
    <n v="59"/>
    <n v="1856792.088"/>
    <n v="1176302.5210084035"/>
    <n v="24"/>
    <n v="39"/>
    <n v="24"/>
    <n v="100"/>
    <n v="100"/>
    <n v="0"/>
    <n v="1341016.5079999999"/>
    <n v="832140"/>
    <n v="3467250"/>
    <n v="0"/>
    <n v="139"/>
    <n v="4808266.5079999994"/>
    <n v="1411563.0252100842"/>
    <n v="25"/>
    <n v="15"/>
    <n v="25"/>
    <n v="100"/>
    <n v="0"/>
    <n v="100"/>
    <n v="520087.5"/>
    <n v="866812.5"/>
    <n v="3467250"/>
    <n v="3467250"/>
    <n v="115"/>
    <n v="3987337.5"/>
    <n v="1470378.1512605043"/>
    <n v="40"/>
    <n v="190"/>
    <n v="40"/>
    <n v="0"/>
    <n v="0"/>
    <n v="0"/>
    <n v="100"/>
    <n v="6587775"/>
    <n v="1386900"/>
    <n v="0"/>
    <n v="3467250"/>
    <n v="190"/>
    <n v="10055025"/>
    <n v="2285378.1512605045"/>
    <n v="35"/>
    <n v="150"/>
    <n v="35"/>
    <n v="0"/>
    <n v="0"/>
    <n v="5200875"/>
    <n v="1213537.5"/>
    <n v="0"/>
    <n v="0"/>
    <n v="150"/>
    <n v="5200875"/>
    <n v="2099691.1764705884"/>
    <n v="60"/>
    <n v="115"/>
    <n v="60"/>
    <n v="0"/>
    <n v="0"/>
    <n v="3987337.5"/>
    <n v="2080350"/>
    <n v="0"/>
    <n v="115"/>
    <n v="3987337.5"/>
    <n v="3528907.5630252101"/>
    <n v="21"/>
    <n v="55"/>
    <n v="21"/>
    <n v="0"/>
    <m/>
    <n v="1906987.5"/>
    <n v="722085.81200000003"/>
    <n v="0"/>
    <n v="55"/>
    <n v="1906987.5"/>
    <n v="1235117.6470588236"/>
  </r>
  <r>
    <s v="Lhotse-Camping y Outdoor"/>
    <x v="1"/>
    <x v="8"/>
    <x v="20"/>
    <n v="1571423280815"/>
    <x v="72"/>
    <x v="72"/>
    <x v="0"/>
    <x v="3"/>
    <n v="1"/>
    <x v="58"/>
    <n v="76"/>
    <m/>
    <n v="0"/>
    <n v="25609.977777777782"/>
    <n v="1946358.3111111114"/>
    <n v="26.5"/>
    <n v="28951.249999999996"/>
    <n v="54613.445378151264"/>
    <n v="46210.08403361345"/>
    <s v="Shenzhen"/>
    <x v="1"/>
    <n v="30"/>
    <n v="100"/>
    <n v="84"/>
    <n v="0.36888245349873588"/>
    <n v="43"/>
    <n v="0.39066286452057808"/>
    <n v="49"/>
    <n v="0.38268364293555207"/>
    <n v="25"/>
    <n v="0.48771726446976366"/>
    <n v="7"/>
    <n v="0.4553675424494863"/>
    <n v="48"/>
    <n v="0.3552170193815653"/>
    <n v="76"/>
    <n v="0.34825774352605854"/>
    <n v="50"/>
    <n v="0.38778555268064435"/>
    <n v="38"/>
    <n v="0.43518007552896587"/>
    <n v="59"/>
    <n v="0.34489686529443975"/>
    <n v="70"/>
    <n v="0.40668087366722561"/>
    <n v="97"/>
    <n v="0.38747578941086686"/>
    <n v="94"/>
    <n v="0.34578639065834571"/>
    <n v="13"/>
    <n v="0.38975137833008039"/>
    <n v="38"/>
    <n v="0.38268363573040332"/>
    <n v="56"/>
    <n v="0.48771725676236299"/>
    <n v="1.4"/>
    <n v="53"/>
    <n v="0.4553675378338316"/>
    <n v="1.7666666666666666"/>
    <n v="75"/>
    <n v="0.35521741161336601"/>
    <n v="1.25"/>
    <n v="25"/>
    <n v="0.34985088152611538"/>
    <n v="0.48076923076923078"/>
    <n v="80"/>
    <n v="112"/>
    <n v="80"/>
    <n v="100"/>
    <n v="100"/>
    <n v="0"/>
    <n v="3521371.944444445"/>
    <n v="3071879.9999999995"/>
    <n v="2048798.2222222225"/>
    <n v="0"/>
    <n v="76"/>
    <n v="1946358.3111111114"/>
    <n v="3671492.1262622699"/>
    <n v="50"/>
    <n v="111"/>
    <n v="19.5"/>
    <n v="100"/>
    <n v="50"/>
    <n v="0"/>
    <n v="2906732.4777777782"/>
    <n v="3044452.4999999995"/>
    <n v="499394.56666666677"/>
    <n v="0"/>
    <n v="76"/>
    <n v="1946358.3111111114"/>
    <n v="894926.20577642834"/>
    <n v="50"/>
    <n v="77"/>
    <n v="38"/>
    <n v="0"/>
    <n v="0"/>
    <n v="3230162.9111111113"/>
    <n v="1971968.2888888891"/>
    <n v="973179.15555555571"/>
    <n v="0"/>
    <n v="76"/>
    <n v="1946358.3111111114"/>
    <n v="2075310.924369748"/>
    <n v="40"/>
    <n v="160"/>
    <n v="56"/>
    <n v="0"/>
    <n v="0"/>
    <n v="4388399.9999999991"/>
    <n v="1434158.7555555557"/>
    <x v="0"/>
    <x v="0"/>
    <n v="76"/>
    <n v="1946358.3111111114"/>
    <n v="3058352.9411764708"/>
    <n v="30"/>
    <n v="129"/>
    <n v="30"/>
    <m/>
    <n v="0"/>
    <n v="0"/>
    <n v="3303687.1333333338"/>
    <n v="822824.99999999988"/>
    <x v="0"/>
    <n v="0"/>
    <n v="76"/>
    <n v="1946358.3111111114"/>
    <n v="1638403.3613445379"/>
    <n v="60"/>
    <n v="151"/>
    <n v="75"/>
    <m/>
    <n v="0"/>
    <n v="0"/>
    <n v="3867106.6444444451"/>
    <n v="2057062.4999999998"/>
    <n v="0"/>
    <n v="0"/>
    <n v="151"/>
    <n v="1946358.3111111114"/>
    <n v="4096008.4033613447"/>
    <n v="52"/>
    <n v="101"/>
    <n v="52"/>
    <n v="100"/>
    <n v="100"/>
    <n v="0"/>
    <n v="2586607.7555555562"/>
    <n v="1426229.9999999998"/>
    <n v="2651324.9999999995"/>
    <n v="0"/>
    <n v="101"/>
    <n v="1946358.3111111114"/>
    <n v="2839899.1596638658"/>
    <n v="36"/>
    <n v="49"/>
    <n v="36"/>
    <n v="0"/>
    <n v="0"/>
    <n v="0"/>
    <n v="1254888.9111111113"/>
    <n v="987389.99999999988"/>
    <n v="0"/>
    <n v="0"/>
    <n v="49"/>
    <n v="1254888.9111111113"/>
    <n v="1966084.0336134455"/>
    <n v="35"/>
    <n v="13"/>
    <n v="35"/>
    <n v="100"/>
    <n v="100"/>
    <n v="0"/>
    <n v="356557.49999999994"/>
    <n v="959962.49999999988"/>
    <n v="2742749.9999999995"/>
    <n v="0"/>
    <n v="13"/>
    <n v="356557.49999999994"/>
    <n v="1911470.5882352942"/>
    <n v="60"/>
    <n v="100"/>
    <n v="60"/>
    <n v="0"/>
    <n v="0"/>
    <n v="0"/>
    <n v="100"/>
    <n v="2742749.9999999995"/>
    <n v="1645649.9999999998"/>
    <n v="0"/>
    <n v="2742749.9999999995"/>
    <n v="100"/>
    <n v="5485499.9999999991"/>
    <n v="2772605.042016807"/>
    <n v="70"/>
    <n v="40"/>
    <n v="70"/>
    <n v="150"/>
    <n v="150"/>
    <n v="1097099.9999999998"/>
    <n v="1919924.9999999998"/>
    <n v="4114124.9999999995"/>
    <n v="4114124.9999999995"/>
    <n v="190"/>
    <n v="5211224.9999999991"/>
    <n v="3396441.1764705889"/>
    <n v="100"/>
    <n v="120"/>
    <n v="100"/>
    <n v="0"/>
    <n v="0"/>
    <n v="3291299.9999999995"/>
    <n v="2742749.9999999995"/>
    <n v="0"/>
    <n v="120"/>
    <n v="3291299.9999999995"/>
    <n v="5461344.5378151266"/>
    <n v="42"/>
    <n v="20"/>
    <n v="42"/>
    <n v="0"/>
    <m/>
    <n v="548549.99999999988"/>
    <n v="1075619.0666666669"/>
    <n v="0"/>
    <n v="20"/>
    <n v="548549.99999999988"/>
    <n v="2293764.7058823532"/>
  </r>
  <r>
    <s v="Lhotse-Camping y Outdoor"/>
    <x v="1"/>
    <x v="8"/>
    <x v="20"/>
    <n v="1615383407099"/>
    <x v="73"/>
    <x v="73"/>
    <x v="0"/>
    <x v="3"/>
    <n v="1"/>
    <x v="59"/>
    <n v="144"/>
    <m/>
    <n v="0"/>
    <n v="14674.94618124507"/>
    <n v="2113192.2500992902"/>
    <n v="14.5"/>
    <n v="15841.249999999998"/>
    <n v="42008.403361344543"/>
    <n v="37806.722689075636"/>
    <s v="Shenzhen"/>
    <x v="0"/>
    <n v="30"/>
    <n v="100"/>
    <n v="22"/>
    <n v="0.43017668607552828"/>
    <n v="1"/>
    <n v="0.43367831464080031"/>
    <n v="20"/>
    <n v="0.37835737422577664"/>
    <n v="21"/>
    <n v="0.50914415802725577"/>
    <n v="26"/>
    <n v="0.51972406154665807"/>
    <n v="37"/>
    <n v="0.38493942641910767"/>
    <n v="39"/>
    <n v="0.37666099208301423"/>
    <n v="32"/>
    <n v="0.44254169901560492"/>
    <n v="39"/>
    <n v="0.44627189916321902"/>
    <n v="40"/>
    <n v="0.43549732218951404"/>
    <n v="57"/>
    <n v="0.44588421951951474"/>
    <n v="18"/>
    <n v="0.53985746171530502"/>
    <n v="38"/>
    <n v="0.43017669110807699"/>
    <n v="32"/>
    <n v="0.43367832966666037"/>
    <n v="31"/>
    <n v="0.37835736948347465"/>
    <n v="33"/>
    <n v="0.50914414392524054"/>
    <n v="1.65"/>
    <n v="20"/>
    <n v="0.51972405126570009"/>
    <n v="0.5714285714285714"/>
    <n v="34"/>
    <n v="0.38560620115725674"/>
    <n v="0.70833333333333337"/>
    <n v="6"/>
    <n v="0.37666098227728678"/>
    <n v="0.11764705882352941"/>
    <n v="30"/>
    <n v="60"/>
    <n v="30"/>
    <n v="50"/>
    <n v="50"/>
    <n v="0"/>
    <n v="1599569.1337557128"/>
    <n v="900449.99999999988"/>
    <n v="440248.38543735212"/>
    <n v="0"/>
    <n v="144"/>
    <n v="2113192.2500992902"/>
    <n v="1059035.3788574254"/>
    <n v="15"/>
    <n v="129"/>
    <n v="48"/>
    <n v="100"/>
    <n v="0"/>
    <n v="0"/>
    <n v="1643593.972299448"/>
    <n v="1935967.4999999998"/>
    <n v="704397.41669976339"/>
    <n v="0"/>
    <n v="144"/>
    <n v="2113192.2500992902"/>
    <n v="1694456.6061718808"/>
    <n v="30"/>
    <n v="75"/>
    <n v="31"/>
    <n v="0"/>
    <n v="0"/>
    <n v="1464459.0555996844"/>
    <n v="1100620.9635933803"/>
    <n v="454923.33161859715"/>
    <n v="0"/>
    <n v="144"/>
    <n v="2113192.2500992902"/>
    <n v="1302260.5042016809"/>
    <n v="20"/>
    <n v="110"/>
    <n v="33"/>
    <n v="0"/>
    <n v="0"/>
    <n v="1650824.9999999998"/>
    <n v="484273.22398108733"/>
    <x v="0"/>
    <x v="0"/>
    <n v="144"/>
    <n v="2113192.2500992902"/>
    <n v="1386277.3109243698"/>
    <n v="35"/>
    <n v="164"/>
    <n v="35"/>
    <m/>
    <n v="0"/>
    <n v="0"/>
    <n v="2406691.1737241913"/>
    <n v="525262.49999999988"/>
    <x v="0"/>
    <n v="0"/>
    <n v="144"/>
    <n v="2113192.2500992902"/>
    <n v="1470294.117647059"/>
    <n v="48"/>
    <n v="178"/>
    <n v="34"/>
    <m/>
    <n v="100"/>
    <n v="0"/>
    <n v="2612140.4202616224"/>
    <n v="510254.99999999994"/>
    <n v="0"/>
    <n v="0"/>
    <n v="178"/>
    <n v="2113192.2500992902"/>
    <n v="1428285.7142857146"/>
    <n v="51"/>
    <n v="150"/>
    <n v="51"/>
    <n v="0"/>
    <n v="0"/>
    <n v="0"/>
    <n v="2201241.9271867606"/>
    <n v="765382.49999999988"/>
    <n v="0"/>
    <n v="0"/>
    <n v="150"/>
    <n v="2113192.2500992902"/>
    <n v="2142428.5714285718"/>
    <n v="42"/>
    <n v="99"/>
    <n v="42"/>
    <n v="100"/>
    <n v="100"/>
    <n v="0"/>
    <n v="1452819.671943262"/>
    <n v="630314.99999999988"/>
    <n v="1500749.9999999998"/>
    <n v="0"/>
    <n v="199"/>
    <n v="2953569.6719432618"/>
    <n v="1764352.9411764708"/>
    <n v="51"/>
    <n v="57"/>
    <n v="51"/>
    <n v="0"/>
    <n v="0"/>
    <n v="100"/>
    <n v="855427.49999999988"/>
    <n v="765382.49999999988"/>
    <n v="0"/>
    <n v="1500749.9999999998"/>
    <n v="157"/>
    <n v="2356177.4999999995"/>
    <n v="2142428.5714285718"/>
    <n v="45"/>
    <n v="106"/>
    <n v="45"/>
    <n v="0"/>
    <n v="0"/>
    <n v="0"/>
    <m/>
    <n v="1590794.9999999998"/>
    <n v="675337.49999999988"/>
    <n v="0"/>
    <n v="0"/>
    <n v="106"/>
    <n v="1590794.9999999998"/>
    <n v="1701302.5210084035"/>
    <n v="55"/>
    <n v="61"/>
    <n v="55"/>
    <n v="0"/>
    <n v="0"/>
    <n v="915457.49999999988"/>
    <n v="825412.49999999988"/>
    <n v="0"/>
    <n v="0"/>
    <n v="61"/>
    <n v="915457.49999999988"/>
    <n v="2183338.2352941181"/>
    <n v="52"/>
    <n v="6"/>
    <n v="52"/>
    <n v="0"/>
    <n v="0"/>
    <n v="90044.999999999985"/>
    <n v="780389.99999999988"/>
    <n v="0"/>
    <n v="6"/>
    <n v="90044.999999999985"/>
    <n v="2184436.9747899161"/>
    <n v="33"/>
    <n v="0"/>
    <n v="33"/>
    <n v="0"/>
    <m/>
    <n v="0"/>
    <n v="484273.22398108733"/>
    <n v="0"/>
    <n v="0"/>
    <n v="0"/>
    <n v="1386277.3109243698"/>
  </r>
  <r>
    <s v="Lhotse-Deporte"/>
    <x v="1"/>
    <x v="9"/>
    <x v="21"/>
    <n v="1627416841030"/>
    <x v="74"/>
    <x v="74"/>
    <x v="0"/>
    <x v="6"/>
    <n v="1"/>
    <x v="12"/>
    <n v="34"/>
    <m/>
    <n v="0"/>
    <n v="5509"/>
    <n v="187306"/>
    <n v="5.05"/>
    <n v="5517.125"/>
    <n v="12596.638655462186"/>
    <n v="10915.966386554623"/>
    <s v="Shenzhen"/>
    <x v="0"/>
    <n v="30"/>
    <n v="100"/>
    <n v="39"/>
    <n v="0.62724186589578612"/>
    <n v="45"/>
    <n v="0.60649656561892318"/>
    <n v="55"/>
    <n v="0.55927950757812384"/>
    <n v="34"/>
    <n v="0.56659292762060975"/>
    <n v="73"/>
    <n v="0.51035655522684342"/>
    <n v="62"/>
    <n v="0.55227240954135703"/>
    <n v="47"/>
    <n v="0.57739975720507508"/>
    <n v="32"/>
    <n v="0.57845515299886741"/>
    <n v="16"/>
    <n v="0.59461581166887123"/>
    <n v="80"/>
    <n v="0.5310620918872152"/>
    <n v="60"/>
    <n v="0.53236600077537288"/>
    <n v="130"/>
    <n v="0.55057603108256359"/>
    <n v="54"/>
    <n v="0.62466773255872265"/>
    <n v="24"/>
    <n v="0.6064967718681914"/>
    <n v="38"/>
    <n v="0.55927952761024591"/>
    <n v="30"/>
    <n v="0.56659293721195425"/>
    <n v="1"/>
    <n v="23"/>
    <n v="0.5103565613620038"/>
    <n v="0.45098039215686275"/>
    <n v="10"/>
    <n v="0.55799429959320179"/>
    <n v="0.52631578947368418"/>
    <n v="7"/>
    <n v="0.57679583806960766"/>
    <n v="0"/>
    <n v="40"/>
    <n v="145"/>
    <n v="40"/>
    <n v="0"/>
    <n v="0"/>
    <n v="0"/>
    <n v="628026"/>
    <n v="757878.75"/>
    <n v="220360"/>
    <n v="0"/>
    <n v="34"/>
    <n v="187306"/>
    <n v="423416.42539368698"/>
    <n v="50"/>
    <n v="139"/>
    <n v="36"/>
    <n v="0"/>
    <n v="0"/>
    <n v="0"/>
    <n v="572936"/>
    <n v="726518.25"/>
    <n v="198324"/>
    <n v="0"/>
    <n v="34"/>
    <n v="187306"/>
    <n v="381074.78285431827"/>
    <n v="30"/>
    <n v="114"/>
    <n v="38"/>
    <n v="0"/>
    <n v="0"/>
    <n v="641176.25"/>
    <n v="628026"/>
    <n v="209342"/>
    <n v="0"/>
    <n v="34"/>
    <n v="187306"/>
    <n v="478672.26890756306"/>
    <n v="30"/>
    <n v="76"/>
    <n v="30"/>
    <n v="0"/>
    <n v="0"/>
    <n v="397233"/>
    <n v="165270"/>
    <x v="0"/>
    <x v="0"/>
    <n v="34"/>
    <n v="187306"/>
    <n v="377899.15966386558"/>
    <n v="51"/>
    <n v="57"/>
    <n v="51"/>
    <m/>
    <n v="0"/>
    <n v="0"/>
    <n v="314013"/>
    <n v="266564.25"/>
    <x v="0"/>
    <n v="0"/>
    <n v="34"/>
    <n v="187306"/>
    <n v="642428.57142857148"/>
    <n v="19"/>
    <n v="44"/>
    <n v="10"/>
    <m/>
    <n v="0"/>
    <n v="0"/>
    <n v="242396"/>
    <n v="52267.5"/>
    <n v="0"/>
    <n v="0"/>
    <n v="44"/>
    <n v="187306"/>
    <n v="125966.38655462186"/>
    <n v="0"/>
    <n v="41"/>
    <n v="0"/>
    <n v="0"/>
    <n v="0"/>
    <n v="0"/>
    <n v="225869"/>
    <n v="0"/>
    <n v="0"/>
    <n v="0"/>
    <n v="41"/>
    <n v="187306"/>
    <n v="0"/>
    <n v="0"/>
    <n v="41"/>
    <n v="0"/>
    <n v="0"/>
    <n v="0"/>
    <n v="0"/>
    <n v="225869"/>
    <n v="0"/>
    <n v="0"/>
    <n v="0"/>
    <n v="41"/>
    <n v="225869"/>
    <n v="0"/>
    <n v="0"/>
    <n v="41"/>
    <n v="0"/>
    <n v="0"/>
    <n v="0"/>
    <m/>
    <n v="214296.75"/>
    <n v="0"/>
    <n v="0"/>
    <n v="0"/>
    <n v="41"/>
    <n v="214296.75"/>
    <n v="0"/>
    <n v="0"/>
    <n v="41"/>
    <n v="0"/>
    <n v="0"/>
    <n v="0"/>
    <n v="0"/>
    <m/>
    <n v="214296.75"/>
    <n v="0"/>
    <n v="0"/>
    <n v="0"/>
    <n v="41"/>
    <n v="214296.75"/>
    <n v="0"/>
    <n v="0"/>
    <n v="41"/>
    <n v="0"/>
    <n v="0"/>
    <n v="0"/>
    <n v="214296.75"/>
    <n v="0"/>
    <n v="0"/>
    <n v="0"/>
    <n v="41"/>
    <n v="214296.75"/>
    <n v="0"/>
    <n v="0"/>
    <n v="41"/>
    <n v="0"/>
    <n v="0"/>
    <n v="0"/>
    <n v="214296.75"/>
    <n v="0"/>
    <n v="0"/>
    <n v="41"/>
    <n v="214296.75"/>
    <n v="0"/>
    <n v="0"/>
    <n v="41"/>
    <n v="0"/>
    <n v="0"/>
    <m/>
    <n v="214296.75"/>
    <n v="0"/>
    <n v="0"/>
    <n v="41"/>
    <n v="214296.75"/>
    <n v="0"/>
  </r>
  <r>
    <s v="Lhotse-Audio Menor"/>
    <x v="1"/>
    <x v="10"/>
    <x v="22"/>
    <n v="1592492799236"/>
    <x v="75"/>
    <x v="75"/>
    <x v="0"/>
    <x v="3"/>
    <n v="1"/>
    <x v="60"/>
    <n v="6341"/>
    <m/>
    <n v="0"/>
    <n v="2634.7994563575958"/>
    <n v="16707263.352763515"/>
    <n v="2.3600000000000003"/>
    <n v="2578.3000000000002"/>
    <n v="5000"/>
    <n v="4193.2773109243699"/>
    <s v="Shenzhen"/>
    <x v="2"/>
    <n v="30"/>
    <n v="1000"/>
    <n v="719"/>
    <n v="0.49507878643841713"/>
    <n v="397"/>
    <n v="0.47448915096538485"/>
    <n v="1346"/>
    <n v="0.48998179565173733"/>
    <n v="1705"/>
    <n v="0.49228612274820088"/>
    <n v="1509"/>
    <n v="0.48940027778057732"/>
    <n v="1029"/>
    <n v="0.50749303526052625"/>
    <n v="1623"/>
    <n v="0.46640710223368997"/>
    <n v="-228"/>
    <n v="0.53793671086029393"/>
    <n v="1545"/>
    <n v="0.47265894904290129"/>
    <n v="1434"/>
    <n v="0.4424163414202415"/>
    <n v="1609"/>
    <n v="0.44303401350258098"/>
    <n v="136"/>
    <n v="0.59255583003498802"/>
    <n v="30"/>
    <n v="0.49342498974138577"/>
    <n v="42"/>
    <n v="0.47997249503109868"/>
    <n v="256"/>
    <n v="0.48974986174238511"/>
    <n v="40"/>
    <n v="0.49224962919851578"/>
    <n v="5.7142857142857141E-2"/>
    <n v="18"/>
    <n v="0.4896616583029228"/>
    <n v="5.4545454545454543E-2"/>
    <n v="150"/>
    <n v="0.50723799104590972"/>
    <n v="0.50847457627118642"/>
    <n v="10"/>
    <n v="0.46471012820106961"/>
    <n v="0.25"/>
    <n v="620"/>
    <n v="6371"/>
    <n v="620"/>
    <n v="0"/>
    <n v="0"/>
    <n v="0"/>
    <n v="2474076.6895197826"/>
    <n v="15561804.600000001"/>
    <n v="1633575.6629417094"/>
    <n v="0"/>
    <n v="6341"/>
    <n v="16707263.352763515"/>
    <n v="2605042.0168067231"/>
    <n v="670"/>
    <n v="5880"/>
    <n v="63"/>
    <n v="0"/>
    <n v="0"/>
    <n v="0"/>
    <n v="945893.00483237684"/>
    <n v="14362488.000000002"/>
    <n v="165992.36575052852"/>
    <n v="0"/>
    <n v="6341"/>
    <n v="16707263.352763515"/>
    <n v="264705.8823529412"/>
    <n v="950"/>
    <n v="5838"/>
    <n v="256"/>
    <n v="0"/>
    <n v="0"/>
    <n v="1585958.6390818483"/>
    <n v="15381959.226215644"/>
    <n v="674508.66082754452"/>
    <n v="0"/>
    <n v="6341"/>
    <n v="16707263.352763515"/>
    <n v="1280000"/>
    <n v="700"/>
    <n v="6513"/>
    <n v="40"/>
    <n v="0"/>
    <n v="0"/>
    <n v="15908653.800000003"/>
    <n v="105391.97825430383"/>
    <x v="0"/>
    <x v="0"/>
    <n v="6341"/>
    <n v="16707263.352763515"/>
    <n v="200000"/>
    <n v="330"/>
    <n v="6359"/>
    <n v="330"/>
    <m/>
    <n v="0"/>
    <n v="0"/>
    <n v="16754689.742977951"/>
    <n v="806058.00000000012"/>
    <x v="0"/>
    <n v="0"/>
    <n v="6341"/>
    <n v="16707263.352763515"/>
    <n v="1650000"/>
    <n v="295"/>
    <n v="6491"/>
    <n v="150"/>
    <m/>
    <n v="0"/>
    <n v="0"/>
    <n v="17102483.271217152"/>
    <n v="366390.00000000006"/>
    <n v="0"/>
    <n v="0"/>
    <n v="6491"/>
    <n v="16707263.352763515"/>
    <n v="750000"/>
    <n v="40"/>
    <n v="6351"/>
    <n v="40"/>
    <n v="0"/>
    <n v="0"/>
    <n v="0"/>
    <n v="16733611.347327091"/>
    <n v="97704.000000000015"/>
    <n v="0"/>
    <n v="0"/>
    <n v="6351"/>
    <n v="16707263.352763515"/>
    <n v="200000"/>
    <n v="40"/>
    <n v="6311"/>
    <n v="40"/>
    <n v="0"/>
    <n v="0"/>
    <n v="0"/>
    <n v="16628219.369072787"/>
    <n v="97704.000000000015"/>
    <n v="0"/>
    <n v="0"/>
    <n v="6311"/>
    <n v="16628219.369072787"/>
    <n v="200000"/>
    <n v="40"/>
    <n v="6271"/>
    <n v="40"/>
    <n v="0"/>
    <n v="0"/>
    <m/>
    <n v="15317544.600000001"/>
    <n v="97704.000000000015"/>
    <n v="0"/>
    <n v="0"/>
    <n v="6271"/>
    <n v="15317544.600000001"/>
    <n v="200000"/>
    <n v="40"/>
    <n v="6231"/>
    <n v="40"/>
    <n v="0"/>
    <n v="0"/>
    <n v="0"/>
    <m/>
    <n v="15219840.600000001"/>
    <n v="97704.000000000015"/>
    <n v="0"/>
    <n v="0"/>
    <n v="6231"/>
    <n v="15219840.600000001"/>
    <n v="167731.09243697481"/>
    <n v="40"/>
    <n v="6191"/>
    <n v="40"/>
    <n v="0"/>
    <n v="0"/>
    <n v="15122136.600000001"/>
    <n v="97704.000000000015"/>
    <n v="0"/>
    <n v="0"/>
    <n v="6191"/>
    <n v="15122136.600000001"/>
    <n v="176117.64705882355"/>
    <n v="40"/>
    <n v="6151"/>
    <n v="40"/>
    <n v="0"/>
    <n v="0"/>
    <n v="15024432.600000001"/>
    <n v="97704.000000000015"/>
    <n v="0"/>
    <n v="6151"/>
    <n v="15024432.600000001"/>
    <n v="200000"/>
    <n v="24"/>
    <n v="6111"/>
    <n v="24"/>
    <n v="0"/>
    <m/>
    <n v="14926728.600000001"/>
    <n v="63235.186952582299"/>
    <n v="0"/>
    <n v="6111"/>
    <n v="14926728.600000001"/>
    <n v="120000"/>
  </r>
  <r>
    <s v="Lhotse-Audio Menor"/>
    <x v="1"/>
    <x v="10"/>
    <x v="22"/>
    <n v="1564150661249"/>
    <x v="76"/>
    <x v="76"/>
    <x v="0"/>
    <x v="3"/>
    <n v="1"/>
    <x v="61"/>
    <n v="1489"/>
    <n v="1500"/>
    <n v="3363000.0000000005"/>
    <n v="2495.2898093740341"/>
    <n v="3715486.526157937"/>
    <n v="2.3600000000000003"/>
    <n v="2578.3000000000002"/>
    <n v="5000"/>
    <n v="6714.2857142857147"/>
    <s v="Shenzhen"/>
    <x v="2"/>
    <n v="30"/>
    <n v="1000"/>
    <n v="3238"/>
    <n v="0.4762297014601477"/>
    <n v="928"/>
    <n v="0.51244106772798226"/>
    <n v="4022"/>
    <n v="0.47651620193155858"/>
    <n v="1994"/>
    <n v="0.5012280285803149"/>
    <n v="1663"/>
    <n v="0.50212502214840737"/>
    <n v="3320"/>
    <n v="0.47794077583427452"/>
    <n v="2164"/>
    <n v="0.47890124876355694"/>
    <n v="218"/>
    <n v="0.53443321894854756"/>
    <n v="2809"/>
    <n v="0.47366022848366057"/>
    <n v="1641"/>
    <n v="0.42828579260745159"/>
    <n v="2515"/>
    <n v="0.42012603941807863"/>
    <n v="345"/>
    <n v="0.6197023500919836"/>
    <n v="2097"/>
    <n v="0.47569186155193804"/>
    <n v="77"/>
    <n v="0.51313553152189362"/>
    <n v="1978"/>
    <n v="0.47612801883732769"/>
    <n v="95"/>
    <n v="0.50150501215854348"/>
    <n v="0.11176470588235295"/>
    <n v="1661"/>
    <n v="0.5023119709427919"/>
    <n v="0.80241545893719812"/>
    <n v="337"/>
    <n v="0.47782914515520103"/>
    <n v="0.7326086956521739"/>
    <n v="951"/>
    <n v="0.47944343852790366"/>
    <n v="9.51"/>
    <n v="815"/>
    <n v="3586"/>
    <n v="815"/>
    <n v="0"/>
    <n v="0"/>
    <n v="0"/>
    <n v="7257550.4105643779"/>
    <n v="8759163.6000000015"/>
    <n v="2033661.1946398378"/>
    <n v="0"/>
    <n v="1489"/>
    <n v="3715486.526157937"/>
    <n v="3424369.7478991598"/>
    <n v="800"/>
    <n v="3639"/>
    <n v="115.5"/>
    <n v="0"/>
    <n v="0"/>
    <n v="0"/>
    <n v="5460941.7478150735"/>
    <n v="8888621.4000000022"/>
    <n v="288205.97298270091"/>
    <n v="0"/>
    <n v="1489"/>
    <n v="3715486.526157937"/>
    <n v="485294.11764705885"/>
    <n v="1200"/>
    <n v="3558"/>
    <n v="1978"/>
    <n v="0"/>
    <n v="0"/>
    <n v="10228917.774832373"/>
    <n v="8878241.141752813"/>
    <n v="4935683.2429418396"/>
    <n v="0"/>
    <n v="1489"/>
    <n v="3715486.526157937"/>
    <n v="9890000"/>
    <n v="850"/>
    <n v="3507"/>
    <n v="95"/>
    <n v="0"/>
    <n v="0"/>
    <n v="8566198.2000000011"/>
    <n v="237052.53189053325"/>
    <x v="0"/>
    <x v="0"/>
    <n v="1489"/>
    <n v="3715486.526157937"/>
    <n v="475000"/>
    <n v="2070"/>
    <n v="3150"/>
    <n v="2070"/>
    <m/>
    <n v="0"/>
    <n v="0"/>
    <n v="7860162.8995282073"/>
    <n v="5056182.0000000009"/>
    <x v="0"/>
    <n v="0"/>
    <n v="1489"/>
    <n v="3715486.526157937"/>
    <n v="10350000"/>
    <n v="460"/>
    <n v="1826"/>
    <n v="337"/>
    <m/>
    <n v="0"/>
    <n v="0"/>
    <n v="4556399.1919169864"/>
    <n v="823156.20000000007"/>
    <n v="0"/>
    <n v="0"/>
    <n v="1826"/>
    <n v="3715486.526157937"/>
    <n v="1685000"/>
    <n v="100"/>
    <n v="2440"/>
    <n v="100"/>
    <n v="0"/>
    <n v="0"/>
    <n v="0"/>
    <n v="6088507.1348726433"/>
    <n v="244260.00000000003"/>
    <n v="0"/>
    <n v="0"/>
    <n v="2440"/>
    <n v="3715486.526157937"/>
    <n v="500000"/>
    <n v="100"/>
    <n v="2340"/>
    <n v="100"/>
    <n v="1500"/>
    <n v="1500"/>
    <n v="0"/>
    <n v="5838978.1539352397"/>
    <n v="244260.00000000003"/>
    <n v="3663900.0000000005"/>
    <n v="0"/>
    <n v="3840"/>
    <n v="9502878.1539352406"/>
    <n v="500000"/>
    <n v="100"/>
    <n v="2240"/>
    <n v="100"/>
    <n v="0"/>
    <n v="0"/>
    <n v="1500"/>
    <n v="5471424.0000000009"/>
    <n v="244260.00000000003"/>
    <n v="0"/>
    <n v="3663900.0000000005"/>
    <n v="3740"/>
    <n v="9135324.0000000019"/>
    <n v="500000"/>
    <n v="100"/>
    <n v="3640"/>
    <n v="100"/>
    <n v="0"/>
    <n v="0"/>
    <n v="0"/>
    <m/>
    <n v="8891064.0000000019"/>
    <n v="244260.00000000003"/>
    <n v="0"/>
    <n v="0"/>
    <n v="3640"/>
    <n v="8891064.0000000019"/>
    <n v="671428.57142857148"/>
    <n v="100"/>
    <n v="3540"/>
    <n v="100"/>
    <n v="0"/>
    <n v="0"/>
    <n v="8646804.0000000019"/>
    <n v="244260.00000000003"/>
    <n v="0"/>
    <n v="0"/>
    <n v="3540"/>
    <n v="8646804.0000000019"/>
    <n v="705000.00000000012"/>
    <n v="100"/>
    <n v="3440"/>
    <n v="100"/>
    <n v="0"/>
    <n v="0"/>
    <n v="8402544.0000000019"/>
    <n v="244260.00000000003"/>
    <n v="0"/>
    <n v="3440"/>
    <n v="8402544.0000000019"/>
    <n v="500000"/>
    <n v="60"/>
    <n v="3340"/>
    <n v="60"/>
    <n v="0"/>
    <m/>
    <n v="8158284.0000000009"/>
    <n v="149717.38856244204"/>
    <n v="0"/>
    <n v="3340"/>
    <n v="8158284.0000000009"/>
    <n v="300000"/>
  </r>
  <r>
    <s v="Lhotse-Audio Menor"/>
    <x v="1"/>
    <x v="10"/>
    <x v="22"/>
    <n v="1566335721736"/>
    <x v="77"/>
    <x v="77"/>
    <x v="0"/>
    <x v="3"/>
    <n v="1"/>
    <x v="62"/>
    <n v="7060"/>
    <m/>
    <n v="0"/>
    <n v="2554.6767746381811"/>
    <n v="18036018.028945558"/>
    <n v="2.3600000000000003"/>
    <n v="2578.3000000000002"/>
    <n v="5000"/>
    <n v="4193.2773109243699"/>
    <s v="Shenzhen"/>
    <x v="2"/>
    <n v="30"/>
    <n v="1000"/>
    <n v="923"/>
    <n v="0.47614999967610899"/>
    <n v="340"/>
    <n v="0.4947502966438635"/>
    <n v="1240"/>
    <n v="0.48838526498406398"/>
    <n v="1683"/>
    <n v="0.48752210246970012"/>
    <n v="1333"/>
    <n v="0.48752689857460324"/>
    <n v="562"/>
    <n v="0.50902685890794419"/>
    <n v="1466"/>
    <n v="0.46443857911382957"/>
    <n v="-88"/>
    <n v="0.51806567577529383"/>
    <n v="1039"/>
    <n v="0.46040954814366031"/>
    <n v="1604"/>
    <n v="0.44962752164426822"/>
    <n v="1294"/>
    <n v="0.45146586215106083"/>
    <n v="139"/>
    <n v="0.61167201641924662"/>
    <n v="36"/>
    <n v="0.47614999957010307"/>
    <n v="36"/>
    <n v="0.49475027539843874"/>
    <n v="190"/>
    <n v="0.48840686286615514"/>
    <n v="20"/>
    <n v="0.48752210099663901"/>
    <n v="2.7397260273972601E-2"/>
    <n v="17"/>
    <n v="0.48782406739352274"/>
    <n v="4.2500000000000003E-2"/>
    <n v="102"/>
    <n v="0.5081974969822961"/>
    <n v="0.28732394366197184"/>
    <n v="16"/>
    <n v="0.46371645883891299"/>
    <n v="0.32"/>
    <n v="600"/>
    <n v="7096"/>
    <n v="600"/>
    <n v="0"/>
    <n v="1500"/>
    <n v="0"/>
    <n v="2156147.1977946246"/>
    <n v="17332689.600000001"/>
    <n v="1532806.0647829087"/>
    <n v="0"/>
    <n v="7060"/>
    <n v="18036018.028945558"/>
    <n v="2521008.4033613447"/>
    <n v="600"/>
    <n v="6556"/>
    <n v="54"/>
    <n v="0"/>
    <n v="0"/>
    <n v="0"/>
    <n v="674434.66850447981"/>
    <n v="16013685.600000001"/>
    <n v="137952.54583046178"/>
    <n v="0"/>
    <n v="7060"/>
    <n v="18036018.028945558"/>
    <n v="226890.75630252104"/>
    <n v="930"/>
    <n v="6492"/>
    <n v="190"/>
    <n v="0"/>
    <n v="0"/>
    <n v="1513522.1226740181"/>
    <n v="16584961.620951071"/>
    <n v="485388.58718125441"/>
    <n v="0"/>
    <n v="7060"/>
    <n v="18036018.028945558"/>
    <n v="950000"/>
    <n v="730"/>
    <n v="7189"/>
    <n v="20"/>
    <n v="0"/>
    <n v="0"/>
    <n v="17559851.400000002"/>
    <n v="51093.535492763622"/>
    <x v="0"/>
    <x v="0"/>
    <n v="7060"/>
    <n v="18036018.028945558"/>
    <n v="100000"/>
    <n v="400"/>
    <n v="7077"/>
    <n v="400"/>
    <m/>
    <n v="0"/>
    <n v="0"/>
    <n v="18079447.534114409"/>
    <n v="977040.00000000012"/>
    <x v="0"/>
    <n v="0"/>
    <n v="7060"/>
    <n v="18036018.028945558"/>
    <n v="2000000"/>
    <n v="355"/>
    <n v="7162"/>
    <n v="102"/>
    <m/>
    <n v="0"/>
    <n v="0"/>
    <n v="18296595.059958652"/>
    <n v="249145.20000000004"/>
    <n v="0"/>
    <n v="0"/>
    <n v="7162"/>
    <n v="18036018.028945558"/>
    <n v="510000"/>
    <n v="50"/>
    <n v="7076"/>
    <n v="50"/>
    <n v="0"/>
    <n v="0"/>
    <n v="0"/>
    <n v="18076892.85733977"/>
    <n v="122130.00000000001"/>
    <n v="0"/>
    <n v="0"/>
    <n v="7076"/>
    <n v="18036018.028945558"/>
    <n v="250000"/>
    <n v="50"/>
    <n v="7026"/>
    <n v="50"/>
    <n v="0"/>
    <n v="0"/>
    <n v="0"/>
    <n v="17949159.018607859"/>
    <n v="122130.00000000001"/>
    <n v="0"/>
    <n v="0"/>
    <n v="7026"/>
    <n v="17949159.018607859"/>
    <n v="250000"/>
    <n v="50"/>
    <n v="6976"/>
    <n v="50"/>
    <n v="0"/>
    <n v="0"/>
    <m/>
    <n v="17039577.600000001"/>
    <n v="122130.00000000001"/>
    <n v="0"/>
    <n v="0"/>
    <n v="6976"/>
    <n v="17039577.600000001"/>
    <n v="250000"/>
    <n v="50"/>
    <n v="6926"/>
    <n v="50"/>
    <n v="0"/>
    <n v="0"/>
    <n v="0"/>
    <m/>
    <n v="16917447.600000001"/>
    <n v="122130.00000000001"/>
    <n v="0"/>
    <n v="0"/>
    <n v="6926"/>
    <n v="16917447.600000001"/>
    <n v="209663.8655462185"/>
    <n v="50"/>
    <n v="6876"/>
    <n v="50"/>
    <n v="0"/>
    <n v="0"/>
    <n v="16795317.600000001"/>
    <n v="122130.00000000001"/>
    <n v="0"/>
    <n v="0"/>
    <n v="6876"/>
    <n v="16795317.600000001"/>
    <n v="220147.05882352943"/>
    <n v="50"/>
    <n v="6826"/>
    <n v="50"/>
    <n v="0"/>
    <n v="0"/>
    <n v="16673187.600000003"/>
    <n v="122130.00000000001"/>
    <n v="0"/>
    <n v="6826"/>
    <n v="16673187.600000003"/>
    <n v="250000"/>
    <n v="30"/>
    <n v="6776"/>
    <n v="30"/>
    <n v="0"/>
    <m/>
    <n v="16551057.600000003"/>
    <n v="76640.303239145433"/>
    <n v="0"/>
    <n v="6776"/>
    <n v="16551057.600000003"/>
    <n v="150000"/>
  </r>
  <r>
    <s v="Lhotse-Audio Menor"/>
    <x v="1"/>
    <x v="10"/>
    <x v="22"/>
    <n v="1564150627423"/>
    <x v="78"/>
    <x v="78"/>
    <x v="0"/>
    <x v="3"/>
    <n v="1"/>
    <x v="63"/>
    <n v="5254"/>
    <n v="1000"/>
    <n v="2147000"/>
    <n v="2456.5379393064791"/>
    <n v="12906650.333116241"/>
    <n v="2.2599999999999998"/>
    <n v="2469.0499999999997"/>
    <n v="5000"/>
    <n v="6714.2857142857147"/>
    <s v="Shenzhen"/>
    <x v="2"/>
    <n v="30"/>
    <n v="1000"/>
    <n v="2906"/>
    <n v="0.46613455786472002"/>
    <n v="430"/>
    <n v="0.50070493267988858"/>
    <n v="3601"/>
    <n v="0.47064971732761068"/>
    <n v="2076"/>
    <n v="0.49704634352293364"/>
    <n v="1919"/>
    <n v="0.4961229749814805"/>
    <n v="2613"/>
    <n v="0.47282908411375008"/>
    <n v="1554"/>
    <n v="0.47749270260065224"/>
    <n v="151"/>
    <n v="0.5399184642780156"/>
    <n v="1617"/>
    <n v="0.47801498819105359"/>
    <n v="1727"/>
    <n v="0.4506891843273475"/>
    <n v="1667"/>
    <n v="0.446281742476553"/>
    <n v="158"/>
    <n v="0.59510629736921183"/>
    <n v="2067"/>
    <n v="0.46599104563718241"/>
    <n v="43"/>
    <n v="0.50215920956785132"/>
    <n v="1849"/>
    <n v="0.47065812090106313"/>
    <n v="50"/>
    <n v="0.49607663916433992"/>
    <n v="6.1576354679802957E-2"/>
    <n v="23"/>
    <n v="0.49713887983961097"/>
    <n v="1.1192214111922141E-2"/>
    <n v="306"/>
    <n v="0.47221694292647692"/>
    <n v="0.74634146341463414"/>
    <n v="778"/>
    <n v="0.47791902082837195"/>
    <n v="10.373333333333333"/>
    <n v="711"/>
    <n v="7321"/>
    <n v="711"/>
    <n v="0"/>
    <n v="0"/>
    <n v="0"/>
    <n v="6447183.8217098545"/>
    <n v="17124551.099999998"/>
    <n v="1746598.4748469067"/>
    <n v="0"/>
    <n v="5254"/>
    <n v="12906650.333116241"/>
    <n v="2987394.9579831935"/>
    <n v="733"/>
    <n v="4745"/>
    <n v="64.5"/>
    <n v="0"/>
    <n v="0"/>
    <n v="0"/>
    <n v="4823412.2438282715"/>
    <n v="11099029.499999998"/>
    <n v="158446.69708526789"/>
    <n v="0"/>
    <n v="5254"/>
    <n v="12906650.333116241"/>
    <n v="271008.40336134459"/>
    <n v="1060"/>
    <n v="4677"/>
    <n v="1849"/>
    <n v="0"/>
    <n v="0"/>
    <n v="9471816.0467430018"/>
    <n v="11489227.942136403"/>
    <n v="4542138.6497776797"/>
    <n v="0"/>
    <n v="5254"/>
    <n v="12906650.333116241"/>
    <n v="9245000"/>
    <n v="812"/>
    <n v="5592"/>
    <n v="50"/>
    <n v="0"/>
    <n v="0"/>
    <n v="13080247.199999997"/>
    <n v="122826.89696532395"/>
    <x v="0"/>
    <x v="0"/>
    <n v="5254"/>
    <n v="12906650.333116241"/>
    <n v="250000"/>
    <n v="2055"/>
    <n v="5277"/>
    <n v="2055"/>
    <m/>
    <n v="0"/>
    <n v="0"/>
    <n v="12963150.705720291"/>
    <n v="4806850.4999999991"/>
    <x v="0"/>
    <n v="0"/>
    <n v="5254"/>
    <n v="12906650.333116241"/>
    <n v="10275000"/>
    <n v="410"/>
    <n v="5560"/>
    <n v="306"/>
    <m/>
    <n v="0"/>
    <n v="0"/>
    <n v="13658350.942544024"/>
    <n v="715764.59999999986"/>
    <n v="0"/>
    <n v="0"/>
    <n v="5560"/>
    <n v="12906650.333116241"/>
    <n v="1530000"/>
    <n v="75"/>
    <n v="6032"/>
    <n v="75"/>
    <n v="0"/>
    <n v="0"/>
    <n v="0"/>
    <n v="14817836.849896682"/>
    <n v="175432.49999999997"/>
    <n v="0"/>
    <n v="0"/>
    <n v="6032"/>
    <n v="12906650.333116241"/>
    <n v="375000"/>
    <n v="75"/>
    <n v="5957"/>
    <n v="75"/>
    <n v="1000"/>
    <n v="1000"/>
    <n v="0"/>
    <n v="14633596.504448695"/>
    <n v="175432.49999999997"/>
    <n v="2339099.9999999995"/>
    <n v="0"/>
    <n v="6957"/>
    <n v="16972696.504448693"/>
    <n v="375000"/>
    <n v="75"/>
    <n v="5882"/>
    <n v="75"/>
    <n v="0"/>
    <n v="0"/>
    <n v="1000"/>
    <n v="13758586.199999997"/>
    <n v="175432.49999999997"/>
    <n v="0"/>
    <n v="2339099.9999999995"/>
    <n v="6882"/>
    <n v="16097686.199999997"/>
    <n v="375000"/>
    <n v="75"/>
    <n v="6807"/>
    <n v="75"/>
    <n v="0"/>
    <n v="0"/>
    <n v="0"/>
    <m/>
    <n v="15922253.699999996"/>
    <n v="175432.49999999997"/>
    <n v="0"/>
    <n v="0"/>
    <n v="6807"/>
    <n v="15922253.699999996"/>
    <n v="503571.42857142858"/>
    <n v="75"/>
    <n v="6732"/>
    <n v="75"/>
    <n v="0"/>
    <n v="0"/>
    <n v="15746821.199999996"/>
    <n v="175432.49999999997"/>
    <n v="0"/>
    <n v="0"/>
    <n v="6732"/>
    <n v="15746821.199999996"/>
    <n v="528750"/>
    <n v="75"/>
    <n v="6657"/>
    <n v="75"/>
    <n v="0"/>
    <n v="0"/>
    <n v="15571388.699999996"/>
    <n v="175432.49999999997"/>
    <n v="0"/>
    <n v="6657"/>
    <n v="15571388.699999996"/>
    <n v="375000"/>
    <n v="45"/>
    <n v="6582"/>
    <n v="45"/>
    <n v="0"/>
    <m/>
    <n v="15395956.199999996"/>
    <n v="110544.20726879156"/>
    <n v="0"/>
    <n v="6582"/>
    <n v="15395956.199999996"/>
    <n v="225000"/>
  </r>
  <r>
    <s v="Lhotse-Audio Menor"/>
    <x v="1"/>
    <x v="10"/>
    <x v="22"/>
    <n v="1597086499840"/>
    <x v="79"/>
    <x v="79"/>
    <x v="0"/>
    <x v="3"/>
    <n v="1"/>
    <x v="64"/>
    <n v="3290"/>
    <m/>
    <n v="0"/>
    <n v="4699"/>
    <n v="15459710"/>
    <n v="4.6000000000000005"/>
    <n v="5025.5000000000009"/>
    <n v="9500"/>
    <n v="8394.957983193277"/>
    <s v="Shenzhen"/>
    <x v="2"/>
    <n v="30"/>
    <n v="1000"/>
    <n v="878"/>
    <n v="0.44192751057368374"/>
    <n v="527"/>
    <n v="0.45360518463349336"/>
    <n v="916"/>
    <n v="0.44900112996268898"/>
    <n v="1237"/>
    <n v="0.46239361152244507"/>
    <n v="1193"/>
    <n v="0.47235538171540353"/>
    <n v="517"/>
    <n v="0.4855970668755209"/>
    <n v="1388"/>
    <n v="0.46345712606543282"/>
    <n v="586"/>
    <n v="0.46785466869690401"/>
    <n v="660"/>
    <n v="0.45480793569031991"/>
    <n v="1791"/>
    <n v="0.44760622306153591"/>
    <n v="1434"/>
    <n v="0.45161849694818351"/>
    <n v="156"/>
    <n v="0.53224476648679619"/>
    <n v="98"/>
    <n v="0.43938039889912733"/>
    <n v="57"/>
    <n v="0.45352843732179127"/>
    <n v="507"/>
    <n v="0.44900112228420119"/>
    <n v="532"/>
    <n v="0.46214287688698297"/>
    <n v="0.96727272727272728"/>
    <n v="106"/>
    <n v="0.47292448230145651"/>
    <n v="0.21199999999999999"/>
    <n v="452"/>
    <n v="0.48543418585442899"/>
    <n v="0.83703703703703702"/>
    <n v="36"/>
    <n v="0.46396935555098501"/>
    <n v="0.51428571428571423"/>
    <n v="740"/>
    <n v="2408"/>
    <n v="740"/>
    <n v="0"/>
    <n v="0"/>
    <n v="0"/>
    <n v="6261417.5"/>
    <n v="11464488.000000002"/>
    <n v="3477260"/>
    <n v="0"/>
    <n v="3290"/>
    <n v="15459710"/>
    <n v="5907563.0252100844"/>
    <n v="680"/>
    <n v="2455"/>
    <n v="85.5"/>
    <n v="0"/>
    <n v="0"/>
    <n v="0"/>
    <n v="5284025.5"/>
    <n v="11688255.000000002"/>
    <n v="401764.5"/>
    <n v="0"/>
    <n v="3290"/>
    <n v="15459710"/>
    <n v="682563.02521008404"/>
    <n v="750"/>
    <n v="2377"/>
    <n v="507"/>
    <n v="0"/>
    <n v="0"/>
    <n v="7262761"/>
    <n v="11169523"/>
    <n v="2382393"/>
    <n v="0"/>
    <n v="3290"/>
    <n v="15459710"/>
    <n v="4816500"/>
    <n v="550"/>
    <n v="3364"/>
    <n v="532"/>
    <n v="1500"/>
    <n v="0"/>
    <n v="16016004.000000004"/>
    <n v="2499868"/>
    <x v="33"/>
    <x v="0"/>
    <n v="3290"/>
    <n v="15459710"/>
    <n v="5054000"/>
    <n v="500"/>
    <n v="3396"/>
    <n v="500"/>
    <m/>
    <n v="0"/>
    <n v="0"/>
    <n v="15957804"/>
    <n v="2380500.0000000005"/>
    <x v="0"/>
    <n v="0"/>
    <n v="3290"/>
    <n v="15459710"/>
    <n v="4750000"/>
    <n v="540"/>
    <n v="3742"/>
    <n v="452"/>
    <m/>
    <n v="0"/>
    <n v="0"/>
    <n v="17583658"/>
    <n v="2151972.0000000005"/>
    <n v="0"/>
    <n v="0"/>
    <n v="3742"/>
    <n v="15459710"/>
    <n v="4294000"/>
    <n v="70"/>
    <n v="3326"/>
    <n v="70"/>
    <n v="1000"/>
    <n v="1000"/>
    <n v="0"/>
    <n v="15628874"/>
    <n v="333270.00000000006"/>
    <n v="4602300"/>
    <n v="0"/>
    <n v="3326"/>
    <n v="15459710"/>
    <n v="665000"/>
    <n v="70"/>
    <n v="3256"/>
    <n v="70"/>
    <n v="0"/>
    <n v="0"/>
    <n v="0"/>
    <n v="15299944"/>
    <n v="333270.00000000006"/>
    <n v="0"/>
    <n v="0"/>
    <n v="3256"/>
    <n v="15299944"/>
    <n v="665000"/>
    <n v="70"/>
    <n v="3186"/>
    <n v="70"/>
    <n v="0"/>
    <n v="0"/>
    <m/>
    <n v="15168546.000000004"/>
    <n v="333270.00000000006"/>
    <n v="0"/>
    <n v="0"/>
    <n v="3186"/>
    <n v="15168546.000000004"/>
    <n v="665000"/>
    <n v="70"/>
    <n v="3116"/>
    <n v="70"/>
    <n v="0"/>
    <n v="0"/>
    <n v="0"/>
    <m/>
    <n v="14835276.000000004"/>
    <n v="333270.00000000006"/>
    <n v="0"/>
    <n v="0"/>
    <n v="3116"/>
    <n v="14835276.000000004"/>
    <n v="587647.0588235294"/>
    <n v="70"/>
    <n v="3046"/>
    <n v="70"/>
    <n v="0"/>
    <n v="0"/>
    <n v="14502006.000000002"/>
    <n v="333270.00000000006"/>
    <n v="0"/>
    <n v="0"/>
    <n v="3046"/>
    <n v="14502006.000000002"/>
    <n v="617029.4117647059"/>
    <n v="70"/>
    <n v="2976"/>
    <n v="70"/>
    <n v="0"/>
    <n v="0"/>
    <n v="14168736.000000002"/>
    <n v="333270.00000000006"/>
    <n v="0"/>
    <n v="2976"/>
    <n v="14168736.000000002"/>
    <n v="665000"/>
    <n v="42"/>
    <n v="2906"/>
    <n v="42"/>
    <n v="0"/>
    <m/>
    <n v="13835466.000000002"/>
    <n v="197358"/>
    <n v="0"/>
    <n v="2906"/>
    <n v="13835466.000000002"/>
    <n v="399000"/>
  </r>
  <r>
    <s v="Lhotse-Audio Menor"/>
    <x v="1"/>
    <x v="10"/>
    <x v="22"/>
    <n v="1597098592591"/>
    <x v="80"/>
    <x v="80"/>
    <x v="0"/>
    <x v="3"/>
    <n v="1"/>
    <x v="65"/>
    <n v="2558"/>
    <m/>
    <n v="0"/>
    <n v="4740.8735006321704"/>
    <n v="12127154.414617091"/>
    <n v="5.1000000000000005"/>
    <n v="5571.7500000000009"/>
    <n v="9500"/>
    <n v="10915.966386554623"/>
    <s v="Shenzhen"/>
    <x v="2"/>
    <n v="30"/>
    <n v="1000"/>
    <n v="750"/>
    <n v="0.42042381189621159"/>
    <n v="746"/>
    <n v="0.41154906433315458"/>
    <n v="1293"/>
    <n v="0.40508221399901945"/>
    <n v="1399"/>
    <n v="0.42414343638663127"/>
    <n v="1596"/>
    <n v="0.41807872417997105"/>
    <n v="742"/>
    <n v="0.40961500339793711"/>
    <n v="1744"/>
    <n v="0.40805311105992992"/>
    <n v="263"/>
    <n v="0.4272646742086561"/>
    <n v="899"/>
    <n v="0.4117679202485105"/>
    <n v="1776"/>
    <n v="0.41007843079328249"/>
    <n v="2509"/>
    <n v="0.41653260475625586"/>
    <n v="187"/>
    <n v="0.48767151423706484"/>
    <n v="104"/>
    <n v="0.41842372951729828"/>
    <n v="83"/>
    <n v="0.4112356593422366"/>
    <n v="594"/>
    <n v="0.40448480593003611"/>
    <n v="113"/>
    <n v="0.42466372570123051"/>
    <n v="0.14124999999999999"/>
    <n v="1452"/>
    <n v="0.41797476593914235"/>
    <n v="2.5034482758620689"/>
    <n v="424"/>
    <n v="0.40976895699067284"/>
    <n v="0.70082644628099178"/>
    <n v="36"/>
    <n v="0.40775109610982835"/>
    <n v="0.36"/>
    <n v="900"/>
    <n v="2882"/>
    <n v="900"/>
    <n v="0"/>
    <n v="0"/>
    <n v="0"/>
    <n v="7673103.760773167"/>
    <n v="15212637.000000002"/>
    <n v="4266786.1505689537"/>
    <n v="0"/>
    <n v="2558"/>
    <n v="12127154.414617091"/>
    <n v="7184873.9495798321"/>
    <n v="880"/>
    <n v="2755"/>
    <n v="124.5"/>
    <n v="1000"/>
    <n v="1000"/>
    <n v="0"/>
    <n v="3942036.3157756496"/>
    <n v="14542267.500000002"/>
    <n v="590238.75082870526"/>
    <n v="0"/>
    <n v="2558"/>
    <n v="12127154.414617091"/>
    <n v="993907.56302521017"/>
    <n v="900"/>
    <n v="3152"/>
    <n v="594"/>
    <n v="0"/>
    <n v="0"/>
    <n v="6413327.5649469448"/>
    <n v="14943233.273992602"/>
    <n v="2816078.859375509"/>
    <n v="0"/>
    <n v="2558"/>
    <n v="12127154.414617091"/>
    <n v="5643000"/>
    <n v="800"/>
    <n v="4562"/>
    <n v="113"/>
    <n v="1500"/>
    <n v="0"/>
    <n v="24080517.000000004"/>
    <n v="535718.70557143528"/>
    <x v="34"/>
    <x v="0"/>
    <n v="2558"/>
    <n v="12127154.414617091"/>
    <n v="1073500"/>
    <n v="580"/>
    <n v="4010"/>
    <n v="580"/>
    <m/>
    <n v="0"/>
    <n v="0"/>
    <n v="19010902.737535004"/>
    <n v="3061530.0000000005"/>
    <x v="0"/>
    <n v="0"/>
    <n v="2558"/>
    <n v="12127154.414617091"/>
    <n v="5510000"/>
    <n v="605"/>
    <n v="2982"/>
    <n v="424"/>
    <m/>
    <n v="0"/>
    <n v="0"/>
    <n v="14137284.778885132"/>
    <n v="2238084.0000000005"/>
    <n v="0"/>
    <n v="0"/>
    <n v="2982"/>
    <n v="12127154.414617091"/>
    <n v="4028000"/>
    <n v="100"/>
    <n v="2594"/>
    <n v="100"/>
    <n v="0"/>
    <n v="0"/>
    <n v="0"/>
    <n v="12297825.86063985"/>
    <n v="527850.00000000012"/>
    <n v="0"/>
    <n v="0"/>
    <n v="2594"/>
    <n v="12127154.414617091"/>
    <n v="950000"/>
    <n v="100"/>
    <n v="2494"/>
    <n v="100"/>
    <n v="0"/>
    <n v="0"/>
    <n v="0"/>
    <n v="11823738.510576634"/>
    <n v="527850.00000000012"/>
    <n v="0"/>
    <n v="0"/>
    <n v="2494"/>
    <n v="11823738.510576634"/>
    <n v="950000"/>
    <n v="100"/>
    <n v="2394"/>
    <n v="100"/>
    <n v="0"/>
    <n v="0"/>
    <m/>
    <n v="12636729.000000002"/>
    <n v="527850.00000000012"/>
    <n v="0"/>
    <n v="0"/>
    <n v="2394"/>
    <n v="12636729.000000002"/>
    <n v="950000"/>
    <n v="100"/>
    <n v="2294"/>
    <n v="100"/>
    <n v="0"/>
    <n v="0"/>
    <n v="0"/>
    <m/>
    <n v="12108879.000000002"/>
    <n v="527850.00000000012"/>
    <n v="0"/>
    <n v="0"/>
    <n v="2294"/>
    <n v="12108879.000000002"/>
    <n v="1091596.6386554623"/>
    <n v="100"/>
    <n v="2194"/>
    <n v="100"/>
    <n v="0"/>
    <n v="0"/>
    <n v="11581029.000000002"/>
    <n v="527850.00000000012"/>
    <n v="0"/>
    <n v="0"/>
    <n v="2194"/>
    <n v="11581029.000000002"/>
    <n v="1146176.4705882354"/>
    <n v="100"/>
    <n v="2094"/>
    <n v="100"/>
    <n v="0"/>
    <n v="0"/>
    <n v="11053179.000000002"/>
    <n v="527850.00000000012"/>
    <n v="0"/>
    <n v="2094"/>
    <n v="11053179.000000002"/>
    <n v="950000"/>
    <n v="60"/>
    <n v="1994"/>
    <n v="60"/>
    <n v="0"/>
    <m/>
    <n v="10525329.000000002"/>
    <n v="284452.41003793024"/>
    <n v="0"/>
    <n v="1994"/>
    <n v="10525329.000000002"/>
    <n v="570000"/>
  </r>
  <r>
    <s v="Lhotse-Audio Menor"/>
    <x v="1"/>
    <x v="10"/>
    <x v="22"/>
    <n v="68658866289861"/>
    <x v="81"/>
    <x v="81"/>
    <x v="0"/>
    <x v="3"/>
    <n v="1"/>
    <x v="66"/>
    <n v="3142"/>
    <m/>
    <n v="0"/>
    <n v="4470.153944020356"/>
    <n v="14045223.692111958"/>
    <n v="5.1000000000000005"/>
    <n v="5571.7500000000009"/>
    <n v="9500"/>
    <n v="8394.957983193277"/>
    <s v="Shenzhen"/>
    <x v="2"/>
    <n v="30"/>
    <n v="1000"/>
    <n v="512"/>
    <n v="0.37797186152332846"/>
    <n v="381"/>
    <n v="0.38396113829305739"/>
    <n v="436"/>
    <n v="0.38347134092993979"/>
    <n v="1259"/>
    <n v="0.37571561944047188"/>
    <n v="440"/>
    <n v="0.39516455285870555"/>
    <n v="329"/>
    <n v="0.3851175140475353"/>
    <n v="1140"/>
    <n v="0.37637170553945332"/>
    <n v="140"/>
    <n v="0.38578335804593983"/>
    <n v="426"/>
    <n v="0.38288873955175734"/>
    <n v="985"/>
    <n v="0.38236150928340201"/>
    <n v="1908"/>
    <n v="0.3930169852760671"/>
    <n v="95"/>
    <n v="0.47818351292994699"/>
    <n v="585"/>
    <n v="0.37831751693195531"/>
    <n v="22"/>
    <n v="0.38396110344784357"/>
    <n v="302"/>
    <n v="0.38347134173482494"/>
    <n v="28"/>
    <n v="0.37571562063959946"/>
    <n v="5.6000000000000001E-2"/>
    <n v="43"/>
    <n v="0.39510521090853251"/>
    <n v="0.11315789473684211"/>
    <n v="42"/>
    <n v="0.38448815417652565"/>
    <n v="0.12"/>
    <n v="12"/>
    <n v="0.37662943591338527"/>
    <n v="0.24"/>
    <n v="580"/>
    <n v="1154"/>
    <n v="580"/>
    <n v="0"/>
    <n v="0"/>
    <n v="0"/>
    <n v="4090190.8587786257"/>
    <n v="6091389.0000000009"/>
    <n v="2592689.2875318066"/>
    <n v="0"/>
    <n v="3142"/>
    <n v="14045223.692111958"/>
    <n v="4630252.1008403366"/>
    <n v="520"/>
    <n v="587"/>
    <n v="33"/>
    <n v="1000"/>
    <n v="1000"/>
    <n v="0"/>
    <n v="1622665.8816793894"/>
    <n v="3098479.5000000005"/>
    <n v="147515.08015267176"/>
    <n v="0"/>
    <n v="3142"/>
    <n v="14045223.692111958"/>
    <n v="263445.37815126049"/>
    <n v="590"/>
    <n v="3444"/>
    <n v="302"/>
    <n v="0"/>
    <n v="0"/>
    <n v="3480980.8015267178"/>
    <n v="15395210.183206106"/>
    <n v="1349986.4910941476"/>
    <n v="0"/>
    <n v="3142"/>
    <n v="14045223.692111958"/>
    <n v="2869000"/>
    <n v="500"/>
    <n v="2249"/>
    <n v="28"/>
    <n v="1000"/>
    <n v="0"/>
    <n v="11871346.500000002"/>
    <n v="125164.31043256997"/>
    <x v="35"/>
    <x v="0"/>
    <n v="3142"/>
    <n v="14045223.692111958"/>
    <n v="266000"/>
    <n v="380"/>
    <n v="3185"/>
    <n v="380"/>
    <m/>
    <n v="0"/>
    <n v="0"/>
    <n v="14237440.311704833"/>
    <n v="2005830.0000000002"/>
    <x v="0"/>
    <n v="0"/>
    <n v="3142"/>
    <n v="14045223.692111958"/>
    <n v="3610000"/>
    <n v="350"/>
    <n v="3184"/>
    <n v="42"/>
    <m/>
    <n v="0"/>
    <n v="0"/>
    <n v="14232970.157760814"/>
    <n v="221697.00000000003"/>
    <n v="0"/>
    <n v="0"/>
    <n v="3184"/>
    <n v="14045223.692111958"/>
    <n v="399000"/>
    <n v="50"/>
    <n v="3154"/>
    <n v="50"/>
    <n v="1000"/>
    <n v="1000"/>
    <n v="0"/>
    <n v="14098865.539440203"/>
    <n v="263925.00000000006"/>
    <n v="5102550.0000000009"/>
    <n v="0"/>
    <n v="3154"/>
    <n v="14045223.692111958"/>
    <n v="475000"/>
    <n v="50"/>
    <n v="3104"/>
    <n v="50"/>
    <n v="0"/>
    <n v="0"/>
    <n v="0"/>
    <n v="13875357.842239184"/>
    <n v="263925.00000000006"/>
    <n v="0"/>
    <n v="0"/>
    <n v="3104"/>
    <n v="13875357.842239184"/>
    <n v="475000"/>
    <n v="50"/>
    <n v="3054"/>
    <n v="50"/>
    <n v="0"/>
    <n v="0"/>
    <m/>
    <n v="16120539.000000002"/>
    <n v="263925.00000000006"/>
    <n v="0"/>
    <n v="0"/>
    <n v="3054"/>
    <n v="16120539.000000002"/>
    <n v="475000"/>
    <n v="50"/>
    <n v="3004"/>
    <n v="50"/>
    <n v="0"/>
    <n v="0"/>
    <n v="0"/>
    <m/>
    <n v="15856614.000000002"/>
    <n v="263925.00000000006"/>
    <n v="0"/>
    <n v="0"/>
    <n v="3004"/>
    <n v="15856614.000000002"/>
    <n v="419747.89915966382"/>
    <n v="50"/>
    <n v="2954"/>
    <n v="50"/>
    <n v="0"/>
    <n v="0"/>
    <n v="15592689.000000002"/>
    <n v="263925.00000000006"/>
    <n v="0"/>
    <n v="0"/>
    <n v="2954"/>
    <n v="15592689.000000002"/>
    <n v="440735.29411764705"/>
    <n v="50"/>
    <n v="2904"/>
    <n v="50"/>
    <n v="0"/>
    <n v="0"/>
    <n v="15328764.000000002"/>
    <n v="263925.00000000006"/>
    <n v="0"/>
    <n v="2904"/>
    <n v="15328764.000000002"/>
    <n v="475000"/>
    <n v="30"/>
    <n v="2854"/>
    <n v="30"/>
    <n v="0"/>
    <m/>
    <n v="15064839.000000002"/>
    <n v="134104.61832061067"/>
    <n v="0"/>
    <n v="2854"/>
    <n v="15064839.000000002"/>
    <n v="285000"/>
  </r>
  <r>
    <s v="Lhotse-Audio Menor"/>
    <x v="1"/>
    <x v="10"/>
    <x v="22"/>
    <n v="68658868763602"/>
    <x v="82"/>
    <x v="82"/>
    <x v="0"/>
    <x v="3"/>
    <n v="1"/>
    <x v="67"/>
    <n v="2690"/>
    <m/>
    <n v="0"/>
    <n v="4453.0879541108989"/>
    <n v="11978806.596558318"/>
    <n v="5.1000000000000005"/>
    <n v="5571.7500000000009"/>
    <n v="9500"/>
    <n v="8394.957983193277"/>
    <s v="Shenzhen"/>
    <x v="2"/>
    <n v="30"/>
    <n v="1000"/>
    <n v="503"/>
    <n v="0.36063693446944595"/>
    <n v="313"/>
    <n v="0.36538596106798604"/>
    <n v="429"/>
    <n v="0.37209946255552689"/>
    <n v="969"/>
    <n v="0.36920122574542341"/>
    <n v="464"/>
    <n v="0.3743090273595796"/>
    <n v="318"/>
    <n v="0.37359735637474911"/>
    <n v="1171"/>
    <n v="0.36769437369775343"/>
    <n v="152"/>
    <n v="0.37689043921453103"/>
    <n v="302"/>
    <n v="0.3721319034793662"/>
    <n v="921"/>
    <n v="0.36860097364756084"/>
    <n v="2206"/>
    <n v="0.38740410383508828"/>
    <n v="58"/>
    <n v="0.41894949243824681"/>
    <n v="2"/>
    <n v="0.36108705119563589"/>
    <n v="4"/>
    <n v="0.36538587266236694"/>
    <n v="253"/>
    <n v="0.3724959149876384"/>
    <n v="23"/>
    <n v="0.36920122601966354"/>
    <n v="5.1111111111111114E-2"/>
    <n v="12"/>
    <n v="0.37460709441315088"/>
    <n v="2.553191489361702E-2"/>
    <n v="30"/>
    <n v="0.3718362784340129"/>
    <n v="7.0588235294117646E-2"/>
    <n v="5"/>
    <n v="0.36718560380040238"/>
    <n v="0.125"/>
    <n v="0"/>
    <n v="17"/>
    <n v="0"/>
    <n v="0"/>
    <n v="0"/>
    <n v="0"/>
    <n v="1153349.7801147227"/>
    <n v="89734.500000000015"/>
    <n v="0"/>
    <n v="0"/>
    <n v="2690"/>
    <n v="11978806.596558318"/>
    <n v="0"/>
    <n v="500"/>
    <n v="22"/>
    <n v="6"/>
    <n v="500"/>
    <n v="500"/>
    <n v="0"/>
    <n v="1255770.8030592734"/>
    <n v="116127.00000000001"/>
    <n v="26718.527724665393"/>
    <n v="0"/>
    <n v="2690"/>
    <n v="11978806.596558318"/>
    <n v="47899.159663865546"/>
    <n v="500"/>
    <n v="2943"/>
    <n v="253"/>
    <n v="0"/>
    <n v="0"/>
    <n v="3709947.2753346087"/>
    <n v="13105437.848948376"/>
    <n v="1126631.2523900573"/>
    <n v="0"/>
    <n v="2690"/>
    <n v="11978806.596558318"/>
    <n v="2403500"/>
    <n v="450"/>
    <n v="1735"/>
    <n v="23"/>
    <n v="1500"/>
    <n v="0"/>
    <n v="9158197.5000000019"/>
    <n v="102421.02294455067"/>
    <x v="34"/>
    <x v="0"/>
    <n v="2690"/>
    <n v="11978806.596558318"/>
    <n v="218500"/>
    <n v="470"/>
    <n v="2702"/>
    <n v="470"/>
    <m/>
    <n v="0"/>
    <n v="0"/>
    <n v="12032243.652007649"/>
    <n v="2480895.0000000005"/>
    <x v="0"/>
    <n v="0"/>
    <n v="2690"/>
    <n v="11978806.596558318"/>
    <n v="4465000"/>
    <n v="425"/>
    <n v="2720"/>
    <n v="30"/>
    <m/>
    <n v="0"/>
    <n v="0"/>
    <n v="12112399.235181645"/>
    <n v="158355.00000000003"/>
    <n v="0"/>
    <n v="0"/>
    <n v="2720"/>
    <n v="11978806.596558318"/>
    <n v="285000"/>
    <n v="40"/>
    <n v="2695"/>
    <n v="40"/>
    <n v="1000"/>
    <n v="1000"/>
    <n v="0"/>
    <n v="12001072.036328873"/>
    <n v="211140.00000000003"/>
    <n v="5102550.0000000009"/>
    <n v="0"/>
    <n v="2695"/>
    <n v="11978806.596558318"/>
    <n v="380000"/>
    <n v="40"/>
    <n v="2655"/>
    <n v="40"/>
    <n v="0"/>
    <n v="0"/>
    <n v="0"/>
    <n v="11822948.518164437"/>
    <n v="211140.00000000003"/>
    <n v="0"/>
    <n v="0"/>
    <n v="2655"/>
    <n v="11822948.518164437"/>
    <n v="380000"/>
    <n v="40"/>
    <n v="2615"/>
    <n v="40"/>
    <n v="0"/>
    <n v="0"/>
    <m/>
    <n v="13803277.500000002"/>
    <n v="211140.00000000003"/>
    <n v="0"/>
    <n v="0"/>
    <n v="2615"/>
    <n v="13803277.500000002"/>
    <n v="380000"/>
    <n v="40"/>
    <n v="2575"/>
    <n v="40"/>
    <n v="0"/>
    <n v="0"/>
    <n v="0"/>
    <m/>
    <n v="13592137.500000002"/>
    <n v="211140.00000000003"/>
    <n v="0"/>
    <n v="0"/>
    <n v="2575"/>
    <n v="13592137.500000002"/>
    <n v="335798.31932773109"/>
    <n v="40"/>
    <n v="2535"/>
    <n v="40"/>
    <n v="0"/>
    <n v="0"/>
    <n v="13380997.500000002"/>
    <n v="211140.00000000003"/>
    <n v="0"/>
    <n v="0"/>
    <n v="2535"/>
    <n v="13380997.500000002"/>
    <n v="352588.23529411765"/>
    <n v="40"/>
    <n v="2495"/>
    <n v="40"/>
    <n v="0"/>
    <n v="0"/>
    <n v="13169857.500000002"/>
    <n v="211140.00000000003"/>
    <n v="0"/>
    <n v="2495"/>
    <n v="13169857.500000002"/>
    <n v="380000"/>
    <n v="24"/>
    <n v="2455"/>
    <n v="24"/>
    <n v="0"/>
    <m/>
    <n v="12958717.500000002"/>
    <n v="106874.11089866157"/>
    <n v="0"/>
    <n v="2455"/>
    <n v="12958717.500000002"/>
    <n v="228000"/>
  </r>
  <r>
    <s v="Lhotse-Audio Menor"/>
    <x v="1"/>
    <x v="10"/>
    <x v="22"/>
    <s v="LHHEDBEMA"/>
    <x v="83"/>
    <x v="83"/>
    <x v="0"/>
    <x v="3"/>
    <n v="1"/>
    <x v="68"/>
    <n v="729"/>
    <m/>
    <n v="0"/>
    <n v="9453"/>
    <n v="6891237"/>
    <n v="8.1999999999999993"/>
    <n v="8958.4999999999982"/>
    <n v="18478.991596638658"/>
    <n v="16798.319327731093"/>
    <s v="Shenzhen"/>
    <x v="0"/>
    <n v="45"/>
    <n v="1000"/>
    <n v="15"/>
    <n v="0.57716814858587795"/>
    <n v="41"/>
    <n v="0.53836380802557326"/>
    <n v="97"/>
    <n v="0.543617731238349"/>
    <n v="80"/>
    <n v="0.52588805480129031"/>
    <n v="81"/>
    <n v="0.36770225199290812"/>
    <n v="95"/>
    <n v="0.49714261034929719"/>
    <n v="141"/>
    <n v="0.48347790497223714"/>
    <n v="54"/>
    <n v="0.51417764402670807"/>
    <n v="46"/>
    <n v="0.51600438605507093"/>
    <n v="243"/>
    <n v="0.44574049603326421"/>
    <n v="145"/>
    <n v="0.47485378359930647"/>
    <n v="244"/>
    <n v="0.46721255963193242"/>
    <n v="91"/>
    <s v=""/>
    <n v="172"/>
    <s v=""/>
    <n v="134"/>
    <s v=""/>
    <n v="46"/>
    <s v=""/>
    <n v="0.51111111111111107"/>
    <n v="121"/>
    <s v=""/>
    <n v="1.4235294117647059"/>
    <n v="205"/>
    <s v=""/>
    <n v="1.0249999999999999"/>
    <n v="16"/>
    <s v=""/>
    <n v="0.13333333333333333"/>
    <n v="80"/>
    <n v="490"/>
    <n v="80"/>
    <n v="0"/>
    <n v="0"/>
    <n v="0"/>
    <n v="4461816"/>
    <n v="4158629.9999999991"/>
    <n v="756240"/>
    <n v="0"/>
    <n v="729"/>
    <n v="6891237"/>
    <n v="1242285.1493538595"/>
    <n v="70"/>
    <n v="388"/>
    <n v="258"/>
    <n v="0"/>
    <n v="0"/>
    <n v="0"/>
    <n v="4140414"/>
    <n v="3292955.9999999991"/>
    <n v="2438874"/>
    <n v="0"/>
    <n v="729"/>
    <n v="6891237"/>
    <n v="4006369.6066661966"/>
    <n v="200"/>
    <n v="149"/>
    <n v="134"/>
    <n v="0"/>
    <n v="0"/>
    <n v="2422935"/>
    <n v="1408497"/>
    <n v="1266702"/>
    <n v="0"/>
    <n v="729"/>
    <n v="6891237"/>
    <n v="2476184.8739495804"/>
    <n v="90"/>
    <n v="580"/>
    <n v="46"/>
    <n v="1000"/>
    <n v="0"/>
    <n v="4922459.9999999991"/>
    <n v="434838"/>
    <x v="36"/>
    <x v="0"/>
    <n v="729"/>
    <n v="6891237"/>
    <n v="850033.61344537826"/>
    <n v="85"/>
    <n v="850"/>
    <n v="85"/>
    <m/>
    <n v="1000"/>
    <n v="0"/>
    <n v="8035050"/>
    <n v="721394.99999999988"/>
    <x v="0"/>
    <n v="0"/>
    <n v="729"/>
    <n v="6891237"/>
    <n v="1570714.2857142859"/>
    <n v="200"/>
    <n v="934"/>
    <n v="205"/>
    <m/>
    <n v="500"/>
    <n v="0"/>
    <n v="8829102"/>
    <n v="1739834.9999999995"/>
    <n v="0"/>
    <n v="0"/>
    <n v="934"/>
    <n v="6891237"/>
    <n v="3788193.2773109251"/>
    <n v="120"/>
    <n v="745"/>
    <n v="120"/>
    <n v="0"/>
    <n v="0"/>
    <n v="0"/>
    <n v="7042485"/>
    <n v="1018439.9999999998"/>
    <n v="0"/>
    <n v="0"/>
    <n v="745"/>
    <n v="6891237"/>
    <n v="2217478.9915966392"/>
    <n v="120"/>
    <n v="625"/>
    <n v="120"/>
    <n v="0"/>
    <n v="0"/>
    <n v="0"/>
    <n v="5908125"/>
    <n v="1018439.9999999998"/>
    <n v="0"/>
    <n v="0"/>
    <n v="625"/>
    <n v="5908125"/>
    <n v="2217478.9915966392"/>
    <n v="80"/>
    <n v="505"/>
    <n v="80"/>
    <n v="0"/>
    <n v="0"/>
    <m/>
    <n v="4285934.9999999991"/>
    <n v="678959.99999999988"/>
    <n v="0"/>
    <n v="0"/>
    <n v="505"/>
    <n v="4285934.9999999991"/>
    <n v="1478319.3277310927"/>
    <n v="250"/>
    <n v="425"/>
    <n v="250"/>
    <n v="0"/>
    <n v="0"/>
    <n v="0"/>
    <m/>
    <n v="3606974.9999999991"/>
    <n v="2121749.9999999995"/>
    <n v="0"/>
    <n v="0"/>
    <n v="425"/>
    <n v="3606974.9999999991"/>
    <n v="4199579.8319327729"/>
    <n v="150"/>
    <n v="175"/>
    <n v="150"/>
    <n v="0"/>
    <n v="0"/>
    <n v="1485224.9999999998"/>
    <n v="1273049.9999999998"/>
    <n v="0"/>
    <n v="0"/>
    <n v="175"/>
    <n v="1485224.9999999998"/>
    <n v="2645735.2941176472"/>
    <n v="250"/>
    <n v="25"/>
    <n v="250"/>
    <n v="0"/>
    <n v="0"/>
    <n v="212174.99999999994"/>
    <n v="2121749.9999999995"/>
    <n v="0"/>
    <n v="25"/>
    <n v="212174.99999999994"/>
    <n v="4619747.8991596643"/>
    <n v="90"/>
    <n v="0"/>
    <n v="90"/>
    <n v="0"/>
    <m/>
    <n v="0"/>
    <n v="850770"/>
    <n v="0"/>
    <n v="0"/>
    <n v="0"/>
    <n v="1663109.2436974791"/>
  </r>
  <r>
    <s v="Lhotse-Audio Menor"/>
    <x v="1"/>
    <x v="10"/>
    <x v="22"/>
    <s v="LHHEDBEMA"/>
    <x v="84"/>
    <x v="84"/>
    <x v="0"/>
    <x v="3"/>
    <n v="0.8"/>
    <x v="69"/>
    <n v="36"/>
    <m/>
    <n v="0"/>
    <n v="9467"/>
    <n v="340812"/>
    <n v="8.1999999999999993"/>
    <n v="8958.4999999999982"/>
    <n v="18478.991596638658"/>
    <n v="16798.319327731093"/>
    <s v="Shenzhen"/>
    <x v="0"/>
    <n v="45"/>
    <n v="1000"/>
    <n v="11"/>
    <n v="0.58926591175322152"/>
    <n v="11"/>
    <n v="0.51496003688902559"/>
    <n v="27"/>
    <n v="0.56103810037368762"/>
    <n v="31"/>
    <n v="0.51100888249809606"/>
    <n v="29"/>
    <n v="0.40762119195009688"/>
    <n v="57"/>
    <n v="0.47648779435651845"/>
    <n v="32"/>
    <n v="0.4337852118137282"/>
    <n v="37"/>
    <n v="0.53402145141046986"/>
    <n v="50"/>
    <n v="0.35869651471292974"/>
    <n v="108"/>
    <n v="0.45199801943708445"/>
    <n v="61"/>
    <n v="0.49611924917151357"/>
    <n v="86"/>
    <n v="0.48487515160875366"/>
    <n v="25"/>
    <s v=""/>
    <n v="27"/>
    <s v=""/>
    <n v="123"/>
    <s v=""/>
    <n v="18"/>
    <s v=""/>
    <n v="0.51428571428571423"/>
    <n v="22"/>
    <s v=""/>
    <n v="0.52380952380952384"/>
    <n v="26"/>
    <s v=""/>
    <n v="0.47272727272727272"/>
    <n v="5"/>
    <s v=""/>
    <n v="8.3333333333333329E-2"/>
    <n v="35"/>
    <n v="250"/>
    <n v="35"/>
    <n v="0"/>
    <n v="0"/>
    <n v="0"/>
    <n v="1879199.5"/>
    <n v="2121749.9999999995"/>
    <n v="331345"/>
    <n v="0"/>
    <n v="36"/>
    <n v="340812"/>
    <n v="543499.75284231349"/>
    <n v="35"/>
    <n v="237"/>
    <n v="40.5"/>
    <n v="0"/>
    <n v="0"/>
    <n v="0"/>
    <n v="1718260.5"/>
    <n v="2011418.9999999995"/>
    <n v="383413.5"/>
    <n v="0"/>
    <n v="36"/>
    <n v="340812"/>
    <n v="628906.85686039133"/>
    <n v="55"/>
    <n v="199"/>
    <n v="123"/>
    <n v="0"/>
    <n v="0"/>
    <n v="1620010.2"/>
    <n v="1883933"/>
    <n v="1164441"/>
    <n v="0"/>
    <n v="36"/>
    <n v="340812"/>
    <n v="2272915.9663865548"/>
    <n v="35"/>
    <n v="87"/>
    <n v="18"/>
    <n v="0"/>
    <n v="0"/>
    <n v="738368.99999999988"/>
    <n v="170406"/>
    <x v="0"/>
    <x v="0"/>
    <n v="36"/>
    <n v="340812"/>
    <n v="332621.84873949585"/>
    <n v="42"/>
    <n v="58"/>
    <n v="33.6"/>
    <m/>
    <n v="0"/>
    <n v="0"/>
    <n v="549086"/>
    <n v="285163.19999999995"/>
    <x v="0"/>
    <n v="0"/>
    <n v="36"/>
    <n v="340812"/>
    <n v="620894.11764705891"/>
    <n v="55"/>
    <n v="62"/>
    <n v="26"/>
    <m/>
    <n v="0"/>
    <n v="0"/>
    <n v="586954"/>
    <n v="220661.99999999994"/>
    <n v="0"/>
    <n v="0"/>
    <n v="62"/>
    <n v="340812"/>
    <n v="480453.78151260508"/>
    <n v="60"/>
    <n v="41"/>
    <n v="48"/>
    <n v="0"/>
    <n v="0"/>
    <n v="0"/>
    <n v="388147"/>
    <n v="407375.99999999988"/>
    <n v="0"/>
    <n v="0"/>
    <n v="41"/>
    <n v="340812"/>
    <n v="886991.59663865552"/>
    <n v="45"/>
    <n v="0"/>
    <n v="36"/>
    <n v="0"/>
    <n v="0"/>
    <n v="0"/>
    <n v="0"/>
    <n v="305531.99999999994"/>
    <n v="0"/>
    <n v="0"/>
    <n v="0"/>
    <n v="0"/>
    <n v="665243.6974789917"/>
    <n v="45"/>
    <n v="0"/>
    <n v="36"/>
    <n v="0"/>
    <n v="0"/>
    <m/>
    <n v="0"/>
    <n v="305531.99999999994"/>
    <n v="0"/>
    <n v="0"/>
    <n v="0"/>
    <n v="0"/>
    <n v="665243.6974789917"/>
    <n v="120"/>
    <n v="0"/>
    <n v="0"/>
    <n v="0"/>
    <n v="0"/>
    <n v="0"/>
    <m/>
    <n v="0"/>
    <n v="0"/>
    <n v="0"/>
    <n v="0"/>
    <n v="0"/>
    <n v="0"/>
    <n v="0"/>
    <n v="70"/>
    <n v="0"/>
    <n v="56"/>
    <n v="0"/>
    <n v="0"/>
    <n v="0"/>
    <n v="475271.99999999988"/>
    <n v="0"/>
    <n v="0"/>
    <n v="0"/>
    <n v="0"/>
    <n v="987741.17647058831"/>
    <n v="100"/>
    <n v="0"/>
    <n v="80"/>
    <n v="0"/>
    <n v="0"/>
    <n v="0"/>
    <n v="678959.99999999988"/>
    <n v="0"/>
    <n v="0"/>
    <n v="0"/>
    <n v="1478319.3277310927"/>
    <n v="42"/>
    <n v="0"/>
    <n v="33.6"/>
    <n v="0"/>
    <m/>
    <n v="0"/>
    <n v="318091.2"/>
    <n v="0"/>
    <n v="0"/>
    <n v="0"/>
    <n v="620894.11764705891"/>
  </r>
  <r>
    <s v="Lhotse-Audio Menor"/>
    <x v="1"/>
    <x v="10"/>
    <x v="22"/>
    <s v="LHAUDTUNAIR-BK"/>
    <x v="85"/>
    <x v="85"/>
    <x v="0"/>
    <x v="4"/>
    <n v="1.2"/>
    <x v="70"/>
    <n v="264"/>
    <m/>
    <n v="0"/>
    <n v="2580"/>
    <n v="681120"/>
    <n v="4.5999999999999996"/>
    <n v="5025.5"/>
    <n v="9235.2941176470595"/>
    <n v="8394.957983193277"/>
    <s v="Shenzhen"/>
    <x v="0"/>
    <n v="30"/>
    <n v="300"/>
    <n v="15"/>
    <n v="0.62608499636341908"/>
    <n v="13"/>
    <n v="0.51295474431484489"/>
    <n v="42"/>
    <n v="0.52065013306988739"/>
    <n v="88"/>
    <n v="0.49692940290378818"/>
    <n v="114"/>
    <n v="0.55495361613248861"/>
    <n v="1"/>
    <n v="1"/>
    <n v="4"/>
    <n v="0.54394677481829157"/>
    <n v="2"/>
    <n v="0.54159582264565775"/>
    <n v="4"/>
    <n v="0.54159490655917919"/>
    <n v="3"/>
    <n v="0.34510971513327227"/>
    <n v="0"/>
    <s v=""/>
    <n v="4"/>
    <n v="0.76364968853059734"/>
    <n v="15"/>
    <s v=""/>
    <n v="21"/>
    <s v=""/>
    <n v="45"/>
    <s v=""/>
    <n v="69"/>
    <s v=""/>
    <n v="0.98571428571428577"/>
    <n v="116"/>
    <s v=""/>
    <n v="3.2222222222222223"/>
    <n v="157"/>
    <s v=""/>
    <n v="1.9624999999999999"/>
    <n v="57"/>
    <s v=""/>
    <n v="1.1399999999999999"/>
    <n v="50"/>
    <n v="496"/>
    <n v="40"/>
    <n v="0"/>
    <n v="0"/>
    <n v="0"/>
    <n v="300570"/>
    <n v="2361456"/>
    <n v="103200"/>
    <n v="0"/>
    <n v="264"/>
    <n v="681120"/>
    <n v="310430.0543746911"/>
    <n v="45"/>
    <n v="481"/>
    <n v="31.5"/>
    <n v="200"/>
    <n v="0"/>
    <n v="0"/>
    <n v="375390"/>
    <n v="2290041"/>
    <n v="81270"/>
    <n v="0"/>
    <n v="264"/>
    <n v="681120"/>
    <n v="244463.66782006924"/>
    <n v="48"/>
    <n v="450"/>
    <n v="45"/>
    <n v="0"/>
    <n v="0"/>
    <n v="499795.19999999995"/>
    <n v="1161000"/>
    <n v="116100"/>
    <n v="0"/>
    <n v="264"/>
    <n v="681120"/>
    <n v="415588.23529411765"/>
    <n v="70"/>
    <n v="610"/>
    <n v="69"/>
    <n v="0"/>
    <n v="0"/>
    <n v="2904210"/>
    <n v="178020"/>
    <x v="0"/>
    <x v="0"/>
    <n v="264"/>
    <n v="681120"/>
    <n v="637235.29411764711"/>
    <n v="36"/>
    <n v="380"/>
    <n v="43.199999999999996"/>
    <m/>
    <n v="0"/>
    <n v="0"/>
    <n v="980400"/>
    <n v="205675.19999999998"/>
    <x v="0"/>
    <n v="0"/>
    <n v="264"/>
    <n v="681120"/>
    <n v="398964.70588235295"/>
    <n v="80"/>
    <n v="421"/>
    <n v="157"/>
    <m/>
    <n v="0"/>
    <n v="0"/>
    <n v="1086180"/>
    <n v="747477"/>
    <n v="0"/>
    <n v="0"/>
    <n v="421"/>
    <n v="681120"/>
    <n v="1449941.1764705884"/>
    <n v="50"/>
    <n v="321"/>
    <n v="60"/>
    <n v="0"/>
    <n v="0"/>
    <n v="0"/>
    <n v="828180"/>
    <n v="285660"/>
    <n v="0"/>
    <n v="0"/>
    <n v="321"/>
    <n v="681120"/>
    <n v="554117.64705882361"/>
    <n v="50"/>
    <n v="261"/>
    <n v="60"/>
    <n v="0"/>
    <n v="0"/>
    <n v="0"/>
    <n v="673380"/>
    <n v="285660"/>
    <n v="0"/>
    <n v="0"/>
    <n v="261"/>
    <n v="673380"/>
    <n v="554117.64705882361"/>
    <n v="40"/>
    <n v="201"/>
    <n v="48"/>
    <n v="0"/>
    <n v="0"/>
    <m/>
    <n v="956961"/>
    <n v="228528"/>
    <n v="0"/>
    <n v="0"/>
    <n v="201"/>
    <n v="956961"/>
    <n v="443294.11764705885"/>
    <n v="120"/>
    <n v="153"/>
    <n v="144"/>
    <n v="0"/>
    <n v="0"/>
    <n v="0"/>
    <m/>
    <n v="728433"/>
    <n v="685584"/>
    <n v="0"/>
    <n v="0"/>
    <n v="153"/>
    <n v="728433"/>
    <n v="1208873.9495798319"/>
    <n v="70"/>
    <n v="9"/>
    <n v="84"/>
    <n v="300"/>
    <n v="300"/>
    <n v="42849"/>
    <n v="399924"/>
    <n v="1428300"/>
    <n v="1428300"/>
    <n v="309"/>
    <n v="1471149"/>
    <n v="740435.29411764711"/>
    <n v="150"/>
    <n v="225"/>
    <n v="180"/>
    <n v="0"/>
    <n v="0"/>
    <n v="1071225"/>
    <n v="856980"/>
    <n v="0"/>
    <n v="225"/>
    <n v="1071225"/>
    <n v="1662352.9411764706"/>
    <n v="42"/>
    <n v="45"/>
    <n v="50.4"/>
    <n v="0"/>
    <m/>
    <n v="214245"/>
    <n v="130032"/>
    <n v="0"/>
    <n v="45"/>
    <n v="214245"/>
    <n v="465458.82352941181"/>
  </r>
  <r>
    <s v="Lhotse-Audio Menor"/>
    <x v="1"/>
    <x v="10"/>
    <x v="22"/>
    <s v="LHAUDFIBUD-BK"/>
    <x v="86"/>
    <x v="86"/>
    <x v="0"/>
    <x v="4"/>
    <n v="1"/>
    <x v="71"/>
    <n v="73"/>
    <m/>
    <n v="0"/>
    <n v="4766"/>
    <n v="347918"/>
    <n v="5.8"/>
    <n v="6336.4999999999991"/>
    <n v="14277.310924369749"/>
    <n v="10915.966386554623"/>
    <s v="Shenzhen"/>
    <x v="0"/>
    <n v="30"/>
    <n v="300"/>
    <n v="7"/>
    <n v="0.53474889102054013"/>
    <n v="27"/>
    <n v="0.47010349812465035"/>
    <n v="45"/>
    <n v="0.53820606581290431"/>
    <n v="40"/>
    <n v="0.53300572534895574"/>
    <n v="55"/>
    <n v="0.5561249179363249"/>
    <n v="80"/>
    <n v="0.54473794290027622"/>
    <n v="20"/>
    <n v="0.55598986863307331"/>
    <n v="11"/>
    <n v="0.63339240968186761"/>
    <n v="21"/>
    <n v="0.66155293145659411"/>
    <n v="63"/>
    <n v="0.62345098083626738"/>
    <n v="28"/>
    <n v="0.62627656017275235"/>
    <n v="55"/>
    <n v="0.63969982341323206"/>
    <n v="69"/>
    <s v=""/>
    <n v="20"/>
    <s v=""/>
    <n v="27"/>
    <s v=""/>
    <n v="25"/>
    <s v=""/>
    <n v="0.7142857142857143"/>
    <n v="35"/>
    <s v=""/>
    <n v="0.7"/>
    <n v="73"/>
    <s v=""/>
    <n v="1.2166666666666666"/>
    <n v="15"/>
    <s v=""/>
    <n v="0.375"/>
    <n v="40"/>
    <n v="331"/>
    <n v="40"/>
    <n v="0"/>
    <n v="200"/>
    <n v="0"/>
    <n v="462302"/>
    <n v="1986992.9999999998"/>
    <n v="190640"/>
    <n v="0"/>
    <n v="73"/>
    <n v="347918"/>
    <n v="479909.61090318486"/>
    <n v="40"/>
    <n v="264"/>
    <n v="30"/>
    <n v="0"/>
    <n v="0"/>
    <n v="0"/>
    <n v="390812"/>
    <n v="1584791.9999999998"/>
    <n v="142980"/>
    <n v="0"/>
    <n v="73"/>
    <n v="347918"/>
    <n v="359932.20817738865"/>
    <n v="36"/>
    <n v="244"/>
    <n v="27"/>
    <n v="0"/>
    <n v="0"/>
    <n v="547982"/>
    <n v="1162904"/>
    <n v="128682"/>
    <n v="0"/>
    <n v="73"/>
    <n v="347918"/>
    <n v="385487.39495798323"/>
    <n v="35"/>
    <n v="216"/>
    <n v="25"/>
    <n v="0"/>
    <n v="0"/>
    <n v="1296647.9999999998"/>
    <n v="119150"/>
    <x v="0"/>
    <x v="0"/>
    <n v="73"/>
    <n v="347918"/>
    <n v="356932.77310924372"/>
    <n v="50"/>
    <n v="108"/>
    <n v="50"/>
    <m/>
    <n v="0"/>
    <n v="0"/>
    <n v="514728"/>
    <n v="300149.99999999994"/>
    <x v="0"/>
    <n v="0"/>
    <n v="73"/>
    <n v="347918"/>
    <n v="713865.54621848743"/>
    <n v="60"/>
    <n v="146"/>
    <n v="73"/>
    <m/>
    <n v="0"/>
    <n v="0"/>
    <n v="695836"/>
    <n v="438218.99999999994"/>
    <n v="0"/>
    <n v="0"/>
    <n v="146"/>
    <n v="347918"/>
    <n v="1042243.6974789917"/>
    <n v="40"/>
    <n v="88"/>
    <n v="40"/>
    <n v="150"/>
    <n v="150"/>
    <n v="0"/>
    <n v="419408"/>
    <n v="240119.99999999997"/>
    <n v="870435"/>
    <n v="0"/>
    <n v="88"/>
    <n v="347918"/>
    <n v="571092.43697478995"/>
    <n v="45"/>
    <n v="48"/>
    <n v="45"/>
    <n v="0"/>
    <n v="200"/>
    <n v="150"/>
    <n v="228768"/>
    <n v="270134.99999999994"/>
    <n v="0"/>
    <n v="900449.99999999988"/>
    <n v="248"/>
    <n v="228768"/>
    <n v="642478.99159663869"/>
    <n v="40"/>
    <n v="153"/>
    <n v="40"/>
    <n v="0"/>
    <n v="0"/>
    <m/>
    <n v="918458.99999999988"/>
    <n v="240119.99999999997"/>
    <n v="0"/>
    <n v="0"/>
    <n v="153"/>
    <n v="918458.99999999988"/>
    <n v="571092.43697478995"/>
    <n v="60"/>
    <n v="113"/>
    <n v="60"/>
    <n v="200"/>
    <n v="200"/>
    <n v="200"/>
    <n v="0"/>
    <n v="678338.99999999988"/>
    <n v="360179.99999999994"/>
    <n v="1200599.9999999998"/>
    <n v="1200599.9999999998"/>
    <n v="313"/>
    <n v="1878938.9999999995"/>
    <n v="654957.98319327738"/>
    <n v="50"/>
    <n v="253"/>
    <n v="50"/>
    <n v="0"/>
    <n v="0"/>
    <n v="1518758.9999999998"/>
    <n v="300149.99999999994"/>
    <n v="0"/>
    <n v="0"/>
    <n v="253"/>
    <n v="1518758.9999999998"/>
    <n v="573088.23529411771"/>
    <n v="90"/>
    <n v="203"/>
    <n v="90"/>
    <n v="0"/>
    <n v="0"/>
    <n v="1218608.9999999998"/>
    <n v="540269.99999999988"/>
    <n v="0"/>
    <n v="203"/>
    <n v="1218608.9999999998"/>
    <n v="1284957.9831932774"/>
    <n v="30"/>
    <n v="113"/>
    <n v="30"/>
    <n v="0"/>
    <m/>
    <n v="678338.99999999988"/>
    <n v="142980"/>
    <n v="0"/>
    <n v="113"/>
    <n v="678338.99999999988"/>
    <n v="428319.32773109246"/>
  </r>
  <r>
    <s v="Lhotse-Audio Menor"/>
    <x v="1"/>
    <x v="10"/>
    <x v="22"/>
    <s v="LHHEDWEPR"/>
    <x v="87"/>
    <x v="87"/>
    <x v="0"/>
    <x v="4"/>
    <n v="0.6"/>
    <x v="72"/>
    <n v="896"/>
    <m/>
    <n v="0"/>
    <n v="6668"/>
    <n v="5974528"/>
    <n v="6.2"/>
    <n v="6773.4999999999991"/>
    <n v="12596.638655462186"/>
    <n v="12596.638655462186"/>
    <s v="Shenzhen"/>
    <x v="0"/>
    <n v="30"/>
    <n v="1000"/>
    <n v="2"/>
    <n v="0.60305056426249171"/>
    <n v="17"/>
    <n v="0.5096201390887195"/>
    <n v="17"/>
    <n v="0.55280701950483424"/>
    <n v="11"/>
    <n v="0.49664832477886039"/>
    <n v="22"/>
    <n v="0.5876042148031283"/>
    <n v="36"/>
    <n v="0.51042643139253208"/>
    <n v="55"/>
    <n v="0.45718531668750956"/>
    <n v="156"/>
    <n v="0.44298885193144155"/>
    <n v="100"/>
    <n v="0.430036159308054"/>
    <n v="211"/>
    <n v="0.38115205349322223"/>
    <n v="198"/>
    <n v="0.39862829497375057"/>
    <n v="165"/>
    <n v="0.40989871438224379"/>
    <n v="9"/>
    <s v=""/>
    <n v="9"/>
    <s v=""/>
    <n v="27"/>
    <s v=""/>
    <n v="12"/>
    <s v=""/>
    <n v="0.12"/>
    <n v="19"/>
    <s v=""/>
    <n v="0.23749999999999999"/>
    <n v="58"/>
    <s v=""/>
    <n v="0.28999999999999998"/>
    <n v="5"/>
    <s v=""/>
    <n v="4.1666666666666664E-2"/>
    <n v="100"/>
    <n v="13"/>
    <n v="13"/>
    <n v="800"/>
    <n v="300"/>
    <n v="0"/>
    <n v="356738"/>
    <n v="83420.999999999985"/>
    <n v="86684"/>
    <n v="0"/>
    <n v="896"/>
    <n v="5974528"/>
    <n v="137610.33825294825"/>
    <n v="10"/>
    <n v="16"/>
    <n v="13.5"/>
    <n v="0"/>
    <n v="0"/>
    <n v="0"/>
    <n v="350070"/>
    <n v="102671.99999999999"/>
    <n v="90018"/>
    <n v="0"/>
    <n v="896"/>
    <n v="5974528"/>
    <n v="142903.04357036934"/>
    <n v="210"/>
    <n v="297"/>
    <n v="27"/>
    <n v="0"/>
    <n v="0"/>
    <n v="568068"/>
    <n v="1980396"/>
    <n v="180036"/>
    <n v="0"/>
    <n v="896"/>
    <n v="5974528"/>
    <n v="340109.24369747902"/>
    <n v="100"/>
    <n v="733"/>
    <n v="12"/>
    <n v="0"/>
    <n v="0"/>
    <n v="4703660.9999999991"/>
    <n v="80016"/>
    <x v="0"/>
    <x v="0"/>
    <n v="896"/>
    <n v="5974528"/>
    <n v="151159.66386554623"/>
    <n v="80"/>
    <n v="915"/>
    <n v="48"/>
    <m/>
    <n v="0"/>
    <n v="0"/>
    <n v="6101220"/>
    <n v="308015.99999999994"/>
    <x v="0"/>
    <n v="0"/>
    <n v="896"/>
    <n v="5974528"/>
    <n v="604638.65546218492"/>
    <n v="200"/>
    <n v="954"/>
    <n v="58"/>
    <m/>
    <n v="0"/>
    <n v="0"/>
    <n v="6361272"/>
    <n v="372185.99999999994"/>
    <n v="0"/>
    <n v="0"/>
    <n v="954"/>
    <n v="5974528"/>
    <n v="730605.04201680678"/>
    <n v="120"/>
    <n v="901"/>
    <n v="72"/>
    <n v="0"/>
    <n v="200"/>
    <n v="0"/>
    <n v="6007868"/>
    <n v="462023.99999999994"/>
    <n v="0"/>
    <n v="0"/>
    <n v="901"/>
    <n v="5974528"/>
    <n v="906957.98319327738"/>
    <n v="150"/>
    <n v="829"/>
    <n v="90"/>
    <n v="0"/>
    <n v="0"/>
    <n v="0"/>
    <n v="5527772"/>
    <n v="577529.99999999988"/>
    <n v="0"/>
    <n v="0"/>
    <n v="829"/>
    <n v="5527772"/>
    <n v="1133697.4789915967"/>
    <n v="100"/>
    <n v="739"/>
    <n v="60"/>
    <n v="0"/>
    <n v="0"/>
    <m/>
    <n v="4742162.9999999991"/>
    <n v="385019.99999999994"/>
    <n v="0"/>
    <n v="0"/>
    <n v="739"/>
    <n v="4742162.9999999991"/>
    <n v="755798.31932773115"/>
    <n v="150"/>
    <n v="679"/>
    <n v="90"/>
    <n v="0"/>
    <n v="0"/>
    <n v="0"/>
    <m/>
    <n v="4357142.9999999991"/>
    <n v="577529.99999999988"/>
    <n v="0"/>
    <n v="0"/>
    <n v="679"/>
    <n v="4357142.9999999991"/>
    <n v="1133697.4789915967"/>
    <n v="120"/>
    <n v="589"/>
    <n v="72"/>
    <n v="0"/>
    <n v="0"/>
    <n v="3779612.9999999995"/>
    <n v="462023.99999999994"/>
    <n v="0"/>
    <n v="0"/>
    <n v="589"/>
    <n v="3779612.9999999995"/>
    <n v="952305.88235294132"/>
    <n v="200"/>
    <n v="517"/>
    <n v="120"/>
    <n v="0"/>
    <n v="0"/>
    <n v="3317588.9999999995"/>
    <n v="770039.99999999988"/>
    <n v="0"/>
    <n v="517"/>
    <n v="3317588.9999999995"/>
    <n v="1511596.6386554623"/>
    <n v="72"/>
    <n v="397"/>
    <n v="43.199999999999996"/>
    <n v="0"/>
    <m/>
    <n v="2547548.9999999995"/>
    <n v="288057.59999999998"/>
    <n v="0"/>
    <n v="397"/>
    <n v="2547548.9999999995"/>
    <n v="544174.78991596634"/>
  </r>
  <r>
    <s v="Lhotse-Audio Menor"/>
    <x v="1"/>
    <x v="10"/>
    <x v="22"/>
    <s v="LHHEDWEPR"/>
    <x v="88"/>
    <x v="88"/>
    <x v="0"/>
    <x v="3"/>
    <n v="0.6"/>
    <x v="73"/>
    <n v="200"/>
    <m/>
    <n v="0"/>
    <n v="6668"/>
    <n v="1333600"/>
    <n v="6.2"/>
    <n v="6773.4999999999991"/>
    <n v="12596.638655462186"/>
    <n v="12596.638655462186"/>
    <s v="Shenzhen"/>
    <x v="0"/>
    <n v="30"/>
    <n v="1000"/>
    <n v="4"/>
    <n v="0.6030524507245032"/>
    <n v="22"/>
    <n v="0.54914938346380737"/>
    <n v="17"/>
    <n v="0.52560104030386978"/>
    <n v="18"/>
    <n v="0.55272079584007039"/>
    <n v="13"/>
    <n v="0.5907715890015951"/>
    <n v="26"/>
    <n v="0.4977561381891526"/>
    <n v="35"/>
    <n v="0.4415690872655797"/>
    <n v="35"/>
    <n v="0.44178080648803586"/>
    <n v="15"/>
    <n v="0.44213769474992642"/>
    <n v="74"/>
    <n v="0.41544527261598974"/>
    <n v="152"/>
    <n v="0.39998388102542137"/>
    <n v="250"/>
    <n v="0.41700581914436857"/>
    <n v="37"/>
    <s v=""/>
    <n v="37"/>
    <s v=""/>
    <n v="30"/>
    <s v=""/>
    <n v="13"/>
    <s v=""/>
    <n v="0.26"/>
    <n v="17"/>
    <s v=""/>
    <n v="0.42499999999999999"/>
    <n v="19"/>
    <s v=""/>
    <n v="0.19"/>
    <n v="10"/>
    <s v=""/>
    <n v="0.16666666666666666"/>
    <n v="50"/>
    <n v="316"/>
    <n v="60"/>
    <n v="0"/>
    <n v="0"/>
    <n v="0"/>
    <n v="970194"/>
    <n v="2027771.9999999998"/>
    <n v="400080"/>
    <n v="0"/>
    <n v="200"/>
    <n v="1333600"/>
    <n v="635124.63809053041"/>
    <n v="60"/>
    <n v="274"/>
    <n v="55.5"/>
    <n v="0"/>
    <n v="0"/>
    <n v="0"/>
    <n v="656798"/>
    <n v="1758257.9999999998"/>
    <n v="370074"/>
    <n v="0"/>
    <n v="200"/>
    <n v="1333600"/>
    <n v="587490.2902337407"/>
    <n v="64"/>
    <n v="238"/>
    <n v="30"/>
    <n v="0"/>
    <n v="0"/>
    <n v="440732"/>
    <n v="1586984"/>
    <n v="200040"/>
    <n v="0"/>
    <n v="200"/>
    <n v="1333600"/>
    <n v="377899.15966386558"/>
    <n v="50"/>
    <n v="201"/>
    <n v="13"/>
    <n v="0"/>
    <n v="0"/>
    <n v="1289816.9999999998"/>
    <n v="86684"/>
    <x v="0"/>
    <x v="0"/>
    <n v="200"/>
    <n v="1333600"/>
    <n v="163756.30252100842"/>
    <n v="40"/>
    <n v="217"/>
    <n v="24"/>
    <m/>
    <n v="0"/>
    <n v="0"/>
    <n v="1446956"/>
    <n v="154007.99999999997"/>
    <x v="0"/>
    <n v="0"/>
    <n v="200"/>
    <n v="1333600"/>
    <n v="302319.32773109246"/>
    <n v="100"/>
    <n v="219"/>
    <n v="19"/>
    <m/>
    <n v="0"/>
    <n v="0"/>
    <n v="1460292"/>
    <n v="121922.99999999999"/>
    <n v="0"/>
    <n v="0"/>
    <n v="219"/>
    <n v="1333600"/>
    <n v="239336.13445378153"/>
    <n v="60"/>
    <n v="210"/>
    <n v="36"/>
    <n v="0"/>
    <n v="500"/>
    <n v="0"/>
    <n v="1400280"/>
    <n v="231011.99999999997"/>
    <n v="0"/>
    <n v="0"/>
    <n v="210"/>
    <n v="1333600"/>
    <n v="453478.99159663869"/>
    <n v="60"/>
    <n v="174"/>
    <n v="36"/>
    <n v="0"/>
    <n v="0"/>
    <n v="0"/>
    <n v="1160232"/>
    <n v="231011.99999999997"/>
    <n v="0"/>
    <n v="0"/>
    <n v="174"/>
    <n v="1160232"/>
    <n v="453478.99159663869"/>
    <n v="45"/>
    <n v="138"/>
    <n v="27"/>
    <n v="0"/>
    <n v="0"/>
    <m/>
    <n v="885545.99999999988"/>
    <n v="173258.99999999997"/>
    <n v="0"/>
    <n v="0"/>
    <n v="138"/>
    <n v="885545.99999999988"/>
    <n v="340109.24369747902"/>
    <n v="80"/>
    <n v="111"/>
    <n v="48"/>
    <n v="0"/>
    <n v="0"/>
    <n v="0"/>
    <m/>
    <n v="712286.99999999988"/>
    <n v="308015.99999999994"/>
    <n v="0"/>
    <n v="0"/>
    <n v="111"/>
    <n v="712286.99999999988"/>
    <n v="604638.65546218492"/>
    <n v="0"/>
    <n v="63"/>
    <n v="0"/>
    <n v="0"/>
    <n v="0"/>
    <n v="404270.99999999994"/>
    <n v="0"/>
    <n v="0"/>
    <n v="0"/>
    <n v="63"/>
    <n v="404270.99999999994"/>
    <n v="0"/>
    <n v="0"/>
    <n v="63"/>
    <n v="0"/>
    <n v="0"/>
    <n v="0"/>
    <n v="404270.99999999994"/>
    <n v="0"/>
    <n v="0"/>
    <n v="63"/>
    <n v="404270.99999999994"/>
    <n v="0"/>
    <n v="0"/>
    <n v="63"/>
    <n v="0"/>
    <n v="0"/>
    <m/>
    <n v="404270.99999999994"/>
    <n v="0"/>
    <n v="0"/>
    <n v="63"/>
    <n v="404270.99999999994"/>
    <n v="0"/>
  </r>
  <r>
    <m/>
    <x v="1"/>
    <x v="10"/>
    <x v="22"/>
    <s v="LHRMPLU"/>
    <x v="89"/>
    <x v="89"/>
    <x v="0"/>
    <x v="3"/>
    <n v="0.8"/>
    <x v="74"/>
    <n v="514"/>
    <m/>
    <n v="0"/>
    <n v="6229"/>
    <n v="3201706"/>
    <n v="4.7"/>
    <n v="5134.75"/>
    <n v="14277.310924369749"/>
    <n v="14277.310924369749"/>
    <s v="Shenzhen"/>
    <x v="0"/>
    <n v="30"/>
    <n v="1000"/>
    <n v="0"/>
    <s v=""/>
    <n v="0"/>
    <s v=""/>
    <n v="0"/>
    <s v=""/>
    <n v="0"/>
    <s v=""/>
    <n v="0"/>
    <s v=""/>
    <n v="0"/>
    <s v=""/>
    <n v="0"/>
    <s v=""/>
    <n v="2"/>
    <n v="0.58796507590038694"/>
    <n v="9"/>
    <n v="0.62916679566686073"/>
    <n v="141"/>
    <n v="0.56471124058374422"/>
    <n v="87"/>
    <n v="0.57427649779818857"/>
    <n v="334"/>
    <n v="0.45550015523813636"/>
    <n v="32"/>
    <s v=""/>
    <n v="80"/>
    <s v=""/>
    <n v="93"/>
    <s v=""/>
    <n v="33"/>
    <s v=""/>
    <n v="0.66"/>
    <n v="162"/>
    <s v=""/>
    <n v="2.16"/>
    <n v="0"/>
    <s v=""/>
    <n v="0"/>
    <n v="2"/>
    <s v=""/>
    <n v="0.02"/>
    <n v="60"/>
    <n v="446"/>
    <n v="60"/>
    <n v="0"/>
    <n v="0"/>
    <n v="0"/>
    <n v="1700517"/>
    <n v="2169567"/>
    <n v="373740"/>
    <n v="0"/>
    <n v="514"/>
    <n v="3201706"/>
    <n v="719864.41635477729"/>
    <n v="60"/>
    <n v="394"/>
    <n v="120"/>
    <n v="0"/>
    <n v="0"/>
    <n v="0"/>
    <n v="1532334"/>
    <n v="1916613"/>
    <n v="747480"/>
    <n v="0"/>
    <n v="514"/>
    <n v="3201706"/>
    <n v="1439728.8327095546"/>
    <n v="100"/>
    <n v="312"/>
    <n v="93"/>
    <n v="0"/>
    <n v="0"/>
    <n v="1076724"/>
    <n v="1943448"/>
    <n v="579297"/>
    <n v="0"/>
    <n v="514"/>
    <n v="3201706"/>
    <n v="1327789.9159663867"/>
    <n v="50"/>
    <n v="198"/>
    <n v="33"/>
    <n v="0"/>
    <n v="0"/>
    <n v="963171"/>
    <n v="205557"/>
    <x v="0"/>
    <x v="0"/>
    <n v="514"/>
    <n v="3201706"/>
    <n v="471151.26050420169"/>
    <n v="75"/>
    <n v="676"/>
    <n v="60"/>
    <m/>
    <n v="0"/>
    <n v="0"/>
    <n v="4210804"/>
    <n v="291870"/>
    <x v="0"/>
    <n v="0"/>
    <n v="514"/>
    <n v="3201706"/>
    <n v="856638.65546218492"/>
    <n v="150"/>
    <n v="514"/>
    <n v="0"/>
    <m/>
    <n v="0"/>
    <n v="0"/>
    <n v="3201706"/>
    <n v="0"/>
    <n v="0"/>
    <n v="0"/>
    <n v="514"/>
    <n v="3201706"/>
    <n v="0"/>
    <n v="100"/>
    <n v="516"/>
    <n v="80"/>
    <n v="1000"/>
    <n v="500"/>
    <n v="0"/>
    <n v="3214164"/>
    <n v="389160"/>
    <n v="4702349.9999999991"/>
    <n v="0"/>
    <n v="516"/>
    <n v="3201706"/>
    <n v="1142184.8739495799"/>
    <n v="90"/>
    <n v="436"/>
    <n v="72"/>
    <n v="0"/>
    <n v="500"/>
    <n v="500"/>
    <n v="2715844"/>
    <n v="350244"/>
    <n v="0"/>
    <n v="2432250"/>
    <n v="936"/>
    <n v="2715844"/>
    <n v="1027966.386554622"/>
    <n v="70"/>
    <n v="864"/>
    <n v="56"/>
    <n v="0"/>
    <n v="0"/>
    <m/>
    <n v="4202928"/>
    <n v="272412"/>
    <n v="0"/>
    <n v="0"/>
    <n v="864"/>
    <n v="4202928"/>
    <n v="799529.4117647059"/>
    <n v="160"/>
    <n v="808"/>
    <n v="128"/>
    <n v="0"/>
    <n v="0"/>
    <n v="0"/>
    <m/>
    <n v="3930516"/>
    <n v="622656"/>
    <n v="0"/>
    <n v="0"/>
    <n v="808"/>
    <n v="3930516"/>
    <n v="1827495.7983193279"/>
    <n v="140"/>
    <n v="680"/>
    <n v="112"/>
    <n v="0"/>
    <n v="0"/>
    <n v="3307860"/>
    <n v="544824"/>
    <n v="0"/>
    <n v="0"/>
    <n v="680"/>
    <n v="3307860"/>
    <n v="1679011.7647058824"/>
    <n v="250"/>
    <n v="568"/>
    <n v="200"/>
    <n v="0"/>
    <n v="0"/>
    <n v="2763036"/>
    <n v="972900"/>
    <n v="0"/>
    <n v="568"/>
    <n v="2763036"/>
    <n v="2855462.1848739497"/>
    <n v="84"/>
    <n v="368"/>
    <n v="67.2"/>
    <n v="0"/>
    <m/>
    <n v="1790136"/>
    <n v="418588.80000000005"/>
    <n v="0"/>
    <n v="368"/>
    <n v="1790136"/>
    <n v="959435.29411764722"/>
  </r>
  <r>
    <m/>
    <x v="1"/>
    <x v="10"/>
    <x v="22"/>
    <s v="LHRMPLU"/>
    <x v="90"/>
    <x v="90"/>
    <x v="0"/>
    <x v="3"/>
    <n v="1.1000000000000001"/>
    <x v="75"/>
    <n v="526"/>
    <m/>
    <n v="0"/>
    <n v="6664"/>
    <n v="3505264"/>
    <n v="4.7"/>
    <n v="5134.75"/>
    <n v="14277.310924369749"/>
    <n v="14277.310924369749"/>
    <s v="Shenzhen"/>
    <x v="0"/>
    <n v="30"/>
    <n v="1000"/>
    <n v="0"/>
    <s v=""/>
    <n v="0"/>
    <s v=""/>
    <n v="0"/>
    <s v=""/>
    <n v="0"/>
    <s v=""/>
    <n v="0"/>
    <s v=""/>
    <n v="0"/>
    <s v=""/>
    <n v="0"/>
    <s v=""/>
    <n v="4"/>
    <n v="0.59309378434485283"/>
    <n v="22"/>
    <n v="0.60054802319258671"/>
    <n v="142"/>
    <n v="0.53317583190416573"/>
    <n v="83"/>
    <n v="0.4915335673312401"/>
    <n v="157"/>
    <n v="0.53137214384467957"/>
    <n v="81"/>
    <s v=""/>
    <n v="122"/>
    <s v=""/>
    <n v="202"/>
    <s v=""/>
    <n v="104"/>
    <s v=""/>
    <n v="1.3"/>
    <n v="3"/>
    <s v=""/>
    <n v="3.7499999999999999E-2"/>
    <n v="8"/>
    <s v=""/>
    <n v="0.04"/>
    <n v="2"/>
    <s v=""/>
    <n v="0.02"/>
    <n v="60"/>
    <n v="569"/>
    <n v="90"/>
    <n v="0"/>
    <n v="0"/>
    <n v="0"/>
    <n v="3165400"/>
    <n v="2767900.5"/>
    <n v="599760"/>
    <n v="0"/>
    <n v="526"/>
    <n v="3505264"/>
    <n v="1079796.6245321659"/>
    <n v="75"/>
    <n v="473"/>
    <n v="183"/>
    <n v="0"/>
    <n v="0"/>
    <n v="0"/>
    <n v="3258696"/>
    <n v="2300908.5"/>
    <n v="1219512"/>
    <n v="0"/>
    <n v="526"/>
    <n v="3505264"/>
    <n v="2195586.469882071"/>
    <n v="220"/>
    <n v="278"/>
    <n v="202"/>
    <n v="0"/>
    <n v="0"/>
    <n v="2467260"/>
    <n v="1852592"/>
    <n v="1346128"/>
    <n v="0"/>
    <n v="526"/>
    <n v="3505264"/>
    <n v="2884016.8067226894"/>
    <n v="80"/>
    <n v="120"/>
    <n v="104"/>
    <n v="0"/>
    <n v="0"/>
    <n v="583740"/>
    <n v="693056"/>
    <x v="0"/>
    <x v="0"/>
    <n v="526"/>
    <n v="3505264"/>
    <n v="1484840.336134454"/>
    <n v="80"/>
    <n v="529"/>
    <n v="88"/>
    <m/>
    <n v="0"/>
    <n v="0"/>
    <n v="3525256"/>
    <n v="428076"/>
    <x v="0"/>
    <n v="0"/>
    <n v="526"/>
    <n v="3505264"/>
    <n v="1256403.3613445379"/>
    <n v="200"/>
    <n v="534"/>
    <n v="8"/>
    <m/>
    <n v="0"/>
    <n v="0"/>
    <n v="3558576"/>
    <n v="38916"/>
    <n v="0"/>
    <n v="0"/>
    <n v="534"/>
    <n v="3505264"/>
    <n v="114218.48739495799"/>
    <n v="100"/>
    <n v="528"/>
    <n v="110.00000000000001"/>
    <n v="1000"/>
    <n v="500"/>
    <n v="0"/>
    <n v="3518592"/>
    <n v="535095.00000000012"/>
    <n v="4702349.9999999991"/>
    <n v="0"/>
    <n v="528"/>
    <n v="3505264"/>
    <n v="1570504.2016806726"/>
    <n v="90"/>
    <n v="418"/>
    <n v="99.000000000000014"/>
    <n v="0"/>
    <n v="500"/>
    <n v="500"/>
    <n v="2785552"/>
    <n v="481585.50000000006"/>
    <n v="0"/>
    <n v="2432250"/>
    <n v="918"/>
    <n v="2785552"/>
    <n v="1413453.7815126053"/>
    <n v="70"/>
    <n v="819"/>
    <n v="77"/>
    <n v="0"/>
    <n v="0"/>
    <m/>
    <n v="3984025.5"/>
    <n v="374566.5"/>
    <n v="0"/>
    <n v="0"/>
    <n v="819"/>
    <n v="3984025.5"/>
    <n v="1099352.9411764706"/>
    <n v="150"/>
    <n v="742"/>
    <n v="165"/>
    <n v="0"/>
    <n v="0"/>
    <n v="0"/>
    <m/>
    <n v="3609459"/>
    <n v="802642.5"/>
    <n v="0"/>
    <n v="0"/>
    <n v="742"/>
    <n v="3609459"/>
    <n v="2355756.3025210085"/>
    <n v="120"/>
    <n v="577"/>
    <n v="132"/>
    <n v="0"/>
    <n v="0"/>
    <n v="2806816.5"/>
    <n v="642114"/>
    <n v="0"/>
    <n v="0"/>
    <n v="577"/>
    <n v="2806816.5"/>
    <n v="1978835.2941176472"/>
    <n v="200"/>
    <n v="445"/>
    <n v="220.00000000000003"/>
    <n v="0"/>
    <n v="0"/>
    <n v="2164702.5"/>
    <n v="1070190.0000000002"/>
    <n v="0"/>
    <n v="445"/>
    <n v="2164702.5"/>
    <n v="3141008.4033613452"/>
    <n v="72"/>
    <n v="224.99999999999997"/>
    <n v="79.2"/>
    <n v="0"/>
    <m/>
    <n v="1094512.4999999998"/>
    <n v="527788.80000000005"/>
    <n v="0"/>
    <n v="224.99999999999997"/>
    <n v="1094512.4999999998"/>
    <n v="1130763.0252100842"/>
  </r>
  <r>
    <s v="Lhotse-Audio Menor"/>
    <x v="1"/>
    <x v="10"/>
    <x v="23"/>
    <n v="67898461965813"/>
    <x v="91"/>
    <x v="91"/>
    <x v="0"/>
    <x v="6"/>
    <n v="1"/>
    <x v="12"/>
    <n v="4"/>
    <m/>
    <n v="0"/>
    <n v="4716"/>
    <n v="18864"/>
    <n v="4.75"/>
    <n v="5189.375"/>
    <n v="12596.638655462186"/>
    <n v="6714.2857142857147"/>
    <s v="Shenzhen"/>
    <x v="0"/>
    <n v="30"/>
    <n v="1000"/>
    <n v="0"/>
    <s v=""/>
    <n v="0"/>
    <s v=""/>
    <n v="0"/>
    <s v=""/>
    <n v="0"/>
    <s v=""/>
    <n v="0"/>
    <s v=""/>
    <n v="0"/>
    <s v=""/>
    <n v="1"/>
    <n v="0.64905126869558749"/>
    <n v="0"/>
    <s v=""/>
    <n v="0"/>
    <s v=""/>
    <n v="0"/>
    <s v=""/>
    <n v="1"/>
    <n v="0.70054603174603181"/>
    <n v="1"/>
    <n v="1"/>
    <n v="0"/>
    <s v=""/>
    <n v="0"/>
    <s v=""/>
    <n v="1"/>
    <s v=""/>
    <n v="0"/>
    <s v=""/>
    <n v="0"/>
    <n v="0"/>
    <s v=""/>
    <n v="0"/>
    <n v="1"/>
    <s v=""/>
    <n v="1"/>
    <n v="0"/>
    <n v="0.64905123328766545"/>
    <n v="0"/>
    <n v="0"/>
    <n v="5"/>
    <n v="0"/>
    <n v="0"/>
    <n v="0"/>
    <n v="0"/>
    <n v="4716"/>
    <n v="24581.25"/>
    <n v="0"/>
    <n v="0"/>
    <n v="4"/>
    <n v="18864"/>
    <n v="0"/>
    <n v="0"/>
    <n v="5"/>
    <n v="0"/>
    <n v="0"/>
    <n v="0"/>
    <n v="0"/>
    <n v="4716"/>
    <n v="24581.25"/>
    <n v="0"/>
    <n v="0"/>
    <n v="4"/>
    <n v="18864"/>
    <n v="0"/>
    <n v="0"/>
    <n v="5"/>
    <n v="1"/>
    <n v="0"/>
    <n v="0"/>
    <n v="9632.25"/>
    <n v="23580"/>
    <n v="4716"/>
    <n v="0"/>
    <n v="4"/>
    <n v="18864"/>
    <n v="12596.638655462186"/>
    <n v="0"/>
    <n v="4"/>
    <n v="0"/>
    <n v="0"/>
    <n v="0"/>
    <n v="19665"/>
    <n v="0"/>
    <x v="0"/>
    <x v="0"/>
    <n v="4"/>
    <n v="18864"/>
    <n v="0"/>
    <n v="1"/>
    <n v="4"/>
    <n v="1"/>
    <m/>
    <n v="0"/>
    <n v="0"/>
    <n v="18864"/>
    <n v="4916.25"/>
    <x v="0"/>
    <n v="0"/>
    <n v="4"/>
    <n v="18864"/>
    <n v="12596.638655462186"/>
    <n v="1"/>
    <n v="5"/>
    <n v="1"/>
    <m/>
    <n v="0"/>
    <n v="0"/>
    <n v="23580"/>
    <n v="4916.25"/>
    <n v="0"/>
    <n v="0"/>
    <n v="5"/>
    <n v="18864"/>
    <n v="12596.638655462186"/>
    <n v="1"/>
    <n v="4"/>
    <n v="1"/>
    <n v="0"/>
    <n v="0"/>
    <n v="0"/>
    <n v="18864"/>
    <n v="4916.25"/>
    <n v="0"/>
    <n v="0"/>
    <n v="4"/>
    <n v="18864"/>
    <n v="12596.638655462186"/>
    <n v="0"/>
    <n v="3"/>
    <n v="0"/>
    <n v="0"/>
    <n v="0"/>
    <n v="0"/>
    <n v="14148"/>
    <n v="0"/>
    <n v="0"/>
    <n v="0"/>
    <n v="3"/>
    <n v="14148"/>
    <n v="0"/>
    <n v="0"/>
    <n v="3"/>
    <n v="0"/>
    <n v="0"/>
    <n v="0"/>
    <m/>
    <n v="14748.75"/>
    <n v="0"/>
    <n v="0"/>
    <n v="0"/>
    <n v="3"/>
    <n v="14748.75"/>
    <n v="0"/>
    <n v="0"/>
    <n v="3"/>
    <n v="0"/>
    <n v="0"/>
    <n v="0"/>
    <n v="0"/>
    <m/>
    <n v="14748.75"/>
    <n v="0"/>
    <n v="0"/>
    <n v="0"/>
    <n v="3"/>
    <n v="14748.75"/>
    <n v="0"/>
    <n v="0"/>
    <n v="3"/>
    <n v="0"/>
    <n v="0"/>
    <n v="0"/>
    <n v="14748.75"/>
    <n v="0"/>
    <n v="0"/>
    <n v="0"/>
    <n v="3"/>
    <n v="14748.75"/>
    <n v="0"/>
    <n v="0"/>
    <n v="3"/>
    <n v="0"/>
    <n v="0"/>
    <n v="0"/>
    <n v="14748.75"/>
    <n v="0"/>
    <n v="0"/>
    <n v="3"/>
    <n v="14748.75"/>
    <n v="0"/>
    <n v="0"/>
    <n v="3"/>
    <n v="0"/>
    <n v="0"/>
    <m/>
    <n v="14748.75"/>
    <n v="0"/>
    <n v="0"/>
    <n v="3"/>
    <n v="14748.75"/>
    <n v="0"/>
  </r>
  <r>
    <s v="Lhotse-Audio Menor"/>
    <x v="1"/>
    <x v="10"/>
    <x v="23"/>
    <s v="LHPARTUNUP"/>
    <x v="92"/>
    <x v="92"/>
    <x v="0"/>
    <x v="3"/>
    <n v="1"/>
    <x v="76"/>
    <n v="1946"/>
    <m/>
    <n v="0"/>
    <n v="4512.999292035398"/>
    <n v="8782296.6223008838"/>
    <n v="4.72"/>
    <n v="5156.5999999999995"/>
    <n v="10915.966386554623"/>
    <n v="8394.957983193277"/>
    <s v="Shenzhen"/>
    <x v="2"/>
    <n v="30"/>
    <n v="1000"/>
    <n v="588"/>
    <n v="0.19534775160313025"/>
    <n v="2"/>
    <s v=""/>
    <n v="1691"/>
    <n v="0.30266943955273001"/>
    <n v="849"/>
    <n v="0.31688923476872372"/>
    <n v="6"/>
    <n v="0.4411828749645591"/>
    <n v="995"/>
    <n v="0.35909322745361388"/>
    <n v="1944"/>
    <n v="0.33548100096737221"/>
    <n v="68"/>
    <n v="0.40026060999683938"/>
    <n v="603"/>
    <n v="0.23930497756235258"/>
    <n v="929"/>
    <n v="0.35376928033111554"/>
    <n v="2880"/>
    <n v="0.33579653278789817"/>
    <n v="313"/>
    <n v="0.52020771212051675"/>
    <n v="392"/>
    <n v="0.20506129644759091"/>
    <n v="304"/>
    <n v="0.52380941546476401"/>
    <n v="224"/>
    <n v="0.3023394961215965"/>
    <n v="140"/>
    <n v="0.31688923285064857"/>
    <n v="0.2153846153846154"/>
    <n v="75"/>
    <n v="0.45571428646769163"/>
    <n v="0.5"/>
    <n v="439"/>
    <n v="0.35961088404781733"/>
    <n v="2.9266666666666667"/>
    <n v="44"/>
    <n v="0.33515888694686491"/>
    <n v="0.29333333333333333"/>
    <n v="850"/>
    <n v="3473"/>
    <n v="850"/>
    <n v="0"/>
    <n v="0"/>
    <n v="0"/>
    <n v="6904888.9168141596"/>
    <n v="16966299.599999998"/>
    <n v="3836049.3982300884"/>
    <n v="0"/>
    <n v="1946"/>
    <n v="8782296.6223008838"/>
    <n v="7797118.847539017"/>
    <n v="460"/>
    <n v="3006"/>
    <n v="456"/>
    <n v="0"/>
    <n v="0"/>
    <n v="0"/>
    <n v="3700659.4194690264"/>
    <n v="14684911.199999999"/>
    <n v="2057927.6771681416"/>
    <n v="0"/>
    <n v="1946"/>
    <n v="8782296.6223008838"/>
    <n v="4182924.934679755"/>
    <n v="650"/>
    <n v="2630"/>
    <n v="224"/>
    <n v="0"/>
    <n v="0"/>
    <n v="2375511.7423008848"/>
    <n v="11869188.138053097"/>
    <n v="1010911.8414159291"/>
    <n v="0"/>
    <n v="1946"/>
    <n v="8782296.6223008838"/>
    <n v="2445176.4705882357"/>
    <n v="650"/>
    <n v="2508"/>
    <n v="140"/>
    <n v="0"/>
    <n v="0"/>
    <n v="12252081.6"/>
    <n v="631819.90088495566"/>
    <x v="0"/>
    <x v="0"/>
    <n v="1946"/>
    <n v="8782296.6223008838"/>
    <n v="1528235.2941176472"/>
    <n v="150"/>
    <n v="2021"/>
    <n v="150"/>
    <m/>
    <n v="0"/>
    <n v="0"/>
    <n v="9120771.5692035388"/>
    <n v="732780"/>
    <x v="0"/>
    <n v="0"/>
    <n v="1946"/>
    <n v="8782296.6223008838"/>
    <n v="1637394.9579831935"/>
    <n v="150"/>
    <n v="2385"/>
    <n v="439"/>
    <m/>
    <n v="0"/>
    <n v="0"/>
    <n v="10763503.311504424"/>
    <n v="2144602.7999999998"/>
    <n v="0"/>
    <n v="0"/>
    <n v="2385"/>
    <n v="8782296.6223008838"/>
    <n v="4792109.2436974794"/>
    <n v="150"/>
    <n v="1990"/>
    <n v="150"/>
    <n v="0"/>
    <n v="0"/>
    <n v="0"/>
    <n v="8980868.5911504421"/>
    <n v="732780"/>
    <n v="0"/>
    <n v="0"/>
    <n v="1990"/>
    <n v="8782296.6223008838"/>
    <n v="1637394.9579831935"/>
    <n v="150"/>
    <n v="1840"/>
    <n v="150"/>
    <n v="1500"/>
    <n v="1500"/>
    <n v="0"/>
    <n v="8303918.697345132"/>
    <n v="732780"/>
    <n v="7327800"/>
    <n v="0"/>
    <n v="3340"/>
    <n v="15631718.697345132"/>
    <n v="1637394.9579831935"/>
    <n v="150"/>
    <n v="1690"/>
    <n v="150"/>
    <n v="0"/>
    <n v="0"/>
    <n v="1500"/>
    <n v="8255988"/>
    <n v="732780"/>
    <n v="0"/>
    <n v="7327800"/>
    <n v="3190"/>
    <n v="15583788"/>
    <n v="1637394.9579831935"/>
    <n v="300"/>
    <n v="3040"/>
    <n v="300"/>
    <n v="0"/>
    <n v="0"/>
    <n v="0"/>
    <m/>
    <n v="14851008"/>
    <n v="1465560"/>
    <n v="0"/>
    <n v="0"/>
    <n v="3040"/>
    <n v="14851008"/>
    <n v="2518487.3949579829"/>
    <n v="150"/>
    <n v="2740"/>
    <n v="150"/>
    <n v="0"/>
    <n v="0"/>
    <n v="13385448"/>
    <n v="732780"/>
    <n v="0"/>
    <n v="0"/>
    <n v="2740"/>
    <n v="13385448"/>
    <n v="1322205.8823529412"/>
    <n v="300"/>
    <n v="2590"/>
    <n v="300"/>
    <n v="0"/>
    <n v="0"/>
    <n v="12652668"/>
    <n v="1465560"/>
    <n v="0"/>
    <n v="2590"/>
    <n v="12652668"/>
    <n v="3274789.9159663869"/>
    <n v="90"/>
    <n v="2290"/>
    <n v="90"/>
    <n v="0"/>
    <m/>
    <n v="11187108"/>
    <n v="406169.93628318585"/>
    <n v="0"/>
    <n v="2290"/>
    <n v="11187108"/>
    <n v="982436.97478991607"/>
  </r>
  <r>
    <s v="Lhotse-Audio Menor"/>
    <x v="1"/>
    <x v="10"/>
    <x v="23"/>
    <s v="LHPARTUNUP"/>
    <x v="93"/>
    <x v="93"/>
    <x v="0"/>
    <x v="3"/>
    <n v="1"/>
    <x v="77"/>
    <n v="2821"/>
    <m/>
    <n v="0"/>
    <n v="4511"/>
    <n v="12725531"/>
    <n v="4.72"/>
    <n v="5156.5999999999995"/>
    <n v="10915.966386554623"/>
    <n v="8394.957983193277"/>
    <s v="Shenzhen"/>
    <x v="2"/>
    <n v="30"/>
    <n v="1000"/>
    <n v="725"/>
    <n v="0.19986007386433749"/>
    <n v="642"/>
    <n v="0.20020539261646864"/>
    <n v="1391"/>
    <n v="0.29626948477317383"/>
    <n v="85"/>
    <n v="0.31687990417495715"/>
    <n v="6"/>
    <n v="0.40735355826481429"/>
    <n v="916"/>
    <n v="0.35357254871106875"/>
    <n v="1447"/>
    <n v="0.33170750740770266"/>
    <n v="77"/>
    <n v="0.39776471111908035"/>
    <n v="438"/>
    <n v="0.23820093726905223"/>
    <n v="986"/>
    <n v="0.32643365364965227"/>
    <n v="2367"/>
    <n v="0.32956981528477425"/>
    <n v="395"/>
    <n v="0.41842296742654889"/>
    <n v="450"/>
    <n v="0.20100897535565626"/>
    <n v="113"/>
    <n v="0.2002053927416266"/>
    <n v="167"/>
    <n v="0.29626949210934928"/>
    <n v="56"/>
    <n v="0.31687989676783823"/>
    <n v="0.16"/>
    <n v="25"/>
    <n v="0.44417874552184927"/>
    <n v="0.35714285714285715"/>
    <n v="64"/>
    <n v="0.3529993903178264"/>
    <n v="0.91428571428571426"/>
    <n v="11"/>
    <n v="0.33170750739190619"/>
    <n v="0.15714285714285714"/>
    <n v="850"/>
    <n v="2713"/>
    <n v="850"/>
    <n v="0"/>
    <n v="1000"/>
    <n v="0"/>
    <n v="5352301.5"/>
    <n v="13253547.6"/>
    <n v="3834350"/>
    <n v="0"/>
    <n v="2821"/>
    <n v="12725531"/>
    <n v="7797118.847539017"/>
    <n v="620"/>
    <n v="2233"/>
    <n v="169.5"/>
    <n v="0"/>
    <n v="0"/>
    <n v="0"/>
    <n v="1770567.5"/>
    <n v="10908651.6"/>
    <n v="764614.5"/>
    <n v="0"/>
    <n v="2821"/>
    <n v="12725531"/>
    <n v="1554837.2290092509"/>
    <n v="350"/>
    <n v="2088"/>
    <n v="167"/>
    <n v="0"/>
    <n v="0"/>
    <n v="1347917"/>
    <n v="9418968"/>
    <n v="753337"/>
    <n v="0"/>
    <n v="2821"/>
    <n v="12725531"/>
    <n v="1822966.3865546221"/>
    <n v="350"/>
    <n v="2843"/>
    <n v="56"/>
    <n v="1000"/>
    <n v="0"/>
    <n v="13888623.6"/>
    <n v="252616"/>
    <x v="37"/>
    <x v="0"/>
    <n v="2821"/>
    <n v="12725531"/>
    <n v="611294.11764705891"/>
    <n v="70"/>
    <n v="2846"/>
    <n v="70"/>
    <m/>
    <n v="1000"/>
    <n v="0"/>
    <n v="12838306"/>
    <n v="341964"/>
    <x v="0"/>
    <n v="0"/>
    <n v="2821"/>
    <n v="12725531"/>
    <n v="764117.64705882361"/>
    <n v="70"/>
    <n v="2885"/>
    <n v="64"/>
    <m/>
    <n v="0"/>
    <n v="0"/>
    <n v="13014235"/>
    <n v="312652.79999999999"/>
    <n v="0"/>
    <n v="0"/>
    <n v="2885"/>
    <n v="12725531"/>
    <n v="698621.84873949585"/>
    <n v="70"/>
    <n v="2832"/>
    <n v="70"/>
    <n v="1000"/>
    <n v="1000"/>
    <n v="0"/>
    <n v="12775152"/>
    <n v="341964"/>
    <n v="4722359.9999999991"/>
    <n v="0"/>
    <n v="2832"/>
    <n v="12725531"/>
    <n v="764117.64705882361"/>
    <n v="70"/>
    <n v="2762"/>
    <n v="70"/>
    <n v="0"/>
    <n v="0"/>
    <n v="1000"/>
    <n v="12459382"/>
    <n v="341964"/>
    <n v="0"/>
    <n v="4885200"/>
    <n v="2762"/>
    <n v="12459382"/>
    <n v="764117.64705882361"/>
    <n v="70"/>
    <n v="3692"/>
    <n v="70"/>
    <n v="0"/>
    <n v="0"/>
    <m/>
    <n v="18036158.399999999"/>
    <n v="341964"/>
    <n v="0"/>
    <n v="0"/>
    <n v="3692"/>
    <n v="18036158.399999999"/>
    <n v="764117.64705882361"/>
    <n v="140"/>
    <n v="3622"/>
    <n v="140"/>
    <n v="0"/>
    <n v="0"/>
    <n v="0"/>
    <m/>
    <n v="17694194.399999999"/>
    <n v="683928"/>
    <n v="0"/>
    <n v="0"/>
    <n v="3622"/>
    <n v="17694194.399999999"/>
    <n v="1175294.1176470588"/>
    <n v="140"/>
    <n v="3482"/>
    <n v="140"/>
    <n v="0"/>
    <n v="0"/>
    <n v="17010266.399999999"/>
    <n v="683928"/>
    <n v="0"/>
    <n v="0"/>
    <n v="3482"/>
    <n v="17010266.399999999"/>
    <n v="1234058.8235294118"/>
    <n v="280"/>
    <n v="3342"/>
    <n v="280"/>
    <n v="0"/>
    <n v="0"/>
    <n v="16326338.399999999"/>
    <n v="1367856"/>
    <n v="0"/>
    <n v="3342"/>
    <n v="16326338.399999999"/>
    <n v="3056470.5882352944"/>
    <n v="84"/>
    <n v="3062"/>
    <n v="84"/>
    <n v="0"/>
    <m/>
    <n v="14958482.4"/>
    <n v="378924"/>
    <n v="0"/>
    <n v="3062"/>
    <n v="14958482.4"/>
    <n v="916941.17647058831"/>
  </r>
  <r>
    <s v="Lhotse-Audio Menor"/>
    <x v="1"/>
    <x v="10"/>
    <x v="23"/>
    <s v="LHPARTUNUP"/>
    <x v="94"/>
    <x v="94"/>
    <x v="0"/>
    <x v="3"/>
    <n v="1"/>
    <x v="78"/>
    <n v="2683"/>
    <m/>
    <n v="0"/>
    <n v="4616.9991457858769"/>
    <n v="12387408.708143508"/>
    <n v="4.72"/>
    <n v="5156.5999999999995"/>
    <n v="10915.966386554623"/>
    <n v="8394.957983193277"/>
    <s v="Shenzhen"/>
    <x v="2"/>
    <n v="30"/>
    <n v="1000"/>
    <n v="762"/>
    <n v="0.19863435433626297"/>
    <n v="31"/>
    <n v="0.19719674796747977"/>
    <n v="1511"/>
    <n v="0.31202881218972622"/>
    <n v="772"/>
    <n v="0.30366561150128535"/>
    <n v="20"/>
    <n v="0.57922892958809835"/>
    <n v="813"/>
    <n v="0.31615731842824529"/>
    <n v="2071"/>
    <n v="0.34373378301558521"/>
    <n v="-17"/>
    <n v="0.41654570781562666"/>
    <n v="549"/>
    <n v="0.23871611278617028"/>
    <n v="898"/>
    <n v="0.34144480395687909"/>
    <n v="2423"/>
    <n v="0.33076906646661769"/>
    <n v="507"/>
    <n v="0.43416149830887268"/>
    <n v="409"/>
    <n v="0.19791901408488066"/>
    <n v="155"/>
    <n v="0.21449314607156542"/>
    <n v="305"/>
    <n v="0.3120288082411718"/>
    <n v="55"/>
    <n v="0.3036656113987069"/>
    <n v="8.8709677419354843E-2"/>
    <n v="46"/>
    <n v="0.54474299844464624"/>
    <n v="0.46"/>
    <n v="433"/>
    <n v="0.31546018279013943"/>
    <n v="4.33"/>
    <n v="39"/>
    <n v="0.34373378159244106"/>
    <n v="0.39"/>
    <n v="820"/>
    <n v="4083"/>
    <n v="820"/>
    <n v="0"/>
    <n v="1000"/>
    <n v="0"/>
    <n v="6267576.340404328"/>
    <n v="19946271.599999998"/>
    <n v="3785939.2995444192"/>
    <n v="0"/>
    <n v="2683"/>
    <n v="12387408.708143508"/>
    <n v="7521926.4176258752"/>
    <n v="620"/>
    <n v="3706"/>
    <n v="232.5"/>
    <n v="0"/>
    <n v="0"/>
    <n v="0"/>
    <n v="2735571.9938781322"/>
    <n v="18104551.199999999"/>
    <n v="1073452.3013952163"/>
    <n v="0"/>
    <n v="2683"/>
    <n v="12387408.708143508"/>
    <n v="2132741.3318268489"/>
    <n v="620"/>
    <n v="3491"/>
    <n v="305"/>
    <n v="0"/>
    <n v="0"/>
    <n v="2150639.6924829157"/>
    <n v="16117944.017938497"/>
    <n v="1408184.7394646925"/>
    <n v="0"/>
    <n v="2683"/>
    <n v="12387408.708143508"/>
    <n v="3329369.7478991598"/>
    <n v="620"/>
    <n v="3138"/>
    <n v="55"/>
    <n v="0"/>
    <n v="0"/>
    <n v="15329757.6"/>
    <n v="253934.95301822323"/>
    <x v="0"/>
    <x v="0"/>
    <n v="2683"/>
    <n v="12387408.708143508"/>
    <n v="600378.15126050427"/>
    <n v="100"/>
    <n v="2729"/>
    <n v="100"/>
    <m/>
    <n v="0"/>
    <n v="0"/>
    <n v="12599790.668849658"/>
    <n v="488520"/>
    <x v="0"/>
    <n v="0"/>
    <n v="2683"/>
    <n v="12387408.708143508"/>
    <n v="1091596.6386554623"/>
    <n v="100"/>
    <n v="3116"/>
    <n v="433"/>
    <m/>
    <n v="0"/>
    <n v="0"/>
    <n v="14386569.338268792"/>
    <n v="2115291.6"/>
    <n v="0"/>
    <n v="0"/>
    <n v="3116"/>
    <n v="12387408.708143508"/>
    <n v="4726613.4453781517"/>
    <n v="100"/>
    <n v="2722"/>
    <n v="100"/>
    <n v="1000"/>
    <n v="1000"/>
    <n v="0"/>
    <n v="12567471.674829157"/>
    <n v="488520"/>
    <n v="4722359.9999999991"/>
    <n v="0"/>
    <n v="2722"/>
    <n v="12387408.708143508"/>
    <n v="1091596.6386554623"/>
    <n v="100"/>
    <n v="2622"/>
    <n v="100"/>
    <n v="0"/>
    <n v="0"/>
    <n v="1000"/>
    <n v="12105771.760250568"/>
    <n v="488520"/>
    <n v="0"/>
    <n v="4885200"/>
    <n v="2622"/>
    <n v="12105771.760250568"/>
    <n v="1091596.6386554623"/>
    <n v="100"/>
    <n v="3522"/>
    <n v="100"/>
    <n v="0"/>
    <n v="0"/>
    <m/>
    <n v="17205674.399999999"/>
    <n v="488520"/>
    <n v="0"/>
    <n v="0"/>
    <n v="3522"/>
    <n v="17205674.399999999"/>
    <n v="1091596.6386554623"/>
    <n v="200"/>
    <n v="3422"/>
    <n v="200"/>
    <n v="0"/>
    <n v="0"/>
    <n v="0"/>
    <m/>
    <n v="16717154.399999999"/>
    <n v="977040"/>
    <n v="0"/>
    <n v="0"/>
    <n v="3422"/>
    <n v="16717154.399999999"/>
    <n v="1678991.5966386553"/>
    <n v="150"/>
    <n v="3222"/>
    <n v="150"/>
    <n v="0"/>
    <n v="0"/>
    <n v="15740114.399999999"/>
    <n v="732780"/>
    <n v="0"/>
    <n v="0"/>
    <n v="3222"/>
    <n v="15740114.399999999"/>
    <n v="1322205.8823529412"/>
    <n v="300"/>
    <n v="3072"/>
    <n v="300"/>
    <n v="0"/>
    <n v="0"/>
    <n v="15007334.399999999"/>
    <n v="1465560"/>
    <n v="0"/>
    <n v="3072"/>
    <n v="15007334.399999999"/>
    <n v="3274789.9159663869"/>
    <n v="90"/>
    <n v="2772"/>
    <n v="90"/>
    <n v="0"/>
    <m/>
    <n v="13541774.4"/>
    <n v="415529.92312072893"/>
    <n v="0"/>
    <n v="2772"/>
    <n v="13541774.4"/>
    <n v="982436.97478991607"/>
  </r>
  <r>
    <s v="Lhotse-Audio Menor"/>
    <x v="1"/>
    <x v="10"/>
    <x v="23"/>
    <s v="LHPARTUNUP"/>
    <x v="95"/>
    <x v="95"/>
    <x v="0"/>
    <x v="3"/>
    <n v="1"/>
    <x v="79"/>
    <n v="2332"/>
    <m/>
    <n v="0"/>
    <n v="4535"/>
    <n v="10575620"/>
    <n v="4.72"/>
    <n v="5156.5999999999995"/>
    <n v="10915.966386554623"/>
    <n v="8394.957983193277"/>
    <s v="Shenzhen"/>
    <x v="2"/>
    <n v="30"/>
    <n v="1000"/>
    <n v="201"/>
    <n v="0.20022013983172454"/>
    <n v="10"/>
    <n v="0.19750406504065041"/>
    <n v="1402"/>
    <n v="0.30158564782599856"/>
    <n v="87"/>
    <n v="0.33802936242709214"/>
    <n v="6"/>
    <n v="0.40687496455911537"/>
    <n v="571"/>
    <n v="0.27747120764191435"/>
    <n v="1947"/>
    <n v="0.34477407147063688"/>
    <n v="22"/>
    <n v="0.41110705684300125"/>
    <n v="435"/>
    <n v="0.23860281703053451"/>
    <n v="860"/>
    <n v="0.32460238904243316"/>
    <n v="2150"/>
    <n v="0.33069346825652002"/>
    <n v="260"/>
    <n v="0.43219079399987542"/>
    <n v="125"/>
    <n v="0.20022013973709532"/>
    <n v="135"/>
    <n v="0.19750406504065041"/>
    <n v="135"/>
    <n v="0.30158564801898602"/>
    <n v="34"/>
    <n v="0.33802936263250816"/>
    <n v="0.11333333333333333"/>
    <n v="13"/>
    <n v="0.40688619735453557"/>
    <n v="0.26"/>
    <n v="52"/>
    <n v="0.27635146802247323"/>
    <n v="1.04"/>
    <n v="16"/>
    <n v="0.34477407124619514"/>
    <n v="0.32"/>
    <n v="600"/>
    <n v="2817"/>
    <n v="600"/>
    <n v="0"/>
    <n v="1000"/>
    <n v="0"/>
    <n v="4251562.5"/>
    <n v="13761608.4"/>
    <n v="2721000"/>
    <n v="0"/>
    <n v="2332"/>
    <n v="10575620"/>
    <n v="5503848.5982628353"/>
    <n v="400"/>
    <n v="2703"/>
    <n v="202.5"/>
    <n v="0"/>
    <n v="0"/>
    <n v="0"/>
    <n v="1684752.5"/>
    <n v="13204695.6"/>
    <n v="918337.5"/>
    <n v="0"/>
    <n v="2332"/>
    <n v="10575620"/>
    <n v="1857548.9019137069"/>
    <n v="300"/>
    <n v="2542"/>
    <n v="135"/>
    <n v="0"/>
    <n v="0"/>
    <n v="1010675"/>
    <n v="11527970"/>
    <n v="612225"/>
    <n v="0"/>
    <n v="2332"/>
    <n v="10575620"/>
    <n v="1473655.4621848741"/>
    <n v="300"/>
    <n v="2352"/>
    <n v="34"/>
    <n v="0"/>
    <n v="0"/>
    <n v="11489990.4"/>
    <n v="154190"/>
    <x v="0"/>
    <x v="0"/>
    <n v="2332"/>
    <n v="10575620"/>
    <n v="371142.85714285716"/>
    <n v="50"/>
    <n v="2345"/>
    <n v="50"/>
    <m/>
    <n v="0"/>
    <n v="0"/>
    <n v="10634575"/>
    <n v="244260"/>
    <x v="0"/>
    <n v="0"/>
    <n v="2332"/>
    <n v="10575620"/>
    <n v="545798.31932773115"/>
    <n v="50"/>
    <n v="2384"/>
    <n v="52"/>
    <m/>
    <n v="0"/>
    <n v="0"/>
    <n v="10811440"/>
    <n v="254030.4"/>
    <n v="0"/>
    <n v="0"/>
    <n v="2384"/>
    <n v="10575620"/>
    <n v="567630.25210084033"/>
    <n v="50"/>
    <n v="2348"/>
    <n v="50"/>
    <n v="1000"/>
    <n v="1000"/>
    <n v="0"/>
    <n v="10648180"/>
    <n v="244260"/>
    <n v="4722359.9999999991"/>
    <n v="0"/>
    <n v="2348"/>
    <n v="10575620"/>
    <n v="545798.31932773115"/>
    <n v="50"/>
    <n v="2298"/>
    <n v="50"/>
    <n v="0"/>
    <n v="0"/>
    <n v="1000"/>
    <n v="10421430"/>
    <n v="244260"/>
    <n v="0"/>
    <n v="4885200"/>
    <n v="2298"/>
    <n v="10421430"/>
    <n v="545798.31932773115"/>
    <n v="50"/>
    <n v="3248"/>
    <n v="50"/>
    <n v="0"/>
    <n v="0"/>
    <m/>
    <n v="15867129.6"/>
    <n v="244260"/>
    <n v="0"/>
    <n v="0"/>
    <n v="3248"/>
    <n v="15867129.6"/>
    <n v="545798.31932773115"/>
    <n v="100"/>
    <n v="3198"/>
    <n v="100"/>
    <n v="0"/>
    <n v="0"/>
    <n v="0"/>
    <m/>
    <n v="15622869.6"/>
    <n v="488520"/>
    <n v="0"/>
    <n v="0"/>
    <n v="3198"/>
    <n v="15622869.6"/>
    <n v="839495.79831932765"/>
    <n v="100"/>
    <n v="3098"/>
    <n v="100"/>
    <n v="0"/>
    <n v="0"/>
    <n v="15134349.6"/>
    <n v="488520"/>
    <n v="0"/>
    <n v="0"/>
    <n v="3098"/>
    <n v="15134349.6"/>
    <n v="881470.5882352941"/>
    <n v="200"/>
    <n v="2998"/>
    <n v="200"/>
    <n v="0"/>
    <n v="0"/>
    <n v="14645829.6"/>
    <n v="977040"/>
    <n v="0"/>
    <n v="2998"/>
    <n v="14645829.6"/>
    <n v="2183193.2773109246"/>
    <n v="60"/>
    <n v="2798"/>
    <n v="60"/>
    <n v="0"/>
    <m/>
    <n v="13668789.6"/>
    <n v="272100"/>
    <n v="0"/>
    <n v="2798"/>
    <n v="13668789.6"/>
    <n v="654957.98319327738"/>
  </r>
  <r>
    <s v="Lhotse-Audio Menor"/>
    <x v="1"/>
    <x v="10"/>
    <x v="23"/>
    <s v="LHPARTRGO"/>
    <x v="96"/>
    <x v="96"/>
    <x v="0"/>
    <x v="4"/>
    <n v="1"/>
    <x v="80"/>
    <n v="26"/>
    <m/>
    <n v="0"/>
    <n v="5887"/>
    <n v="153062"/>
    <n v="5.4"/>
    <n v="5899.4999999999991"/>
    <n v="12596.638655462186"/>
    <n v="10915.966386554623"/>
    <s v="Shenzhen"/>
    <x v="0"/>
    <n v="30"/>
    <n v="1000"/>
    <n v="4"/>
    <n v="0.61158441038255207"/>
    <n v="21"/>
    <n v="0.49463500788589221"/>
    <n v="23"/>
    <n v="0.54874791230312048"/>
    <n v="14"/>
    <n v="0.38191365385048032"/>
    <n v="71"/>
    <n v="0.42699751396066171"/>
    <n v="49"/>
    <n v="0.67627389821986994"/>
    <n v="76"/>
    <n v="0.36818901589803366"/>
    <n v="50"/>
    <n v="0.34534789759575746"/>
    <n v="36"/>
    <n v="0.32276827207991465"/>
    <n v="112"/>
    <n v="0.33784730117526784"/>
    <n v="218"/>
    <n v="0.31317175955470028"/>
    <n v="253"/>
    <n v="0.44197303889023321"/>
    <n v="40"/>
    <s v=""/>
    <n v="20"/>
    <s v=""/>
    <n v="10"/>
    <s v=""/>
    <n v="20"/>
    <s v=""/>
    <n v="0"/>
    <n v="1"/>
    <s v=""/>
    <n v="0"/>
    <n v="12"/>
    <s v=""/>
    <n v="0"/>
    <n v="3"/>
    <s v=""/>
    <n v="0"/>
    <n v="80"/>
    <n v="42"/>
    <n v="42"/>
    <n v="0"/>
    <n v="0"/>
    <n v="0"/>
    <n v="482734"/>
    <n v="234738"/>
    <n v="247254"/>
    <n v="0"/>
    <n v="26"/>
    <n v="153062"/>
    <n v="444587.24666337128"/>
    <n v="0"/>
    <n v="25"/>
    <n v="30"/>
    <n v="0"/>
    <n v="0"/>
    <n v="0"/>
    <n v="353220"/>
    <n v="139725"/>
    <n v="176610"/>
    <n v="0"/>
    <n v="26"/>
    <n v="153062"/>
    <n v="317562.31904526521"/>
    <n v="0"/>
    <n v="5"/>
    <n v="10"/>
    <n v="0"/>
    <n v="0"/>
    <n v="176610"/>
    <n v="29435"/>
    <n v="58870"/>
    <n v="0"/>
    <n v="26"/>
    <n v="153062"/>
    <n v="125966.38655462186"/>
    <n v="0"/>
    <n v="28"/>
    <n v="20"/>
    <n v="0"/>
    <n v="0"/>
    <n v="156492"/>
    <n v="117740"/>
    <x v="0"/>
    <x v="0"/>
    <n v="26"/>
    <n v="153062"/>
    <n v="251932.77310924372"/>
    <n v="0"/>
    <n v="27"/>
    <n v="0"/>
    <m/>
    <n v="0"/>
    <n v="0"/>
    <n v="158949"/>
    <n v="0"/>
    <x v="0"/>
    <n v="0"/>
    <n v="26"/>
    <n v="153062"/>
    <n v="0"/>
    <n v="0"/>
    <n v="38"/>
    <n v="12"/>
    <m/>
    <n v="0"/>
    <n v="0"/>
    <n v="223706"/>
    <n v="67068"/>
    <n v="0"/>
    <n v="0"/>
    <n v="38"/>
    <n v="153062"/>
    <n v="151159.66386554623"/>
    <n v="0"/>
    <n v="29"/>
    <n v="0"/>
    <n v="300"/>
    <n v="300"/>
    <n v="0"/>
    <n v="170723"/>
    <n v="0"/>
    <n v="1620810"/>
    <n v="0"/>
    <n v="29"/>
    <n v="153062"/>
    <n v="0"/>
    <n v="0"/>
    <n v="29"/>
    <n v="0"/>
    <n v="0"/>
    <n v="0"/>
    <n v="0"/>
    <n v="170723"/>
    <n v="0"/>
    <n v="0"/>
    <n v="0"/>
    <n v="29"/>
    <n v="170723"/>
    <n v="0"/>
    <n v="0"/>
    <n v="29"/>
    <n v="0"/>
    <n v="0"/>
    <n v="0"/>
    <n v="300"/>
    <n v="162081"/>
    <n v="0"/>
    <n v="0"/>
    <n v="1676700"/>
    <n v="329"/>
    <n v="1838781"/>
    <n v="0"/>
    <n v="11"/>
    <n v="329"/>
    <n v="11"/>
    <n v="0"/>
    <n v="0"/>
    <n v="0"/>
    <m/>
    <n v="1838781"/>
    <n v="61479"/>
    <n v="0"/>
    <n v="0"/>
    <n v="329"/>
    <n v="1838781"/>
    <n v="120075.63025210085"/>
    <n v="0"/>
    <n v="318"/>
    <n v="0"/>
    <n v="0"/>
    <n v="0"/>
    <n v="1777302"/>
    <n v="0"/>
    <n v="0"/>
    <n v="0"/>
    <n v="318"/>
    <n v="1777302"/>
    <n v="0"/>
    <n v="0"/>
    <n v="318"/>
    <n v="0"/>
    <n v="0"/>
    <n v="0"/>
    <n v="1777302"/>
    <n v="0"/>
    <n v="0"/>
    <n v="318"/>
    <n v="1777302"/>
    <n v="0"/>
    <n v="0"/>
    <n v="318"/>
    <n v="0"/>
    <n v="0"/>
    <m/>
    <n v="1777302"/>
    <n v="0"/>
    <n v="0"/>
    <n v="318"/>
    <n v="1777302"/>
    <n v="0"/>
  </r>
  <r>
    <s v="Lhotse-Audio Menor"/>
    <x v="1"/>
    <x v="10"/>
    <x v="23"/>
    <s v="LHPARTRGO"/>
    <x v="97"/>
    <x v="97"/>
    <x v="0"/>
    <x v="6"/>
    <n v="1"/>
    <x v="12"/>
    <n v="134"/>
    <m/>
    <n v="0"/>
    <n v="5754"/>
    <n v="771036"/>
    <n v="5.4"/>
    <n v="5899.4999999999991"/>
    <n v="12596.638655462186"/>
    <n v="10915.966386554623"/>
    <s v="Shenzhen"/>
    <x v="0"/>
    <n v="30"/>
    <n v="1000"/>
    <n v="11"/>
    <n v="0.66217179344153743"/>
    <n v="21"/>
    <n v="0.59967245641808042"/>
    <n v="21"/>
    <n v="0.61878024651740215"/>
    <n v="8"/>
    <n v="0.61969196349906719"/>
    <n v="12"/>
    <n v="0.57135785842350739"/>
    <n v="27"/>
    <n v="0.47360190799844798"/>
    <n v="28"/>
    <n v="0.35637648051577986"/>
    <n v="73"/>
    <n v="0.30265178705920037"/>
    <n v="30"/>
    <n v="0.38185158315680923"/>
    <n v="49"/>
    <n v="0.38433287620671974"/>
    <n v="101"/>
    <n v="0.29081556694303345"/>
    <n v="234"/>
    <n v="0.43209484698484935"/>
    <n v="27"/>
    <s v=""/>
    <n v="23"/>
    <s v=""/>
    <n v="36"/>
    <s v=""/>
    <n v="37"/>
    <s v=""/>
    <n v="0.6166666666666667"/>
    <n v="49"/>
    <s v=""/>
    <n v="1.6333333333333333"/>
    <n v="154"/>
    <s v=""/>
    <n v="3.08"/>
    <n v="6"/>
    <s v=""/>
    <n v="0.14285714285714285"/>
    <n v="70"/>
    <n v="424"/>
    <n v="90"/>
    <n v="0"/>
    <n v="0"/>
    <n v="0"/>
    <n v="923517"/>
    <n v="2369736"/>
    <n v="517860"/>
    <n v="0"/>
    <n v="134"/>
    <n v="771036"/>
    <n v="952686.95713579562"/>
    <n v="80"/>
    <n v="398"/>
    <n v="34.5"/>
    <n v="0"/>
    <n v="0"/>
    <n v="0"/>
    <n v="618555"/>
    <n v="2224422"/>
    <n v="198513"/>
    <n v="0"/>
    <n v="134"/>
    <n v="771036"/>
    <n v="365196.66690205497"/>
    <n v="60"/>
    <n v="373"/>
    <n v="36"/>
    <n v="0"/>
    <n v="0"/>
    <n v="587712"/>
    <n v="2146242"/>
    <n v="207144"/>
    <n v="0"/>
    <n v="134"/>
    <n v="771036"/>
    <n v="453478.99159663869"/>
    <n v="60"/>
    <n v="346"/>
    <n v="37"/>
    <n v="0"/>
    <n v="0"/>
    <n v="1933794"/>
    <n v="212898"/>
    <x v="0"/>
    <x v="0"/>
    <n v="134"/>
    <n v="771036"/>
    <n v="466075.63025210088"/>
    <n v="30"/>
    <n v="183"/>
    <n v="30"/>
    <m/>
    <n v="0"/>
    <n v="0"/>
    <n v="1052982"/>
    <n v="167670"/>
    <x v="0"/>
    <n v="0"/>
    <n v="134"/>
    <n v="771036"/>
    <n v="377899.15966386558"/>
    <n v="50"/>
    <n v="288"/>
    <n v="154"/>
    <m/>
    <n v="0"/>
    <n v="0"/>
    <n v="1657152"/>
    <n v="860706"/>
    <n v="0"/>
    <n v="0"/>
    <n v="288"/>
    <n v="771036"/>
    <n v="1939882.3529411766"/>
    <n v="42"/>
    <n v="140"/>
    <n v="42"/>
    <n v="0"/>
    <n v="0"/>
    <n v="0"/>
    <n v="805560"/>
    <n v="234738"/>
    <n v="0"/>
    <n v="0"/>
    <n v="140"/>
    <n v="771036"/>
    <n v="529058.82352941181"/>
    <n v="76"/>
    <n v="98"/>
    <n v="76"/>
    <n v="0"/>
    <n v="0"/>
    <n v="0"/>
    <n v="563892"/>
    <n v="424764"/>
    <n v="0"/>
    <n v="0"/>
    <n v="98"/>
    <n v="563892"/>
    <n v="957344.53781512612"/>
    <n v="44"/>
    <n v="22"/>
    <n v="44"/>
    <n v="0"/>
    <n v="0"/>
    <m/>
    <n v="122958"/>
    <n v="245916"/>
    <n v="0"/>
    <n v="0"/>
    <n v="22"/>
    <n v="122958"/>
    <n v="554252.10084033618"/>
    <n v="50"/>
    <n v="0"/>
    <n v="0"/>
    <n v="0"/>
    <n v="0"/>
    <n v="0"/>
    <m/>
    <n v="0"/>
    <n v="0"/>
    <n v="0"/>
    <n v="0"/>
    <n v="0"/>
    <n v="0"/>
    <n v="0"/>
    <n v="13"/>
    <n v="0"/>
    <n v="13"/>
    <n v="0"/>
    <n v="0"/>
    <n v="0"/>
    <n v="72657"/>
    <n v="0"/>
    <n v="0"/>
    <n v="0"/>
    <n v="0"/>
    <n v="149002.9411764706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Audio Menor"/>
    <x v="1"/>
    <x v="10"/>
    <x v="23"/>
    <s v="LHPARTRGO"/>
    <x v="98"/>
    <x v="98"/>
    <x v="0"/>
    <x v="4"/>
    <n v="0.8"/>
    <x v="81"/>
    <n v="427"/>
    <m/>
    <n v="0"/>
    <n v="5933"/>
    <n v="2533391"/>
    <n v="5.4"/>
    <n v="5899.4999999999991"/>
    <n v="12596.638655462186"/>
    <n v="10915.966386554623"/>
    <s v="Shenzhen"/>
    <x v="0"/>
    <n v="30"/>
    <n v="1000"/>
    <n v="4"/>
    <n v="0.58961151072209228"/>
    <n v="5"/>
    <n v="0.59959999774598671"/>
    <n v="5"/>
    <n v="0.55292282244076119"/>
    <n v="8"/>
    <n v="0.58173712686390311"/>
    <n v="6"/>
    <n v="0.5664113193556306"/>
    <n v="75"/>
    <n v="0.42661552807664993"/>
    <n v="38"/>
    <n v="0.35062820802145667"/>
    <n v="66"/>
    <n v="0.25069163164521396"/>
    <n v="25"/>
    <n v="0.35176586556297995"/>
    <n v="40"/>
    <n v="0.37015803994874724"/>
    <n v="57"/>
    <n v="0.37147361168646587"/>
    <n v="120"/>
    <n v="0.48421588998599585"/>
    <n v="27"/>
    <s v=""/>
    <n v="27"/>
    <s v=""/>
    <n v="19"/>
    <s v=""/>
    <n v="19"/>
    <s v=""/>
    <n v="0.47499999999999998"/>
    <n v="12"/>
    <s v=""/>
    <n v="0.4"/>
    <n v="18"/>
    <s v=""/>
    <n v="0.25714285714285712"/>
    <n v="2"/>
    <s v=""/>
    <n v="3.7037037037037035E-2"/>
    <n v="40"/>
    <n v="548"/>
    <n v="40"/>
    <n v="0"/>
    <n v="0"/>
    <n v="0"/>
    <n v="590333.5"/>
    <n v="3062772"/>
    <n v="237320"/>
    <n v="0"/>
    <n v="427"/>
    <n v="2533391"/>
    <n v="423416.42539368698"/>
    <n v="40"/>
    <n v="517"/>
    <n v="40.5"/>
    <n v="0"/>
    <n v="0"/>
    <n v="0"/>
    <n v="465740.5"/>
    <n v="2889513"/>
    <n v="240286.5"/>
    <n v="0"/>
    <n v="427"/>
    <n v="2533391"/>
    <n v="428709.13071110804"/>
    <n v="60"/>
    <n v="488"/>
    <n v="19"/>
    <n v="0"/>
    <n v="0"/>
    <n v="359590"/>
    <n v="2895304"/>
    <n v="112727"/>
    <n v="0"/>
    <n v="427"/>
    <n v="2533391"/>
    <n v="239336.13445378153"/>
    <n v="40"/>
    <n v="474"/>
    <n v="19"/>
    <n v="0"/>
    <n v="0"/>
    <n v="2649186"/>
    <n v="112727"/>
    <x v="0"/>
    <x v="0"/>
    <n v="427"/>
    <n v="2533391"/>
    <n v="239336.13445378153"/>
    <n v="30"/>
    <n v="439"/>
    <n v="24"/>
    <m/>
    <n v="0"/>
    <n v="0"/>
    <n v="2604587"/>
    <n v="134136"/>
    <x v="0"/>
    <n v="0"/>
    <n v="427"/>
    <n v="2533391"/>
    <n v="302319.32773109246"/>
    <n v="70"/>
    <n v="445"/>
    <n v="18"/>
    <m/>
    <n v="0"/>
    <n v="0"/>
    <n v="2640185"/>
    <n v="100602"/>
    <n v="0"/>
    <n v="0"/>
    <n v="445"/>
    <n v="2533391"/>
    <n v="226739.49579831935"/>
    <n v="54"/>
    <n v="429"/>
    <n v="43.2"/>
    <n v="0"/>
    <n v="0"/>
    <n v="0"/>
    <n v="2545257"/>
    <n v="241444.80000000002"/>
    <n v="0"/>
    <n v="0"/>
    <n v="429"/>
    <n v="2533391"/>
    <n v="544174.78991596645"/>
    <n v="60"/>
    <n v="385.8"/>
    <n v="48"/>
    <n v="0"/>
    <n v="0"/>
    <n v="0"/>
    <n v="2288951.4"/>
    <n v="268272"/>
    <n v="0"/>
    <n v="0"/>
    <n v="385.8"/>
    <n v="2288951.4"/>
    <n v="604638.65546218492"/>
    <n v="25"/>
    <n v="337.8"/>
    <n v="20"/>
    <n v="0"/>
    <n v="0"/>
    <m/>
    <n v="1887964.2"/>
    <n v="111780"/>
    <n v="0"/>
    <n v="0"/>
    <n v="337.8"/>
    <n v="1887964.2"/>
    <n v="251932.77310924372"/>
    <n v="50"/>
    <n v="317.8"/>
    <n v="40"/>
    <n v="0"/>
    <n v="0"/>
    <n v="0"/>
    <m/>
    <n v="1776184.2"/>
    <n v="223560"/>
    <n v="0"/>
    <n v="0"/>
    <n v="317.8"/>
    <n v="1776184.2"/>
    <n v="436638.65546218492"/>
    <n v="60"/>
    <n v="277.8"/>
    <n v="48"/>
    <n v="0"/>
    <n v="0"/>
    <n v="1552624.2"/>
    <n v="268272"/>
    <n v="0"/>
    <n v="0"/>
    <n v="277.8"/>
    <n v="1552624.2"/>
    <n v="550164.70588235301"/>
    <n v="120"/>
    <n v="229.8"/>
    <n v="96"/>
    <n v="0"/>
    <n v="0"/>
    <n v="1284352.2"/>
    <n v="536544"/>
    <n v="0"/>
    <n v="229.8"/>
    <n v="1284352.2"/>
    <n v="1209277.3109243698"/>
    <n v="36"/>
    <n v="133.80000000000001"/>
    <n v="28.8"/>
    <n v="0"/>
    <m/>
    <n v="747808.20000000007"/>
    <n v="170870.39999999999"/>
    <n v="0"/>
    <n v="133.80000000000001"/>
    <n v="747808.20000000007"/>
    <n v="362783.19327731099"/>
  </r>
  <r>
    <s v="Lhotse-Audio Menor"/>
    <x v="1"/>
    <x v="10"/>
    <x v="23"/>
    <s v="LHPARTRGO"/>
    <x v="99"/>
    <x v="99"/>
    <x v="0"/>
    <x v="4"/>
    <n v="1"/>
    <x v="82"/>
    <n v="24"/>
    <m/>
    <n v="0"/>
    <n v="5916"/>
    <n v="141984"/>
    <n v="5.4"/>
    <n v="5899.4999999999991"/>
    <n v="12596.638655462186"/>
    <n v="10915.966386554623"/>
    <s v="Shenzhen"/>
    <x v="0"/>
    <n v="30"/>
    <n v="1000"/>
    <n v="14"/>
    <n v="0.66342749543489099"/>
    <n v="6"/>
    <n v="0.46025073642371367"/>
    <n v="27"/>
    <n v="0.54561803501503281"/>
    <n v="6"/>
    <n v="0.56870161113946194"/>
    <n v="8"/>
    <n v="0.52323958417277783"/>
    <n v="44"/>
    <n v="0.50313115054336854"/>
    <n v="104"/>
    <n v="0.39956173212101603"/>
    <n v="107"/>
    <n v="0.30527179283558598"/>
    <n v="52"/>
    <n v="0.32337701363949134"/>
    <n v="103"/>
    <n v="0.3955813516722535"/>
    <n v="129"/>
    <n v="0.38081951145838755"/>
    <n v="263"/>
    <n v="0.44860307611872519"/>
    <n v="103"/>
    <s v=""/>
    <n v="21"/>
    <s v=""/>
    <n v="2"/>
    <s v=""/>
    <n v="4"/>
    <s v=""/>
    <n v="0"/>
    <n v="0"/>
    <s v=""/>
    <n v="0"/>
    <n v="1"/>
    <s v=""/>
    <n v="0"/>
    <n v="0"/>
    <s v=""/>
    <n v="0"/>
    <n v="60"/>
    <n v="133"/>
    <n v="120"/>
    <n v="0"/>
    <n v="0"/>
    <n v="0"/>
    <n v="908106"/>
    <n v="743337"/>
    <n v="709920"/>
    <n v="0"/>
    <n v="24"/>
    <n v="141984"/>
    <n v="1270249.2761810608"/>
    <n v="15"/>
    <n v="27"/>
    <n v="31.5"/>
    <n v="0"/>
    <n v="0"/>
    <n v="0"/>
    <n v="221850"/>
    <n v="150903"/>
    <n v="186354"/>
    <n v="0"/>
    <n v="24"/>
    <n v="141984"/>
    <n v="333440.4349975285"/>
    <n v="0"/>
    <n v="6"/>
    <n v="2"/>
    <n v="0"/>
    <n v="0"/>
    <n v="35496"/>
    <n v="35496"/>
    <n v="11832"/>
    <n v="0"/>
    <n v="24"/>
    <n v="141984"/>
    <n v="25193.277310924372"/>
    <n v="0"/>
    <n v="7"/>
    <n v="4"/>
    <n v="0"/>
    <n v="0"/>
    <n v="39123"/>
    <n v="23664"/>
    <x v="0"/>
    <x v="0"/>
    <n v="24"/>
    <n v="141984"/>
    <n v="50386.554621848743"/>
    <n v="0"/>
    <n v="24"/>
    <n v="0"/>
    <m/>
    <n v="0"/>
    <n v="0"/>
    <n v="141984"/>
    <n v="0"/>
    <x v="0"/>
    <n v="0"/>
    <n v="24"/>
    <n v="141984"/>
    <n v="0"/>
    <n v="0"/>
    <n v="25"/>
    <n v="1"/>
    <m/>
    <n v="0"/>
    <n v="0"/>
    <n v="147900"/>
    <n v="5589"/>
    <n v="0"/>
    <n v="0"/>
    <n v="25"/>
    <n v="141984"/>
    <n v="12596.638655462186"/>
    <n v="0"/>
    <n v="24"/>
    <n v="0"/>
    <n v="300"/>
    <n v="300"/>
    <n v="0"/>
    <n v="141984"/>
    <n v="0"/>
    <n v="1620810"/>
    <n v="0"/>
    <n v="24"/>
    <n v="141984"/>
    <n v="0"/>
    <n v="0"/>
    <n v="24"/>
    <n v="0"/>
    <n v="0"/>
    <n v="0"/>
    <n v="0"/>
    <n v="141984"/>
    <n v="0"/>
    <n v="0"/>
    <n v="0"/>
    <n v="24"/>
    <n v="141984"/>
    <n v="0"/>
    <n v="0"/>
    <n v="24"/>
    <n v="0"/>
    <n v="0"/>
    <n v="0"/>
    <n v="300"/>
    <n v="134136"/>
    <n v="0"/>
    <n v="0"/>
    <n v="1676700"/>
    <n v="324"/>
    <n v="1810836"/>
    <n v="0"/>
    <n v="28"/>
    <n v="324"/>
    <n v="28"/>
    <n v="0"/>
    <n v="0"/>
    <n v="0"/>
    <m/>
    <n v="1810836"/>
    <n v="156492"/>
    <n v="0"/>
    <n v="0"/>
    <n v="324"/>
    <n v="1810836"/>
    <n v="305647.05882352946"/>
    <n v="0"/>
    <n v="296"/>
    <n v="0"/>
    <n v="0"/>
    <n v="0"/>
    <n v="1654344"/>
    <n v="0"/>
    <n v="0"/>
    <n v="0"/>
    <n v="296"/>
    <n v="1654344"/>
    <n v="0"/>
    <n v="0"/>
    <n v="296"/>
    <n v="0"/>
    <n v="0"/>
    <n v="0"/>
    <n v="1654344"/>
    <n v="0"/>
    <n v="0"/>
    <n v="296"/>
    <n v="1654344"/>
    <n v="0"/>
    <n v="0"/>
    <n v="296"/>
    <n v="0"/>
    <n v="0"/>
    <m/>
    <n v="1654344"/>
    <n v="0"/>
    <n v="0"/>
    <n v="296"/>
    <n v="1654344"/>
    <n v="0"/>
  </r>
  <r>
    <s v="Lhotse-Audio Menor"/>
    <x v="1"/>
    <x v="10"/>
    <x v="23"/>
    <s v="LHPARPULS"/>
    <x v="100"/>
    <x v="100"/>
    <x v="0"/>
    <x v="0"/>
    <n v="0.7"/>
    <x v="83"/>
    <n v="138"/>
    <m/>
    <n v="0"/>
    <n v="8447"/>
    <n v="1165686"/>
    <n v="8.59"/>
    <n v="9384.5749999999989"/>
    <n v="16798.319327731093"/>
    <n v="15117.64705882353"/>
    <s v="Shenzhen"/>
    <x v="0"/>
    <n v="30"/>
    <n v="200"/>
    <n v="0"/>
    <n v="2.3677045104857062E-5"/>
    <n v="5"/>
    <n v="0.61324701012801963"/>
    <n v="10"/>
    <n v="0.55848592165886468"/>
    <n v="7"/>
    <n v="0.54810311967098002"/>
    <n v="0"/>
    <s v=""/>
    <n v="37"/>
    <n v="0.45604481684919856"/>
    <n v="29"/>
    <n v="0.46505406878530525"/>
    <n v="16"/>
    <n v="0.48930257861716325"/>
    <n v="23"/>
    <n v="0.49276308921562195"/>
    <n v="32"/>
    <n v="0.45547258797468027"/>
    <n v="9"/>
    <n v="0.49595034311689373"/>
    <n v="13"/>
    <n v="0.49716067973262246"/>
    <n v="1"/>
    <s v=""/>
    <n v="7"/>
    <s v=""/>
    <n v="19"/>
    <s v=""/>
    <n v="11"/>
    <s v=""/>
    <n v="0.73333333333333328"/>
    <n v="7"/>
    <s v=""/>
    <n v="0.22580645161290322"/>
    <n v="30"/>
    <s v=""/>
    <n v="0.75"/>
    <n v="4"/>
    <s v=""/>
    <n v="0.1"/>
    <n v="20"/>
    <n v="7"/>
    <n v="2"/>
    <n v="200"/>
    <n v="200"/>
    <n v="0"/>
    <n v="266080.5"/>
    <n v="62234.549999999996"/>
    <n v="16894"/>
    <n v="0"/>
    <n v="138"/>
    <n v="1165686"/>
    <n v="28232.469458371586"/>
    <n v="3"/>
    <n v="11"/>
    <n v="10.5"/>
    <n v="0"/>
    <n v="0"/>
    <n v="0"/>
    <n v="342103.5"/>
    <n v="97797.15"/>
    <n v="88693.5"/>
    <n v="0"/>
    <n v="138"/>
    <n v="1165686"/>
    <n v="148220.46465645081"/>
    <n v="30"/>
    <n v="193"/>
    <n v="19"/>
    <n v="0"/>
    <n v="0"/>
    <n v="446337.10499999998"/>
    <n v="1630271"/>
    <n v="160493"/>
    <n v="0"/>
    <n v="138"/>
    <n v="1165686"/>
    <n v="319168.06722689077"/>
    <n v="15"/>
    <n v="190"/>
    <n v="11"/>
    <n v="0"/>
    <n v="0"/>
    <n v="1689223.5"/>
    <n v="92917"/>
    <x v="0"/>
    <x v="0"/>
    <n v="138"/>
    <n v="1165686"/>
    <n v="184781.51260504202"/>
    <n v="31"/>
    <n v="145"/>
    <n v="21.7"/>
    <m/>
    <n v="0"/>
    <n v="0"/>
    <n v="1224815"/>
    <n v="192927.10499999998"/>
    <x v="0"/>
    <n v="0"/>
    <n v="138"/>
    <n v="1165686"/>
    <n v="364523.5294117647"/>
    <n v="40"/>
    <n v="168"/>
    <n v="30"/>
    <m/>
    <n v="0"/>
    <n v="0"/>
    <n v="1419096"/>
    <n v="266719.5"/>
    <n v="0"/>
    <n v="0"/>
    <n v="168"/>
    <n v="1165686"/>
    <n v="503949.57983193279"/>
    <n v="40"/>
    <n v="142"/>
    <n v="28"/>
    <n v="0"/>
    <n v="0"/>
    <n v="0"/>
    <n v="1199474"/>
    <n v="248938.19999999998"/>
    <n v="0"/>
    <n v="0"/>
    <n v="142"/>
    <n v="1165686"/>
    <n v="470352.9411764706"/>
    <n v="22"/>
    <n v="114"/>
    <n v="15.399999999999999"/>
    <n v="0"/>
    <n v="0"/>
    <n v="0"/>
    <n v="962958"/>
    <n v="136916.00999999998"/>
    <n v="0"/>
    <n v="0"/>
    <n v="114"/>
    <n v="962958"/>
    <n v="258694.1176470588"/>
    <n v="32"/>
    <n v="98.6"/>
    <n v="22.4"/>
    <n v="0"/>
    <n v="0"/>
    <m/>
    <n v="876618.09"/>
    <n v="199150.55999999997"/>
    <n v="0"/>
    <n v="0"/>
    <n v="98.6"/>
    <n v="876618.09"/>
    <n v="376282.35294117645"/>
    <n v="35"/>
    <n v="76.199999999999989"/>
    <n v="24.5"/>
    <n v="0"/>
    <n v="0"/>
    <n v="0"/>
    <m/>
    <n v="677467.52999999991"/>
    <n v="217820.92499999999"/>
    <n v="0"/>
    <n v="0"/>
    <n v="76.199999999999989"/>
    <n v="677467.52999999991"/>
    <n v="370382.3529411765"/>
    <n v="30"/>
    <n v="51.699999999999989"/>
    <n v="21"/>
    <n v="0"/>
    <n v="0"/>
    <n v="459646.60499999986"/>
    <n v="186703.65"/>
    <n v="0"/>
    <n v="0"/>
    <n v="51.699999999999989"/>
    <n v="459646.60499999986"/>
    <n v="333344.1176470588"/>
    <n v="35"/>
    <n v="30.699999999999989"/>
    <n v="24.5"/>
    <n v="0"/>
    <n v="0"/>
    <n v="272942.9549999999"/>
    <n v="217820.92499999999"/>
    <n v="0"/>
    <n v="30.699999999999989"/>
    <n v="272942.9549999999"/>
    <n v="411558.82352941181"/>
    <n v="18"/>
    <n v="6.1999999999999886"/>
    <n v="12.6"/>
    <n v="0"/>
    <m/>
    <n v="55122.029999999897"/>
    <n v="106432.2"/>
    <n v="0"/>
    <n v="6.1999999999999886"/>
    <n v="55122.029999999897"/>
    <n v="211658.82352941178"/>
  </r>
  <r>
    <s v="Lhotse-Audio Menor"/>
    <x v="1"/>
    <x v="10"/>
    <x v="23"/>
    <s v="LHPARPULS"/>
    <x v="101"/>
    <x v="101"/>
    <x v="0"/>
    <x v="6"/>
    <n v="1"/>
    <x v="12"/>
    <n v="10"/>
    <m/>
    <n v="0"/>
    <n v="8447"/>
    <n v="84470"/>
    <n v="8.59"/>
    <n v="9384.5749999999989"/>
    <n v="16798.319327731093"/>
    <n v="15117.64705882353"/>
    <s v="Shenzhen"/>
    <x v="0"/>
    <n v="30"/>
    <n v="200"/>
    <n v="2"/>
    <n v="0.60822498106089895"/>
    <n v="0"/>
    <n v="0.59777142857142862"/>
    <n v="7"/>
    <n v="0.49716125092939828"/>
    <n v="1"/>
    <n v="0.6409284135351131"/>
    <n v="2"/>
    <n v="0.59777142857142862"/>
    <n v="17"/>
    <n v="0.46242360370064634"/>
    <n v="12"/>
    <n v="0.43710119137591918"/>
    <n v="12"/>
    <n v="0.46694693055098774"/>
    <n v="4"/>
    <n v="0.49716159231372042"/>
    <n v="14"/>
    <n v="0.38071262060828132"/>
    <n v="15"/>
    <n v="0.48949463348569489"/>
    <n v="97"/>
    <n v="0.43991517974787081"/>
    <n v="1"/>
    <s v=""/>
    <n v="2"/>
    <s v=""/>
    <n v="3"/>
    <s v=""/>
    <n v="2"/>
    <s v=""/>
    <n v="0"/>
    <n v="0"/>
    <s v=""/>
    <n v="0"/>
    <n v="4"/>
    <s v=""/>
    <n v="0"/>
    <n v="0"/>
    <s v=""/>
    <n v="0"/>
    <n v="12"/>
    <n v="2"/>
    <n v="2"/>
    <n v="0"/>
    <n v="0"/>
    <n v="0"/>
    <n v="67576"/>
    <n v="17781.3"/>
    <n v="16894"/>
    <n v="0"/>
    <n v="10"/>
    <n v="84470"/>
    <n v="28232.469458371586"/>
    <n v="3"/>
    <n v="5"/>
    <n v="3"/>
    <n v="0"/>
    <n v="0"/>
    <n v="0"/>
    <n v="67576"/>
    <n v="44453.25"/>
    <n v="25341"/>
    <n v="0"/>
    <n v="10"/>
    <n v="84470"/>
    <n v="42348.704187557378"/>
    <n v="0"/>
    <n v="3"/>
    <n v="3"/>
    <n v="0"/>
    <n v="0"/>
    <n v="60016.3"/>
    <n v="25341"/>
    <n v="25341"/>
    <n v="0"/>
    <n v="10"/>
    <n v="84470"/>
    <n v="50394.957983193279"/>
    <n v="0"/>
    <n v="14"/>
    <n v="2"/>
    <n v="0"/>
    <n v="0"/>
    <n v="124469.09999999999"/>
    <n v="16894"/>
    <x v="0"/>
    <x v="0"/>
    <n v="10"/>
    <n v="84470"/>
    <n v="33596.638655462186"/>
    <n v="2"/>
    <n v="10"/>
    <n v="2"/>
    <m/>
    <n v="0"/>
    <n v="0"/>
    <n v="84470"/>
    <n v="17781.3"/>
    <x v="0"/>
    <n v="0"/>
    <n v="10"/>
    <n v="84470"/>
    <n v="33596.638655462186"/>
    <n v="0"/>
    <n v="14"/>
    <n v="4"/>
    <m/>
    <n v="0"/>
    <n v="0"/>
    <n v="118258"/>
    <n v="35562.6"/>
    <n v="0"/>
    <n v="0"/>
    <n v="14"/>
    <n v="84470"/>
    <n v="67193.277310924372"/>
    <n v="0"/>
    <n v="10"/>
    <n v="0"/>
    <n v="0"/>
    <n v="0"/>
    <n v="0"/>
    <n v="84470"/>
    <n v="0"/>
    <n v="0"/>
    <n v="0"/>
    <n v="10"/>
    <n v="84470"/>
    <n v="0"/>
    <n v="0"/>
    <n v="10"/>
    <n v="0"/>
    <n v="0"/>
    <n v="0"/>
    <n v="0"/>
    <n v="84470"/>
    <n v="0"/>
    <n v="0"/>
    <n v="0"/>
    <n v="10"/>
    <n v="84470"/>
    <n v="0"/>
    <n v="0"/>
    <n v="10"/>
    <n v="0"/>
    <n v="0"/>
    <n v="0"/>
    <m/>
    <n v="88906.5"/>
    <n v="0"/>
    <n v="0"/>
    <n v="0"/>
    <n v="10"/>
    <n v="88906.5"/>
    <n v="0"/>
    <n v="0"/>
    <n v="10"/>
    <n v="0"/>
    <n v="0"/>
    <n v="0"/>
    <n v="0"/>
    <m/>
    <n v="88906.5"/>
    <n v="0"/>
    <n v="0"/>
    <n v="0"/>
    <n v="10"/>
    <n v="88906.5"/>
    <n v="0"/>
    <n v="0"/>
    <n v="10"/>
    <n v="0"/>
    <n v="0"/>
    <n v="0"/>
    <n v="88906.5"/>
    <n v="0"/>
    <n v="0"/>
    <n v="0"/>
    <n v="10"/>
    <n v="88906.5"/>
    <n v="0"/>
    <n v="0"/>
    <n v="10"/>
    <n v="0"/>
    <n v="0"/>
    <n v="0"/>
    <n v="88906.5"/>
    <n v="0"/>
    <n v="0"/>
    <n v="10"/>
    <n v="88906.5"/>
    <n v="0"/>
    <n v="0"/>
    <n v="10"/>
    <n v="0"/>
    <n v="0"/>
    <m/>
    <n v="88906.5"/>
    <n v="0"/>
    <n v="0"/>
    <n v="10"/>
    <n v="88906.5"/>
    <n v="0"/>
  </r>
  <r>
    <s v="Lhotse-Audio Menor"/>
    <x v="1"/>
    <x v="10"/>
    <x v="23"/>
    <s v="LHPARPULS"/>
    <x v="102"/>
    <x v="102"/>
    <x v="0"/>
    <x v="0"/>
    <n v="0.5"/>
    <x v="84"/>
    <n v="97"/>
    <m/>
    <n v="0"/>
    <n v="8447"/>
    <n v="819359"/>
    <n v="8.59"/>
    <n v="9384.5749999999989"/>
    <n v="16798.319327731093"/>
    <n v="15117.64705882353"/>
    <s v="Shenzhen"/>
    <x v="0"/>
    <n v="30"/>
    <n v="200"/>
    <n v="1"/>
    <n v="0.6409284135351131"/>
    <n v="2"/>
    <n v="0.55305949310804803"/>
    <n v="14"/>
    <n v="0.4971619548358831"/>
    <n v="2"/>
    <n v="0.48005827194944295"/>
    <n v="4"/>
    <n v="0.64092841353511298"/>
    <n v="21"/>
    <n v="0.42538837921573169"/>
    <n v="11"/>
    <n v="0.49717239713301442"/>
    <n v="14"/>
    <n v="0.49716134076742269"/>
    <n v="12"/>
    <n v="0.4971623888753357"/>
    <n v="35"/>
    <n v="0.44932858803008791"/>
    <n v="8"/>
    <n v="0.49715383636034827"/>
    <n v="26"/>
    <n v="0.49521850065383494"/>
    <n v="0"/>
    <s v=""/>
    <n v="4"/>
    <s v=""/>
    <n v="9"/>
    <s v=""/>
    <n v="6"/>
    <s v=""/>
    <n v="0.4"/>
    <n v="4"/>
    <s v=""/>
    <n v="0.36363636363636365"/>
    <n v="6"/>
    <s v=""/>
    <n v="0.24"/>
    <n v="3"/>
    <s v=""/>
    <n v="0.25"/>
    <n v="15"/>
    <n v="11"/>
    <n v="2"/>
    <n v="100"/>
    <n v="100"/>
    <n v="0"/>
    <n v="143599"/>
    <n v="97797.15"/>
    <n v="16894"/>
    <n v="0"/>
    <n v="97"/>
    <n v="819359"/>
    <n v="28232.469458371586"/>
    <n v="3"/>
    <n v="17"/>
    <n v="6"/>
    <n v="0"/>
    <n v="0"/>
    <n v="0"/>
    <n v="177387"/>
    <n v="151141.04999999999"/>
    <n v="50682"/>
    <n v="0"/>
    <n v="97"/>
    <n v="819359"/>
    <n v="84697.408375114755"/>
    <n v="20"/>
    <n v="108"/>
    <n v="9"/>
    <n v="0"/>
    <n v="0"/>
    <n v="175603.57500000001"/>
    <n v="912276"/>
    <n v="76023"/>
    <n v="0"/>
    <n v="97"/>
    <n v="819359"/>
    <n v="151184.87394957984"/>
    <n v="15"/>
    <n v="109"/>
    <n v="6"/>
    <n v="0"/>
    <n v="0"/>
    <n v="969080.85"/>
    <n v="50682"/>
    <x v="0"/>
    <x v="0"/>
    <n v="97"/>
    <n v="819359"/>
    <n v="100789.91596638656"/>
    <n v="11"/>
    <n v="101"/>
    <n v="5.5"/>
    <m/>
    <n v="0"/>
    <n v="0"/>
    <n v="853147"/>
    <n v="48898.574999999997"/>
    <x v="0"/>
    <n v="0"/>
    <n v="97"/>
    <n v="819359"/>
    <n v="92390.756302521011"/>
    <n v="25"/>
    <n v="103"/>
    <n v="6"/>
    <m/>
    <n v="0"/>
    <n v="0"/>
    <n v="870041"/>
    <n v="53343.899999999994"/>
    <n v="0"/>
    <n v="0"/>
    <n v="103"/>
    <n v="819359"/>
    <n v="100789.91596638656"/>
    <n v="12"/>
    <n v="100"/>
    <n v="6"/>
    <n v="0"/>
    <n v="0"/>
    <n v="0"/>
    <n v="844700"/>
    <n v="53343.899999999994"/>
    <n v="0"/>
    <n v="0"/>
    <n v="100"/>
    <n v="819359"/>
    <n v="100789.91596638656"/>
    <n v="10"/>
    <n v="94"/>
    <n v="5"/>
    <n v="0"/>
    <n v="0"/>
    <n v="0"/>
    <n v="794018"/>
    <n v="44453.25"/>
    <n v="0"/>
    <n v="0"/>
    <n v="94"/>
    <n v="794018"/>
    <n v="83991.596638655465"/>
    <n v="8"/>
    <n v="89"/>
    <n v="4"/>
    <n v="0"/>
    <n v="0"/>
    <m/>
    <n v="791267.85"/>
    <n v="35562.6"/>
    <n v="0"/>
    <n v="0"/>
    <n v="89"/>
    <n v="791267.85"/>
    <n v="67193.277310924372"/>
    <n v="35"/>
    <n v="85"/>
    <n v="17.5"/>
    <n v="0"/>
    <n v="0"/>
    <n v="0"/>
    <m/>
    <n v="755705.25"/>
    <n v="155586.375"/>
    <n v="0"/>
    <n v="0"/>
    <n v="85"/>
    <n v="755705.25"/>
    <n v="264558.82352941175"/>
    <n v="30"/>
    <n v="67.5"/>
    <n v="15"/>
    <n v="0"/>
    <n v="0"/>
    <n v="600118.875"/>
    <n v="133359.75"/>
    <n v="0"/>
    <n v="0"/>
    <n v="67.5"/>
    <n v="600118.875"/>
    <n v="238102.9411764706"/>
    <n v="35"/>
    <n v="52.5"/>
    <n v="17.5"/>
    <n v="0"/>
    <n v="0"/>
    <n v="466759.125"/>
    <n v="155586.375"/>
    <n v="0"/>
    <n v="52.5"/>
    <n v="466759.125"/>
    <n v="293970.5882352941"/>
    <n v="18"/>
    <n v="35"/>
    <n v="9"/>
    <n v="0"/>
    <m/>
    <n v="311172.75"/>
    <n v="76023"/>
    <n v="0"/>
    <n v="35"/>
    <n v="311172.75"/>
    <n v="151184.87394957984"/>
  </r>
  <r>
    <s v="Lhotse-Audio Menor"/>
    <x v="1"/>
    <x v="10"/>
    <x v="23"/>
    <s v="LHPARPULS"/>
    <x v="103"/>
    <x v="103"/>
    <x v="0"/>
    <x v="0"/>
    <n v="1"/>
    <x v="85"/>
    <n v="134"/>
    <m/>
    <n v="0"/>
    <n v="8447"/>
    <n v="1131898"/>
    <n v="8.59"/>
    <n v="9384.5749999999989"/>
    <n v="16798.319327731093"/>
    <n v="15117.64705882353"/>
    <s v="Shenzhen"/>
    <x v="0"/>
    <n v="30"/>
    <n v="200"/>
    <n v="1"/>
    <n v="0.64088261553505377"/>
    <n v="2"/>
    <n v="0.59777142857142862"/>
    <n v="7"/>
    <n v="0.49715800775521962"/>
    <n v="11"/>
    <n v="0.53908108698024659"/>
    <n v="0"/>
    <s v=""/>
    <n v="11"/>
    <n v="0.49463925126288755"/>
    <n v="17"/>
    <n v="0.46904464382481514"/>
    <n v="18"/>
    <n v="0.49994628298486177"/>
    <n v="18"/>
    <n v="0.52363960853611025"/>
    <n v="32"/>
    <n v="0.44321647599072955"/>
    <n v="38"/>
    <n v="0.50725707436374223"/>
    <n v="31"/>
    <n v="0.37649436138576509"/>
    <n v="0"/>
    <s v=""/>
    <n v="0"/>
    <s v=""/>
    <n v="17"/>
    <s v=""/>
    <n v="15"/>
    <s v=""/>
    <n v="1"/>
    <n v="22"/>
    <s v=""/>
    <n v="1.4666666666666666"/>
    <n v="18"/>
    <s v=""/>
    <n v="1.2"/>
    <n v="5"/>
    <s v=""/>
    <n v="0.21739130434782608"/>
    <n v="20"/>
    <n v="3"/>
    <n v="2"/>
    <n v="200"/>
    <n v="200"/>
    <n v="0"/>
    <n v="160493"/>
    <n v="26671.949999999997"/>
    <n v="16894"/>
    <n v="0"/>
    <n v="134"/>
    <n v="1131898"/>
    <n v="28232.469458371586"/>
    <n v="3"/>
    <n v="3"/>
    <n v="0"/>
    <n v="0"/>
    <n v="0"/>
    <n v="0"/>
    <n v="270304"/>
    <n v="26671.949999999997"/>
    <n v="0"/>
    <n v="0"/>
    <n v="134"/>
    <n v="1131898"/>
    <n v="0"/>
    <n v="10"/>
    <n v="193"/>
    <n v="17"/>
    <n v="0"/>
    <n v="0"/>
    <n v="403663.75"/>
    <n v="1630271"/>
    <n v="143599"/>
    <n v="0"/>
    <n v="134"/>
    <n v="1131898"/>
    <n v="285571.42857142858"/>
    <n v="15"/>
    <n v="188"/>
    <n v="15"/>
    <n v="0"/>
    <n v="0"/>
    <n v="1671442.2"/>
    <n v="126705"/>
    <x v="0"/>
    <x v="0"/>
    <n v="134"/>
    <n v="1131898"/>
    <n v="251974.78991596639"/>
    <n v="15"/>
    <n v="156"/>
    <n v="15"/>
    <m/>
    <n v="0"/>
    <n v="0"/>
    <n v="1317732"/>
    <n v="133359.75"/>
    <x v="0"/>
    <n v="0"/>
    <n v="134"/>
    <n v="1131898"/>
    <n v="251974.78991596639"/>
    <n v="15"/>
    <n v="152"/>
    <n v="18"/>
    <m/>
    <n v="0"/>
    <n v="0"/>
    <n v="1283944"/>
    <n v="160031.69999999998"/>
    <n v="0"/>
    <n v="0"/>
    <n v="152"/>
    <n v="1131898"/>
    <n v="302369.74789915967"/>
    <n v="23"/>
    <n v="139"/>
    <n v="23"/>
    <n v="0"/>
    <n v="0"/>
    <n v="0"/>
    <n v="1174133"/>
    <n v="204484.94999999998"/>
    <n v="0"/>
    <n v="0"/>
    <n v="139"/>
    <n v="1131898"/>
    <n v="386361.34453781514"/>
    <n v="25"/>
    <n v="116"/>
    <n v="25"/>
    <n v="0"/>
    <n v="0"/>
    <n v="0"/>
    <n v="979852"/>
    <n v="222266.25"/>
    <n v="0"/>
    <n v="0"/>
    <n v="116"/>
    <n v="979852"/>
    <n v="419957.98319327732"/>
    <n v="25"/>
    <n v="91"/>
    <n v="25"/>
    <n v="0"/>
    <n v="0"/>
    <m/>
    <n v="809049.15"/>
    <n v="222266.25"/>
    <n v="0"/>
    <n v="0"/>
    <n v="91"/>
    <n v="809049.15"/>
    <n v="419957.98319327732"/>
    <n v="35"/>
    <n v="66"/>
    <n v="35"/>
    <n v="0"/>
    <n v="0"/>
    <n v="0"/>
    <m/>
    <n v="586782.9"/>
    <n v="311172.75"/>
    <n v="0"/>
    <n v="0"/>
    <n v="66"/>
    <n v="586782.9"/>
    <n v="529117.6470588235"/>
    <n v="32"/>
    <n v="31"/>
    <n v="32"/>
    <n v="0"/>
    <n v="0"/>
    <n v="275610.14999999997"/>
    <n v="284500.8"/>
    <n v="0"/>
    <n v="0"/>
    <n v="31"/>
    <n v="275610.14999999997"/>
    <n v="507952.9411764706"/>
    <n v="35"/>
    <n v="0"/>
    <n v="35"/>
    <n v="0"/>
    <n v="0"/>
    <n v="0"/>
    <n v="311172.75"/>
    <n v="0"/>
    <n v="0"/>
    <n v="0"/>
    <n v="587941.17647058819"/>
    <n v="19.2"/>
    <n v="0"/>
    <n v="19.2"/>
    <n v="0"/>
    <m/>
    <n v="0"/>
    <n v="162182.39999999999"/>
    <n v="0"/>
    <n v="0"/>
    <n v="0"/>
    <n v="322527.731092437"/>
  </r>
  <r>
    <s v="Lhotse-Audio Menor"/>
    <x v="1"/>
    <x v="10"/>
    <x v="23"/>
    <s v="LHPARJOUR"/>
    <x v="104"/>
    <x v="104"/>
    <x v="0"/>
    <x v="4"/>
    <n v="0.8"/>
    <x v="86"/>
    <n v="28"/>
    <m/>
    <n v="0"/>
    <n v="10174"/>
    <n v="284872"/>
    <n v="10.53"/>
    <n v="11504.025"/>
    <n v="21000"/>
    <n v="21000"/>
    <s v="Shenzhen"/>
    <x v="0"/>
    <n v="30"/>
    <n v="100"/>
    <n v="4"/>
    <n v="0.53477168389766006"/>
    <n v="14"/>
    <n v="0.54774922954213001"/>
    <n v="15"/>
    <n v="0.58751811929441877"/>
    <n v="8"/>
    <n v="0.56392453736659198"/>
    <n v="6"/>
    <n v="0.54158064800399497"/>
    <n v="34"/>
    <n v="0.44713526792288977"/>
    <n v="2"/>
    <n v="0.47860178410343795"/>
    <n v="3"/>
    <n v="0.5045722222222222"/>
    <n v="8"/>
    <n v="0.52660489502834995"/>
    <n v="35"/>
    <n v="0.41830540725314824"/>
    <n v="17"/>
    <n v="0.46340720414652192"/>
    <n v="18"/>
    <n v="0.50808116097068023"/>
    <n v="9"/>
    <s v=""/>
    <n v="18"/>
    <s v=""/>
    <n v="20"/>
    <s v=""/>
    <n v="18"/>
    <s v=""/>
    <n v="1.2"/>
    <n v="8"/>
    <s v=""/>
    <n v="0.47058823529411764"/>
    <n v="25"/>
    <s v=""/>
    <n v="0.73529411764705888"/>
    <n v="2"/>
    <s v=""/>
    <n v="0.125"/>
    <n v="20"/>
    <n v="113"/>
    <n v="15"/>
    <n v="0"/>
    <n v="92"/>
    <n v="0"/>
    <n v="630788"/>
    <n v="1231536.1499999999"/>
    <n v="152610"/>
    <n v="0"/>
    <n v="28"/>
    <n v="284872"/>
    <n v="264705.8823529412"/>
    <n v="15"/>
    <n v="108"/>
    <n v="27"/>
    <n v="0"/>
    <n v="0"/>
    <n v="0"/>
    <n v="661310"/>
    <n v="1177043.3999999999"/>
    <n v="274698"/>
    <n v="0"/>
    <n v="28"/>
    <n v="284872"/>
    <n v="476470.58823529416"/>
    <n v="30"/>
    <n v="90"/>
    <n v="20"/>
    <n v="0"/>
    <n v="0"/>
    <n v="534832.28"/>
    <n v="915660"/>
    <n v="203480"/>
    <n v="0"/>
    <n v="28"/>
    <n v="284872"/>
    <n v="420000"/>
    <n v="15"/>
    <n v="74"/>
    <n v="18"/>
    <n v="0"/>
    <n v="0"/>
    <n v="806492.7"/>
    <n v="183132"/>
    <x v="0"/>
    <x v="0"/>
    <n v="28"/>
    <n v="284872"/>
    <n v="378000"/>
    <n v="17"/>
    <n v="36"/>
    <n v="13.600000000000001"/>
    <m/>
    <n v="0"/>
    <n v="0"/>
    <n v="366264"/>
    <n v="148220.28"/>
    <x v="0"/>
    <n v="0"/>
    <n v="28"/>
    <n v="284872"/>
    <n v="285600.00000000006"/>
    <n v="34"/>
    <n v="53"/>
    <n v="25"/>
    <m/>
    <n v="0"/>
    <n v="0"/>
    <n v="539222"/>
    <n v="272463.75"/>
    <n v="0"/>
    <n v="0"/>
    <n v="53"/>
    <n v="284872"/>
    <n v="525000"/>
    <n v="16"/>
    <n v="30"/>
    <n v="12.8"/>
    <n v="0"/>
    <n v="0"/>
    <n v="0"/>
    <n v="305220"/>
    <n v="139501.44"/>
    <n v="0"/>
    <n v="0"/>
    <n v="30"/>
    <n v="284872"/>
    <n v="268800"/>
    <n v="12"/>
    <n v="17.2"/>
    <n v="9.6000000000000014"/>
    <n v="0"/>
    <n v="0"/>
    <n v="0"/>
    <n v="174992.8"/>
    <n v="104626.08"/>
    <n v="0"/>
    <n v="0"/>
    <n v="17.2"/>
    <n v="174992.8"/>
    <n v="201600.00000000003"/>
    <n v="20"/>
    <n v="7.5999999999999979"/>
    <n v="16"/>
    <n v="0"/>
    <n v="0"/>
    <m/>
    <n v="82828.979999999967"/>
    <n v="174376.8"/>
    <n v="0"/>
    <n v="0"/>
    <n v="7.5999999999999979"/>
    <n v="82828.979999999967"/>
    <n v="336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Audio Menor"/>
    <x v="1"/>
    <x v="10"/>
    <x v="23"/>
    <s v="LHPARJOUR"/>
    <x v="105"/>
    <x v="105"/>
    <x v="0"/>
    <x v="4"/>
    <n v="0.8"/>
    <x v="87"/>
    <n v="7"/>
    <m/>
    <n v="0"/>
    <n v="10890"/>
    <n v="76230"/>
    <n v="10.53"/>
    <n v="11504.025"/>
    <n v="21000"/>
    <n v="21000"/>
    <s v="Shenzhen"/>
    <x v="0"/>
    <n v="30"/>
    <n v="100"/>
    <n v="12"/>
    <n v="0.64623496105245493"/>
    <n v="24"/>
    <n v="0.54668369911358639"/>
    <n v="8"/>
    <n v="0.57836429630962782"/>
    <n v="10"/>
    <n v="0.42165228312287423"/>
    <n v="4"/>
    <n v="0.49329110347101207"/>
    <n v="11"/>
    <n v="0.41660764771513864"/>
    <n v="2"/>
    <n v="0.48766904761904756"/>
    <n v="5"/>
    <n v="0.4284465608465608"/>
    <n v="21"/>
    <n v="0.42381300075585798"/>
    <n v="41"/>
    <n v="0.37129072023897164"/>
    <n v="30"/>
    <n v="0.47276247492473855"/>
    <n v="28"/>
    <n v="0.52064956081650626"/>
    <n v="9"/>
    <s v=""/>
    <n v="13"/>
    <s v=""/>
    <n v="15"/>
    <s v=""/>
    <n v="11"/>
    <s v=""/>
    <n v="0.91666666666666663"/>
    <n v="9"/>
    <s v=""/>
    <n v="0.5625"/>
    <n v="16"/>
    <s v=""/>
    <n v="0.64"/>
    <n v="0"/>
    <s v=""/>
    <n v="0"/>
    <n v="20"/>
    <n v="85"/>
    <n v="15"/>
    <n v="0"/>
    <n v="0"/>
    <n v="0"/>
    <n v="539055"/>
    <n v="926376.74999999988"/>
    <n v="163350"/>
    <n v="0"/>
    <n v="7"/>
    <n v="76230"/>
    <n v="264705.8823529412"/>
    <n v="15"/>
    <n v="77"/>
    <n v="19.5"/>
    <n v="0"/>
    <n v="0"/>
    <n v="0"/>
    <n v="495495"/>
    <n v="839188.35"/>
    <n v="212355"/>
    <n v="0"/>
    <n v="7"/>
    <n v="76230"/>
    <n v="344117.64705882355"/>
    <n v="20"/>
    <n v="62"/>
    <n v="15"/>
    <n v="0"/>
    <n v="0"/>
    <n v="422641.44"/>
    <n v="675180"/>
    <n v="163350"/>
    <n v="0"/>
    <n v="7"/>
    <n v="76230"/>
    <n v="315000"/>
    <n v="12"/>
    <n v="48"/>
    <n v="11"/>
    <n v="0"/>
    <n v="0"/>
    <n v="523130.39999999997"/>
    <n v="119790"/>
    <x v="0"/>
    <x v="0"/>
    <n v="7"/>
    <n v="76230"/>
    <n v="231000"/>
    <n v="16"/>
    <n v="16"/>
    <n v="12.8"/>
    <m/>
    <n v="0"/>
    <n v="0"/>
    <n v="174240"/>
    <n v="139501.44"/>
    <x v="0"/>
    <n v="0"/>
    <n v="7"/>
    <n v="76230"/>
    <n v="268800"/>
    <n v="25"/>
    <n v="23"/>
    <n v="16"/>
    <m/>
    <n v="0"/>
    <n v="0"/>
    <n v="250470"/>
    <n v="174376.8"/>
    <n v="0"/>
    <n v="0"/>
    <n v="23"/>
    <n v="76230"/>
    <n v="336000"/>
    <n v="12"/>
    <n v="7"/>
    <n v="9.6000000000000014"/>
    <n v="0"/>
    <n v="0"/>
    <n v="0"/>
    <n v="76230"/>
    <n v="104626.08"/>
    <n v="0"/>
    <n v="0"/>
    <n v="7"/>
    <n v="76230"/>
    <n v="201600.00000000003"/>
    <n v="22"/>
    <n v="0"/>
    <n v="17.600000000000001"/>
    <n v="0"/>
    <n v="0"/>
    <n v="0"/>
    <n v="0"/>
    <n v="191814.48"/>
    <n v="0"/>
    <n v="0"/>
    <n v="0"/>
    <n v="0"/>
    <n v="369600.00000000006"/>
    <n v="30"/>
    <n v="0"/>
    <n v="24"/>
    <n v="0"/>
    <n v="0"/>
    <m/>
    <n v="0"/>
    <n v="261565.19999999998"/>
    <n v="0"/>
    <n v="0"/>
    <n v="0"/>
    <n v="0"/>
    <n v="504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Equipamiento"/>
    <x v="1"/>
    <x v="11"/>
    <x v="24"/>
    <n v="1623703942966"/>
    <x v="106"/>
    <x v="106"/>
    <x v="0"/>
    <x v="3"/>
    <n v="1"/>
    <x v="88"/>
    <n v="218"/>
    <m/>
    <n v="0"/>
    <n v="2636.0198997781981"/>
    <n v="574652.33815164724"/>
    <n v="2.5"/>
    <n v="2731.25"/>
    <n v="10915.966386554623"/>
    <n v="8394.957983193277"/>
    <s v="Shenzhen"/>
    <x v="0"/>
    <n v="30"/>
    <n v="300"/>
    <n v="90"/>
    <n v="0.74306635490761141"/>
    <n v="107"/>
    <n v="0.75738204404025056"/>
    <n v="518"/>
    <n v="0.71368589464803966"/>
    <n v="24"/>
    <n v="0.75567074412686641"/>
    <n v="4"/>
    <n v="1"/>
    <n v="10"/>
    <n v="0.76923293343242383"/>
    <n v="43"/>
    <n v="0.75350179250447025"/>
    <n v="96"/>
    <n v="0.75733222404437972"/>
    <n v="116"/>
    <n v="0.75952250882563865"/>
    <n v="167"/>
    <n v="0.71164198609407769"/>
    <n v="204"/>
    <n v="0.71226226373107926"/>
    <n v="181"/>
    <n v="0.71071702531806624"/>
    <n v="53"/>
    <n v="0.72813135603690216"/>
    <n v="75"/>
    <n v="0.75114278847993687"/>
    <n v="168"/>
    <n v="0.71439959598635161"/>
    <n v="164"/>
    <n v="0.76104466096245749"/>
    <n v="2.7333333333333334"/>
    <n v="181"/>
    <n v="0.7610452810111954"/>
    <n v="1.81"/>
    <n v="184"/>
    <n v="0.68571794338428194"/>
    <n v="0.92"/>
    <n v="29"/>
    <n v="0.75369213977663896"/>
    <n v="0.24166666666666667"/>
    <n v="100"/>
    <n v="116"/>
    <n v="90"/>
    <n v="200"/>
    <n v="200"/>
    <n v="0"/>
    <n v="976645.37286782241"/>
    <n v="300150"/>
    <n v="237241.79098003783"/>
    <n v="0"/>
    <n v="218"/>
    <n v="574652.33815164724"/>
    <n v="825577.28973942529"/>
    <n v="100"/>
    <n v="347"/>
    <n v="112.5"/>
    <n v="100"/>
    <n v="100"/>
    <n v="0"/>
    <n v="1171710.845451409"/>
    <n v="897862.5"/>
    <n v="296552.23872504727"/>
    <n v="0"/>
    <n v="218"/>
    <n v="574652.33815164724"/>
    <n v="1031971.6121742816"/>
    <n v="250"/>
    <n v="507"/>
    <n v="168"/>
    <n v="0"/>
    <n v="0"/>
    <n v="1133908.6067263617"/>
    <n v="1336462.0891875464"/>
    <n v="442851.34316273726"/>
    <n v="0"/>
    <n v="218"/>
    <n v="574652.33815164724"/>
    <n v="1833882.3529411766"/>
    <n v="60"/>
    <n v="700"/>
    <n v="164"/>
    <n v="300"/>
    <n v="0"/>
    <n v="1811250"/>
    <n v="432307.26356362447"/>
    <x v="38"/>
    <x v="0"/>
    <n v="218"/>
    <n v="574652.33815164724"/>
    <n v="1790218.487394958"/>
    <n v="100"/>
    <n v="399"/>
    <n v="100"/>
    <m/>
    <n v="0"/>
    <n v="0"/>
    <n v="1051771.9400115011"/>
    <n v="258750"/>
    <x v="0"/>
    <n v="0"/>
    <n v="218"/>
    <n v="574652.33815164724"/>
    <n v="1091596.6386554623"/>
    <n v="200"/>
    <n v="402"/>
    <n v="184"/>
    <m/>
    <n v="0"/>
    <n v="0"/>
    <n v="1059679.9997108357"/>
    <n v="476100"/>
    <n v="0"/>
    <n v="0"/>
    <n v="402"/>
    <n v="574652.33815164724"/>
    <n v="2008537.8151260505"/>
    <n v="120"/>
    <n v="247"/>
    <n v="120"/>
    <n v="0"/>
    <n v="0"/>
    <n v="0"/>
    <n v="651096.91524521494"/>
    <n v="310500"/>
    <n v="0"/>
    <n v="0"/>
    <n v="247"/>
    <n v="574652.33815164724"/>
    <n v="1309915.9663865548"/>
    <n v="120"/>
    <n v="127"/>
    <n v="120"/>
    <n v="300"/>
    <n v="300"/>
    <n v="300"/>
    <n v="334774.52727183118"/>
    <n v="310500"/>
    <n v="776250"/>
    <n v="776250"/>
    <n v="427"/>
    <n v="1111024.5272718312"/>
    <n v="1309915.9663865548"/>
    <n v="120"/>
    <n v="307"/>
    <n v="120"/>
    <n v="0"/>
    <n v="0"/>
    <m/>
    <n v="794362.5"/>
    <n v="310500"/>
    <n v="0"/>
    <n v="0"/>
    <n v="307"/>
    <n v="794362.5"/>
    <n v="1309915.9663865548"/>
    <n v="200"/>
    <n v="187"/>
    <n v="187"/>
    <n v="300"/>
    <n v="300"/>
    <n v="300"/>
    <n v="0"/>
    <n v="483862.5"/>
    <n v="483862.5"/>
    <n v="776250"/>
    <n v="776250"/>
    <n v="487"/>
    <n v="1260112.5"/>
    <n v="1569857.1428571427"/>
    <n v="204"/>
    <n v="300"/>
    <n v="204"/>
    <n v="0"/>
    <n v="0"/>
    <n v="776250"/>
    <n v="527850"/>
    <n v="0"/>
    <n v="0"/>
    <n v="300"/>
    <n v="776250"/>
    <n v="1798200"/>
    <n v="300"/>
    <n v="96"/>
    <n v="300"/>
    <n v="0"/>
    <n v="0"/>
    <n v="248400"/>
    <n v="776250"/>
    <n v="0"/>
    <n v="96"/>
    <n v="248400"/>
    <n v="3274789.9159663869"/>
    <n v="122.39999999999999"/>
    <n v="0"/>
    <n v="122.39999999999999"/>
    <n v="0"/>
    <m/>
    <n v="0"/>
    <n v="322648.83573285141"/>
    <n v="0"/>
    <n v="0"/>
    <n v="0"/>
    <n v="1336114.2857142857"/>
  </r>
  <r>
    <s v="Lhotse-Equipamiento"/>
    <x v="1"/>
    <x v="11"/>
    <x v="24"/>
    <s v="LHBANHIM"/>
    <x v="107"/>
    <x v="107"/>
    <x v="0"/>
    <x v="4"/>
    <n v="1"/>
    <x v="89"/>
    <n v="235"/>
    <m/>
    <n v="0"/>
    <n v="3412"/>
    <n v="801820"/>
    <n v="3.75"/>
    <n v="4096.875"/>
    <n v="8394.957983193277"/>
    <n v="7554.6218487394963"/>
    <s v="Shenzhen"/>
    <x v="0"/>
    <n v="45"/>
    <n v="300"/>
    <n v="49"/>
    <n v="0.52842499353100325"/>
    <n v="34"/>
    <n v="0.51464449933328038"/>
    <n v="36"/>
    <n v="0.51483141701317925"/>
    <n v="24"/>
    <n v="0.52743455660748972"/>
    <n v="387"/>
    <n v="0.30345733614525244"/>
    <n v="18"/>
    <n v="2.8151994762139445"/>
    <n v="31"/>
    <n v="0.45643918309866105"/>
    <n v="16"/>
    <n v="0.52473698512217781"/>
    <n v="20"/>
    <n v="0.53668409090831015"/>
    <n v="77"/>
    <n v="0.50620853993135484"/>
    <n v="10"/>
    <n v="0.51281721445647455"/>
    <n v="7"/>
    <n v="0.39841854419410744"/>
    <n v="59"/>
    <s v=""/>
    <n v="82"/>
    <s v=""/>
    <n v="40"/>
    <s v=""/>
    <n v="4"/>
    <s v=""/>
    <n v="0.16"/>
    <n v="36"/>
    <s v=""/>
    <n v="1.0285714285714285"/>
    <n v="25"/>
    <s v=""/>
    <n v="0.625"/>
    <n v="17"/>
    <s v=""/>
    <n v="0.56666666666666665"/>
    <n v="5"/>
    <n v="4"/>
    <n v="5"/>
    <n v="0"/>
    <n v="150"/>
    <n v="0"/>
    <n v="573216"/>
    <n v="15524.999999999998"/>
    <n v="17060"/>
    <n v="0"/>
    <n v="235"/>
    <n v="801820"/>
    <n v="35272.932702492762"/>
    <n v="35"/>
    <n v="455"/>
    <n v="123"/>
    <n v="0"/>
    <n v="0"/>
    <n v="0"/>
    <n v="569804"/>
    <n v="1765968.7499999998"/>
    <n v="419676"/>
    <n v="0"/>
    <n v="235"/>
    <n v="801820"/>
    <n v="867714.14448132191"/>
    <n v="87.5"/>
    <n v="286"/>
    <n v="40"/>
    <n v="0"/>
    <n v="0"/>
    <n v="285971.75"/>
    <n v="975832"/>
    <n v="136480"/>
    <n v="0"/>
    <n v="235"/>
    <n v="801820"/>
    <n v="335798.31932773109"/>
    <n v="25"/>
    <n v="335"/>
    <n v="4"/>
    <n v="0"/>
    <n v="0"/>
    <n v="1300218.7499999998"/>
    <n v="13648"/>
    <x v="0"/>
    <x v="0"/>
    <n v="235"/>
    <n v="801820"/>
    <n v="33579.831932773108"/>
    <n v="35"/>
    <n v="271"/>
    <n v="35"/>
    <m/>
    <n v="0"/>
    <n v="0"/>
    <n v="924652"/>
    <n v="135843.74999999997"/>
    <x v="0"/>
    <n v="0"/>
    <n v="235"/>
    <n v="801820"/>
    <n v="293823.5294117647"/>
    <n v="40"/>
    <n v="260"/>
    <n v="25"/>
    <m/>
    <n v="0"/>
    <n v="0"/>
    <n v="887120"/>
    <n v="97031.249999999985"/>
    <n v="0"/>
    <n v="0"/>
    <n v="260"/>
    <n v="801820"/>
    <n v="209873.94957983191"/>
    <n v="30"/>
    <n v="252"/>
    <n v="30"/>
    <n v="0"/>
    <n v="0"/>
    <n v="0"/>
    <n v="859824"/>
    <n v="116437.49999999999"/>
    <n v="0"/>
    <n v="0"/>
    <n v="252"/>
    <n v="801820"/>
    <n v="251848.73949579831"/>
    <n v="30"/>
    <n v="222"/>
    <n v="30"/>
    <n v="0"/>
    <n v="0"/>
    <n v="0"/>
    <n v="757464"/>
    <n v="116437.49999999999"/>
    <n v="0"/>
    <n v="0"/>
    <n v="222"/>
    <n v="757464"/>
    <n v="251848.73949579831"/>
    <n v="35"/>
    <n v="192"/>
    <n v="35"/>
    <n v="0"/>
    <n v="0"/>
    <m/>
    <n v="745199.99999999988"/>
    <n v="135843.74999999997"/>
    <n v="0"/>
    <n v="0"/>
    <n v="192"/>
    <n v="745199.99999999988"/>
    <n v="293823.5294117647"/>
    <n v="70"/>
    <n v="157"/>
    <n v="70"/>
    <n v="0"/>
    <n v="0"/>
    <n v="0"/>
    <m/>
    <n v="609356.24999999988"/>
    <n v="271687.49999999994"/>
    <n v="0"/>
    <n v="0"/>
    <n v="157"/>
    <n v="609356.24999999988"/>
    <n v="528823.5294117647"/>
    <n v="60"/>
    <n v="87"/>
    <n v="60"/>
    <n v="0"/>
    <n v="0"/>
    <n v="337668.74999999994"/>
    <n v="232874.99999999997"/>
    <n v="0"/>
    <n v="0"/>
    <n v="87"/>
    <n v="337668.74999999994"/>
    <n v="475941.17647058831"/>
    <n v="100"/>
    <n v="27"/>
    <n v="100"/>
    <n v="0"/>
    <n v="0"/>
    <n v="104793.74999999999"/>
    <n v="388124.99999999994"/>
    <n v="0"/>
    <n v="27"/>
    <n v="104793.74999999999"/>
    <n v="839495.79831932765"/>
    <n v="36"/>
    <n v="0"/>
    <n v="36"/>
    <n v="0"/>
    <m/>
    <n v="0"/>
    <n v="122832"/>
    <n v="0"/>
    <n v="0"/>
    <n v="0"/>
    <n v="302218.48739495798"/>
  </r>
  <r>
    <s v="Lhotse-Equipamiento"/>
    <x v="1"/>
    <x v="11"/>
    <x v="24"/>
    <s v="LHBANHIM"/>
    <x v="108"/>
    <x v="107"/>
    <x v="0"/>
    <x v="6"/>
    <n v="1"/>
    <x v="12"/>
    <n v="21"/>
    <m/>
    <n v="0"/>
    <n v="3821"/>
    <n v="80241"/>
    <n v="3.75"/>
    <n v="4096.875"/>
    <n v="8394.957983193277"/>
    <n v="8394.957983193277"/>
    <s v="Shenzhen"/>
    <x v="0"/>
    <n v="45"/>
    <n v="300"/>
    <n v="11"/>
    <n v="0.54356450438245596"/>
    <n v="7"/>
    <n v="0.54483183231279186"/>
    <n v="5"/>
    <n v="0.54482980048127938"/>
    <n v="5"/>
    <n v="0.54482980048127938"/>
    <n v="3"/>
    <n v="0.54483025610482438"/>
    <n v="1"/>
    <n v="0.23030516668345249"/>
    <n v="10"/>
    <n v="0.4636226482753576"/>
    <n v="0"/>
    <s v=""/>
    <n v="3"/>
    <n v="0.50908009820193434"/>
    <n v="13"/>
    <n v="0.48590003404846704"/>
    <n v="16"/>
    <n v="0.52484405155719849"/>
    <n v="144"/>
    <n v="0.44336770758622585"/>
    <n v="52"/>
    <s v=""/>
    <n v="16"/>
    <s v=""/>
    <n v="11"/>
    <s v=""/>
    <n v="7"/>
    <s v=""/>
    <n v="0.7"/>
    <n v="8"/>
    <s v=""/>
    <n v="2"/>
    <n v="4"/>
    <s v=""/>
    <n v="0.4"/>
    <n v="2"/>
    <s v=""/>
    <n v="0.14285714285714285"/>
    <n v="25"/>
    <n v="90"/>
    <n v="25"/>
    <n v="0"/>
    <n v="0"/>
    <n v="0"/>
    <n v="229260"/>
    <n v="349312.49999999994"/>
    <n v="95525"/>
    <n v="0"/>
    <n v="21"/>
    <n v="80241"/>
    <n v="176364.6635124638"/>
    <n v="15"/>
    <n v="58"/>
    <n v="24"/>
    <n v="0"/>
    <n v="0"/>
    <n v="0"/>
    <n v="160482"/>
    <n v="225112.49999999997"/>
    <n v="91704"/>
    <n v="0"/>
    <n v="21"/>
    <n v="80241"/>
    <n v="169310.07697196526"/>
    <n v="9"/>
    <n v="34"/>
    <n v="11"/>
    <n v="0"/>
    <n v="0"/>
    <n v="84303"/>
    <n v="129914"/>
    <n v="42031"/>
    <n v="0"/>
    <n v="21"/>
    <n v="80241"/>
    <n v="92344.537815126052"/>
    <n v="10"/>
    <n v="32"/>
    <n v="7"/>
    <n v="0"/>
    <n v="0"/>
    <n v="124199.99999999999"/>
    <n v="26747"/>
    <x v="0"/>
    <x v="0"/>
    <n v="21"/>
    <n v="80241"/>
    <n v="58764.705882352937"/>
    <n v="4"/>
    <n v="29"/>
    <n v="4"/>
    <m/>
    <n v="0"/>
    <n v="0"/>
    <n v="110809"/>
    <n v="15524.999999999998"/>
    <x v="0"/>
    <n v="0"/>
    <n v="21"/>
    <n v="80241"/>
    <n v="33579.831932773108"/>
    <n v="10"/>
    <n v="25"/>
    <n v="4"/>
    <m/>
    <n v="0"/>
    <n v="0"/>
    <n v="95525"/>
    <n v="15524.999999999998"/>
    <n v="0"/>
    <n v="0"/>
    <n v="25"/>
    <n v="80241"/>
    <n v="33579.831932773108"/>
    <n v="14"/>
    <n v="23"/>
    <n v="14"/>
    <n v="0"/>
    <n v="0"/>
    <n v="0"/>
    <n v="87883"/>
    <n v="54337.499999999993"/>
    <n v="0"/>
    <n v="0"/>
    <n v="23"/>
    <n v="80241"/>
    <n v="117529.41176470587"/>
    <n v="3"/>
    <n v="9"/>
    <n v="3"/>
    <n v="0"/>
    <n v="0"/>
    <n v="0"/>
    <n v="34389"/>
    <n v="11643.749999999998"/>
    <n v="0"/>
    <n v="0"/>
    <n v="9"/>
    <n v="34389"/>
    <n v="25184.873949579829"/>
    <n v="0"/>
    <n v="6"/>
    <n v="0"/>
    <n v="0"/>
    <n v="0"/>
    <m/>
    <n v="23287.499999999996"/>
    <n v="0"/>
    <n v="0"/>
    <n v="0"/>
    <n v="6"/>
    <n v="23287.499999999996"/>
    <n v="0"/>
    <n v="0"/>
    <n v="6"/>
    <n v="0"/>
    <n v="0"/>
    <n v="0"/>
    <n v="0"/>
    <m/>
    <n v="23287.499999999996"/>
    <n v="0"/>
    <n v="0"/>
    <n v="0"/>
    <n v="6"/>
    <n v="23287.499999999996"/>
    <n v="0"/>
    <n v="0"/>
    <n v="6"/>
    <n v="0"/>
    <n v="0"/>
    <n v="0"/>
    <n v="23287.499999999996"/>
    <n v="0"/>
    <n v="0"/>
    <n v="0"/>
    <n v="6"/>
    <n v="23287.499999999996"/>
    <n v="0"/>
    <n v="0"/>
    <n v="6"/>
    <n v="0"/>
    <n v="0"/>
    <n v="0"/>
    <n v="23287.499999999996"/>
    <n v="0"/>
    <n v="0"/>
    <n v="6"/>
    <n v="23287.499999999996"/>
    <n v="0"/>
    <n v="0"/>
    <n v="6"/>
    <n v="0"/>
    <n v="0"/>
    <m/>
    <n v="23287.499999999996"/>
    <n v="0"/>
    <n v="0"/>
    <n v="6"/>
    <n v="23287.499999999996"/>
    <n v="0"/>
  </r>
  <r>
    <s v="Lhotse-Equipamiento"/>
    <x v="1"/>
    <x v="11"/>
    <x v="24"/>
    <s v="LHBANHIM"/>
    <x v="109"/>
    <x v="107"/>
    <x v="0"/>
    <x v="6"/>
    <n v="1"/>
    <x v="12"/>
    <n v="12"/>
    <m/>
    <n v="0"/>
    <n v="3821"/>
    <n v="45852"/>
    <n v="3.75"/>
    <n v="4096.875"/>
    <n v="8394.957983193277"/>
    <n v="8394.957983193277"/>
    <s v="Shenzhen"/>
    <x v="0"/>
    <n v="45"/>
    <n v="300"/>
    <n v="9"/>
    <n v="0.54610917123618241"/>
    <n v="9"/>
    <n v="0.48071609521067293"/>
    <n v="5"/>
    <n v="0.43959909595908997"/>
    <n v="9"/>
    <n v="0.5244732355100874"/>
    <n v="4"/>
    <n v="0.59848570828079029"/>
    <n v="7"/>
    <n v="0.46450844369700794"/>
    <n v="16"/>
    <n v="0.4938233289621331"/>
    <n v="5"/>
    <n v="0.5448703008196164"/>
    <n v="11"/>
    <n v="0.5411227556928202"/>
    <n v="23"/>
    <n v="0.52416285100694759"/>
    <n v="20"/>
    <n v="0.51629666003480201"/>
    <n v="109"/>
    <n v="0.42641330732663996"/>
    <n v="65"/>
    <s v=""/>
    <n v="18"/>
    <s v=""/>
    <n v="11"/>
    <s v=""/>
    <n v="0"/>
    <s v=""/>
    <n v="0"/>
    <n v="0"/>
    <s v=""/>
    <n v="0"/>
    <n v="0"/>
    <s v=""/>
    <n v="0"/>
    <n v="0"/>
    <s v=""/>
    <n v="0"/>
    <n v="25"/>
    <n v="85"/>
    <n v="30"/>
    <n v="0"/>
    <n v="0"/>
    <n v="0"/>
    <n v="259828"/>
    <n v="329906.24999999994"/>
    <n v="114630"/>
    <n v="0"/>
    <n v="12"/>
    <n v="45852"/>
    <n v="211637.59621495657"/>
    <n v="15"/>
    <n v="32"/>
    <n v="27"/>
    <n v="0"/>
    <n v="0"/>
    <n v="0"/>
    <n v="145198"/>
    <n v="124199.99999999999"/>
    <n v="103167"/>
    <n v="0"/>
    <n v="12"/>
    <n v="45852"/>
    <n v="190473.83659346093"/>
    <n v="9"/>
    <n v="15"/>
    <n v="11"/>
    <n v="0"/>
    <n v="0"/>
    <n v="42031"/>
    <n v="57315"/>
    <n v="42031"/>
    <n v="0"/>
    <n v="12"/>
    <n v="45852"/>
    <n v="92344.537815126052"/>
    <n v="10"/>
    <n v="4"/>
    <n v="0"/>
    <n v="0"/>
    <n v="0"/>
    <n v="15524.999999999998"/>
    <n v="0"/>
    <x v="0"/>
    <x v="0"/>
    <n v="12"/>
    <n v="45852"/>
    <n v="0"/>
    <n v="0"/>
    <n v="12"/>
    <n v="0"/>
    <m/>
    <n v="0"/>
    <n v="0"/>
    <n v="45852"/>
    <n v="0"/>
    <x v="0"/>
    <n v="0"/>
    <n v="12"/>
    <n v="45852"/>
    <n v="0"/>
    <n v="0"/>
    <n v="12"/>
    <n v="0"/>
    <m/>
    <n v="0"/>
    <n v="0"/>
    <n v="45852"/>
    <n v="0"/>
    <n v="0"/>
    <n v="0"/>
    <n v="12"/>
    <n v="45852"/>
    <n v="0"/>
    <n v="0"/>
    <n v="12"/>
    <n v="0"/>
    <n v="0"/>
    <n v="0"/>
    <n v="0"/>
    <n v="45852"/>
    <n v="0"/>
    <n v="0"/>
    <n v="0"/>
    <n v="12"/>
    <n v="45852"/>
    <n v="0"/>
    <n v="0"/>
    <n v="12"/>
    <n v="0"/>
    <n v="0"/>
    <n v="0"/>
    <n v="0"/>
    <n v="45852"/>
    <n v="0"/>
    <n v="0"/>
    <n v="0"/>
    <n v="12"/>
    <n v="45852"/>
    <n v="0"/>
    <n v="0"/>
    <n v="12"/>
    <n v="0"/>
    <n v="0"/>
    <n v="0"/>
    <m/>
    <n v="46574.999999999993"/>
    <n v="0"/>
    <n v="0"/>
    <n v="0"/>
    <n v="12"/>
    <n v="46574.999999999993"/>
    <n v="0"/>
    <n v="0"/>
    <n v="12"/>
    <n v="0"/>
    <n v="0"/>
    <n v="0"/>
    <n v="0"/>
    <m/>
    <n v="46574.999999999993"/>
    <n v="0"/>
    <n v="0"/>
    <n v="0"/>
    <n v="12"/>
    <n v="46574.999999999993"/>
    <n v="0"/>
    <n v="0"/>
    <n v="12"/>
    <n v="0"/>
    <n v="0"/>
    <n v="0"/>
    <n v="46574.999999999993"/>
    <n v="0"/>
    <n v="0"/>
    <n v="0"/>
    <n v="12"/>
    <n v="46574.999999999993"/>
    <n v="0"/>
    <n v="0"/>
    <n v="12"/>
    <n v="0"/>
    <n v="0"/>
    <n v="0"/>
    <n v="46574.999999999993"/>
    <n v="0"/>
    <n v="0"/>
    <n v="12"/>
    <n v="46574.999999999993"/>
    <n v="0"/>
    <n v="0"/>
    <n v="12"/>
    <n v="0"/>
    <n v="0"/>
    <m/>
    <n v="46574.999999999993"/>
    <n v="0"/>
    <n v="0"/>
    <n v="12"/>
    <n v="46574.999999999993"/>
    <n v="0"/>
  </r>
  <r>
    <m/>
    <x v="1"/>
    <x v="11"/>
    <x v="24"/>
    <s v="LHBANK2"/>
    <x v="110"/>
    <x v="108"/>
    <x v="0"/>
    <x v="3"/>
    <n v="1"/>
    <x v="90"/>
    <n v="299"/>
    <m/>
    <n v="0"/>
    <n v="4569"/>
    <n v="1366131"/>
    <n v="4.7"/>
    <n v="5134.75"/>
    <n v="16798.319327731093"/>
    <n v="15117.64705882353"/>
    <s v="Shenzhen"/>
    <x v="0"/>
    <n v="45"/>
    <n v="300"/>
    <n v="0"/>
    <s v=""/>
    <n v="0"/>
    <s v=""/>
    <n v="0"/>
    <s v=""/>
    <n v="0"/>
    <s v=""/>
    <n v="0"/>
    <s v=""/>
    <n v="0"/>
    <s v=""/>
    <n v="0"/>
    <s v=""/>
    <n v="0"/>
    <s v=""/>
    <n v="2"/>
    <n v="0.53623851113448262"/>
    <n v="26"/>
    <n v="0.61111126533688576"/>
    <n v="53"/>
    <n v="0.57766875183837674"/>
    <n v="44"/>
    <n v="0.71745231989142255"/>
    <n v="32"/>
    <s v=""/>
    <n v="35"/>
    <s v=""/>
    <n v="1"/>
    <s v=""/>
    <n v="0"/>
    <s v=""/>
    <n v="0"/>
    <n v="2"/>
    <s v=""/>
    <n v="5.7142857142857141E-2"/>
    <n v="10"/>
    <s v=""/>
    <n v="0.16666666666666666"/>
    <n v="8"/>
    <s v=""/>
    <n v="0.22222222222222221"/>
    <n v="30"/>
    <n v="54"/>
    <n v="35"/>
    <n v="0"/>
    <n v="0"/>
    <n v="0"/>
    <n v="404356.5"/>
    <n v="262683"/>
    <n v="159915"/>
    <n v="0"/>
    <n v="299"/>
    <n v="1366131"/>
    <n v="494068.21552150277"/>
    <n v="19"/>
    <n v="36"/>
    <n v="52.5"/>
    <n v="0"/>
    <n v="0"/>
    <n v="0"/>
    <n v="244441.5"/>
    <n v="175122"/>
    <n v="239872.5"/>
    <n v="0"/>
    <n v="299"/>
    <n v="1366131"/>
    <n v="741102.32328225416"/>
    <n v="0"/>
    <n v="1"/>
    <n v="1"/>
    <n v="0"/>
    <n v="0"/>
    <n v="174826.5"/>
    <n v="4569"/>
    <n v="4569"/>
    <n v="0"/>
    <n v="299"/>
    <n v="1366131"/>
    <n v="16798.319327731093"/>
    <n v="20"/>
    <n v="0"/>
    <n v="0"/>
    <n v="300"/>
    <n v="0"/>
    <n v="0"/>
    <n v="0"/>
    <x v="39"/>
    <x v="0"/>
    <n v="299"/>
    <n v="1366131"/>
    <n v="0"/>
    <n v="35"/>
    <n v="301"/>
    <n v="35"/>
    <m/>
    <n v="0"/>
    <n v="0"/>
    <n v="1375269"/>
    <n v="170257.5"/>
    <x v="0"/>
    <n v="0"/>
    <n v="299"/>
    <n v="1366131"/>
    <n v="587941.17647058819"/>
    <n v="60"/>
    <n v="309"/>
    <n v="10"/>
    <m/>
    <n v="0"/>
    <n v="0"/>
    <n v="1411821"/>
    <n v="48645"/>
    <n v="0"/>
    <n v="0"/>
    <n v="309"/>
    <n v="1366131"/>
    <n v="167983.19327731093"/>
    <n v="36"/>
    <n v="307"/>
    <n v="36"/>
    <n v="0"/>
    <n v="0"/>
    <n v="0"/>
    <n v="1402683"/>
    <n v="175122"/>
    <n v="0"/>
    <n v="0"/>
    <n v="307"/>
    <n v="1366131"/>
    <n v="604739.49579831935"/>
    <n v="35"/>
    <n v="271"/>
    <n v="35"/>
    <n v="0"/>
    <n v="0"/>
    <n v="0"/>
    <n v="1238199"/>
    <n v="170257.5"/>
    <n v="0"/>
    <n v="0"/>
    <n v="271"/>
    <n v="1238199"/>
    <n v="587941.17647058819"/>
    <n v="35"/>
    <n v="236"/>
    <n v="35"/>
    <n v="300"/>
    <n v="0"/>
    <m/>
    <n v="1148022"/>
    <n v="170257.5"/>
    <n v="1459350"/>
    <n v="0"/>
    <n v="236"/>
    <n v="1148022"/>
    <n v="587941.17647058819"/>
    <n v="100"/>
    <n v="501"/>
    <n v="100"/>
    <n v="0"/>
    <n v="0"/>
    <n v="0"/>
    <n v="300"/>
    <n v="2437114.5"/>
    <n v="486450"/>
    <n v="0"/>
    <n v="1459350"/>
    <n v="501"/>
    <n v="3896464.5"/>
    <n v="1511764.705882353"/>
    <n v="80"/>
    <n v="401"/>
    <n v="80"/>
    <n v="0"/>
    <n v="0"/>
    <n v="1950664.5"/>
    <n v="389160"/>
    <n v="0"/>
    <n v="0"/>
    <n v="401"/>
    <n v="1950664.5"/>
    <n v="1269882.3529411766"/>
    <n v="150"/>
    <n v="321"/>
    <n v="150"/>
    <n v="300"/>
    <n v="300"/>
    <n v="1561504.5"/>
    <n v="729675"/>
    <n v="1459350"/>
    <n v="621"/>
    <n v="3020854.5"/>
    <n v="2519747.8991596638"/>
    <n v="48"/>
    <n v="471"/>
    <n v="48"/>
    <n v="0"/>
    <m/>
    <n v="2291179.5"/>
    <n v="219312"/>
    <n v="0"/>
    <n v="471"/>
    <n v="2291179.5"/>
    <n v="806319.32773109246"/>
  </r>
  <r>
    <s v="Lhotse-Equipamiento"/>
    <x v="1"/>
    <x v="11"/>
    <x v="25"/>
    <s v="LHMALEXPBK-90"/>
    <x v="111"/>
    <x v="109"/>
    <x v="0"/>
    <x v="3"/>
    <n v="1"/>
    <x v="91"/>
    <n v="31"/>
    <m/>
    <n v="0"/>
    <n v="43172"/>
    <n v="1338332"/>
    <n v="40.75"/>
    <n v="44519.375"/>
    <n v="84025.210084033621"/>
    <n v="84025.210084033621"/>
    <s v="Shenzhen"/>
    <x v="0"/>
    <n v="60"/>
    <n v="300"/>
    <n v="20"/>
    <n v="0.51528033642771542"/>
    <n v="15"/>
    <n v="0.42385320796586712"/>
    <n v="26"/>
    <n v="0.44112697286426827"/>
    <n v="12"/>
    <n v="0.46180708828243322"/>
    <n v="8"/>
    <n v="0.45252512472191753"/>
    <n v="29"/>
    <n v="0.37970022698169947"/>
    <n v="27"/>
    <n v="0.36443946826836277"/>
    <n v="29"/>
    <n v="0.41685207962198634"/>
    <n v="5"/>
    <n v="0.50295206404092563"/>
    <n v="26"/>
    <n v="0.42547842449488854"/>
    <n v="16"/>
    <n v="0.394183079168613"/>
    <n v="57"/>
    <n v="0.34086640552302594"/>
    <n v="86"/>
    <s v=""/>
    <n v="45"/>
    <s v=""/>
    <n v="25"/>
    <s v=""/>
    <n v="18"/>
    <s v=""/>
    <n v="1.2"/>
    <n v="12"/>
    <s v=""/>
    <n v="0.8"/>
    <n v="8"/>
    <s v=""/>
    <n v="0.2"/>
    <n v="5"/>
    <s v=""/>
    <n v="0.33333333333333331"/>
    <n v="22"/>
    <n v="97"/>
    <n v="40"/>
    <n v="0"/>
    <n v="100"/>
    <n v="0"/>
    <n v="5720290"/>
    <n v="4091096.25"/>
    <n v="1726880"/>
    <n v="0"/>
    <n v="31"/>
    <n v="1338332"/>
    <n v="2824376.8095473484"/>
    <n v="35"/>
    <n v="125"/>
    <n v="67.5"/>
    <n v="0"/>
    <n v="0"/>
    <n v="0"/>
    <n v="4770506"/>
    <n v="5272031.25"/>
    <n v="2914110"/>
    <n v="0"/>
    <n v="31"/>
    <n v="1338332"/>
    <n v="4766135.8661111509"/>
    <n v="45"/>
    <n v="66"/>
    <n v="25"/>
    <n v="0"/>
    <n v="0"/>
    <n v="2489039.75"/>
    <n v="2849352"/>
    <n v="1079300"/>
    <n v="0"/>
    <n v="31"/>
    <n v="1338332"/>
    <n v="2100630.2521008407"/>
    <n v="15"/>
    <n v="48"/>
    <n v="18"/>
    <n v="0"/>
    <n v="0"/>
    <n v="2024460"/>
    <n v="777096"/>
    <x v="0"/>
    <x v="0"/>
    <n v="31"/>
    <n v="1338332"/>
    <n v="1512453.7815126053"/>
    <n v="15"/>
    <n v="43"/>
    <n v="15"/>
    <m/>
    <n v="0"/>
    <n v="0"/>
    <n v="1856396"/>
    <n v="632643.75"/>
    <x v="0"/>
    <n v="0"/>
    <n v="31"/>
    <n v="1338332"/>
    <n v="1260378.1512605043"/>
    <n v="40"/>
    <n v="39"/>
    <n v="8"/>
    <m/>
    <n v="0"/>
    <n v="0"/>
    <n v="1683708"/>
    <n v="337410"/>
    <n v="0"/>
    <n v="0"/>
    <n v="39"/>
    <n v="1338332"/>
    <n v="672201.68067226897"/>
    <n v="15"/>
    <n v="36"/>
    <n v="15"/>
    <n v="200"/>
    <n v="200"/>
    <n v="0"/>
    <n v="1554192"/>
    <n v="632643.75"/>
    <n v="8154075"/>
    <n v="0"/>
    <n v="36"/>
    <n v="1338332"/>
    <n v="1260378.1512605043"/>
    <n v="4"/>
    <n v="21"/>
    <n v="4"/>
    <n v="0"/>
    <n v="0"/>
    <n v="0"/>
    <n v="906612"/>
    <n v="168705"/>
    <n v="0"/>
    <n v="0"/>
    <n v="21"/>
    <n v="906612"/>
    <n v="336100.84033613448"/>
    <n v="0"/>
    <n v="17"/>
    <n v="0"/>
    <n v="0"/>
    <n v="0"/>
    <n v="200"/>
    <n v="716996.25"/>
    <n v="0"/>
    <n v="0"/>
    <n v="8435250"/>
    <n v="217"/>
    <n v="9152246.25"/>
    <n v="0"/>
    <n v="50"/>
    <n v="217"/>
    <n v="50"/>
    <n v="0"/>
    <n v="0"/>
    <n v="0"/>
    <n v="0"/>
    <n v="9152246.25"/>
    <n v="2108812.5"/>
    <n v="0"/>
    <n v="0"/>
    <n v="217"/>
    <n v="9152246.25"/>
    <n v="4201260.5042016814"/>
    <n v="25"/>
    <n v="167"/>
    <n v="25"/>
    <n v="0"/>
    <n v="0"/>
    <n v="7043433.75"/>
    <n v="1054406.25"/>
    <n v="0"/>
    <n v="0"/>
    <n v="167"/>
    <n v="7043433.75"/>
    <n v="2205661.7647058829"/>
    <n v="60"/>
    <n v="142"/>
    <n v="60"/>
    <n v="0"/>
    <n v="0"/>
    <n v="5989027.5"/>
    <n v="2530575"/>
    <n v="0"/>
    <n v="142"/>
    <n v="5989027.5"/>
    <n v="5041512.6050420171"/>
    <n v="15"/>
    <n v="82"/>
    <n v="15"/>
    <n v="150"/>
    <n v="150"/>
    <n v="3458452.5"/>
    <n v="647580"/>
    <n v="6326437.5"/>
    <n v="232"/>
    <n v="9784890"/>
    <n v="1260378.1512605043"/>
  </r>
  <r>
    <s v="Lhotse-Equipamiento"/>
    <x v="1"/>
    <x v="11"/>
    <x v="25"/>
    <s v="LHMALEXPBK-70"/>
    <x v="112"/>
    <x v="110"/>
    <x v="0"/>
    <x v="4"/>
    <n v="1"/>
    <x v="92"/>
    <n v="26"/>
    <m/>
    <n v="0"/>
    <n v="36446"/>
    <n v="947596"/>
    <s v="34,80"/>
    <n v="38019"/>
    <n v="71420.168067226899"/>
    <n v="67218.487394957992"/>
    <s v="Shenzhen"/>
    <x v="0"/>
    <n v="30"/>
    <n v="300"/>
    <n v="5"/>
    <n v="0.40742063645645671"/>
    <n v="17"/>
    <n v="0.45295002051818428"/>
    <n v="23"/>
    <n v="0.42547948582087142"/>
    <n v="13"/>
    <n v="0.4625561881495821"/>
    <n v="8"/>
    <n v="0.45367967674550869"/>
    <n v="13"/>
    <n v="0.38019381952807646"/>
    <n v="34"/>
    <n v="0.34515910428326668"/>
    <n v="19"/>
    <n v="0.39669334555366637"/>
    <n v="7"/>
    <n v="0.44248240360349012"/>
    <n v="17"/>
    <n v="0.38794787411103526"/>
    <n v="12"/>
    <n v="0.41126944023252671"/>
    <n v="27"/>
    <n v="0.37844221264363487"/>
    <n v="75"/>
    <s v=""/>
    <n v="47"/>
    <s v=""/>
    <n v="19"/>
    <s v=""/>
    <n v="13"/>
    <s v=""/>
    <n v="0.8666666666666667"/>
    <n v="42"/>
    <s v=""/>
    <n v="2.8"/>
    <n v="41"/>
    <s v=""/>
    <n v="1.3666666666666667"/>
    <n v="11"/>
    <s v=""/>
    <n v="0.44"/>
    <n v="15"/>
    <n v="146"/>
    <n v="20"/>
    <n v="0"/>
    <n v="100"/>
    <n v="0"/>
    <n v="3990837"/>
    <n v="5258627.9999999991"/>
    <n v="728920"/>
    <n v="0"/>
    <n v="26"/>
    <n v="947596"/>
    <n v="1200338.9591130572"/>
    <n v="15"/>
    <n v="181"/>
    <n v="70.5"/>
    <n v="0"/>
    <n v="0"/>
    <n v="0"/>
    <n v="3735715"/>
    <n v="6519257.9999999991"/>
    <n v="2569443"/>
    <n v="0"/>
    <n v="26"/>
    <n v="947596"/>
    <n v="4231194.8308735266"/>
    <n v="40"/>
    <n v="132"/>
    <n v="19"/>
    <n v="0"/>
    <n v="0"/>
    <n v="1706542"/>
    <n v="4810872"/>
    <n v="692474"/>
    <n v="0"/>
    <n v="26"/>
    <n v="947596"/>
    <n v="1356983.193277311"/>
    <n v="15"/>
    <n v="119"/>
    <n v="13"/>
    <n v="0"/>
    <n v="0"/>
    <n v="4286141.9999999991"/>
    <n v="473798"/>
    <x v="0"/>
    <x v="0"/>
    <n v="26"/>
    <n v="947596"/>
    <n v="928462.18487394974"/>
    <n v="15"/>
    <n v="68"/>
    <n v="15"/>
    <m/>
    <n v="0"/>
    <n v="0"/>
    <n v="2478328"/>
    <n v="540269.99999999988"/>
    <x v="0"/>
    <n v="0"/>
    <n v="26"/>
    <n v="947596"/>
    <n v="1071302.5210084035"/>
    <n v="30"/>
    <n v="67"/>
    <n v="41"/>
    <m/>
    <n v="0"/>
    <n v="0"/>
    <n v="2441882"/>
    <n v="1476737.9999999998"/>
    <n v="0"/>
    <n v="0"/>
    <n v="67"/>
    <n v="947596"/>
    <n v="2928226.890756303"/>
    <n v="25"/>
    <n v="37"/>
    <n v="25"/>
    <n v="0"/>
    <n v="0"/>
    <n v="0"/>
    <n v="1348502"/>
    <n v="900449.99999999977"/>
    <n v="0"/>
    <n v="0"/>
    <n v="37"/>
    <n v="947596"/>
    <n v="1785504.2016806726"/>
    <n v="30"/>
    <n v="12"/>
    <n v="30"/>
    <n v="0"/>
    <n v="0"/>
    <n v="0"/>
    <n v="437352"/>
    <n v="1080539.9999999998"/>
    <n v="0"/>
    <n v="0"/>
    <n v="12"/>
    <n v="437352"/>
    <n v="2142605.042016807"/>
    <n v="20"/>
    <n v="0"/>
    <n v="20"/>
    <n v="0"/>
    <n v="0"/>
    <m/>
    <n v="0"/>
    <n v="720359.99999999988"/>
    <n v="0"/>
    <n v="0"/>
    <n v="0"/>
    <n v="0"/>
    <n v="1428403.3613445379"/>
    <n v="0"/>
    <n v="0"/>
    <n v="0"/>
    <n v="0"/>
    <n v="0"/>
    <n v="0"/>
    <m/>
    <n v="0"/>
    <n v="0"/>
    <n v="0"/>
    <n v="0"/>
    <n v="0"/>
    <n v="0"/>
    <n v="0"/>
    <n v="20"/>
    <n v="0"/>
    <n v="20"/>
    <n v="0"/>
    <n v="0"/>
    <n v="0"/>
    <n v="720359.99999999988"/>
    <n v="0"/>
    <n v="0"/>
    <n v="0"/>
    <n v="0"/>
    <n v="1411588.2352941178"/>
    <n v="30"/>
    <n v="0"/>
    <n v="30"/>
    <n v="0"/>
    <n v="0"/>
    <n v="0"/>
    <n v="1080539.9999999998"/>
    <n v="0"/>
    <n v="0"/>
    <n v="0"/>
    <n v="2142605.042016807"/>
    <n v="12"/>
    <n v="0"/>
    <n v="12"/>
    <n v="0"/>
    <m/>
    <n v="0"/>
    <n v="437352"/>
    <n v="0"/>
    <n v="0"/>
    <n v="0"/>
    <n v="857042.01680672285"/>
  </r>
  <r>
    <s v="Lhotse-Equipamiento"/>
    <x v="1"/>
    <x v="11"/>
    <x v="25"/>
    <s v="LHMALEXPBK-30"/>
    <x v="113"/>
    <x v="111"/>
    <x v="0"/>
    <x v="4"/>
    <n v="0.6"/>
    <x v="93"/>
    <n v="70"/>
    <m/>
    <n v="0"/>
    <n v="30321"/>
    <n v="2122470"/>
    <n v="28"/>
    <n v="30589.999999999996"/>
    <n v="58815.126050420171"/>
    <n v="54613.445378151264"/>
    <s v="Shenzhen"/>
    <x v="0"/>
    <n v="60"/>
    <n v="300"/>
    <n v="16"/>
    <n v="0.46539001235708888"/>
    <n v="19"/>
    <n v="0.41689806849280348"/>
    <n v="20"/>
    <n v="0.4448249315299167"/>
    <n v="6"/>
    <n v="0.2516019232952722"/>
    <n v="13"/>
    <n v="0.43739951762848345"/>
    <n v="33"/>
    <n v="0.30356290550149095"/>
    <n v="53"/>
    <n v="0.21021894875604749"/>
    <n v="34"/>
    <n v="0.21545006926476223"/>
    <n v="32"/>
    <n v="0.28917984507258276"/>
    <n v="34"/>
    <n v="0.25767280913126134"/>
    <n v="13"/>
    <n v="0.30152350194825717"/>
    <n v="24"/>
    <n v="0.30551152935131848"/>
    <n v="23"/>
    <s v=""/>
    <n v="64"/>
    <s v=""/>
    <n v="12"/>
    <s v=""/>
    <n v="2"/>
    <s v=""/>
    <n v="0.2"/>
    <n v="4"/>
    <s v=""/>
    <n v="0.4"/>
    <n v="1"/>
    <s v=""/>
    <n v="2.8571428571428571E-2"/>
    <n v="0"/>
    <s v=""/>
    <n v="0"/>
    <n v="15"/>
    <n v="159"/>
    <n v="20"/>
    <n v="0"/>
    <n v="0"/>
    <n v="0"/>
    <n v="3881088"/>
    <n v="4607819.9999999991"/>
    <n v="606420"/>
    <n v="0"/>
    <n v="70"/>
    <n v="2122470"/>
    <n v="988489.5134524398"/>
    <n v="15"/>
    <n v="94"/>
    <n v="96"/>
    <n v="0"/>
    <n v="0"/>
    <n v="0"/>
    <n v="3335310"/>
    <n v="2724119.9999999995"/>
    <n v="2910816"/>
    <n v="0"/>
    <n v="70"/>
    <n v="2122470"/>
    <n v="4744749.6645717118"/>
    <n v="18"/>
    <n v="86"/>
    <n v="12"/>
    <n v="0"/>
    <n v="0"/>
    <n v="598374"/>
    <n v="2607606"/>
    <n v="363852"/>
    <n v="0"/>
    <n v="70"/>
    <n v="2122470"/>
    <n v="705781.51260504208"/>
    <n v="10"/>
    <n v="67"/>
    <n v="2"/>
    <n v="0"/>
    <n v="0"/>
    <n v="1941659.9999999998"/>
    <n v="60642"/>
    <x v="0"/>
    <x v="0"/>
    <n v="70"/>
    <n v="2122470"/>
    <n v="117630.25210084034"/>
    <n v="10"/>
    <n v="74"/>
    <n v="6"/>
    <m/>
    <n v="0"/>
    <n v="0"/>
    <n v="2243754"/>
    <n v="173879.99999999997"/>
    <x v="0"/>
    <n v="0"/>
    <n v="70"/>
    <n v="2122470"/>
    <n v="352890.75630252104"/>
    <n v="35"/>
    <n v="71"/>
    <n v="1"/>
    <m/>
    <n v="0"/>
    <n v="0"/>
    <n v="2152791"/>
    <n v="28979.999999999996"/>
    <n v="0"/>
    <n v="0"/>
    <n v="71"/>
    <n v="2122470"/>
    <n v="58815.126050420171"/>
    <n v="0"/>
    <n v="70"/>
    <n v="0"/>
    <n v="0"/>
    <n v="0"/>
    <n v="0"/>
    <n v="2122470"/>
    <n v="0"/>
    <n v="0"/>
    <n v="0"/>
    <n v="70"/>
    <n v="2122470"/>
    <n v="0"/>
    <n v="0"/>
    <n v="70"/>
    <n v="0"/>
    <n v="0"/>
    <n v="0"/>
    <n v="0"/>
    <n v="2122470"/>
    <n v="0"/>
    <n v="0"/>
    <n v="0"/>
    <n v="70"/>
    <n v="2122470"/>
    <n v="0"/>
    <n v="0"/>
    <n v="70"/>
    <n v="0"/>
    <n v="0"/>
    <n v="0"/>
    <m/>
    <n v="2028599.9999999998"/>
    <n v="0"/>
    <n v="0"/>
    <n v="0"/>
    <n v="70"/>
    <n v="2028599.9999999998"/>
    <n v="0"/>
    <n v="0"/>
    <n v="70"/>
    <n v="0"/>
    <n v="0"/>
    <n v="0"/>
    <n v="0"/>
    <m/>
    <n v="2028599.9999999998"/>
    <n v="0"/>
    <n v="0"/>
    <n v="0"/>
    <n v="70"/>
    <n v="2028599.9999999998"/>
    <n v="0"/>
    <n v="0"/>
    <n v="70"/>
    <n v="0"/>
    <n v="0"/>
    <n v="0"/>
    <n v="2028599.9999999998"/>
    <n v="0"/>
    <n v="0"/>
    <n v="0"/>
    <n v="70"/>
    <n v="2028599.9999999998"/>
    <n v="0"/>
    <n v="0"/>
    <n v="70"/>
    <n v="0"/>
    <n v="0"/>
    <n v="0"/>
    <n v="2028599.9999999998"/>
    <n v="0"/>
    <n v="0"/>
    <n v="70"/>
    <n v="2028599.9999999998"/>
    <n v="0"/>
    <n v="0"/>
    <n v="70"/>
    <n v="0"/>
    <n v="0"/>
    <m/>
    <n v="2028599.9999999998"/>
    <n v="0"/>
    <n v="0"/>
    <n v="70"/>
    <n v="2028599.9999999998"/>
    <n v="0"/>
  </r>
  <r>
    <s v="Lhotse-Equipamiento"/>
    <x v="1"/>
    <x v="11"/>
    <x v="26"/>
    <n v="1623703861303"/>
    <x v="114"/>
    <x v="112"/>
    <x v="0"/>
    <x v="3"/>
    <n v="1"/>
    <x v="94"/>
    <n v="204"/>
    <m/>
    <n v="0"/>
    <n v="9703"/>
    <n v="1979412"/>
    <n v="9.5"/>
    <n v="10378.75"/>
    <n v="19319.327731092439"/>
    <n v="19319.327731092439"/>
    <s v="Shenzhen"/>
    <x v="0"/>
    <n v="30"/>
    <n v="300"/>
    <n v="77"/>
    <n v="0.50090146919547318"/>
    <n v="37"/>
    <n v="0.54690241661654748"/>
    <n v="81"/>
    <n v="0.49534554468842434"/>
    <n v="47"/>
    <n v="0.52668302995111937"/>
    <n v="34"/>
    <n v="0.52780074701129054"/>
    <n v="90"/>
    <n v="0.44031212289670779"/>
    <n v="213"/>
    <n v="0.3628952773748706"/>
    <n v="18"/>
    <n v="0.55956464268463368"/>
    <n v="5"/>
    <n v="0.53532244785062277"/>
    <n v="50"/>
    <n v="0.50052340555526775"/>
    <n v="160"/>
    <n v="0.48900519853771507"/>
    <n v="95"/>
    <n v="0.47699955957331752"/>
    <n v="72"/>
    <n v="0.49782079568418719"/>
    <n v="25"/>
    <n v="0.54757778876875884"/>
    <n v="46"/>
    <n v="0.48855596067805696"/>
    <n v="40"/>
    <n v="0.52561906567316086"/>
    <n v="0.8"/>
    <n v="124"/>
    <n v="0.52780075367144541"/>
    <n v="3.5428571428571427"/>
    <n v="78"/>
    <n v="0.44414972622269039"/>
    <n v="0.78"/>
    <n v="13"/>
    <n v="0.36388550232502631"/>
    <n v="0.13"/>
    <n v="100"/>
    <n v="461"/>
    <n v="60"/>
    <n v="100"/>
    <n v="100"/>
    <n v="0"/>
    <n v="1392380.5"/>
    <n v="4532782.5"/>
    <n v="582180"/>
    <n v="0"/>
    <n v="204"/>
    <n v="1979412"/>
    <n v="974083.75114751793"/>
    <n v="60"/>
    <n v="522"/>
    <n v="37.5"/>
    <n v="0"/>
    <n v="0"/>
    <n v="0"/>
    <n v="1198320.5"/>
    <n v="5132565"/>
    <n v="363862.5"/>
    <n v="0"/>
    <n v="204"/>
    <n v="1979412"/>
    <n v="608802.34446719871"/>
    <n v="72"/>
    <n v="494"/>
    <n v="46"/>
    <n v="0"/>
    <n v="0"/>
    <n v="1178595.5"/>
    <n v="4793282"/>
    <n v="446338"/>
    <n v="0"/>
    <n v="204"/>
    <n v="1979412"/>
    <n v="888689.07563025213"/>
    <n v="50"/>
    <n v="451"/>
    <n v="40"/>
    <n v="0"/>
    <n v="0"/>
    <n v="4434457.5"/>
    <n v="388120"/>
    <x v="0"/>
    <x v="0"/>
    <n v="204"/>
    <n v="1979412"/>
    <n v="772773.10924369749"/>
    <n v="35"/>
    <n v="328"/>
    <n v="35"/>
    <m/>
    <n v="0"/>
    <n v="0"/>
    <n v="3182584"/>
    <n v="344137.5"/>
    <x v="0"/>
    <n v="0"/>
    <n v="204"/>
    <n v="1979412"/>
    <n v="676176.4705882353"/>
    <n v="100"/>
    <n v="282"/>
    <n v="78"/>
    <m/>
    <n v="0"/>
    <n v="0"/>
    <n v="2736246"/>
    <n v="766935"/>
    <n v="0"/>
    <n v="0"/>
    <n v="282"/>
    <n v="1979412"/>
    <n v="1506907.5630252103"/>
    <n v="100"/>
    <n v="217"/>
    <n v="100"/>
    <n v="0"/>
    <n v="0"/>
    <n v="0"/>
    <n v="2105551"/>
    <n v="983250"/>
    <n v="0"/>
    <n v="0"/>
    <n v="217"/>
    <n v="1979412"/>
    <n v="1931932.7731092439"/>
    <n v="73"/>
    <n v="117"/>
    <n v="73"/>
    <n v="0"/>
    <n v="0"/>
    <n v="0"/>
    <n v="1135251"/>
    <n v="717772.5"/>
    <n v="0"/>
    <n v="0"/>
    <n v="117"/>
    <n v="1135251"/>
    <n v="1410310.924369748"/>
    <n v="55"/>
    <n v="44"/>
    <n v="55"/>
    <n v="300"/>
    <n v="300"/>
    <n v="300"/>
    <n v="432630"/>
    <n v="540787.5"/>
    <n v="2949750"/>
    <n v="2949750"/>
    <n v="344"/>
    <n v="3382380"/>
    <n v="1062563.0252100842"/>
    <n v="70"/>
    <n v="289"/>
    <n v="70"/>
    <n v="0"/>
    <n v="0"/>
    <n v="0"/>
    <m/>
    <n v="2841592.5"/>
    <n v="688275"/>
    <n v="0"/>
    <n v="0"/>
    <n v="289"/>
    <n v="2841592.5"/>
    <n v="1352352.9411764706"/>
    <n v="120"/>
    <n v="219"/>
    <n v="120"/>
    <n v="0"/>
    <n v="0"/>
    <n v="2153317.5"/>
    <n v="1179900"/>
    <n v="0"/>
    <n v="0"/>
    <n v="219"/>
    <n v="2153317.5"/>
    <n v="2434235.2941176472"/>
    <n v="150"/>
    <n v="99"/>
    <n v="150"/>
    <n v="0"/>
    <n v="0"/>
    <n v="973417.5"/>
    <n v="1474875"/>
    <n v="0"/>
    <n v="99"/>
    <n v="973417.5"/>
    <n v="2897899.1596638658"/>
    <n v="72"/>
    <n v="0"/>
    <n v="72"/>
    <n v="0"/>
    <m/>
    <n v="0"/>
    <n v="698616"/>
    <n v="0"/>
    <n v="0"/>
    <n v="0"/>
    <n v="1390991.5966386555"/>
  </r>
  <r>
    <s v="Lhotse-Equipamiento"/>
    <x v="1"/>
    <x v="11"/>
    <x v="26"/>
    <s v="LHBOLDUF60"/>
    <x v="115"/>
    <x v="113"/>
    <x v="0"/>
    <x v="3"/>
    <n v="1"/>
    <x v="95"/>
    <n v="17"/>
    <m/>
    <n v="0"/>
    <n v="12746"/>
    <n v="216682"/>
    <n v="12"/>
    <n v="13109.999999999998"/>
    <n v="33605.042016806721"/>
    <n v="31924.36974789916"/>
    <s v="Shenzhen"/>
    <x v="0"/>
    <n v="45"/>
    <n v="300"/>
    <n v="25"/>
    <n v="0.68447641041757723"/>
    <n v="22"/>
    <n v="0.64689155763352102"/>
    <n v="36"/>
    <n v="0.58752146795392424"/>
    <n v="44"/>
    <n v="0.57035296466879215"/>
    <n v="14"/>
    <n v="0.63214899631707788"/>
    <n v="60"/>
    <n v="0.54199244346170228"/>
    <n v="31"/>
    <n v="0.56125259023003105"/>
    <n v="7"/>
    <n v="0.59157539359110656"/>
    <n v="5"/>
    <n v="0.67425279192789978"/>
    <n v="41"/>
    <n v="0.46056234511838745"/>
    <n v="14"/>
    <n v="0.5886280859351154"/>
    <n v="35"/>
    <n v="0.6431816374576651"/>
    <n v="94"/>
    <s v=""/>
    <n v="38"/>
    <s v=""/>
    <n v="17"/>
    <s v=""/>
    <n v="14"/>
    <s v=""/>
    <n v="0"/>
    <n v="13"/>
    <s v=""/>
    <n v="0.52"/>
    <n v="28"/>
    <s v=""/>
    <n v="0.56000000000000005"/>
    <n v="1"/>
    <s v=""/>
    <n v="2.9411764705882353E-2"/>
    <n v="30"/>
    <n v="208"/>
    <n v="35"/>
    <n v="0"/>
    <n v="0"/>
    <n v="0"/>
    <n v="1389314"/>
    <n v="2583359.9999999995"/>
    <n v="446110"/>
    <n v="0"/>
    <n v="17"/>
    <n v="216682"/>
    <n v="988383.5887296095"/>
    <n v="25"/>
    <n v="119"/>
    <n v="57"/>
    <n v="0"/>
    <n v="0"/>
    <n v="0"/>
    <n v="1121648"/>
    <n v="1477979.9999999998"/>
    <n v="726522"/>
    <n v="0"/>
    <n v="17"/>
    <n v="216682"/>
    <n v="1609653.2730739356"/>
    <n v="72"/>
    <n v="65"/>
    <n v="17"/>
    <n v="0"/>
    <n v="0"/>
    <n v="705626"/>
    <n v="828490"/>
    <n v="216682"/>
    <n v="0"/>
    <n v="17"/>
    <n v="216682"/>
    <n v="571285.71428571432"/>
    <n v="0"/>
    <n v="58"/>
    <n v="14"/>
    <n v="0"/>
    <n v="0"/>
    <n v="720359.99999999988"/>
    <n v="178444"/>
    <x v="0"/>
    <x v="0"/>
    <n v="17"/>
    <n v="216682"/>
    <n v="470470.5882352941"/>
    <n v="25"/>
    <n v="30"/>
    <n v="25"/>
    <m/>
    <n v="0"/>
    <n v="0"/>
    <n v="382380"/>
    <n v="310499.99999999994"/>
    <x v="0"/>
    <n v="0"/>
    <n v="17"/>
    <n v="216682"/>
    <n v="840126.05042016809"/>
    <n v="50"/>
    <n v="45"/>
    <n v="28"/>
    <m/>
    <n v="0"/>
    <n v="0"/>
    <n v="573570"/>
    <n v="347759.99999999994"/>
    <n v="0"/>
    <n v="0"/>
    <n v="45"/>
    <n v="216682"/>
    <n v="940941.17647058819"/>
    <n v="34"/>
    <n v="18"/>
    <n v="34"/>
    <n v="300"/>
    <n v="300"/>
    <n v="0"/>
    <n v="229428"/>
    <n v="422279.99999999994"/>
    <n v="3601799.9999999995"/>
    <n v="0"/>
    <n v="18"/>
    <n v="216682"/>
    <n v="1142571.4285714286"/>
    <n v="20"/>
    <n v="0"/>
    <n v="20"/>
    <n v="0"/>
    <n v="0"/>
    <n v="0"/>
    <n v="0"/>
    <n v="248399.99999999997"/>
    <n v="0"/>
    <n v="0"/>
    <n v="0"/>
    <n v="0"/>
    <n v="672100.84033613442"/>
    <n v="25"/>
    <n v="0"/>
    <n v="25"/>
    <n v="0"/>
    <n v="300"/>
    <n v="300"/>
    <n v="0"/>
    <n v="310499.99999999994"/>
    <n v="0"/>
    <n v="3725999.9999999995"/>
    <n v="300"/>
    <n v="3725999.9999999995"/>
    <n v="840126.05042016809"/>
    <n v="45"/>
    <n v="275"/>
    <n v="45"/>
    <n v="0"/>
    <n v="0"/>
    <n v="0"/>
    <m/>
    <n v="3415499.9999999995"/>
    <n v="558899.99999999988"/>
    <n v="0"/>
    <n v="0"/>
    <n v="275"/>
    <n v="3415499.9999999995"/>
    <n v="1436596.6386554623"/>
    <n v="40"/>
    <n v="230"/>
    <n v="40"/>
    <n v="0"/>
    <n v="0"/>
    <n v="2856599.9999999995"/>
    <n v="496799.99999999994"/>
    <n v="0"/>
    <n v="0"/>
    <n v="230"/>
    <n v="2856599.9999999995"/>
    <n v="1340823.5294117648"/>
    <n v="45"/>
    <n v="190"/>
    <n v="45"/>
    <n v="0"/>
    <n v="0"/>
    <n v="2359799.9999999995"/>
    <n v="558899.99999999988"/>
    <n v="0"/>
    <n v="190"/>
    <n v="2359799.9999999995"/>
    <n v="1512226.8907563025"/>
    <n v="24"/>
    <n v="145"/>
    <n v="24"/>
    <n v="0"/>
    <m/>
    <n v="1800899.9999999998"/>
    <n v="305904"/>
    <n v="0"/>
    <n v="145"/>
    <n v="1800899.9999999998"/>
    <n v="806521.00840336131"/>
  </r>
  <r>
    <s v="Lhotse-Equipamiento"/>
    <x v="1"/>
    <x v="11"/>
    <x v="26"/>
    <s v="LHBOLDUF60"/>
    <x v="116"/>
    <x v="114"/>
    <x v="0"/>
    <x v="3"/>
    <n v="0.8"/>
    <x v="96"/>
    <n v="292"/>
    <m/>
    <n v="0"/>
    <n v="12910"/>
    <n v="3769720"/>
    <n v="12"/>
    <n v="13109.999999999998"/>
    <n v="33605.042016806721"/>
    <n v="31924.36974789916"/>
    <s v="Shenzhen"/>
    <x v="0"/>
    <n v="45"/>
    <n v="300"/>
    <n v="9"/>
    <n v="0.70163267125359474"/>
    <n v="9"/>
    <n v="0.63218157874519387"/>
    <n v="25"/>
    <n v="0.52401091332482774"/>
    <n v="15"/>
    <n v="0.484050583768662"/>
    <n v="9"/>
    <n v="0.5883896062490036"/>
    <n v="19"/>
    <n v="0.52981619481808728"/>
    <n v="62"/>
    <n v="0.39760661395657559"/>
    <n v="12"/>
    <n v="0.49387208740738348"/>
    <n v="5"/>
    <n v="0.6615428093504313"/>
    <n v="22"/>
    <n v="0.55474778653906831"/>
    <n v="16"/>
    <n v="0.55850992758729756"/>
    <n v="20"/>
    <n v="0.66931904419312294"/>
    <n v="26"/>
    <s v=""/>
    <n v="15"/>
    <s v=""/>
    <n v="5"/>
    <s v=""/>
    <n v="8"/>
    <s v=""/>
    <n v="0.47058823529411764"/>
    <n v="36"/>
    <s v=""/>
    <n v="3.6"/>
    <n v="21"/>
    <s v=""/>
    <n v="0.6"/>
    <n v="5"/>
    <s v=""/>
    <n v="0.16666666666666666"/>
    <n v="20"/>
    <n v="110"/>
    <n v="30"/>
    <n v="0"/>
    <n v="0"/>
    <n v="0"/>
    <n v="742325"/>
    <n v="1366199.9999999998"/>
    <n v="387300"/>
    <n v="0"/>
    <n v="292"/>
    <n v="3769720"/>
    <n v="847185.93319680821"/>
    <n v="25"/>
    <n v="73"/>
    <n v="22.5"/>
    <n v="200"/>
    <n v="50"/>
    <n v="0"/>
    <n v="458305"/>
    <n v="906659.99999999988"/>
    <n v="290475"/>
    <n v="0"/>
    <n v="292"/>
    <n v="3769720"/>
    <n v="635389.44989760616"/>
    <n v="35"/>
    <n v="57"/>
    <n v="5"/>
    <n v="0"/>
    <n v="0"/>
    <n v="267190"/>
    <n v="735870"/>
    <n v="64550"/>
    <n v="0"/>
    <n v="292"/>
    <n v="3769720"/>
    <n v="168025.21008403361"/>
    <n v="17"/>
    <n v="359"/>
    <n v="8"/>
    <n v="0"/>
    <n v="0"/>
    <n v="4458779.9999999991"/>
    <n v="103280"/>
    <x v="0"/>
    <x v="0"/>
    <n v="292"/>
    <n v="3769720"/>
    <n v="268840.33613445377"/>
    <n v="10"/>
    <n v="328"/>
    <n v="8"/>
    <m/>
    <n v="0"/>
    <n v="0"/>
    <n v="4234480"/>
    <n v="99359.999999999985"/>
    <x v="0"/>
    <n v="0"/>
    <n v="292"/>
    <n v="3769720"/>
    <n v="268840.33613445377"/>
    <n v="35"/>
    <n v="313"/>
    <n v="21"/>
    <m/>
    <n v="0"/>
    <n v="0"/>
    <n v="4040830"/>
    <n v="260819.99999999997"/>
    <n v="0"/>
    <n v="0"/>
    <n v="313"/>
    <n v="3769720"/>
    <n v="705705.8823529412"/>
    <n v="30"/>
    <n v="297"/>
    <n v="24"/>
    <n v="0"/>
    <n v="0"/>
    <n v="0"/>
    <n v="3834270"/>
    <n v="298079.99999999994"/>
    <n v="0"/>
    <n v="0"/>
    <n v="297"/>
    <n v="3769720"/>
    <n v="806521.00840336131"/>
    <n v="15"/>
    <n v="273"/>
    <n v="12"/>
    <n v="0"/>
    <n v="0"/>
    <n v="0"/>
    <n v="3524430"/>
    <n v="149039.99999999997"/>
    <n v="0"/>
    <n v="0"/>
    <n v="273"/>
    <n v="3524430"/>
    <n v="403260.50420168065"/>
    <n v="12"/>
    <n v="261"/>
    <n v="9.6000000000000014"/>
    <n v="0"/>
    <n v="0"/>
    <m/>
    <n v="3241619.9999999995"/>
    <n v="119232"/>
    <n v="0"/>
    <n v="0"/>
    <n v="261"/>
    <n v="3241619.9999999995"/>
    <n v="322608.40336134459"/>
    <n v="35"/>
    <n v="251.4"/>
    <n v="28"/>
    <n v="0"/>
    <n v="0"/>
    <n v="0"/>
    <m/>
    <n v="3122387.9999999995"/>
    <n v="347759.99999999994"/>
    <n v="0"/>
    <n v="0"/>
    <n v="251.4"/>
    <n v="3122387.9999999995"/>
    <n v="893882.3529411765"/>
    <n v="30"/>
    <n v="223.4"/>
    <n v="24"/>
    <n v="0"/>
    <n v="0"/>
    <n v="2774627.9999999995"/>
    <n v="298079.99999999994"/>
    <n v="0"/>
    <n v="0"/>
    <n v="223.4"/>
    <n v="2774627.9999999995"/>
    <n v="804494.11764705891"/>
    <n v="35"/>
    <n v="199.4"/>
    <n v="28"/>
    <n v="0"/>
    <n v="0"/>
    <n v="2476547.9999999995"/>
    <n v="347759.99999999994"/>
    <n v="0"/>
    <n v="199.4"/>
    <n v="2476547.9999999995"/>
    <n v="940941.17647058819"/>
    <n v="18"/>
    <n v="171.4"/>
    <n v="14.4"/>
    <n v="0"/>
    <m/>
    <n v="2128787.9999999995"/>
    <n v="185904"/>
    <n v="0"/>
    <n v="171.4"/>
    <n v="2128787.9999999995"/>
    <n v="483912.60504201677"/>
  </r>
  <r>
    <s v="Lhotse-Equipamiento"/>
    <x v="1"/>
    <x v="11"/>
    <x v="26"/>
    <s v="LHBOLDUF60"/>
    <x v="117"/>
    <x v="115"/>
    <x v="0"/>
    <x v="3"/>
    <n v="0.8"/>
    <x v="97"/>
    <n v="204"/>
    <m/>
    <n v="0"/>
    <n v="12347"/>
    <n v="2518788"/>
    <n v="12"/>
    <n v="13109.999999999998"/>
    <n v="33605.042016806721"/>
    <n v="31924.36974789916"/>
    <s v="Shenzhen"/>
    <x v="0"/>
    <n v="45"/>
    <n v="300"/>
    <n v="17"/>
    <n v="0.65668724104160892"/>
    <n v="31"/>
    <n v="0.61892042746024001"/>
    <n v="150"/>
    <n v="0.5258857885336734"/>
    <n v="23"/>
    <n v="0.5784614830452729"/>
    <n v="0"/>
    <s v=""/>
    <n v="3"/>
    <n v="0.99999393444535167"/>
    <n v="15"/>
    <n v="0.47124605515562801"/>
    <n v="56"/>
    <n v="0.62092193661668915"/>
    <n v="21"/>
    <n v="0.65068092320802617"/>
    <n v="117"/>
    <n v="0.49380219696935607"/>
    <n v="44"/>
    <n v="0.61267288050710078"/>
    <n v="61"/>
    <n v="0.62061471349410768"/>
    <n v="87"/>
    <s v=""/>
    <n v="66"/>
    <s v=""/>
    <n v="25"/>
    <s v=""/>
    <n v="9"/>
    <s v=""/>
    <n v="0"/>
    <n v="9"/>
    <s v=""/>
    <n v="0.2"/>
    <n v="81"/>
    <s v=""/>
    <n v="1.0125"/>
    <n v="30"/>
    <s v=""/>
    <n v="0.6"/>
    <n v="30"/>
    <n v="73"/>
    <n v="50"/>
    <n v="0"/>
    <n v="96"/>
    <n v="0"/>
    <n v="2148378"/>
    <n v="906659.99999999988"/>
    <n v="617350"/>
    <n v="0"/>
    <n v="204"/>
    <n v="2518788"/>
    <n v="1411976.5553280136"/>
    <n v="40"/>
    <n v="100"/>
    <n v="99"/>
    <n v="150"/>
    <n v="50"/>
    <n v="0"/>
    <n v="1642151"/>
    <n v="1241999.9999999998"/>
    <n v="1222353"/>
    <n v="0"/>
    <n v="204"/>
    <n v="2518788"/>
    <n v="2795713.5795494672"/>
    <n v="12"/>
    <n v="27"/>
    <n v="25"/>
    <n v="0"/>
    <n v="0"/>
    <n v="866918"/>
    <n v="333369"/>
    <n v="308675"/>
    <n v="0"/>
    <n v="204"/>
    <n v="2518788"/>
    <n v="840126.05042016809"/>
    <n v="0"/>
    <n v="309"/>
    <n v="9"/>
    <n v="0"/>
    <n v="0"/>
    <n v="3837779.9999999995"/>
    <n v="111123"/>
    <x v="0"/>
    <x v="0"/>
    <n v="204"/>
    <n v="2518788"/>
    <n v="302445.37815126049"/>
    <n v="45"/>
    <n v="213"/>
    <n v="36"/>
    <m/>
    <n v="0"/>
    <n v="0"/>
    <n v="2629911"/>
    <n v="447119.99999999994"/>
    <x v="0"/>
    <n v="0"/>
    <n v="204"/>
    <n v="2518788"/>
    <n v="1209781.512605042"/>
    <n v="80"/>
    <n v="285"/>
    <n v="81"/>
    <m/>
    <n v="0"/>
    <n v="0"/>
    <n v="3518895"/>
    <n v="1006019.9999999999"/>
    <n v="0"/>
    <n v="0"/>
    <n v="285"/>
    <n v="2518788"/>
    <n v="2722008.4033613442"/>
    <n v="50"/>
    <n v="234"/>
    <n v="40"/>
    <n v="300"/>
    <n v="300"/>
    <n v="0"/>
    <n v="2889198"/>
    <n v="496799.99999999994"/>
    <n v="3601799.9999999995"/>
    <n v="0"/>
    <n v="234"/>
    <n v="2518788"/>
    <n v="1344201.6806722688"/>
    <n v="62"/>
    <n v="194"/>
    <n v="49.6"/>
    <n v="0"/>
    <n v="0"/>
    <n v="0"/>
    <n v="2395318"/>
    <n v="616031.99999999988"/>
    <n v="0"/>
    <n v="0"/>
    <n v="194"/>
    <n v="2395318"/>
    <n v="1666810.0840336133"/>
    <n v="30"/>
    <n v="144.4"/>
    <n v="24"/>
    <n v="0"/>
    <n v="300"/>
    <n v="300"/>
    <n v="1793447.9999999998"/>
    <n v="298079.99999999994"/>
    <n v="0"/>
    <n v="3725999.9999999995"/>
    <n v="444.4"/>
    <n v="5519447.9999999991"/>
    <n v="806521.00840336131"/>
    <n v="120"/>
    <n v="420.4"/>
    <n v="96"/>
    <n v="0"/>
    <n v="0"/>
    <n v="0"/>
    <m/>
    <n v="5221367.9999999991"/>
    <n v="1192319.9999999998"/>
    <n v="0"/>
    <n v="0"/>
    <n v="420.4"/>
    <n v="5221367.9999999991"/>
    <n v="3064739.4957983196"/>
    <n v="50"/>
    <n v="324.39999999999998"/>
    <n v="40"/>
    <n v="0"/>
    <n v="0"/>
    <n v="4029047.9999999991"/>
    <n v="496799.99999999994"/>
    <n v="0"/>
    <n v="0"/>
    <n v="324.39999999999998"/>
    <n v="4029047.9999999991"/>
    <n v="1340823.5294117648"/>
    <n v="60"/>
    <n v="284.39999999999998"/>
    <n v="48"/>
    <n v="0"/>
    <n v="0"/>
    <n v="3532247.9999999991"/>
    <n v="596159.99999999988"/>
    <n v="0"/>
    <n v="284.39999999999998"/>
    <n v="3532247.9999999991"/>
    <n v="1613042.0168067226"/>
    <n v="30"/>
    <n v="236.39999999999998"/>
    <n v="24"/>
    <n v="0"/>
    <m/>
    <n v="2936087.9999999991"/>
    <n v="296328"/>
    <n v="0"/>
    <n v="236.39999999999998"/>
    <n v="2936087.9999999991"/>
    <n v="806521.00840336131"/>
  </r>
  <r>
    <s v="Lhotse-Equipamiento"/>
    <x v="1"/>
    <x v="11"/>
    <x v="26"/>
    <s v="LHBOLDUF30"/>
    <x v="118"/>
    <x v="116"/>
    <x v="0"/>
    <x v="3"/>
    <n v="1"/>
    <x v="98"/>
    <n v="215"/>
    <m/>
    <n v="0"/>
    <n v="9737"/>
    <n v="2093455"/>
    <n v="10.33"/>
    <n v="11285.525"/>
    <n v="21000"/>
    <n v="23521.008403361346"/>
    <s v="Shenzhen"/>
    <x v="0"/>
    <n v="45"/>
    <n v="300"/>
    <n v="8"/>
    <n v="0.65506754562024083"/>
    <n v="11"/>
    <n v="0.5551497103622488"/>
    <n v="16"/>
    <n v="0.54823926498025721"/>
    <n v="14"/>
    <n v="0.53200282453254899"/>
    <n v="5"/>
    <n v="0.56009523053725896"/>
    <n v="13"/>
    <n v="0.48232828156873603"/>
    <n v="66"/>
    <n v="0.38995960654568601"/>
    <n v="8"/>
    <n v="0.58597477521865216"/>
    <n v="3"/>
    <n v="0.62294886287531748"/>
    <n v="27"/>
    <n v="0.48013092614590874"/>
    <n v="12"/>
    <n v="0.57428657296603669"/>
    <n v="15"/>
    <n v="0.58242719926747333"/>
    <n v="6"/>
    <s v=""/>
    <n v="39"/>
    <s v=""/>
    <n v="11"/>
    <s v=""/>
    <n v="4"/>
    <s v=""/>
    <n v="0.26666666666666666"/>
    <n v="12"/>
    <s v=""/>
    <n v="0.8"/>
    <n v="23"/>
    <s v=""/>
    <n v="0.46"/>
    <n v="11"/>
    <s v=""/>
    <n v="0.31428571428571428"/>
    <n v="20"/>
    <n v="4"/>
    <n v="8"/>
    <n v="0"/>
    <n v="100"/>
    <n v="0"/>
    <n v="754617.5"/>
    <n v="42766.2"/>
    <n v="77896"/>
    <n v="0"/>
    <n v="215"/>
    <n v="2093455"/>
    <n v="141176.4705882353"/>
    <n v="20"/>
    <n v="307"/>
    <n v="58.5"/>
    <n v="0"/>
    <n v="0"/>
    <n v="0"/>
    <n v="715669.5"/>
    <n v="3282305.8499999996"/>
    <n v="569614.5"/>
    <n v="0"/>
    <n v="215"/>
    <n v="2093455"/>
    <n v="1032352.9411764706"/>
    <n v="37.5"/>
    <n v="247"/>
    <n v="11"/>
    <n v="0"/>
    <n v="0"/>
    <n v="306428.25"/>
    <n v="2405039"/>
    <n v="107107"/>
    <n v="0"/>
    <n v="215"/>
    <n v="2093455"/>
    <n v="231000"/>
    <n v="15"/>
    <n v="257"/>
    <n v="4"/>
    <n v="0"/>
    <n v="0"/>
    <n v="2747728.3499999996"/>
    <n v="38948"/>
    <x v="0"/>
    <x v="0"/>
    <n v="215"/>
    <n v="2093455"/>
    <n v="84000"/>
    <n v="15"/>
    <n v="227"/>
    <n v="15"/>
    <m/>
    <n v="0"/>
    <n v="0"/>
    <n v="2210299"/>
    <n v="160373.25"/>
    <x v="0"/>
    <n v="0"/>
    <n v="215"/>
    <n v="2093455"/>
    <n v="315000"/>
    <n v="50"/>
    <n v="238"/>
    <n v="23"/>
    <m/>
    <n v="0"/>
    <n v="0"/>
    <n v="2317406"/>
    <n v="245905.65"/>
    <n v="0"/>
    <n v="0"/>
    <n v="238"/>
    <n v="2093455"/>
    <n v="483000"/>
    <n v="35"/>
    <n v="226"/>
    <n v="35"/>
    <n v="0"/>
    <n v="0"/>
    <n v="0"/>
    <n v="2200562"/>
    <n v="374204.25"/>
    <n v="0"/>
    <n v="0"/>
    <n v="226"/>
    <n v="2093455"/>
    <n v="735000"/>
    <n v="20"/>
    <n v="191"/>
    <n v="20"/>
    <n v="0"/>
    <n v="0"/>
    <n v="0"/>
    <n v="1859767"/>
    <n v="213831"/>
    <n v="0"/>
    <n v="0"/>
    <n v="191"/>
    <n v="1859767"/>
    <n v="420000"/>
    <n v="25"/>
    <n v="171"/>
    <n v="25"/>
    <n v="0"/>
    <n v="0"/>
    <m/>
    <n v="1828255.0499999998"/>
    <n v="267288.75"/>
    <n v="0"/>
    <n v="0"/>
    <n v="171"/>
    <n v="1828255.0499999998"/>
    <n v="525000"/>
    <n v="40"/>
    <n v="146"/>
    <n v="40"/>
    <n v="0"/>
    <n v="0"/>
    <n v="0"/>
    <m/>
    <n v="1560966.2999999998"/>
    <n v="427662"/>
    <n v="0"/>
    <n v="0"/>
    <n v="146"/>
    <n v="1560966.2999999998"/>
    <n v="940840.33613445377"/>
    <n v="40"/>
    <n v="106"/>
    <n v="40"/>
    <n v="0"/>
    <n v="0"/>
    <n v="1133304.2999999998"/>
    <n v="427662"/>
    <n v="0"/>
    <n v="0"/>
    <n v="106"/>
    <n v="1133304.2999999998"/>
    <n v="987882.3529411765"/>
    <n v="45"/>
    <n v="66"/>
    <n v="45"/>
    <n v="0"/>
    <n v="0"/>
    <n v="705642.29999999993"/>
    <n v="481119.74999999994"/>
    <n v="0"/>
    <n v="66"/>
    <n v="705642.29999999993"/>
    <n v="945000"/>
    <n v="24"/>
    <n v="21"/>
    <n v="24"/>
    <n v="0"/>
    <m/>
    <n v="224522.55"/>
    <n v="233688"/>
    <n v="0"/>
    <n v="21"/>
    <n v="224522.55"/>
    <n v="504000"/>
  </r>
  <r>
    <s v="Lhotse-Equipamiento"/>
    <x v="1"/>
    <x v="11"/>
    <x v="26"/>
    <s v="LHBOLDUF30"/>
    <x v="119"/>
    <x v="117"/>
    <x v="0"/>
    <x v="3"/>
    <n v="1"/>
    <x v="99"/>
    <n v="201"/>
    <m/>
    <n v="0"/>
    <n v="9813"/>
    <n v="1972413"/>
    <n v="10.33"/>
    <n v="11285.525"/>
    <n v="21000"/>
    <n v="23521.008403361346"/>
    <s v="Shenzhen"/>
    <x v="0"/>
    <n v="45"/>
    <n v="300"/>
    <n v="11"/>
    <n v="0.58033178395622864"/>
    <n v="23"/>
    <n v="0.53022691880121364"/>
    <n v="29"/>
    <n v="0.50711586343740656"/>
    <n v="19"/>
    <n v="0.509179758995847"/>
    <n v="2"/>
    <n v="0.5586945480517419"/>
    <n v="12"/>
    <n v="0.57317584958460721"/>
    <n v="61"/>
    <n v="0.45086686167140289"/>
    <n v="6"/>
    <n v="0.57521912671552278"/>
    <n v="13"/>
    <n v="0.2934747071580236"/>
    <n v="10"/>
    <n v="0.49271987385185723"/>
    <n v="7"/>
    <n v="0.54402912425449568"/>
    <n v="27"/>
    <n v="0.45082614544363869"/>
    <n v="9"/>
    <s v=""/>
    <n v="36"/>
    <s v=""/>
    <n v="25"/>
    <s v=""/>
    <n v="21"/>
    <s v=""/>
    <n v="1.05"/>
    <n v="16"/>
    <s v=""/>
    <n v="0.8"/>
    <n v="20"/>
    <s v=""/>
    <n v="0.33333333333333331"/>
    <n v="10"/>
    <s v=""/>
    <n v="0.25"/>
    <n v="20"/>
    <n v="24"/>
    <n v="15"/>
    <n v="0"/>
    <n v="100"/>
    <n v="0"/>
    <n v="922422"/>
    <n v="256597.19999999998"/>
    <n v="147195"/>
    <n v="0"/>
    <n v="201"/>
    <n v="1972413"/>
    <n v="264705.8823529412"/>
    <n v="25"/>
    <n v="316"/>
    <n v="54"/>
    <n v="0"/>
    <n v="0"/>
    <n v="0"/>
    <n v="981300"/>
    <n v="3378529.8"/>
    <n v="529902"/>
    <n v="0"/>
    <n v="201"/>
    <n v="1972413"/>
    <n v="952941.17647058831"/>
    <n v="30"/>
    <n v="255"/>
    <n v="25"/>
    <n v="0"/>
    <n v="0"/>
    <n v="665229"/>
    <n v="2502315"/>
    <n v="245325"/>
    <n v="0"/>
    <n v="201"/>
    <n v="1972413"/>
    <n v="525000"/>
    <n v="20"/>
    <n v="256"/>
    <n v="21"/>
    <n v="0"/>
    <n v="0"/>
    <n v="2737036.8"/>
    <n v="206073"/>
    <x v="0"/>
    <x v="0"/>
    <n v="201"/>
    <n v="1972413"/>
    <n v="441000"/>
    <n v="20"/>
    <n v="217"/>
    <n v="20"/>
    <m/>
    <n v="0"/>
    <n v="0"/>
    <n v="2129421"/>
    <n v="213831"/>
    <x v="0"/>
    <n v="0"/>
    <n v="201"/>
    <n v="1972413"/>
    <n v="420000"/>
    <n v="60"/>
    <n v="221"/>
    <n v="20"/>
    <m/>
    <n v="0"/>
    <n v="0"/>
    <n v="2168673"/>
    <n v="213831"/>
    <n v="0"/>
    <n v="0"/>
    <n v="221"/>
    <n v="1972413"/>
    <n v="420000"/>
    <n v="40"/>
    <n v="211"/>
    <n v="40"/>
    <n v="0"/>
    <n v="0"/>
    <n v="0"/>
    <n v="2070543"/>
    <n v="427662"/>
    <n v="0"/>
    <n v="0"/>
    <n v="211"/>
    <n v="1972413"/>
    <n v="840000"/>
    <n v="16"/>
    <n v="171"/>
    <n v="16"/>
    <n v="0"/>
    <n v="0"/>
    <n v="0"/>
    <n v="1678023"/>
    <n v="171064.8"/>
    <n v="0"/>
    <n v="0"/>
    <n v="171"/>
    <n v="1678023"/>
    <n v="336000"/>
    <n v="20"/>
    <n v="155"/>
    <n v="20"/>
    <n v="0"/>
    <n v="0"/>
    <m/>
    <n v="1657190.25"/>
    <n v="213831"/>
    <n v="0"/>
    <n v="0"/>
    <n v="155"/>
    <n v="1657190.25"/>
    <n v="420000"/>
    <n v="50"/>
    <n v="135"/>
    <n v="50"/>
    <n v="0"/>
    <n v="0"/>
    <n v="0"/>
    <m/>
    <n v="1443359.25"/>
    <n v="534577.5"/>
    <n v="0"/>
    <n v="0"/>
    <n v="135"/>
    <n v="1443359.25"/>
    <n v="1176050.4201680673"/>
    <n v="40"/>
    <n v="85"/>
    <n v="40"/>
    <n v="0"/>
    <n v="0"/>
    <n v="908781.74999999988"/>
    <n v="427662"/>
    <n v="0"/>
    <n v="0"/>
    <n v="85"/>
    <n v="908781.74999999988"/>
    <n v="987882.3529411765"/>
    <n v="50"/>
    <n v="45"/>
    <n v="50"/>
    <n v="0"/>
    <n v="0"/>
    <n v="481119.74999999994"/>
    <n v="534577.5"/>
    <n v="0"/>
    <n v="45"/>
    <n v="481119.74999999994"/>
    <n v="1050000"/>
    <n v="24"/>
    <n v="0"/>
    <n v="24"/>
    <n v="0"/>
    <m/>
    <n v="0"/>
    <n v="235512"/>
    <n v="0"/>
    <n v="0"/>
    <n v="0"/>
    <n v="504000"/>
  </r>
  <r>
    <s v="Lhotse-Equipamiento"/>
    <x v="1"/>
    <x v="11"/>
    <x v="26"/>
    <s v="LHBOLDUF30"/>
    <x v="120"/>
    <x v="118"/>
    <x v="0"/>
    <x v="3"/>
    <n v="0.7"/>
    <x v="100"/>
    <n v="30"/>
    <m/>
    <n v="0"/>
    <n v="10698"/>
    <n v="320940"/>
    <n v="10.33"/>
    <n v="11285.525"/>
    <n v="21000"/>
    <n v="23521.008403361346"/>
    <s v="Shenzhen"/>
    <x v="0"/>
    <n v="45"/>
    <n v="300"/>
    <n v="22"/>
    <n v="0.58680646472789166"/>
    <n v="25"/>
    <n v="0.57831532947882403"/>
    <n v="47"/>
    <n v="0.54727302600610206"/>
    <n v="31"/>
    <n v="0.51482833189401933"/>
    <n v="111"/>
    <n v="0.3967182788582671"/>
    <n v="39"/>
    <n v="-9.2396553804798401E-2"/>
    <n v="30"/>
    <n v="0.5028299898461932"/>
    <n v="20"/>
    <n v="0.54768922674425535"/>
    <n v="17"/>
    <n v="0.34569517386224652"/>
    <n v="28"/>
    <n v="0.48353325422794008"/>
    <n v="71"/>
    <n v="0.47594613183643614"/>
    <n v="74"/>
    <n v="0.52406482537530308"/>
    <n v="24"/>
    <s v=""/>
    <n v="42"/>
    <s v=""/>
    <n v="48"/>
    <s v=""/>
    <n v="4"/>
    <s v=""/>
    <n v="0.13333333333333333"/>
    <n v="6"/>
    <s v=""/>
    <n v="0.12"/>
    <n v="36"/>
    <s v=""/>
    <n v="0.45"/>
    <n v="1"/>
    <s v=""/>
    <n v="2.5000000000000001E-2"/>
    <n v="30"/>
    <n v="177"/>
    <n v="15"/>
    <n v="0"/>
    <n v="0"/>
    <n v="0"/>
    <n v="1347948"/>
    <n v="1892404.3499999999"/>
    <n v="160470"/>
    <n v="0"/>
    <n v="30"/>
    <n v="320940"/>
    <n v="264705.8823529412"/>
    <n v="25"/>
    <n v="160"/>
    <n v="63"/>
    <n v="0"/>
    <n v="0"/>
    <n v="0"/>
    <n v="1230270"/>
    <n v="1710648"/>
    <n v="673974"/>
    <n v="0"/>
    <n v="30"/>
    <n v="320940"/>
    <n v="1111764.705882353"/>
    <n v="50"/>
    <n v="103"/>
    <n v="48"/>
    <n v="0"/>
    <n v="0"/>
    <n v="930500.25"/>
    <n v="1101894"/>
    <n v="513504"/>
    <n v="0"/>
    <n v="30"/>
    <n v="320940"/>
    <n v="1008000"/>
    <n v="30"/>
    <n v="67"/>
    <n v="4"/>
    <n v="0"/>
    <n v="0"/>
    <n v="716333.85"/>
    <n v="42792"/>
    <x v="0"/>
    <x v="0"/>
    <n v="30"/>
    <n v="320940"/>
    <n v="84000"/>
    <n v="50"/>
    <n v="36"/>
    <n v="35"/>
    <m/>
    <n v="0"/>
    <n v="0"/>
    <n v="385128"/>
    <n v="374204.25"/>
    <x v="0"/>
    <n v="0"/>
    <n v="30"/>
    <n v="320940"/>
    <n v="735000"/>
    <n v="80"/>
    <n v="66"/>
    <n v="36"/>
    <m/>
    <n v="0"/>
    <n v="0"/>
    <n v="706068"/>
    <n v="384895.8"/>
    <n v="0"/>
    <n v="0"/>
    <n v="66"/>
    <n v="320940"/>
    <n v="756000"/>
    <n v="40"/>
    <n v="31"/>
    <n v="28"/>
    <n v="300"/>
    <n v="300"/>
    <n v="0"/>
    <n v="331638"/>
    <n v="299363.39999999997"/>
    <n v="3100549.4999999995"/>
    <n v="0"/>
    <n v="31"/>
    <n v="320940"/>
    <n v="588000"/>
    <n v="35"/>
    <n v="3"/>
    <n v="24.5"/>
    <n v="0"/>
    <n v="0"/>
    <n v="0"/>
    <n v="32094"/>
    <n v="261942.97499999998"/>
    <n v="0"/>
    <n v="0"/>
    <n v="3"/>
    <n v="32094"/>
    <n v="514500"/>
    <n v="25"/>
    <n v="0"/>
    <n v="17.5"/>
    <n v="0"/>
    <n v="300"/>
    <n v="300"/>
    <n v="0"/>
    <n v="187102.125"/>
    <n v="0"/>
    <n v="3207465"/>
    <n v="300"/>
    <n v="3207465"/>
    <n v="367500"/>
    <n v="60"/>
    <n v="282.5"/>
    <n v="42"/>
    <n v="0"/>
    <n v="0"/>
    <n v="0"/>
    <m/>
    <n v="3020362.875"/>
    <n v="449045.1"/>
    <n v="0"/>
    <n v="0"/>
    <n v="282.5"/>
    <n v="3020362.875"/>
    <n v="987882.3529411765"/>
    <n v="55"/>
    <n v="240.5"/>
    <n v="38.5"/>
    <n v="0"/>
    <n v="0"/>
    <n v="2571317.7749999999"/>
    <n v="411624.67499999999"/>
    <n v="0"/>
    <n v="0"/>
    <n v="240.5"/>
    <n v="2571317.7749999999"/>
    <n v="950836.76470588241"/>
    <n v="70"/>
    <n v="202"/>
    <n v="49"/>
    <n v="0"/>
    <n v="0"/>
    <n v="2159693.0999999996"/>
    <n v="523885.94999999995"/>
    <n v="0"/>
    <n v="202"/>
    <n v="2159693.0999999996"/>
    <n v="1029000"/>
    <n v="33"/>
    <n v="153"/>
    <n v="23.099999999999998"/>
    <n v="0"/>
    <m/>
    <n v="1635807.15"/>
    <n v="247123.8"/>
    <n v="0"/>
    <n v="153"/>
    <n v="1635807.15"/>
    <n v="485099.99999999994"/>
  </r>
  <r>
    <m/>
    <x v="1"/>
    <x v="11"/>
    <x v="25"/>
    <s v="LHMALFRONT-S"/>
    <x v="121"/>
    <x v="119"/>
    <x v="0"/>
    <x v="2"/>
    <n v="1"/>
    <x v="12"/>
    <n v="0"/>
    <m/>
    <m/>
    <n v="22942.5"/>
    <n v="0"/>
    <n v="21"/>
    <n v="22942.5"/>
    <n v="57838.23529411765"/>
    <n v="49162.5"/>
    <s v="Shenzhen"/>
    <x v="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150"/>
    <n v="326025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n v="18"/>
    <n v="0"/>
    <m/>
    <n v="217350"/>
    <n v="412965"/>
    <n v="0"/>
    <n v="10"/>
    <n v="217350"/>
    <n v="1041088.2352941177"/>
  </r>
  <r>
    <m/>
    <x v="1"/>
    <x v="11"/>
    <x v="25"/>
    <s v="LHMALFRONT-M"/>
    <x v="122"/>
    <x v="120"/>
    <x v="0"/>
    <x v="2"/>
    <n v="1"/>
    <x v="12"/>
    <n v="0"/>
    <m/>
    <m/>
    <n v="22942.5"/>
    <n v="0"/>
    <n v="21"/>
    <n v="22942.5"/>
    <n v="57838.23529411765"/>
    <n v="49162.5"/>
    <s v="Shenzhen"/>
    <x v="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m/>
    <m/>
    <m/>
    <n v="0"/>
    <n v="0"/>
    <n v="0"/>
    <x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150"/>
    <n v="326025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m/>
    <n v="0"/>
    <m/>
    <n v="217350"/>
    <n v="0"/>
    <n v="0"/>
    <n v="10"/>
    <n v="217350"/>
    <n v="0"/>
  </r>
  <r>
    <m/>
    <x v="1"/>
    <x v="11"/>
    <x v="25"/>
    <s v="LHMALFRONT-L"/>
    <x v="123"/>
    <x v="121"/>
    <x v="0"/>
    <x v="2"/>
    <n v="1"/>
    <x v="12"/>
    <n v="0"/>
    <m/>
    <m/>
    <n v="22942.5"/>
    <n v="0"/>
    <n v="21"/>
    <n v="22942.5"/>
    <n v="57838.23529411765"/>
    <n v="49162.5"/>
    <s v="Shenzhen"/>
    <x v="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m/>
    <m/>
    <m/>
    <n v="0"/>
    <n v="0"/>
    <n v="0"/>
    <x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150"/>
    <n v="326025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m/>
    <n v="0"/>
    <m/>
    <n v="217350"/>
    <n v="0"/>
    <n v="0"/>
    <n v="10"/>
    <n v="217350"/>
    <n v="0"/>
  </r>
  <r>
    <s v="Lhotse-Equipamiento"/>
    <x v="1"/>
    <x v="11"/>
    <x v="27"/>
    <s v="LHNECKHUM"/>
    <x v="124"/>
    <x v="122"/>
    <x v="0"/>
    <x v="4"/>
    <n v="0.9"/>
    <x v="101"/>
    <n v="240"/>
    <m/>
    <n v="0"/>
    <n v="4731"/>
    <n v="1135440"/>
    <n v="4.4000000000000004"/>
    <n v="4807"/>
    <n v="10915.966386554623"/>
    <n v="10915.966386554623"/>
    <s v="Shenzhen"/>
    <x v="0"/>
    <n v="30"/>
    <n v="300"/>
    <n v="18"/>
    <n v="0.65982470469673593"/>
    <n v="29"/>
    <n v="0.54886887649735883"/>
    <n v="39"/>
    <n v="0.54539214219255239"/>
    <n v="23"/>
    <n v="0.51301420074382698"/>
    <n v="41"/>
    <n v="0.40918504625787466"/>
    <n v="31"/>
    <n v="0.282577659914373"/>
    <n v="83"/>
    <n v="0.38710702668691022"/>
    <n v="74"/>
    <n v="0.48308774266497084"/>
    <n v="31"/>
    <n v="0.55890131250472797"/>
    <n v="62"/>
    <n v="0.50617614650264087"/>
    <n v="40"/>
    <n v="0.51481918565630869"/>
    <n v="17"/>
    <n v="0.53274220910506376"/>
    <n v="1"/>
    <s v=""/>
    <n v="8"/>
    <s v=""/>
    <n v="2"/>
    <s v=""/>
    <n v="7"/>
    <s v=""/>
    <n v="0.17499999999999999"/>
    <n v="15"/>
    <s v=""/>
    <n v="0.36585365853658536"/>
    <n v="9"/>
    <s v=""/>
    <n v="0.1125"/>
    <n v="5"/>
    <s v=""/>
    <n v="8.3333333333333329E-2"/>
    <n v="40"/>
    <n v="1"/>
    <n v="0"/>
    <n v="300"/>
    <n v="150"/>
    <n v="0"/>
    <n v="66234"/>
    <n v="4554"/>
    <n v="0"/>
    <n v="0"/>
    <n v="240"/>
    <n v="1135440"/>
    <n v="0"/>
    <n v="0"/>
    <n v="9"/>
    <n v="12"/>
    <n v="0"/>
    <n v="0"/>
    <n v="0"/>
    <n v="99351"/>
    <n v="40986"/>
    <n v="56772"/>
    <n v="0"/>
    <n v="240"/>
    <n v="1135440"/>
    <n v="110076.9719652567"/>
    <n v="0"/>
    <n v="1"/>
    <n v="2"/>
    <n v="0"/>
    <n v="0"/>
    <n v="210621.6"/>
    <n v="4731"/>
    <n v="9462"/>
    <n v="0"/>
    <n v="240"/>
    <n v="1135440"/>
    <n v="21831.932773109245"/>
    <n v="40"/>
    <n v="287"/>
    <n v="7"/>
    <n v="0"/>
    <n v="0"/>
    <n v="1306998"/>
    <n v="33117"/>
    <x v="0"/>
    <x v="0"/>
    <n v="240"/>
    <n v="1135440"/>
    <n v="76411.764705882364"/>
    <n v="41"/>
    <n v="255"/>
    <n v="36.9"/>
    <m/>
    <n v="0"/>
    <n v="0"/>
    <n v="1206405"/>
    <n v="168042.6"/>
    <x v="0"/>
    <n v="0"/>
    <n v="240"/>
    <n v="1135440"/>
    <n v="402799.15966386558"/>
    <n v="80"/>
    <n v="249"/>
    <n v="9"/>
    <m/>
    <n v="0"/>
    <n v="0"/>
    <n v="1178019"/>
    <n v="40986"/>
    <n v="0"/>
    <n v="0"/>
    <n v="249"/>
    <n v="1135440"/>
    <n v="98243.697478991598"/>
    <n v="60"/>
    <n v="245"/>
    <n v="54"/>
    <n v="0"/>
    <n v="0"/>
    <n v="0"/>
    <n v="1159095"/>
    <n v="245916"/>
    <n v="0"/>
    <n v="0"/>
    <n v="245"/>
    <n v="1135440"/>
    <n v="589462.18487394962"/>
    <n v="70"/>
    <n v="191"/>
    <n v="63"/>
    <n v="300"/>
    <n v="300"/>
    <n v="0"/>
    <n v="903621"/>
    <n v="286902"/>
    <n v="1366200"/>
    <n v="0"/>
    <n v="491"/>
    <n v="2269821"/>
    <n v="687705.8823529412"/>
    <n v="30"/>
    <n v="128"/>
    <n v="27"/>
    <n v="0"/>
    <n v="0"/>
    <n v="300"/>
    <n v="582912"/>
    <n v="122958"/>
    <n v="0"/>
    <n v="1366200"/>
    <n v="428"/>
    <n v="1949112"/>
    <n v="294731.09243697481"/>
    <n v="70"/>
    <n v="401"/>
    <n v="63"/>
    <n v="0"/>
    <n v="0"/>
    <n v="0"/>
    <m/>
    <n v="1826154"/>
    <n v="286902"/>
    <n v="0"/>
    <n v="0"/>
    <n v="401"/>
    <n v="1826154"/>
    <n v="687705.8823529412"/>
    <n v="50"/>
    <n v="338"/>
    <n v="45"/>
    <n v="0"/>
    <n v="0"/>
    <n v="1539252"/>
    <n v="204930"/>
    <n v="0"/>
    <n v="0"/>
    <n v="338"/>
    <n v="1539252"/>
    <n v="515779.41176470596"/>
    <n v="150"/>
    <n v="293"/>
    <n v="135"/>
    <n v="0"/>
    <n v="0"/>
    <n v="1334322"/>
    <n v="614790"/>
    <n v="0"/>
    <n v="293"/>
    <n v="1334322"/>
    <n v="1473655.4621848741"/>
    <n v="30"/>
    <n v="158"/>
    <n v="27"/>
    <n v="0"/>
    <m/>
    <n v="719532"/>
    <n v="127737"/>
    <n v="0"/>
    <n v="158"/>
    <n v="719532"/>
    <n v="294731.09243697481"/>
  </r>
  <r>
    <s v="Lhotse-Equipamiento"/>
    <x v="1"/>
    <x v="11"/>
    <x v="27"/>
    <s v="LHNECKHUM"/>
    <x v="125"/>
    <x v="122"/>
    <x v="0"/>
    <x v="4"/>
    <n v="1"/>
    <x v="102"/>
    <n v="16"/>
    <m/>
    <n v="0"/>
    <n v="4731"/>
    <n v="75696"/>
    <n v="4.4000000000000004"/>
    <n v="4807"/>
    <n v="10915.966386554623"/>
    <n v="10915.966386554623"/>
    <s v="Shenzhen"/>
    <x v="0"/>
    <n v="30"/>
    <n v="300"/>
    <n v="5"/>
    <n v="0.63387918091906681"/>
    <n v="6"/>
    <n v="0.52843413714164944"/>
    <n v="15"/>
    <n v="0.55283557448739096"/>
    <n v="11"/>
    <n v="0.53662425316320417"/>
    <n v="5"/>
    <n v="0.60186656343622691"/>
    <n v="18"/>
    <n v="0.54315844216827081"/>
    <n v="52"/>
    <n v="0.34784569580106978"/>
    <n v="6"/>
    <n v="0.59639338025580735"/>
    <n v="22"/>
    <n v="0.5565252674522384"/>
    <n v="28"/>
    <n v="0.49928968378943805"/>
    <n v="51"/>
    <n v="0.51152253490815225"/>
    <n v="224"/>
    <n v="0.52125056301545869"/>
    <n v="4"/>
    <s v=""/>
    <n v="21"/>
    <s v=""/>
    <n v="2"/>
    <s v=""/>
    <n v="0"/>
    <s v=""/>
    <n v="0"/>
    <n v="0"/>
    <s v=""/>
    <n v="0"/>
    <n v="0"/>
    <s v=""/>
    <n v="0"/>
    <n v="0"/>
    <s v=""/>
    <n v="0"/>
    <n v="40"/>
    <n v="45"/>
    <n v="40"/>
    <n v="0"/>
    <n v="0"/>
    <n v="0"/>
    <n v="347728.5"/>
    <n v="204930"/>
    <n v="189240"/>
    <n v="0"/>
    <n v="16"/>
    <n v="75696"/>
    <n v="366923.23988418904"/>
    <n v="5"/>
    <n v="36"/>
    <n v="31.5"/>
    <n v="0"/>
    <n v="0"/>
    <n v="0"/>
    <n v="158488.5"/>
    <n v="163944"/>
    <n v="149026.5"/>
    <n v="0"/>
    <n v="16"/>
    <n v="75696"/>
    <n v="288952.05140879884"/>
    <n v="0"/>
    <n v="15"/>
    <n v="2"/>
    <n v="0"/>
    <n v="0"/>
    <n v="100542"/>
    <n v="70965"/>
    <n v="9462"/>
    <n v="0"/>
    <n v="16"/>
    <n v="75696"/>
    <n v="21831.932773109245"/>
    <n v="0"/>
    <n v="13"/>
    <n v="0"/>
    <n v="0"/>
    <n v="0"/>
    <n v="59202"/>
    <n v="0"/>
    <x v="0"/>
    <x v="0"/>
    <n v="16"/>
    <n v="75696"/>
    <n v="0"/>
    <n v="20"/>
    <n v="16"/>
    <n v="20"/>
    <m/>
    <n v="0"/>
    <n v="0"/>
    <n v="75696"/>
    <n v="91080"/>
    <x v="0"/>
    <n v="0"/>
    <n v="16"/>
    <n v="75696"/>
    <n v="218319.32773109246"/>
    <n v="20"/>
    <n v="16"/>
    <n v="0"/>
    <m/>
    <n v="0"/>
    <n v="0"/>
    <n v="75696"/>
    <n v="0"/>
    <n v="0"/>
    <n v="0"/>
    <n v="16"/>
    <n v="75696"/>
    <n v="0"/>
    <n v="55"/>
    <n v="16"/>
    <n v="55"/>
    <n v="0"/>
    <n v="0"/>
    <n v="0"/>
    <n v="75696"/>
    <n v="250470"/>
    <n v="0"/>
    <n v="0"/>
    <n v="16"/>
    <n v="75696"/>
    <n v="600378.15126050427"/>
    <n v="25"/>
    <n v="0"/>
    <n v="25"/>
    <n v="300"/>
    <n v="300"/>
    <n v="0"/>
    <n v="0"/>
    <n v="113850"/>
    <n v="1366200"/>
    <n v="0"/>
    <n v="300"/>
    <n v="1366200"/>
    <n v="272899.15966386558"/>
    <n v="25"/>
    <n v="0"/>
    <n v="25"/>
    <n v="0"/>
    <n v="0"/>
    <n v="300"/>
    <n v="0"/>
    <n v="113850"/>
    <n v="0"/>
    <n v="1366200"/>
    <n v="300"/>
    <n v="1366200"/>
    <n v="272899.15966386558"/>
    <n v="50"/>
    <n v="275"/>
    <n v="50"/>
    <n v="0"/>
    <n v="0"/>
    <n v="0"/>
    <m/>
    <n v="1252350"/>
    <n v="227700"/>
    <n v="0"/>
    <n v="0"/>
    <n v="275"/>
    <n v="1252350"/>
    <n v="545798.31932773115"/>
    <n v="50"/>
    <n v="225"/>
    <n v="50"/>
    <n v="0"/>
    <n v="0"/>
    <n v="1024650"/>
    <n v="227700"/>
    <n v="0"/>
    <n v="0"/>
    <n v="225"/>
    <n v="1024650"/>
    <n v="573088.23529411771"/>
    <n v="100"/>
    <n v="175"/>
    <n v="100"/>
    <n v="0"/>
    <n v="0"/>
    <n v="796950"/>
    <n v="455400"/>
    <n v="0"/>
    <n v="175"/>
    <n v="796950"/>
    <n v="1091596.6386554623"/>
    <n v="30"/>
    <n v="75"/>
    <n v="30"/>
    <n v="0"/>
    <m/>
    <n v="341550"/>
    <n v="141930"/>
    <n v="0"/>
    <n v="75"/>
    <n v="341550"/>
    <n v="327478.99159663869"/>
  </r>
  <r>
    <m/>
    <x v="1"/>
    <x v="11"/>
    <x v="27"/>
    <s v="LHNECTRRIM"/>
    <x v="126"/>
    <x v="123"/>
    <x v="0"/>
    <x v="4"/>
    <n v="1.5"/>
    <x v="103"/>
    <n v="87"/>
    <m/>
    <n v="0"/>
    <n v="4249"/>
    <n v="369663"/>
    <n v="4.5"/>
    <n v="4916.25"/>
    <n v="12596.638655462186"/>
    <n v="12596.638655462186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n v="0"/>
    <n v="25"/>
    <n v="0.62921621553211604"/>
    <n v="53"/>
    <n v="0.59007697568455997"/>
    <n v="18"/>
    <n v="0.61458586198500287"/>
    <n v="0"/>
    <s v=""/>
    <n v="9"/>
    <s v=""/>
    <n v="43"/>
    <s v=""/>
    <n v="9"/>
    <s v=""/>
    <n v="45"/>
    <s v=""/>
    <n v="1.5"/>
    <n v="61"/>
    <s v=""/>
    <n v="2.44"/>
    <n v="89"/>
    <s v=""/>
    <n v="1.78"/>
    <n v="18"/>
    <s v=""/>
    <n v="0.45"/>
    <n v="15"/>
    <n v="0"/>
    <n v="10"/>
    <n v="0"/>
    <n v="50"/>
    <n v="0"/>
    <n v="354791.5"/>
    <n v="0"/>
    <n v="42490"/>
    <n v="0"/>
    <n v="87"/>
    <n v="369663"/>
    <n v="105854.10634842174"/>
    <n v="30"/>
    <n v="42"/>
    <n v="64.5"/>
    <n v="300"/>
    <n v="150"/>
    <n v="0"/>
    <n v="503506.5"/>
    <n v="195615"/>
    <n v="274060.5"/>
    <n v="0"/>
    <n v="87"/>
    <n v="369663"/>
    <n v="682758.98594732024"/>
    <n v="15"/>
    <n v="0"/>
    <n v="9"/>
    <n v="0"/>
    <n v="0"/>
    <n v="404102.25"/>
    <n v="0"/>
    <n v="38241"/>
    <n v="0"/>
    <n v="87"/>
    <n v="369663"/>
    <n v="113369.74789915967"/>
    <n v="30"/>
    <n v="295"/>
    <n v="45"/>
    <n v="0"/>
    <n v="0"/>
    <n v="1373962.5"/>
    <n v="191205"/>
    <x v="0"/>
    <x v="0"/>
    <n v="87"/>
    <n v="369663"/>
    <n v="566848.73949579836"/>
    <n v="25"/>
    <n v="148"/>
    <n v="37.5"/>
    <m/>
    <n v="0"/>
    <n v="0"/>
    <n v="628852"/>
    <n v="174656.25"/>
    <x v="0"/>
    <n v="0"/>
    <n v="87"/>
    <n v="369663"/>
    <n v="472373.94957983197"/>
    <n v="50"/>
    <n v="176"/>
    <n v="89"/>
    <m/>
    <n v="0"/>
    <n v="0"/>
    <n v="747824"/>
    <n v="414517.5"/>
    <n v="0"/>
    <n v="0"/>
    <n v="176"/>
    <n v="369663"/>
    <n v="1121100.8403361347"/>
    <n v="40"/>
    <n v="105"/>
    <n v="60"/>
    <n v="0"/>
    <n v="0"/>
    <n v="0"/>
    <n v="446145"/>
    <n v="279450"/>
    <n v="0"/>
    <n v="0"/>
    <n v="105"/>
    <n v="369663"/>
    <n v="755798.31932773115"/>
    <n v="35"/>
    <n v="45"/>
    <n v="52.5"/>
    <n v="0"/>
    <n v="0"/>
    <n v="0"/>
    <n v="191205"/>
    <n v="244518.75"/>
    <n v="0"/>
    <n v="0"/>
    <n v="45"/>
    <n v="191205"/>
    <n v="661323.52941176482"/>
    <n v="35"/>
    <n v="0"/>
    <n v="52.5"/>
    <n v="0"/>
    <n v="0"/>
    <m/>
    <n v="0"/>
    <n v="244518.75"/>
    <n v="0"/>
    <n v="0"/>
    <n v="0"/>
    <n v="0"/>
    <n v="661323.52941176482"/>
    <n v="70"/>
    <n v="0"/>
    <n v="0"/>
    <n v="500"/>
    <n v="500"/>
    <n v="500"/>
    <n v="0"/>
    <n v="0"/>
    <n v="0"/>
    <n v="2328750"/>
    <n v="2328750"/>
    <n v="500"/>
    <n v="2328750"/>
    <n v="0"/>
    <n v="50"/>
    <n v="500"/>
    <n v="75"/>
    <n v="0"/>
    <n v="0"/>
    <n v="2328750"/>
    <n v="349312.5"/>
    <n v="0"/>
    <n v="0"/>
    <n v="500"/>
    <n v="2328750"/>
    <n v="991985.29411764722"/>
    <n v="150"/>
    <n v="425"/>
    <n v="225"/>
    <n v="0"/>
    <n v="0"/>
    <n v="1979437.5"/>
    <n v="1047937.5"/>
    <n v="0"/>
    <n v="425"/>
    <n v="1979437.5"/>
    <n v="2834243.6974789919"/>
    <n v="30"/>
    <n v="200"/>
    <n v="45"/>
    <n v="0"/>
    <m/>
    <n v="931500"/>
    <n v="191205"/>
    <n v="0"/>
    <n v="200"/>
    <n v="931500"/>
    <n v="566848.73949579836"/>
  </r>
  <r>
    <s v="Lhotse-Equipamiento"/>
    <x v="1"/>
    <x v="11"/>
    <x v="12"/>
    <n v="1566849947902"/>
    <x v="127"/>
    <x v="124"/>
    <x v="0"/>
    <x v="6"/>
    <n v="0.7"/>
    <x v="12"/>
    <n v="272"/>
    <m/>
    <n v="0"/>
    <n v="10420"/>
    <n v="2834240"/>
    <n v="9.9"/>
    <n v="10815.75"/>
    <n v="21000"/>
    <n v="21000"/>
    <s v="Shenzhen"/>
    <x v="0"/>
    <n v="30"/>
    <n v="300"/>
    <n v="40"/>
    <n v="0.46889490601054146"/>
    <n v="82"/>
    <n v="0.42873593647372116"/>
    <n v="111"/>
    <n v="0.40970901658060022"/>
    <n v="32"/>
    <n v="0.49144682846287319"/>
    <n v="23"/>
    <n v="0.55988498926849262"/>
    <n v="179"/>
    <n v="0.4701276398629724"/>
    <n v="46"/>
    <n v="0.45076795169574013"/>
    <n v="30"/>
    <n v="0.48685702575885165"/>
    <n v="10"/>
    <n v="0.45499293288118103"/>
    <n v="57"/>
    <n v="0.50286626469414775"/>
    <n v="83"/>
    <n v="0.44564888388426988"/>
    <n v="18"/>
    <n v="0.56683223482781608"/>
    <n v="82"/>
    <n v="0.45673531046585042"/>
    <n v="24"/>
    <n v="0.40730311037632005"/>
    <n v="25"/>
    <n v="0.41071032491613674"/>
    <n v="15"/>
    <n v="0.4925395455782885"/>
    <n v="0.5"/>
    <n v="143"/>
    <n v="0.55217347567969211"/>
    <n v="4.7666666666666666"/>
    <n v="18"/>
    <n v="0.46887677220883667"/>
    <n v="0.15"/>
    <n v="18"/>
    <n v="0.45048533368861532"/>
    <n v="0.12702893436838392"/>
    <n v="30"/>
    <n v="563"/>
    <n v="20"/>
    <n v="0"/>
    <n v="0"/>
    <n v="0"/>
    <n v="844020"/>
    <n v="5768779.5"/>
    <n v="208400"/>
    <n v="0"/>
    <n v="272"/>
    <n v="2834240"/>
    <n v="352941.17647058825"/>
    <n v="30"/>
    <n v="489"/>
    <n v="36"/>
    <n v="0"/>
    <n v="0"/>
    <n v="0"/>
    <n v="791920"/>
    <n v="5010538.5"/>
    <n v="375120"/>
    <n v="0"/>
    <n v="272"/>
    <n v="2834240"/>
    <n v="635294.1176470588"/>
    <n v="100"/>
    <n v="450"/>
    <n v="25"/>
    <n v="0"/>
    <n v="0"/>
    <n v="631976.5"/>
    <n v="4689000"/>
    <n v="260500"/>
    <n v="0"/>
    <n v="272"/>
    <n v="2834240"/>
    <n v="525000"/>
    <n v="30"/>
    <n v="440"/>
    <n v="15"/>
    <n v="0"/>
    <n v="0"/>
    <n v="4508460"/>
    <n v="156300"/>
    <x v="0"/>
    <x v="0"/>
    <n v="272"/>
    <n v="2834240"/>
    <n v="315000"/>
    <n v="30"/>
    <n v="415"/>
    <n v="21"/>
    <m/>
    <n v="0"/>
    <n v="0"/>
    <n v="4324300"/>
    <n v="215176.5"/>
    <x v="0"/>
    <n v="0"/>
    <n v="272"/>
    <n v="2834240"/>
    <n v="441000"/>
    <n v="120"/>
    <n v="290"/>
    <n v="18"/>
    <m/>
    <n v="0"/>
    <n v="0"/>
    <n v="3021800"/>
    <n v="184437"/>
    <n v="0"/>
    <n v="0"/>
    <n v="290"/>
    <n v="2834240"/>
    <n v="378000"/>
    <n v="141.69999999999999"/>
    <n v="290"/>
    <n v="99.189999999999984"/>
    <n v="0"/>
    <n v="0"/>
    <n v="0"/>
    <n v="3021800"/>
    <n v="1016350.3349999998"/>
    <n v="0"/>
    <n v="0"/>
    <n v="290"/>
    <n v="2834240"/>
    <n v="2082989.9999999998"/>
    <n v="100"/>
    <n v="190.81"/>
    <n v="70"/>
    <n v="154.98620689655172"/>
    <n v="154.98620689655172"/>
    <n v="0"/>
    <n v="1988240.2"/>
    <n v="717255"/>
    <n v="1588066.1689655173"/>
    <n v="0"/>
    <n v="345.79620689655172"/>
    <n v="3576306.3689655173"/>
    <n v="1470000"/>
    <n v="94.7"/>
    <n v="120.81"/>
    <n v="66.289999999999992"/>
    <n v="0"/>
    <n v="0"/>
    <n v="154.98620689655172"/>
    <n v="1237879.665"/>
    <n v="679240.48499999987"/>
    <n v="0"/>
    <n v="1588066.1689655173"/>
    <n v="275.79620689655172"/>
    <n v="2825945.8339655176"/>
    <n v="1392089.9999999998"/>
    <n v="60"/>
    <n v="209.50620689655173"/>
    <n v="42"/>
    <n v="0"/>
    <n v="0"/>
    <n v="0"/>
    <m/>
    <n v="2146705.3489655172"/>
    <n v="430353"/>
    <n v="0"/>
    <n v="0"/>
    <n v="209.50620689655173"/>
    <n v="2146705.3489655172"/>
    <n v="882000"/>
    <n v="60"/>
    <n v="167.50620689655173"/>
    <n v="42"/>
    <n v="0"/>
    <n v="0"/>
    <n v="1716352.3489655172"/>
    <n v="430353"/>
    <n v="0"/>
    <n v="0"/>
    <n v="167.50620689655173"/>
    <n v="1716352.3489655172"/>
    <n v="926100"/>
    <n v="60"/>
    <n v="125.50620689655173"/>
    <n v="42"/>
    <n v="0"/>
    <n v="0"/>
    <n v="1285999.3489655172"/>
    <n v="430353"/>
    <n v="0"/>
    <n v="125.50620689655173"/>
    <n v="1285999.3489655172"/>
    <n v="882000"/>
    <n v="36"/>
    <n v="83.506206896551731"/>
    <n v="25.2"/>
    <n v="0"/>
    <m/>
    <n v="855646.34896551736"/>
    <n v="262584"/>
    <n v="0"/>
    <n v="83.506206896551731"/>
    <n v="855646.34896551736"/>
    <n v="529200"/>
  </r>
  <r>
    <s v="Lhotse-Equipamiento"/>
    <x v="1"/>
    <x v="11"/>
    <x v="12"/>
    <n v="1661873799978"/>
    <x v="128"/>
    <x v="125"/>
    <x v="0"/>
    <x v="3"/>
    <n v="1"/>
    <x v="104"/>
    <n v="102"/>
    <m/>
    <n v="0"/>
    <n v="9741.9734132277808"/>
    <n v="993681.28814923367"/>
    <n v="9.1999999999999993"/>
    <n v="10051"/>
    <n v="19319.327731092439"/>
    <n v="21000"/>
    <s v="Shenzhen"/>
    <x v="0"/>
    <n v="30"/>
    <n v="250"/>
    <n v="46"/>
    <n v="0.5829332927682005"/>
    <n v="18"/>
    <n v="0.61702259065771503"/>
    <n v="12"/>
    <n v="0.62997180027960931"/>
    <n v="1"/>
    <s v=""/>
    <n v="1"/>
    <n v="0.48727267717403283"/>
    <n v="19"/>
    <n v="0.55708664094489302"/>
    <n v="43"/>
    <n v="0.51541583989305428"/>
    <n v="21"/>
    <n v="0.59133870367233787"/>
    <n v="39"/>
    <n v="0.49510222125197834"/>
    <n v="163"/>
    <n v="0.59169966918808303"/>
    <n v="20"/>
    <n v="0.59311102091416479"/>
    <n v="25"/>
    <n v="0.58753503111321514"/>
    <n v="50"/>
    <n v="0.57321208988833916"/>
    <n v="75"/>
    <n v="0.61629166985234696"/>
    <n v="155"/>
    <n v="0.62990069224566858"/>
    <n v="72"/>
    <n v="0.63082490870282304"/>
    <n v="1.8"/>
    <n v="32"/>
    <n v="0.48727266112186196"/>
    <n v="0.4"/>
    <n v="58"/>
    <n v="0.55708664828882559"/>
    <n v="0.38666666666666666"/>
    <n v="10"/>
    <n v="0.51507758313007013"/>
    <n v="0.15151515151515152"/>
    <n v="35"/>
    <n v="437"/>
    <n v="22"/>
    <n v="0"/>
    <n v="0"/>
    <n v="0"/>
    <n v="2820301.3031294425"/>
    <n v="4161114"/>
    <n v="214323.41509101118"/>
    <n v="0"/>
    <n v="102"/>
    <n v="993681.28814923367"/>
    <n v="357164.04208742327"/>
    <n v="35"/>
    <n v="386"/>
    <n v="112.5"/>
    <n v="0"/>
    <n v="0"/>
    <n v="0"/>
    <n v="3307399.9737908314"/>
    <n v="3675492"/>
    <n v="1095972.0089881252"/>
    <n v="0"/>
    <n v="102"/>
    <n v="993681.28814923367"/>
    <n v="1826407.0334015961"/>
    <n v="60"/>
    <n v="271"/>
    <n v="155"/>
    <n v="0"/>
    <n v="0"/>
    <n v="2973187.9648027061"/>
    <n v="2640074.7949847286"/>
    <n v="1510005.879050306"/>
    <n v="0"/>
    <n v="102"/>
    <n v="993681.28814923367"/>
    <n v="2994495.7983193281"/>
    <n v="40"/>
    <n v="150"/>
    <n v="72"/>
    <n v="0"/>
    <n v="0"/>
    <n v="1428300"/>
    <n v="701422.08575240022"/>
    <x v="0"/>
    <x v="0"/>
    <n v="102"/>
    <n v="993681.28814923367"/>
    <n v="1390991.5966386555"/>
    <n v="80"/>
    <n v="134"/>
    <n v="80"/>
    <m/>
    <n v="0"/>
    <n v="0"/>
    <n v="1305424.4373725227"/>
    <n v="761760"/>
    <x v="0"/>
    <n v="0"/>
    <n v="102"/>
    <n v="993681.28814923367"/>
    <n v="1545546.218487395"/>
    <n v="150"/>
    <n v="160"/>
    <n v="58"/>
    <m/>
    <n v="0"/>
    <n v="0"/>
    <n v="1558715.7461164449"/>
    <n v="552276"/>
    <n v="0"/>
    <n v="0"/>
    <n v="160"/>
    <n v="993681.28814923367"/>
    <n v="1120521.0084033615"/>
    <n v="66"/>
    <n v="112"/>
    <n v="66"/>
    <n v="100"/>
    <n v="100"/>
    <n v="0"/>
    <n v="1091101.0222815115"/>
    <n v="628452"/>
    <n v="920459.99999999988"/>
    <n v="0"/>
    <n v="112"/>
    <n v="993681.28814923367"/>
    <n v="1275075.630252101"/>
    <n v="60"/>
    <n v="46"/>
    <n v="60"/>
    <n v="150"/>
    <n v="150"/>
    <n v="0"/>
    <n v="448130.77700847795"/>
    <n v="571320"/>
    <n v="1428300"/>
    <n v="0"/>
    <n v="196"/>
    <n v="1876430.7770084781"/>
    <n v="1159159.6638655462"/>
    <n v="61"/>
    <n v="0"/>
    <n v="61"/>
    <n v="0"/>
    <n v="0"/>
    <n v="150"/>
    <n v="0"/>
    <n v="580842"/>
    <n v="0"/>
    <n v="1428300"/>
    <n v="150"/>
    <n v="1428300"/>
    <n v="1178478.9915966387"/>
    <n v="100"/>
    <n v="89"/>
    <n v="89"/>
    <n v="300"/>
    <n v="300"/>
    <n v="300"/>
    <n v="0"/>
    <n v="847458"/>
    <n v="847458"/>
    <n v="2856600"/>
    <n v="2856600"/>
    <n v="389"/>
    <n v="3704058"/>
    <n v="1869000"/>
    <n v="80"/>
    <n v="300"/>
    <n v="80"/>
    <n v="0"/>
    <n v="0"/>
    <n v="2856600"/>
    <n v="761760"/>
    <n v="0"/>
    <n v="0"/>
    <n v="300"/>
    <n v="2856600"/>
    <n v="1764000"/>
    <n v="120"/>
    <n v="220"/>
    <n v="120"/>
    <n v="0"/>
    <n v="0"/>
    <n v="2094840"/>
    <n v="1142640"/>
    <n v="0"/>
    <n v="220"/>
    <n v="2094840"/>
    <n v="2318319.3277310925"/>
    <n v="48"/>
    <n v="100"/>
    <n v="48"/>
    <n v="0"/>
    <m/>
    <n v="952200"/>
    <n v="467614.72383493348"/>
    <n v="0"/>
    <n v="100"/>
    <n v="952200"/>
    <n v="927327.73109243705"/>
  </r>
  <r>
    <s v="Lhotse-Equipamiento"/>
    <x v="1"/>
    <x v="11"/>
    <x v="12"/>
    <n v="1661873818029"/>
    <x v="129"/>
    <x v="126"/>
    <x v="0"/>
    <x v="3"/>
    <n v="1"/>
    <x v="105"/>
    <n v="153"/>
    <m/>
    <n v="0"/>
    <n v="9659"/>
    <n v="1477827"/>
    <n v="9.1999999999999993"/>
    <n v="10051"/>
    <n v="19319.327731092439"/>
    <n v="21000"/>
    <s v="Shenzhen"/>
    <x v="0"/>
    <n v="30"/>
    <n v="250"/>
    <n v="61"/>
    <n v="0.53056928258352298"/>
    <n v="23"/>
    <n v="0.61172415442401362"/>
    <n v="21"/>
    <n v="0.62813467115429389"/>
    <n v="4"/>
    <n v="0.63096545663139358"/>
    <n v="1"/>
    <n v="0.63096857392270456"/>
    <n v="7"/>
    <n v="0.58268090781830406"/>
    <n v="24"/>
    <n v="0.516743795422552"/>
    <n v="14"/>
    <n v="0.58487967244797479"/>
    <n v="18"/>
    <n v="0.53290330727495994"/>
    <n v="105"/>
    <n v="0.59670098160076401"/>
    <n v="20"/>
    <n v="0.58532643163123632"/>
    <n v="33"/>
    <n v="0.5913386775912578"/>
    <n v="32"/>
    <n v="0.52853652582996469"/>
    <n v="44"/>
    <n v="0.55625813387137679"/>
    <n v="100"/>
    <n v="0.62813465842060023"/>
    <n v="44"/>
    <n v="0.63702260602694039"/>
    <n v="1.76"/>
    <n v="42"/>
    <n v="0.63096855274233432"/>
    <n v="1.05"/>
    <n v="28"/>
    <n v="0.48850674466945876"/>
    <n v="0.35"/>
    <n v="4"/>
    <n v="0.51674379416310823"/>
    <n v="0.11428571428571428"/>
    <n v="20"/>
    <n v="457"/>
    <n v="18"/>
    <n v="0"/>
    <n v="0"/>
    <n v="0"/>
    <n v="1777256"/>
    <n v="4351554"/>
    <n v="173862"/>
    <n v="0"/>
    <n v="153"/>
    <n v="1477827"/>
    <n v="292225.12534425542"/>
    <n v="20"/>
    <n v="403"/>
    <n v="66"/>
    <n v="0"/>
    <n v="0"/>
    <n v="0"/>
    <n v="2028390"/>
    <n v="3837366"/>
    <n v="637494"/>
    <n v="0"/>
    <n v="153"/>
    <n v="1477827"/>
    <n v="1071492.1262622697"/>
    <n v="90"/>
    <n v="338"/>
    <n v="100"/>
    <n v="0"/>
    <n v="0"/>
    <n v="1771776"/>
    <n v="3264742"/>
    <n v="965900"/>
    <n v="0"/>
    <n v="153"/>
    <n v="1477827"/>
    <n v="1931932.7731092439"/>
    <n v="25"/>
    <n v="253"/>
    <n v="44"/>
    <n v="0"/>
    <n v="0"/>
    <n v="2409066"/>
    <n v="424996"/>
    <x v="0"/>
    <x v="0"/>
    <n v="153"/>
    <n v="1477827"/>
    <n v="850050.42016806733"/>
    <n v="40"/>
    <n v="195"/>
    <n v="40"/>
    <m/>
    <n v="0"/>
    <n v="0"/>
    <n v="1883505"/>
    <n v="380880"/>
    <x v="0"/>
    <n v="0"/>
    <n v="153"/>
    <n v="1477827"/>
    <n v="772773.10924369749"/>
    <n v="80"/>
    <n v="181"/>
    <n v="28"/>
    <m/>
    <n v="0"/>
    <n v="0"/>
    <n v="1748279"/>
    <n v="266616"/>
    <n v="0"/>
    <n v="0"/>
    <n v="181"/>
    <n v="1477827"/>
    <n v="540941.17647058831"/>
    <n v="35"/>
    <n v="157"/>
    <n v="35"/>
    <n v="0"/>
    <n v="0"/>
    <n v="0"/>
    <n v="1516463"/>
    <n v="333270"/>
    <n v="0"/>
    <n v="0"/>
    <n v="157"/>
    <n v="1477827"/>
    <n v="676176.4705882353"/>
    <n v="35"/>
    <n v="122"/>
    <n v="35"/>
    <n v="100"/>
    <n v="100"/>
    <n v="0"/>
    <n v="1178398"/>
    <n v="333270"/>
    <n v="952200"/>
    <n v="0"/>
    <n v="222"/>
    <n v="2130598"/>
    <n v="676176.4705882353"/>
    <n v="60"/>
    <n v="87"/>
    <n v="60"/>
    <n v="0"/>
    <n v="0"/>
    <n v="100"/>
    <n v="828414"/>
    <n v="571320"/>
    <n v="0"/>
    <n v="952200"/>
    <n v="187"/>
    <n v="1780614"/>
    <n v="1159159.6638655462"/>
    <n v="80"/>
    <n v="127"/>
    <n v="80"/>
    <n v="0"/>
    <n v="0"/>
    <n v="0"/>
    <m/>
    <n v="1209294"/>
    <n v="761760"/>
    <n v="0"/>
    <n v="0"/>
    <n v="127"/>
    <n v="1209294"/>
    <n v="1680000"/>
    <n v="50"/>
    <n v="47"/>
    <n v="50"/>
    <n v="200"/>
    <n v="200"/>
    <n v="447534"/>
    <n v="476100"/>
    <n v="1904400"/>
    <n v="1904400"/>
    <n v="247"/>
    <n v="2351934"/>
    <n v="1102500"/>
    <n v="80"/>
    <n v="197"/>
    <n v="80"/>
    <n v="0"/>
    <n v="0"/>
    <n v="1875834"/>
    <n v="761760"/>
    <n v="0"/>
    <n v="197"/>
    <n v="1875834"/>
    <n v="1545546.218487395"/>
    <n v="30"/>
    <n v="117"/>
    <n v="30"/>
    <n v="0"/>
    <m/>
    <n v="1114074"/>
    <n v="289770"/>
    <n v="0"/>
    <n v="117"/>
    <n v="1114074"/>
    <n v="579579.83193277312"/>
  </r>
  <r>
    <m/>
    <x v="1"/>
    <x v="11"/>
    <x v="12"/>
    <s v="LHMOMAK"/>
    <x v="130"/>
    <x v="127"/>
    <x v="0"/>
    <x v="3"/>
    <n v="1"/>
    <x v="106"/>
    <n v="111"/>
    <m/>
    <n v="0"/>
    <n v="11880"/>
    <n v="1318680"/>
    <n v="12"/>
    <n v="13109.999999999998"/>
    <n v="27722.689075630253"/>
    <n v="23521.008403361346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2"/>
    <n v="0.58546133970643854"/>
    <n v="14"/>
    <n v="0.54329895468299028"/>
    <n v="13"/>
    <n v="0.5027373916013651"/>
    <n v="53"/>
    <n v="0.51167973011877577"/>
    <n v="56"/>
    <s v=""/>
    <n v="39"/>
    <s v=""/>
    <n v="13"/>
    <s v=""/>
    <n v="27"/>
    <s v=""/>
    <n v="0.67500000000000004"/>
    <n v="39"/>
    <s v=""/>
    <n v="1.3"/>
    <n v="93"/>
    <s v=""/>
    <n v="1.55"/>
    <n v="35"/>
    <s v=""/>
    <n v="0.875"/>
    <n v="25"/>
    <n v="11"/>
    <n v="20"/>
    <n v="0"/>
    <n v="50"/>
    <n v="0"/>
    <n v="1087020"/>
    <n v="136619.99999999997"/>
    <n v="237600"/>
    <n v="0"/>
    <n v="111"/>
    <n v="1318680"/>
    <n v="465927.54748958407"/>
    <n v="30"/>
    <n v="50"/>
    <n v="58.5"/>
    <n v="100"/>
    <n v="100"/>
    <n v="0"/>
    <n v="1170180"/>
    <n v="620999.99999999988"/>
    <n v="694980"/>
    <n v="0"/>
    <n v="111"/>
    <n v="1318680"/>
    <n v="1362838.0764070335"/>
    <n v="50"/>
    <n v="10"/>
    <n v="13"/>
    <n v="0"/>
    <n v="0"/>
    <n v="847800"/>
    <n v="118800"/>
    <n v="154440"/>
    <n v="0"/>
    <n v="111"/>
    <n v="1318680"/>
    <n v="360394.95798319328"/>
    <n v="40"/>
    <n v="295"/>
    <n v="27"/>
    <n v="0"/>
    <n v="0"/>
    <n v="3663899.9999999995"/>
    <n v="320760"/>
    <x v="0"/>
    <x v="0"/>
    <n v="111"/>
    <n v="1318680"/>
    <n v="748512.60504201683"/>
    <n v="30"/>
    <n v="150"/>
    <n v="30"/>
    <m/>
    <n v="0"/>
    <n v="0"/>
    <n v="1782000"/>
    <n v="372599.99999999994"/>
    <x v="0"/>
    <n v="0"/>
    <n v="111"/>
    <n v="1318680"/>
    <n v="831680.67226890754"/>
    <n v="60"/>
    <n v="204"/>
    <n v="93"/>
    <m/>
    <n v="0"/>
    <n v="0"/>
    <n v="2423520"/>
    <n v="1155059.9999999998"/>
    <n v="0"/>
    <n v="0"/>
    <n v="204"/>
    <n v="1318680"/>
    <n v="2578210.0840336136"/>
    <n v="40"/>
    <n v="146"/>
    <n v="40"/>
    <n v="0"/>
    <n v="0"/>
    <n v="0"/>
    <n v="1734480"/>
    <n v="496799.99999999994"/>
    <n v="0"/>
    <n v="0"/>
    <n v="146"/>
    <n v="1318680"/>
    <n v="1108907.5630252101"/>
    <n v="35"/>
    <n v="106"/>
    <n v="35"/>
    <n v="0"/>
    <n v="0"/>
    <n v="0"/>
    <n v="1259280"/>
    <n v="434699.99999999994"/>
    <n v="0"/>
    <n v="0"/>
    <n v="106"/>
    <n v="1259280"/>
    <n v="970294.1176470588"/>
    <n v="30"/>
    <n v="71"/>
    <n v="30"/>
    <n v="0"/>
    <n v="0"/>
    <m/>
    <n v="881819.99999999988"/>
    <n v="372599.99999999994"/>
    <n v="0"/>
    <n v="0"/>
    <n v="71"/>
    <n v="881819.99999999988"/>
    <n v="831680.67226890754"/>
    <n v="60"/>
    <n v="341"/>
    <n v="60"/>
    <n v="0"/>
    <n v="0"/>
    <n v="0"/>
    <n v="300"/>
    <n v="4235219.9999999991"/>
    <n v="745199.99999999988"/>
    <n v="0"/>
    <n v="3725999.9999999995"/>
    <n v="341"/>
    <n v="7961219.9999999981"/>
    <n v="1411260.5042016807"/>
    <n v="55"/>
    <n v="281"/>
    <n v="55"/>
    <n v="0"/>
    <n v="0"/>
    <n v="3490019.9999999995"/>
    <n v="683099.99999999988"/>
    <n v="0"/>
    <n v="0"/>
    <n v="281"/>
    <n v="3490019.9999999995"/>
    <n v="1358338.2352941178"/>
    <n v="100"/>
    <n v="226"/>
    <n v="100"/>
    <n v="0"/>
    <n v="0"/>
    <n v="2806919.9999999995"/>
    <n v="1241999.9999999998"/>
    <n v="0"/>
    <n v="226"/>
    <n v="2806919.9999999995"/>
    <n v="2772268.9075630251"/>
    <n v="33"/>
    <n v="126"/>
    <n v="33"/>
    <n v="0"/>
    <m/>
    <n v="1564919.9999999998"/>
    <n v="392040"/>
    <n v="0"/>
    <n v="126"/>
    <n v="1564919.9999999998"/>
    <n v="914848.73949579836"/>
  </r>
  <r>
    <m/>
    <x v="1"/>
    <x v="11"/>
    <x v="12"/>
    <s v="LHMOMAK"/>
    <x v="131"/>
    <x v="128"/>
    <x v="0"/>
    <x v="3"/>
    <n v="1"/>
    <x v="107"/>
    <n v="5"/>
    <m/>
    <n v="0"/>
    <n v="12625"/>
    <n v="63125"/>
    <n v="12"/>
    <n v="13109.999999999998"/>
    <n v="27722.689075630253"/>
    <n v="23521.008403361346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6"/>
    <n v="0.57879876703877242"/>
    <n v="12"/>
    <n v="0.5516807199291035"/>
    <n v="11"/>
    <n v="0.49254030780968461"/>
    <n v="31"/>
    <n v="0.55553859351050749"/>
    <n v="49"/>
    <s v=""/>
    <n v="63"/>
    <s v=""/>
    <n v="18"/>
    <s v=""/>
    <n v="3"/>
    <s v=""/>
    <n v="0.1"/>
    <n v="2"/>
    <s v=""/>
    <n v="5.7142857142857141E-2"/>
    <n v="0"/>
    <s v=""/>
    <n v="0"/>
    <n v="0"/>
    <s v=""/>
    <n v="0"/>
    <n v="20"/>
    <n v="85"/>
    <n v="40"/>
    <n v="0"/>
    <n v="50"/>
    <n v="0"/>
    <n v="1925312.5"/>
    <n v="1055699.9999999998"/>
    <n v="505000"/>
    <n v="0"/>
    <n v="5"/>
    <n v="63125"/>
    <n v="931855.09497916815"/>
    <n v="30"/>
    <n v="86"/>
    <n v="94.5"/>
    <n v="0"/>
    <n v="0"/>
    <n v="0"/>
    <n v="1458187.5"/>
    <n v="1068119.9999999998"/>
    <n v="1193062.5"/>
    <n v="0"/>
    <n v="5"/>
    <n v="63125"/>
    <n v="2201507.6618882851"/>
    <n v="75"/>
    <n v="18"/>
    <n v="18"/>
    <n v="0"/>
    <n v="0"/>
    <n v="699825"/>
    <n v="227250"/>
    <n v="227250"/>
    <n v="0"/>
    <n v="5"/>
    <n v="63125"/>
    <n v="499008.40336134454"/>
    <n v="30"/>
    <n v="3"/>
    <n v="3"/>
    <n v="100"/>
    <n v="0"/>
    <n v="37259.999999999993"/>
    <n v="37875"/>
    <x v="40"/>
    <x v="0"/>
    <n v="5"/>
    <n v="63125"/>
    <n v="83168.067226890766"/>
    <n v="35"/>
    <n v="7"/>
    <n v="35"/>
    <m/>
    <n v="0"/>
    <n v="0"/>
    <n v="88375"/>
    <n v="434699.99999999994"/>
    <x v="0"/>
    <n v="0"/>
    <n v="5"/>
    <n v="63125"/>
    <n v="970294.1176470588"/>
    <n v="60"/>
    <n v="5"/>
    <n v="0"/>
    <m/>
    <n v="0"/>
    <n v="0"/>
    <n v="63125"/>
    <n v="0"/>
    <n v="0"/>
    <n v="0"/>
    <n v="5"/>
    <n v="63125"/>
    <n v="0"/>
    <n v="35"/>
    <n v="5"/>
    <n v="35"/>
    <n v="300"/>
    <n v="300"/>
    <n v="0"/>
    <n v="63125"/>
    <n v="434699.99999999994"/>
    <n v="3601799.9999999995"/>
    <n v="0"/>
    <n v="5"/>
    <n v="63125"/>
    <n v="970294.1176470588"/>
    <n v="30"/>
    <n v="0"/>
    <n v="30"/>
    <n v="0"/>
    <n v="0"/>
    <n v="0"/>
    <n v="0"/>
    <n v="372599.99999999994"/>
    <n v="0"/>
    <n v="0"/>
    <n v="0"/>
    <n v="0"/>
    <n v="831680.67226890754"/>
    <n v="35"/>
    <n v="0"/>
    <n v="35"/>
    <n v="0"/>
    <n v="0"/>
    <n v="300"/>
    <n v="0"/>
    <n v="434699.99999999994"/>
    <n v="0"/>
    <n v="3725999.9999999995"/>
    <n v="300"/>
    <n v="3725999.9999999995"/>
    <n v="970294.1176470588"/>
    <n v="60"/>
    <n v="265"/>
    <n v="60"/>
    <n v="0"/>
    <n v="0"/>
    <n v="0"/>
    <n v="0"/>
    <n v="3291299.9999999995"/>
    <n v="745199.99999999988"/>
    <n v="0"/>
    <n v="0"/>
    <n v="265"/>
    <n v="3291299.9999999995"/>
    <n v="1411260.5042016807"/>
    <n v="50"/>
    <n v="205"/>
    <n v="50"/>
    <n v="0"/>
    <n v="0"/>
    <n v="2546099.9999999995"/>
    <n v="620999.99999999988"/>
    <n v="0"/>
    <n v="0"/>
    <n v="205"/>
    <n v="2546099.9999999995"/>
    <n v="1234852.9411764708"/>
    <n v="60"/>
    <n v="155"/>
    <n v="60"/>
    <n v="300"/>
    <n v="300"/>
    <n v="1925099.9999999998"/>
    <n v="745199.99999999988"/>
    <n v="3725999.9999999995"/>
    <n v="455"/>
    <n v="5651099.9999999991"/>
    <n v="1663361.3445378151"/>
    <n v="30"/>
    <n v="395"/>
    <n v="30"/>
    <n v="0"/>
    <m/>
    <n v="4905899.9999999991"/>
    <n v="378750"/>
    <n v="0"/>
    <n v="395"/>
    <n v="4905899.9999999991"/>
    <n v="831680.67226890754"/>
  </r>
  <r>
    <m/>
    <x v="1"/>
    <x v="11"/>
    <x v="12"/>
    <s v="LHMOPUM"/>
    <x v="132"/>
    <x v="129"/>
    <x v="0"/>
    <x v="3"/>
    <n v="1.2"/>
    <x v="108"/>
    <n v="79"/>
    <m/>
    <n v="0"/>
    <n v="12589"/>
    <n v="994531"/>
    <n v="12.5"/>
    <n v="13656.249999999998"/>
    <n v="29403.361344537818"/>
    <n v="23521.008403361346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1"/>
    <n v="0.66088149876214053"/>
    <n v="3"/>
    <n v="0.6024875138864253"/>
    <n v="16"/>
    <n v="0.46657978524905119"/>
    <n v="11"/>
    <n v="0.52634535280653016"/>
    <n v="14"/>
    <n v="0.46666240123600544"/>
    <n v="29"/>
    <s v=""/>
    <n v="26"/>
    <s v=""/>
    <n v="90"/>
    <s v=""/>
    <n v="58"/>
    <s v=""/>
    <n v="1.45"/>
    <n v="59"/>
    <s v=""/>
    <n v="1.4750000000000001"/>
    <n v="100"/>
    <s v=""/>
    <n v="1.6666666666666667"/>
    <n v="13"/>
    <s v=""/>
    <n v="0.37142857142857144"/>
    <n v="20"/>
    <n v="61"/>
    <n v="40"/>
    <n v="0"/>
    <n v="100"/>
    <n v="0"/>
    <n v="2127541"/>
    <n v="789187.49999999988"/>
    <n v="503560"/>
    <n v="0"/>
    <n v="79"/>
    <n v="994531"/>
    <n v="988348.28048866615"/>
    <n v="35"/>
    <n v="120"/>
    <n v="39"/>
    <n v="120"/>
    <n v="120"/>
    <n v="0"/>
    <n v="2354143"/>
    <n v="1552499.9999999998"/>
    <n v="490971"/>
    <n v="0"/>
    <n v="79"/>
    <n v="994531"/>
    <n v="963639.57347644959"/>
    <n v="50"/>
    <n v="85"/>
    <n v="90"/>
    <n v="0"/>
    <n v="0"/>
    <n v="2484172"/>
    <n v="1070065"/>
    <n v="1133010"/>
    <n v="0"/>
    <n v="79"/>
    <n v="994531"/>
    <n v="2646302.5210084035"/>
    <n v="40"/>
    <n v="309"/>
    <n v="58"/>
    <n v="0"/>
    <n v="0"/>
    <n v="3997687.4999999995"/>
    <n v="730162"/>
    <x v="0"/>
    <x v="0"/>
    <n v="79"/>
    <n v="994531"/>
    <n v="1705394.9579831935"/>
    <n v="40"/>
    <n v="138"/>
    <n v="48"/>
    <m/>
    <n v="0"/>
    <n v="0"/>
    <n v="1737282"/>
    <n v="620999.99999999988"/>
    <x v="0"/>
    <n v="0"/>
    <n v="79"/>
    <n v="994531"/>
    <n v="1411361.3445378153"/>
    <n v="60"/>
    <n v="179"/>
    <n v="100"/>
    <m/>
    <n v="0"/>
    <n v="0"/>
    <n v="2253431"/>
    <n v="1293749.9999999998"/>
    <n v="0"/>
    <n v="0"/>
    <n v="179"/>
    <n v="994531"/>
    <n v="2940336.1344537819"/>
    <n v="35"/>
    <n v="92"/>
    <n v="42"/>
    <n v="0"/>
    <n v="0"/>
    <n v="0"/>
    <n v="1158188"/>
    <n v="543374.99999999988"/>
    <n v="0"/>
    <n v="0"/>
    <n v="92"/>
    <n v="994531"/>
    <n v="1234941.1764705884"/>
    <n v="35"/>
    <n v="50"/>
    <n v="42"/>
    <n v="0"/>
    <n v="0"/>
    <n v="0"/>
    <n v="629450"/>
    <n v="543374.99999999988"/>
    <n v="0"/>
    <n v="0"/>
    <n v="50"/>
    <n v="629450"/>
    <n v="1234941.1764705884"/>
    <n v="35"/>
    <n v="8"/>
    <n v="42"/>
    <n v="0"/>
    <n v="0"/>
    <m/>
    <n v="103499.99999999999"/>
    <n v="543374.99999999988"/>
    <n v="0"/>
    <n v="0"/>
    <n v="8"/>
    <n v="103499.99999999999"/>
    <n v="1234941.1764705884"/>
    <n v="80"/>
    <n v="300"/>
    <n v="96"/>
    <n v="0"/>
    <n v="0"/>
    <n v="0"/>
    <n v="300"/>
    <n v="3881249.9999999995"/>
    <n v="1241999.9999999998"/>
    <n v="0"/>
    <n v="3881249.9999999995"/>
    <n v="300"/>
    <n v="7762499.9999999991"/>
    <n v="2258016.8067226894"/>
    <n v="60"/>
    <n v="204"/>
    <n v="72"/>
    <n v="0"/>
    <n v="0"/>
    <n v="2639249.9999999995"/>
    <n v="931499.99999999988"/>
    <n v="0"/>
    <n v="0"/>
    <n v="204"/>
    <n v="2639249.9999999995"/>
    <n v="1778188.2352941178"/>
    <n v="120"/>
    <n v="132"/>
    <n v="144"/>
    <n v="300"/>
    <n v="300"/>
    <n v="1707749.9999999998"/>
    <n v="1862999.9999999998"/>
    <n v="3881249.9999999995"/>
    <n v="432"/>
    <n v="5588999.9999999991"/>
    <n v="4234084.0336134462"/>
    <n v="36"/>
    <n v="288"/>
    <n v="43.199999999999996"/>
    <n v="0"/>
    <m/>
    <n v="3725999.9999999995"/>
    <n v="543844.79999999993"/>
    <n v="0"/>
    <n v="288"/>
    <n v="3725999.9999999995"/>
    <n v="1270225.2100840337"/>
  </r>
  <r>
    <m/>
    <x v="1"/>
    <x v="11"/>
    <x v="12"/>
    <s v="LHMOPUM"/>
    <x v="133"/>
    <x v="130"/>
    <x v="0"/>
    <x v="3"/>
    <n v="1.2"/>
    <x v="109"/>
    <n v="15"/>
    <m/>
    <n v="0"/>
    <n v="12843"/>
    <n v="192645"/>
    <n v="12.5"/>
    <n v="13656.249999999998"/>
    <n v="29403.361344537818"/>
    <n v="23521.008403361346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n v="2.176049417376742E-5"/>
    <n v="4"/>
    <n v="0.52478591078667258"/>
    <n v="13"/>
    <n v="0.5215312551307435"/>
    <n v="8"/>
    <n v="0.4883307237418365"/>
    <n v="26"/>
    <n v="0.54978260700770454"/>
    <n v="13"/>
    <s v=""/>
    <n v="22"/>
    <s v=""/>
    <n v="33"/>
    <s v=""/>
    <n v="30"/>
    <s v=""/>
    <n v="1.2"/>
    <n v="24"/>
    <s v=""/>
    <n v="0.96"/>
    <n v="14"/>
    <s v=""/>
    <n v="0.28000000000000003"/>
    <n v="4"/>
    <s v=""/>
    <n v="0.11428571428571428"/>
    <n v="20"/>
    <n v="56"/>
    <n v="15"/>
    <n v="0"/>
    <n v="100"/>
    <n v="0"/>
    <n v="1040283"/>
    <n v="724499.99999999988"/>
    <n v="192645"/>
    <n v="0"/>
    <n v="15"/>
    <n v="192645"/>
    <n v="370630.60518324981"/>
    <n v="25"/>
    <n v="137"/>
    <n v="33"/>
    <n v="0"/>
    <n v="0"/>
    <n v="0"/>
    <n v="1232928"/>
    <n v="1772437.4999999998"/>
    <n v="423819"/>
    <n v="0"/>
    <n v="15"/>
    <n v="192645"/>
    <n v="815387.33140314964"/>
    <n v="40"/>
    <n v="109"/>
    <n v="33"/>
    <n v="0"/>
    <n v="0"/>
    <n v="1197234"/>
    <n v="1399887"/>
    <n v="423819"/>
    <n v="0"/>
    <n v="15"/>
    <n v="192645"/>
    <n v="970310.92436974798"/>
    <n v="25"/>
    <n v="83"/>
    <n v="30"/>
    <n v="0"/>
    <n v="0"/>
    <n v="1073812.4999999998"/>
    <n v="385290"/>
    <x v="0"/>
    <x v="0"/>
    <n v="15"/>
    <n v="192645"/>
    <n v="882100.84033613454"/>
    <n v="25"/>
    <n v="39"/>
    <n v="30"/>
    <m/>
    <n v="0"/>
    <n v="0"/>
    <n v="500877"/>
    <n v="388124.99999999994"/>
    <x v="0"/>
    <n v="0"/>
    <n v="15"/>
    <n v="192645"/>
    <n v="882100.84033613454"/>
    <n v="50"/>
    <n v="29"/>
    <n v="14"/>
    <m/>
    <n v="0"/>
    <n v="0"/>
    <n v="372447"/>
    <n v="181124.99999999997"/>
    <n v="0"/>
    <n v="0"/>
    <n v="29"/>
    <n v="192645"/>
    <n v="411647.05882352946"/>
    <n v="35"/>
    <n v="19"/>
    <n v="42"/>
    <n v="300"/>
    <n v="300"/>
    <n v="0"/>
    <n v="244017"/>
    <n v="543374.99999999988"/>
    <n v="3751874.9999999995"/>
    <n v="0"/>
    <n v="19"/>
    <n v="192645"/>
    <n v="1234941.1764705884"/>
    <n v="25"/>
    <n v="0"/>
    <n v="30"/>
    <n v="0"/>
    <n v="0"/>
    <n v="0"/>
    <n v="0"/>
    <n v="388124.99999999994"/>
    <n v="0"/>
    <n v="0"/>
    <n v="0"/>
    <n v="0"/>
    <n v="882100.84033613454"/>
    <n v="20"/>
    <n v="0"/>
    <n v="24"/>
    <n v="0"/>
    <n v="0"/>
    <n v="300"/>
    <n v="0"/>
    <n v="310499.99999999994"/>
    <n v="0"/>
    <n v="3881249.9999999995"/>
    <n v="300"/>
    <n v="3881249.9999999995"/>
    <n v="705680.67226890766"/>
    <n v="50"/>
    <n v="276"/>
    <n v="60"/>
    <n v="0"/>
    <n v="0"/>
    <n v="0"/>
    <n v="0"/>
    <n v="3570749.9999999995"/>
    <n v="776249.99999999988"/>
    <n v="0"/>
    <n v="0"/>
    <n v="276"/>
    <n v="3570749.9999999995"/>
    <n v="1411260.5042016807"/>
    <n v="40"/>
    <n v="216"/>
    <n v="48"/>
    <n v="0"/>
    <n v="0"/>
    <n v="2794499.9999999995"/>
    <n v="620999.99999999988"/>
    <n v="0"/>
    <n v="0"/>
    <n v="216"/>
    <n v="2794499.9999999995"/>
    <n v="1185458.823529412"/>
    <n v="50"/>
    <n v="168"/>
    <n v="60"/>
    <n v="0"/>
    <n v="0"/>
    <n v="2173499.9999999995"/>
    <n v="776249.99999999988"/>
    <n v="0"/>
    <n v="168"/>
    <n v="2173499.9999999995"/>
    <n v="1764201.6806722691"/>
    <n v="24"/>
    <n v="108"/>
    <n v="28.799999999999997"/>
    <n v="0"/>
    <m/>
    <n v="1397249.9999999998"/>
    <n v="369878.39999999997"/>
    <n v="0"/>
    <n v="108"/>
    <n v="1397249.9999999998"/>
    <n v="846816.80672268907"/>
  </r>
  <r>
    <m/>
    <x v="1"/>
    <x v="11"/>
    <x v="12"/>
    <s v="LHMOVINOM"/>
    <x v="134"/>
    <x v="131"/>
    <x v="0"/>
    <x v="4"/>
    <n v="1"/>
    <x v="110"/>
    <n v="103"/>
    <m/>
    <n v="0"/>
    <n v="20412"/>
    <n v="2102436"/>
    <n v="22"/>
    <n v="24034.999999999996"/>
    <n v="54613.445378151264"/>
    <n v="40327.731092436974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3"/>
    <n v="0.53276045576602715"/>
    <n v="69"/>
    <n v="0.42055884782686664"/>
    <n v="35"/>
    <n v="0.49043192624150173"/>
    <n v="14"/>
    <n v="0.43298392226628624"/>
    <n v="7"/>
    <s v=""/>
    <n v="11"/>
    <s v=""/>
    <n v="30"/>
    <s v=""/>
    <n v="27"/>
    <s v=""/>
    <n v="0.77142857142857146"/>
    <n v="37"/>
    <s v=""/>
    <n v="1.48"/>
    <n v="159"/>
    <s v=""/>
    <n v="3.18"/>
    <n v="10"/>
    <s v=""/>
    <n v="0.22222222222222221"/>
    <n v="15"/>
    <n v="16"/>
    <n v="10"/>
    <n v="0"/>
    <n v="100"/>
    <n v="0"/>
    <n v="1153278"/>
    <n v="364320"/>
    <n v="204120"/>
    <n v="0"/>
    <n v="103"/>
    <n v="2102436"/>
    <n v="458936.51578278374"/>
    <n v="30"/>
    <n v="367"/>
    <n v="16.5"/>
    <n v="0"/>
    <n v="0"/>
    <n v="0"/>
    <n v="1500282"/>
    <n v="8356590"/>
    <n v="336798"/>
    <n v="0"/>
    <n v="103"/>
    <n v="2102436"/>
    <n v="757245.25104159315"/>
    <n v="40"/>
    <n v="350"/>
    <n v="30"/>
    <n v="0"/>
    <n v="0"/>
    <n v="1732734"/>
    <n v="7144200"/>
    <n v="612360"/>
    <n v="0"/>
    <n v="103"/>
    <n v="2102436"/>
    <n v="1638403.3613445379"/>
    <n v="35"/>
    <n v="325"/>
    <n v="27"/>
    <m/>
    <n v="0"/>
    <n v="7400250"/>
    <n v="551124"/>
    <x v="0"/>
    <x v="0"/>
    <n v="103"/>
    <n v="2102436"/>
    <n v="1474563.0252100842"/>
    <n v="25"/>
    <n v="140"/>
    <n v="25"/>
    <m/>
    <n v="0"/>
    <n v="0"/>
    <n v="2857680"/>
    <n v="569250"/>
    <x v="0"/>
    <n v="0"/>
    <n v="103"/>
    <n v="2102436"/>
    <n v="1365336.1344537816"/>
    <n v="50"/>
    <n v="262"/>
    <n v="159"/>
    <m/>
    <n v="0"/>
    <n v="0"/>
    <n v="5347944"/>
    <n v="3620430"/>
    <n v="0"/>
    <n v="0"/>
    <n v="262"/>
    <n v="2102436"/>
    <n v="8683537.8151260503"/>
    <n v="45"/>
    <n v="113"/>
    <n v="45"/>
    <n v="0"/>
    <n v="0"/>
    <n v="0"/>
    <n v="2306556"/>
    <n v="1024650"/>
    <n v="0"/>
    <n v="0"/>
    <n v="113"/>
    <n v="2102436"/>
    <n v="2457605.042016807"/>
    <n v="25"/>
    <n v="68"/>
    <n v="25"/>
    <n v="0"/>
    <n v="0"/>
    <n v="0"/>
    <n v="1388016"/>
    <n v="569250"/>
    <n v="0"/>
    <n v="0"/>
    <n v="68"/>
    <n v="1388016"/>
    <n v="1365336.1344537816"/>
    <n v="20"/>
    <n v="43"/>
    <n v="20"/>
    <n v="0"/>
    <n v="0"/>
    <m/>
    <n v="979110"/>
    <n v="455400"/>
    <n v="0"/>
    <n v="0"/>
    <n v="43"/>
    <n v="979110"/>
    <n v="1092268.9075630254"/>
    <n v="50"/>
    <n v="23"/>
    <n v="23"/>
    <n v="0"/>
    <n v="0"/>
    <n v="0"/>
    <m/>
    <n v="523710"/>
    <n v="523710"/>
    <n v="0"/>
    <n v="0"/>
    <n v="23"/>
    <n v="523710"/>
    <n v="927537.81512605038"/>
    <n v="29"/>
    <n v="0"/>
    <n v="29"/>
    <n v="0"/>
    <n v="0"/>
    <n v="0"/>
    <n v="660330"/>
    <n v="0"/>
    <n v="0"/>
    <n v="0"/>
    <n v="0"/>
    <n v="1227979.411764706"/>
    <n v="80"/>
    <n v="0"/>
    <n v="80"/>
    <n v="300"/>
    <n v="300"/>
    <n v="0"/>
    <n v="1821600"/>
    <n v="6831000"/>
    <n v="300"/>
    <n v="6831000"/>
    <n v="4369075.6302521015"/>
    <n v="17.399999999999999"/>
    <n v="220"/>
    <n v="17.399999999999999"/>
    <n v="0"/>
    <m/>
    <n v="5009400"/>
    <n v="355168.8"/>
    <n v="0"/>
    <n v="220"/>
    <n v="5009400"/>
    <n v="950273.94957983191"/>
  </r>
  <r>
    <m/>
    <x v="1"/>
    <x v="11"/>
    <x v="12"/>
    <s v="LHMOCLATK-BK"/>
    <x v="135"/>
    <x v="132"/>
    <x v="0"/>
    <x v="2"/>
    <n v="1"/>
    <x v="12"/>
    <n v="0"/>
    <m/>
    <n v="0"/>
    <n v="15513.499999999998"/>
    <n v="0"/>
    <n v="14.2"/>
    <n v="15513.499999999998"/>
    <n v="39109.663865546216"/>
    <n v="33243.214285714283"/>
    <s v="Shenzhen"/>
    <x v="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500"/>
    <n v="500"/>
    <n v="0"/>
    <n v="0"/>
    <n v="0"/>
    <n v="7348499.9999999991"/>
    <n v="0"/>
    <n v="500"/>
    <n v="7348499.9999999991"/>
    <n v="0"/>
    <n v="0"/>
    <n v="0"/>
    <n v="0"/>
    <n v="0"/>
    <n v="0"/>
    <n v="500"/>
    <n v="0"/>
    <n v="0"/>
    <n v="0"/>
    <n v="7348499.9999999991"/>
    <n v="500"/>
    <n v="7348499.9999999991"/>
    <n v="0"/>
    <n v="40"/>
    <n v="500"/>
    <n v="40"/>
    <n v="0"/>
    <n v="0"/>
    <n v="0"/>
    <m/>
    <n v="7348499.9999999991"/>
    <n v="587879.99999999988"/>
    <n v="0"/>
    <n v="0"/>
    <n v="500"/>
    <n v="7348499.9999999991"/>
    <n v="1329728.5714285714"/>
    <n v="40"/>
    <n v="460"/>
    <n v="40"/>
    <n v="0"/>
    <n v="0"/>
    <n v="6760619.9999999991"/>
    <n v="587879.99999999988"/>
    <n v="0"/>
    <n v="0"/>
    <n v="460"/>
    <n v="6760619.9999999991"/>
    <n v="1396215"/>
    <n v="60"/>
    <n v="420"/>
    <n v="60"/>
    <n v="0"/>
    <n v="0"/>
    <n v="6172739.9999999991"/>
    <n v="881819.99999999988"/>
    <n v="0"/>
    <n v="420"/>
    <n v="6172739.9999999991"/>
    <n v="2346579.8319327729"/>
    <n v="24"/>
    <n v="360"/>
    <n v="24"/>
    <n v="0"/>
    <m/>
    <n v="5290919.9999999991"/>
    <n v="372323.99999999994"/>
    <n v="0"/>
    <n v="360"/>
    <n v="5290919.9999999991"/>
    <n v="938631.93277310918"/>
  </r>
  <r>
    <s v="Lhotse-Equipamiento"/>
    <x v="1"/>
    <x v="11"/>
    <x v="12"/>
    <n v="1623703728452"/>
    <x v="136"/>
    <x v="133"/>
    <x v="0"/>
    <x v="6"/>
    <n v="1"/>
    <x v="12"/>
    <n v="14"/>
    <m/>
    <n v="0"/>
    <n v="9554"/>
    <n v="133756"/>
    <n v="8.6999999999999993"/>
    <n v="9504.75"/>
    <n v="18478.991596638658"/>
    <n v="19319.327731092439"/>
    <s v="Shenzhen"/>
    <x v="0"/>
    <n v="30"/>
    <n v="500"/>
    <n v="11"/>
    <n v="0.44674833053501473"/>
    <n v="24"/>
    <n v="0.44153740396527497"/>
    <n v="47"/>
    <n v="0.41168630091332953"/>
    <n v="12"/>
    <n v="0.49750600173245896"/>
    <n v="9"/>
    <n v="0.3854768422927482"/>
    <n v="46"/>
    <n v="0.40754608930386893"/>
    <n v="21"/>
    <n v="0.39521374826688449"/>
    <n v="22"/>
    <n v="0.43391470348726413"/>
    <n v="16"/>
    <n v="0.43824429466883408"/>
    <n v="33"/>
    <n v="0.44169268284081525"/>
    <n v="43"/>
    <n v="0.4840615156105425"/>
    <n v="54"/>
    <n v="0.45000916549821113"/>
    <n v="37"/>
    <n v="0.44674833785997359"/>
    <n v="33"/>
    <n v="0.44153648671613527"/>
    <n v="21"/>
    <n v="0.36800212978327085"/>
    <n v="18"/>
    <n v="0.49258208130138403"/>
    <n v="0.72"/>
    <n v="6"/>
    <n v="0.49820077728324769"/>
    <n v="0.3"/>
    <n v="9"/>
    <n v="0.40976539081352686"/>
    <n v="0.3"/>
    <n v="4"/>
    <n v="0.3952137487600052"/>
    <n v="8.2815734989648032E-2"/>
    <n v="20"/>
    <n v="139"/>
    <n v="24"/>
    <n v="0"/>
    <n v="0"/>
    <n v="0"/>
    <n v="902853"/>
    <n v="1251625.4999999998"/>
    <n v="229296"/>
    <n v="0"/>
    <n v="14"/>
    <n v="133756"/>
    <n v="372685.54480615782"/>
    <n v="25"/>
    <n v="99"/>
    <n v="49.5"/>
    <n v="0"/>
    <n v="0"/>
    <n v="0"/>
    <n v="845529"/>
    <n v="891445.49999999977"/>
    <n v="472923"/>
    <n v="0"/>
    <n v="14"/>
    <n v="133756"/>
    <n v="768663.93616270053"/>
    <n v="40"/>
    <n v="66"/>
    <n v="21"/>
    <n v="0"/>
    <n v="0"/>
    <n v="552696"/>
    <n v="630564"/>
    <n v="200634"/>
    <n v="0"/>
    <n v="14"/>
    <n v="133756"/>
    <n v="388058.82352941181"/>
    <n v="25"/>
    <n v="31"/>
    <n v="18"/>
    <n v="0"/>
    <n v="0"/>
    <n v="279139.49999999994"/>
    <n v="171972"/>
    <x v="0"/>
    <x v="0"/>
    <n v="14"/>
    <n v="133756"/>
    <n v="332621.84873949585"/>
    <n v="20"/>
    <n v="20"/>
    <n v="20"/>
    <m/>
    <n v="0"/>
    <n v="0"/>
    <n v="191080"/>
    <n v="180089.99999999997"/>
    <x v="0"/>
    <n v="0"/>
    <n v="14"/>
    <n v="133756"/>
    <n v="369579.83193277317"/>
    <n v="30"/>
    <n v="23"/>
    <n v="9"/>
    <m/>
    <n v="0"/>
    <n v="0"/>
    <n v="219742"/>
    <n v="81040.499999999985"/>
    <n v="0"/>
    <n v="0"/>
    <n v="23"/>
    <n v="133756"/>
    <n v="166310.92436974793"/>
    <n v="48.3"/>
    <n v="18"/>
    <n v="48.3"/>
    <n v="0"/>
    <n v="0"/>
    <n v="0"/>
    <n v="171972"/>
    <n v="434917.34999999986"/>
    <n v="0"/>
    <n v="0"/>
    <n v="18"/>
    <n v="133756"/>
    <n v="892535.29411764711"/>
    <n v="49.6"/>
    <n v="0"/>
    <n v="49.6"/>
    <n v="0"/>
    <n v="0"/>
    <n v="0"/>
    <n v="0"/>
    <n v="446623.1999999999"/>
    <n v="0"/>
    <n v="0"/>
    <n v="0"/>
    <n v="0"/>
    <n v="916557.9831932775"/>
    <n v="40.4"/>
    <n v="0"/>
    <n v="40.4"/>
    <n v="0"/>
    <n v="0"/>
    <m/>
    <n v="0"/>
    <n v="363781.79999999993"/>
    <n v="0"/>
    <n v="0"/>
    <n v="0"/>
    <n v="0"/>
    <n v="746551.26050420175"/>
    <n v="40.1"/>
    <n v="0"/>
    <n v="0"/>
    <n v="0"/>
    <n v="0"/>
    <n v="0"/>
    <m/>
    <n v="0"/>
    <n v="0"/>
    <n v="0"/>
    <n v="0"/>
    <n v="0"/>
    <n v="0"/>
    <n v="0"/>
    <n v="40.1"/>
    <n v="0"/>
    <n v="40.1"/>
    <n v="0"/>
    <n v="0"/>
    <n v="0"/>
    <n v="361080.44999999995"/>
    <n v="0"/>
    <n v="0"/>
    <n v="0"/>
    <n v="0"/>
    <n v="813440.29411764711"/>
    <n v="40.1"/>
    <n v="0"/>
    <n v="40.1"/>
    <n v="0"/>
    <n v="0"/>
    <n v="0"/>
    <n v="361080.44999999995"/>
    <n v="0"/>
    <n v="0"/>
    <n v="0"/>
    <n v="741007.56302521017"/>
    <n v="24.06"/>
    <n v="0"/>
    <n v="24.06"/>
    <n v="0"/>
    <m/>
    <n v="0"/>
    <n v="229869.24"/>
    <n v="0"/>
    <n v="0"/>
    <n v="0"/>
    <n v="444604.53781512607"/>
  </r>
  <r>
    <s v="Lhotse-Equipamiento"/>
    <x v="1"/>
    <x v="11"/>
    <x v="12"/>
    <n v="1623703690011"/>
    <x v="137"/>
    <x v="134"/>
    <x v="0"/>
    <x v="0"/>
    <n v="0.8"/>
    <x v="111"/>
    <n v="467"/>
    <m/>
    <n v="0"/>
    <n v="9491"/>
    <n v="4432297"/>
    <n v="8.6999999999999993"/>
    <n v="9504.75"/>
    <n v="18478.991596638658"/>
    <n v="19319.327731092439"/>
    <s v="Shenzhen"/>
    <x v="0"/>
    <n v="30"/>
    <n v="500"/>
    <n v="20"/>
    <n v="0.48136202190017813"/>
    <n v="67"/>
    <n v="0.43003425558895869"/>
    <n v="154"/>
    <n v="0.41727528423264387"/>
    <n v="34"/>
    <n v="0.35346977343862818"/>
    <n v="19"/>
    <n v="0.52272575689002154"/>
    <n v="49"/>
    <n v="0.43727985781187639"/>
    <n v="46"/>
    <n v="0.39975315480718998"/>
    <n v="48"/>
    <n v="0.41801595681727333"/>
    <n v="132"/>
    <n v="0.26451508471859392"/>
    <n v="3"/>
    <n v="0.38141475164807559"/>
    <n v="2"/>
    <n v="0.50872457166520002"/>
    <n v="1"/>
    <s v=""/>
    <n v="0"/>
    <n v="0.48543720381018501"/>
    <n v="0"/>
    <n v="0.42139807546002184"/>
    <n v="0"/>
    <n v="0.34446492127851353"/>
    <n v="14"/>
    <n v="0.48009176574301698"/>
    <n v="0.4"/>
    <n v="18"/>
    <n v="0.52272574961147877"/>
    <n v="0.9"/>
    <n v="14"/>
    <n v="0.43728113780735756"/>
    <n v="0.26415094339622641"/>
    <n v="5"/>
    <n v="0.39848555557547521"/>
    <n v="4.4247787610619468E-2"/>
    <n v="0"/>
    <n v="2"/>
    <n v="0"/>
    <n v="0"/>
    <n v="0"/>
    <n v="0"/>
    <n v="0"/>
    <n v="18008.999999999996"/>
    <n v="0"/>
    <n v="0"/>
    <n v="467"/>
    <n v="4432297"/>
    <n v="0"/>
    <n v="60"/>
    <n v="2"/>
    <n v="0"/>
    <n v="100"/>
    <n v="200"/>
    <n v="0"/>
    <n v="132874"/>
    <n v="18008.999999999996"/>
    <n v="0"/>
    <n v="0"/>
    <n v="467"/>
    <n v="4432297"/>
    <n v="0"/>
    <n v="0"/>
    <n v="2"/>
    <n v="0"/>
    <n v="0"/>
    <n v="0"/>
    <n v="276946"/>
    <n v="18982"/>
    <n v="0"/>
    <n v="0"/>
    <n v="467"/>
    <n v="4432297"/>
    <n v="0"/>
    <n v="35"/>
    <n v="202"/>
    <n v="14"/>
    <n v="0"/>
    <n v="0"/>
    <n v="1818908.9999999995"/>
    <n v="132874"/>
    <x v="0"/>
    <x v="0"/>
    <n v="467"/>
    <n v="4432297"/>
    <n v="258705.8823529412"/>
    <n v="20"/>
    <n v="485"/>
    <n v="16"/>
    <m/>
    <n v="0"/>
    <n v="0"/>
    <n v="4603135"/>
    <n v="144071.99999999997"/>
    <x v="0"/>
    <n v="0"/>
    <n v="467"/>
    <n v="4432297"/>
    <n v="295663.86554621853"/>
    <n v="53"/>
    <n v="481"/>
    <n v="14"/>
    <m/>
    <n v="0"/>
    <n v="0"/>
    <n v="4565171"/>
    <n v="126062.99999999997"/>
    <n v="0"/>
    <n v="0"/>
    <n v="481"/>
    <n v="4432297"/>
    <n v="258705.8823529412"/>
    <n v="113"/>
    <n v="472"/>
    <n v="90.4"/>
    <n v="300"/>
    <n v="300"/>
    <n v="0"/>
    <n v="4479752"/>
    <n v="814006.79999999993"/>
    <n v="2611304.9999999995"/>
    <n v="0"/>
    <n v="472"/>
    <n v="4432297"/>
    <n v="1670500.8403361349"/>
    <n v="100"/>
    <n v="381.6"/>
    <n v="80"/>
    <n v="0"/>
    <n v="0"/>
    <n v="0"/>
    <n v="3621765.6"/>
    <n v="720359.99999999988"/>
    <n v="0"/>
    <n v="0"/>
    <n v="381.6"/>
    <n v="3621765.6"/>
    <n v="1478319.3277310927"/>
    <n v="80"/>
    <n v="301.60000000000002"/>
    <n v="64"/>
    <n v="0"/>
    <n v="0"/>
    <m/>
    <n v="2715757.1999999997"/>
    <n v="576287.99999999988"/>
    <n v="0"/>
    <n v="0"/>
    <n v="301.60000000000002"/>
    <n v="2715757.1999999997"/>
    <n v="1182655.4621848741"/>
    <n v="100"/>
    <n v="237.60000000000002"/>
    <n v="80"/>
    <n v="0"/>
    <n v="0"/>
    <n v="0"/>
    <m/>
    <n v="2139469.1999999997"/>
    <n v="720359.99999999988"/>
    <n v="0"/>
    <n v="0"/>
    <n v="237.60000000000002"/>
    <n v="2139469.1999999997"/>
    <n v="1545546.218487395"/>
    <n v="80"/>
    <n v="157.60000000000002"/>
    <n v="64"/>
    <n v="0"/>
    <n v="0"/>
    <n v="1419109.2"/>
    <n v="576287.99999999988"/>
    <n v="0"/>
    <n v="0"/>
    <n v="157.60000000000002"/>
    <n v="1419109.2"/>
    <n v="1298258.823529412"/>
    <n v="120"/>
    <n v="93.600000000000023"/>
    <n v="96"/>
    <n v="0"/>
    <n v="0"/>
    <n v="842821.20000000007"/>
    <n v="864431.99999999977"/>
    <n v="0"/>
    <n v="93.600000000000023"/>
    <n v="842821.20000000007"/>
    <n v="1773983.193277311"/>
    <n v="48"/>
    <n v="0"/>
    <n v="38.400000000000006"/>
    <n v="0"/>
    <m/>
    <n v="0"/>
    <n v="364454.40000000008"/>
    <n v="0"/>
    <n v="0"/>
    <n v="0"/>
    <n v="709593.2773109246"/>
  </r>
  <r>
    <s v="Lhotse-Equipamiento"/>
    <x v="1"/>
    <x v="11"/>
    <x v="12"/>
    <s v="LHMOBI001"/>
    <x v="138"/>
    <x v="135"/>
    <x v="0"/>
    <x v="0"/>
    <n v="1"/>
    <x v="112"/>
    <n v="4"/>
    <m/>
    <n v="0"/>
    <n v="9408"/>
    <n v="37632"/>
    <n v="8.9499999999999993"/>
    <n v="9777.875"/>
    <n v="21000"/>
    <n v="21000"/>
    <s v="Shenzhen"/>
    <x v="0"/>
    <n v="30"/>
    <n v="300"/>
    <n v="49"/>
    <n v="0.55456841532527235"/>
    <n v="21"/>
    <n v="0.56238154598472845"/>
    <n v="14"/>
    <n v="0.56674904761904754"/>
    <n v="4"/>
    <n v="0.56674904761904765"/>
    <n v="10"/>
    <n v="0.56674904761904765"/>
    <n v="21"/>
    <n v="0.55800366001111068"/>
    <n v="27"/>
    <n v="0.41358626994680847"/>
    <n v="19"/>
    <n v="0.53226847862114657"/>
    <n v="26"/>
    <n v="0.51383348207275814"/>
    <n v="77"/>
    <n v="0.48037210889089971"/>
    <n v="68"/>
    <n v="0.51857972580637857"/>
    <n v="64"/>
    <n v="0.51642829025351"/>
    <n v="4"/>
    <s v=""/>
    <n v="2"/>
    <s v=""/>
    <n v="3"/>
    <s v=""/>
    <n v="2"/>
    <s v=""/>
    <n v="0"/>
    <n v="0"/>
    <s v=""/>
    <n v="0"/>
    <n v="0"/>
    <s v=""/>
    <n v="0"/>
    <n v="0"/>
    <s v=""/>
    <n v="0"/>
    <n v="0"/>
    <n v="8"/>
    <n v="0"/>
    <n v="100"/>
    <n v="100"/>
    <n v="0"/>
    <n v="56448"/>
    <n v="74105.999999999985"/>
    <n v="0"/>
    <n v="0"/>
    <n v="4"/>
    <n v="37632"/>
    <n v="0"/>
    <n v="0"/>
    <n v="5"/>
    <n v="3"/>
    <n v="0"/>
    <n v="0"/>
    <n v="0"/>
    <n v="75264"/>
    <n v="46316.249999999993"/>
    <n v="28224"/>
    <n v="0"/>
    <n v="4"/>
    <n v="37632"/>
    <n v="52941.176470588238"/>
    <n v="0"/>
    <n v="3"/>
    <n v="3"/>
    <n v="0"/>
    <n v="0"/>
    <n v="130409.24999999999"/>
    <n v="28224"/>
    <n v="28224"/>
    <n v="0"/>
    <n v="4"/>
    <n v="37632"/>
    <n v="63000"/>
    <n v="0"/>
    <n v="3"/>
    <n v="2"/>
    <n v="0"/>
    <n v="0"/>
    <n v="27789.749999999993"/>
    <n v="18816"/>
    <x v="0"/>
    <x v="0"/>
    <n v="4"/>
    <n v="37632"/>
    <n v="42000"/>
    <n v="9"/>
    <n v="4"/>
    <n v="9"/>
    <m/>
    <n v="0"/>
    <n v="0"/>
    <n v="37632"/>
    <n v="83369.249999999985"/>
    <x v="0"/>
    <n v="0"/>
    <n v="4"/>
    <n v="37632"/>
    <n v="189000"/>
    <n v="19"/>
    <n v="4"/>
    <n v="0"/>
    <m/>
    <n v="0"/>
    <n v="0"/>
    <n v="37632"/>
    <n v="0"/>
    <n v="0"/>
    <n v="0"/>
    <n v="4"/>
    <n v="37632"/>
    <n v="0"/>
    <n v="1"/>
    <n v="4"/>
    <n v="1"/>
    <n v="0"/>
    <n v="0"/>
    <n v="0"/>
    <n v="37632"/>
    <n v="9263.2499999999982"/>
    <n v="0"/>
    <n v="0"/>
    <n v="4"/>
    <n v="37632"/>
    <n v="21000"/>
    <n v="0"/>
    <n v="3"/>
    <n v="0"/>
    <n v="0"/>
    <n v="0"/>
    <n v="0"/>
    <n v="28224"/>
    <n v="0"/>
    <n v="0"/>
    <n v="0"/>
    <n v="3"/>
    <n v="28224"/>
    <n v="0"/>
    <n v="0"/>
    <n v="3"/>
    <n v="0"/>
    <n v="300"/>
    <n v="300"/>
    <n v="0"/>
    <n v="27789.749999999993"/>
    <n v="0"/>
    <n v="2778974.9999999995"/>
    <n v="0"/>
    <n v="3"/>
    <n v="27789.749999999993"/>
    <n v="0"/>
    <n v="40"/>
    <n v="303"/>
    <n v="40"/>
    <n v="0"/>
    <n v="0"/>
    <n v="0"/>
    <n v="300"/>
    <n v="2806764.7499999995"/>
    <n v="370529.99999999994"/>
    <n v="0"/>
    <n v="2778974.9999999995"/>
    <n v="303"/>
    <n v="5585739.7499999991"/>
    <n v="840000"/>
    <n v="68"/>
    <n v="263"/>
    <n v="68"/>
    <n v="0"/>
    <n v="0"/>
    <n v="2436234.7499999995"/>
    <n v="629900.99999999988"/>
    <n v="0"/>
    <n v="0"/>
    <n v="263"/>
    <n v="2436234.7499999995"/>
    <n v="1499400"/>
    <n v="120"/>
    <n v="195"/>
    <n v="120"/>
    <n v="0"/>
    <n v="0"/>
    <n v="1806333.7499999995"/>
    <n v="1111589.9999999998"/>
    <n v="0"/>
    <n v="195"/>
    <n v="1806333.7499999995"/>
    <n v="2520000"/>
    <n v="40.799999999999997"/>
    <n v="75"/>
    <n v="40.799999999999997"/>
    <n v="0"/>
    <m/>
    <n v="694743.74999999988"/>
    <n v="383846.39999999997"/>
    <n v="0"/>
    <n v="75"/>
    <n v="694743.74999999988"/>
    <n v="856799.99999999988"/>
  </r>
  <r>
    <s v="Lhotse-Equipamiento"/>
    <x v="1"/>
    <x v="11"/>
    <x v="12"/>
    <s v="LHMOBROBK"/>
    <x v="139"/>
    <x v="136"/>
    <x v="0"/>
    <x v="3"/>
    <n v="1"/>
    <x v="113"/>
    <n v="28"/>
    <m/>
    <n v="0"/>
    <n v="18263"/>
    <n v="511364"/>
    <n v="20"/>
    <n v="21850"/>
    <n v="42008.403361344543"/>
    <n v="63016.806722689078"/>
    <s v="Shenzhen"/>
    <x v="0"/>
    <n v="45"/>
    <n v="300"/>
    <n v="0"/>
    <n v="0.49630341733617156"/>
    <n v="0"/>
    <s v=""/>
    <n v="0"/>
    <n v="0.61199661471189792"/>
    <n v="82"/>
    <n v="0.63775406789700184"/>
    <n v="16"/>
    <n v="0.619627199988806"/>
    <n v="152"/>
    <n v="0.6035531652562347"/>
    <n v="67"/>
    <n v="0.53105162988015897"/>
    <n v="33"/>
    <n v="0.60470467073666623"/>
    <n v="22"/>
    <n v="0.62914609355428786"/>
    <n v="99"/>
    <n v="0.48602395606616283"/>
    <n v="11"/>
    <n v="0.61427690564164183"/>
    <n v="3"/>
    <n v="0.74263689103574715"/>
    <n v="92"/>
    <s v=""/>
    <n v="99"/>
    <s v=""/>
    <n v="174"/>
    <s v=""/>
    <n v="83"/>
    <s v=""/>
    <n v="1.3833333333333333"/>
    <n v="19"/>
    <s v=""/>
    <n v="0.16379310344827586"/>
    <n v="19"/>
    <s v=""/>
    <n v="0.12666666666666668"/>
    <n v="7"/>
    <s v=""/>
    <n v="0"/>
    <n v="50"/>
    <n v="301"/>
    <n v="30"/>
    <n v="0"/>
    <n v="200"/>
    <n v="0"/>
    <n v="6437707.5"/>
    <n v="6230700"/>
    <n v="547890"/>
    <n v="0"/>
    <n v="28"/>
    <n v="511364"/>
    <n v="1059035.3788574254"/>
    <n v="45"/>
    <n v="415"/>
    <n v="148.5"/>
    <n v="0"/>
    <n v="0"/>
    <n v="0"/>
    <n v="7405646.5"/>
    <n v="8590500"/>
    <n v="2712055.5"/>
    <n v="0"/>
    <n v="28"/>
    <n v="511364"/>
    <n v="5242225.1253442559"/>
    <n v="120"/>
    <n v="271"/>
    <n v="174"/>
    <n v="0"/>
    <n v="0"/>
    <n v="7094791"/>
    <n v="4949273"/>
    <n v="3177762"/>
    <n v="0"/>
    <n v="28"/>
    <n v="511364"/>
    <n v="7309462.1848739507"/>
    <n v="60"/>
    <n v="121"/>
    <n v="83"/>
    <n v="0"/>
    <n v="0"/>
    <n v="2504700"/>
    <n v="1515829"/>
    <x v="0"/>
    <x v="0"/>
    <n v="28"/>
    <n v="511364"/>
    <n v="3486697.478991597"/>
    <n v="116"/>
    <n v="47"/>
    <n v="116"/>
    <m/>
    <n v="0"/>
    <n v="0"/>
    <n v="858361"/>
    <n v="2401200"/>
    <x v="0"/>
    <n v="0"/>
    <n v="28"/>
    <n v="511364"/>
    <n v="4872974.7899159668"/>
    <n v="150"/>
    <n v="47"/>
    <n v="19"/>
    <m/>
    <n v="0"/>
    <n v="0"/>
    <n v="858361"/>
    <n v="393300"/>
    <n v="0"/>
    <n v="0"/>
    <n v="47"/>
    <n v="511364"/>
    <n v="798159.66386554635"/>
    <n v="0"/>
    <n v="35"/>
    <n v="0"/>
    <n v="300"/>
    <n v="300"/>
    <n v="0"/>
    <n v="639205"/>
    <n v="0"/>
    <n v="6003000"/>
    <n v="0"/>
    <n v="35"/>
    <n v="511364"/>
    <n v="0"/>
    <n v="60"/>
    <n v="35"/>
    <n v="60"/>
    <n v="0"/>
    <n v="300"/>
    <n v="0"/>
    <n v="639205"/>
    <n v="1242000"/>
    <n v="0"/>
    <n v="0"/>
    <n v="335"/>
    <n v="639205"/>
    <n v="2520504.2016806724"/>
    <n v="60"/>
    <n v="0"/>
    <n v="60"/>
    <n v="300"/>
    <n v="0"/>
    <n v="300"/>
    <n v="0"/>
    <n v="1242000"/>
    <n v="6210000"/>
    <n v="6210000"/>
    <n v="300"/>
    <n v="6210000"/>
    <n v="2520504.2016806724"/>
    <n v="150"/>
    <n v="240"/>
    <n v="150"/>
    <n v="0"/>
    <n v="300"/>
    <n v="300"/>
    <n v="0"/>
    <n v="4968000"/>
    <n v="3105000"/>
    <n v="0"/>
    <n v="6210000"/>
    <n v="540"/>
    <n v="11178000"/>
    <n v="9452521.0084033608"/>
    <n v="80"/>
    <n v="390"/>
    <n v="80"/>
    <n v="0"/>
    <n v="0"/>
    <n v="8073000"/>
    <n v="1656000"/>
    <n v="0"/>
    <n v="0"/>
    <n v="390"/>
    <n v="8073000"/>
    <n v="5293411.7647058833"/>
    <n v="150"/>
    <n v="310"/>
    <n v="150"/>
    <n v="0"/>
    <n v="0"/>
    <n v="6417000"/>
    <n v="3105000"/>
    <n v="0"/>
    <n v="310"/>
    <n v="6417000"/>
    <n v="6301260.5042016814"/>
    <n v="48"/>
    <n v="160"/>
    <n v="48"/>
    <n v="0"/>
    <m/>
    <n v="3312000"/>
    <n v="876624"/>
    <n v="0"/>
    <n v="160"/>
    <n v="3312000"/>
    <n v="2016403.3613445382"/>
  </r>
  <r>
    <s v="Lhotse-Hidratación"/>
    <x v="1"/>
    <x v="12"/>
    <x v="28"/>
    <s v="LHBOADV"/>
    <x v="140"/>
    <x v="137"/>
    <x v="0"/>
    <x v="4"/>
    <n v="1"/>
    <x v="114"/>
    <n v="214"/>
    <m/>
    <n v="0"/>
    <n v="3002"/>
    <n v="642428"/>
    <n v="2.6"/>
    <n v="2840.5"/>
    <n v="8394.957983193277"/>
    <n v="9235.2941176470595"/>
    <s v="Shenzhen"/>
    <x v="0"/>
    <n v="30"/>
    <n v="100"/>
    <n v="29"/>
    <n v="0.67583767624875468"/>
    <n v="31"/>
    <n v="0.69392404992859269"/>
    <n v="15"/>
    <n v="0.69863568907802664"/>
    <n v="23"/>
    <n v="0.68214087419348668"/>
    <n v="25"/>
    <n v="0.68662375385869034"/>
    <n v="30"/>
    <n v="0.69316713485395409"/>
    <n v="28"/>
    <n v="0.64698736941030255"/>
    <n v="98"/>
    <n v="0.60142144236842732"/>
    <n v="6"/>
    <n v="0.64638680637650392"/>
    <n v="47"/>
    <n v="0.59654194673163341"/>
    <n v="130"/>
    <n v="0.57403681753289792"/>
    <n v="103"/>
    <n v="0.61386382459213895"/>
    <n v="29"/>
    <s v=""/>
    <n v="23"/>
    <s v=""/>
    <n v="53"/>
    <s v=""/>
    <n v="48"/>
    <s v=""/>
    <n v="1.3714285714285714"/>
    <n v="21"/>
    <s v=""/>
    <n v="0.42"/>
    <n v="69"/>
    <s v=""/>
    <n v="0.53076923076923077"/>
    <n v="2"/>
    <s v=""/>
    <n v="6.6666666666666666E-2"/>
    <n v="40"/>
    <n v="35"/>
    <n v="35"/>
    <n v="100"/>
    <n v="100"/>
    <n v="0"/>
    <n v="367745"/>
    <n v="94185"/>
    <n v="105070"/>
    <n v="0"/>
    <n v="214"/>
    <n v="642428"/>
    <n v="246910.52891744935"/>
    <n v="30"/>
    <n v="128"/>
    <n v="34.5"/>
    <n v="0"/>
    <n v="0"/>
    <n v="0"/>
    <n v="406771"/>
    <n v="344448"/>
    <n v="103569"/>
    <n v="0"/>
    <n v="214"/>
    <n v="642428"/>
    <n v="243383.23564720005"/>
    <n v="80"/>
    <n v="96"/>
    <n v="53"/>
    <n v="0"/>
    <n v="0"/>
    <n v="437752"/>
    <n v="288192"/>
    <n v="159106"/>
    <n v="0"/>
    <n v="214"/>
    <n v="642428"/>
    <n v="444932.77310924366"/>
    <n v="35"/>
    <n v="198"/>
    <n v="48"/>
    <n v="150"/>
    <n v="0"/>
    <n v="532818"/>
    <n v="144096"/>
    <x v="41"/>
    <x v="0"/>
    <n v="214"/>
    <n v="642428"/>
    <n v="402957.98319327726"/>
    <n v="50"/>
    <n v="235"/>
    <n v="50"/>
    <m/>
    <n v="0"/>
    <n v="0"/>
    <n v="705470"/>
    <n v="134550"/>
    <x v="0"/>
    <n v="0"/>
    <n v="214"/>
    <n v="642428"/>
    <n v="419747.89915966382"/>
    <n v="130"/>
    <n v="283"/>
    <n v="69"/>
    <m/>
    <n v="0"/>
    <n v="0"/>
    <n v="849566"/>
    <n v="185679"/>
    <n v="0"/>
    <n v="0"/>
    <n v="283"/>
    <n v="642428"/>
    <n v="579252.10084033606"/>
    <n v="30"/>
    <n v="216"/>
    <n v="30"/>
    <n v="100"/>
    <n v="100"/>
    <n v="0"/>
    <n v="648432"/>
    <n v="80730"/>
    <n v="260129.99999999997"/>
    <n v="0"/>
    <n v="216"/>
    <n v="642428"/>
    <n v="251848.73949579831"/>
    <n v="50"/>
    <n v="186"/>
    <n v="50"/>
    <n v="100"/>
    <n v="100"/>
    <n v="100"/>
    <n v="558372"/>
    <n v="134550"/>
    <n v="269100"/>
    <n v="269100"/>
    <n v="286"/>
    <n v="827472"/>
    <n v="419747.89915966382"/>
    <n v="40"/>
    <n v="236"/>
    <n v="40"/>
    <n v="0"/>
    <n v="0"/>
    <m/>
    <n v="635076"/>
    <n v="107640"/>
    <n v="0"/>
    <n v="0"/>
    <n v="236"/>
    <n v="635076"/>
    <n v="335798.31932773109"/>
    <n v="50"/>
    <n v="196"/>
    <n v="50"/>
    <n v="0"/>
    <n v="0"/>
    <n v="0"/>
    <m/>
    <n v="527436"/>
    <n v="134550"/>
    <n v="0"/>
    <n v="0"/>
    <n v="196"/>
    <n v="527436"/>
    <n v="461764.70588235295"/>
    <n v="60"/>
    <n v="146"/>
    <n v="60"/>
    <n v="0"/>
    <n v="0"/>
    <n v="392886"/>
    <n v="161460"/>
    <n v="0"/>
    <n v="0"/>
    <n v="146"/>
    <n v="392886"/>
    <n v="581823.52941176482"/>
    <n v="90"/>
    <n v="86"/>
    <n v="90"/>
    <n v="0"/>
    <n v="0"/>
    <n v="231426"/>
    <n v="242190"/>
    <n v="0"/>
    <n v="86"/>
    <n v="231426"/>
    <n v="755546.21848739497"/>
    <n v="36"/>
    <n v="0"/>
    <n v="36"/>
    <n v="0"/>
    <m/>
    <n v="0"/>
    <n v="108072"/>
    <n v="0"/>
    <n v="0"/>
    <n v="0"/>
    <n v="302218.48739495798"/>
  </r>
  <r>
    <s v="Lhotse-Hidratación"/>
    <x v="1"/>
    <x v="12"/>
    <x v="28"/>
    <s v="LHBOADV"/>
    <x v="141"/>
    <x v="138"/>
    <x v="0"/>
    <x v="4"/>
    <n v="1"/>
    <x v="115"/>
    <n v="30"/>
    <m/>
    <n v="0"/>
    <n v="2964"/>
    <n v="88920"/>
    <n v="2.6"/>
    <n v="2840.5"/>
    <n v="8394.957983193277"/>
    <n v="9235.2941176470595"/>
    <s v="Shenzhen"/>
    <x v="0"/>
    <n v="30"/>
    <n v="100"/>
    <n v="26"/>
    <n v="0.71287817369080975"/>
    <n v="3"/>
    <n v="0.74602341743422562"/>
    <n v="8"/>
    <n v="0.70381244267466048"/>
    <n v="16"/>
    <n v="0.70609394423725813"/>
    <n v="20"/>
    <n v="0.69554938365146257"/>
    <n v="15"/>
    <n v="0.70778542877692763"/>
    <n v="33"/>
    <n v="0.60670316729850826"/>
    <n v="9"/>
    <n v="0.6914129710529594"/>
    <n v="3"/>
    <n v="0.66899256089977444"/>
    <n v="22"/>
    <n v="0.60963447297177609"/>
    <n v="41"/>
    <n v="0.5770036866824908"/>
    <n v="142"/>
    <n v="0.57333820594646179"/>
    <n v="42"/>
    <s v=""/>
    <n v="48"/>
    <s v=""/>
    <n v="84"/>
    <s v=""/>
    <n v="42"/>
    <s v=""/>
    <n v="1.68"/>
    <n v="16"/>
    <s v=""/>
    <n v="0.4"/>
    <n v="20"/>
    <s v=""/>
    <n v="0.4"/>
    <n v="4"/>
    <s v=""/>
    <n v="9.5238095238095233E-2"/>
    <n v="35"/>
    <n v="74"/>
    <n v="60"/>
    <n v="100"/>
    <n v="127"/>
    <n v="0"/>
    <n v="640224"/>
    <n v="199134"/>
    <n v="177840"/>
    <n v="0"/>
    <n v="30"/>
    <n v="88920"/>
    <n v="423275.19242991315"/>
    <n v="30"/>
    <n v="145"/>
    <n v="72"/>
    <n v="0"/>
    <n v="0"/>
    <n v="0"/>
    <n v="586872"/>
    <n v="390195"/>
    <n v="213408"/>
    <n v="0"/>
    <n v="30"/>
    <n v="88920"/>
    <n v="507930.23091589578"/>
    <n v="45"/>
    <n v="114"/>
    <n v="84"/>
    <n v="0"/>
    <n v="0"/>
    <n v="481104"/>
    <n v="337896"/>
    <n v="248976"/>
    <n v="0"/>
    <n v="30"/>
    <n v="88920"/>
    <n v="705176.4705882353"/>
    <n v="25"/>
    <n v="106"/>
    <n v="42"/>
    <n v="0"/>
    <n v="0"/>
    <n v="285246"/>
    <n v="124488"/>
    <x v="0"/>
    <x v="0"/>
    <n v="30"/>
    <n v="88920"/>
    <n v="352588.23529411765"/>
    <n v="40"/>
    <n v="46"/>
    <n v="40"/>
    <m/>
    <n v="0"/>
    <n v="0"/>
    <n v="136344"/>
    <n v="107640"/>
    <x v="0"/>
    <n v="0"/>
    <n v="30"/>
    <n v="88920"/>
    <n v="335798.31932773109"/>
    <n v="50"/>
    <n v="50"/>
    <n v="20"/>
    <m/>
    <n v="0"/>
    <n v="0"/>
    <n v="148200"/>
    <n v="53820"/>
    <n v="0"/>
    <n v="0"/>
    <n v="50"/>
    <n v="88920"/>
    <n v="167899.15966386555"/>
    <n v="42"/>
    <n v="34"/>
    <n v="42"/>
    <n v="0"/>
    <n v="0"/>
    <n v="0"/>
    <n v="100776"/>
    <n v="113022"/>
    <n v="0"/>
    <n v="0"/>
    <n v="34"/>
    <n v="88920"/>
    <n v="352588.23529411765"/>
    <n v="35"/>
    <n v="0"/>
    <n v="35"/>
    <n v="100"/>
    <n v="100"/>
    <n v="100"/>
    <n v="0"/>
    <n v="94185"/>
    <n v="269100"/>
    <n v="269100"/>
    <n v="100"/>
    <n v="269100"/>
    <n v="293823.5294117647"/>
    <n v="25"/>
    <n v="65"/>
    <n v="25"/>
    <n v="0"/>
    <n v="0"/>
    <m/>
    <n v="174915"/>
    <n v="67275"/>
    <n v="0"/>
    <n v="0"/>
    <n v="65"/>
    <n v="174915"/>
    <n v="209873.94957983191"/>
    <n v="35"/>
    <n v="40"/>
    <n v="35"/>
    <n v="0"/>
    <n v="0"/>
    <n v="0"/>
    <m/>
    <n v="107640"/>
    <n v="94185"/>
    <n v="0"/>
    <n v="0"/>
    <n v="40"/>
    <n v="107640"/>
    <n v="323235.29411764711"/>
    <n v="0"/>
    <n v="5"/>
    <n v="0"/>
    <n v="0"/>
    <n v="0"/>
    <n v="13455"/>
    <n v="0"/>
    <n v="0"/>
    <n v="0"/>
    <n v="5"/>
    <n v="13455"/>
    <n v="0"/>
    <n v="5"/>
    <n v="5"/>
    <n v="5"/>
    <n v="0"/>
    <n v="0"/>
    <n v="13455"/>
    <n v="13455"/>
    <n v="0"/>
    <n v="5"/>
    <n v="13455"/>
    <n v="41974.789915966387"/>
    <n v="0"/>
    <n v="0"/>
    <n v="0"/>
    <n v="0"/>
    <m/>
    <n v="0"/>
    <n v="0"/>
    <n v="0"/>
    <n v="0"/>
    <n v="0"/>
    <n v="0"/>
  </r>
  <r>
    <s v="Lhotse-Hidratación"/>
    <x v="1"/>
    <x v="12"/>
    <x v="28"/>
    <s v="LHBOADV"/>
    <x v="142"/>
    <x v="139"/>
    <x v="0"/>
    <x v="4"/>
    <n v="1"/>
    <x v="116"/>
    <n v="88"/>
    <m/>
    <n v="0"/>
    <n v="2975"/>
    <n v="261800"/>
    <n v="2.6"/>
    <n v="2840.5"/>
    <n v="8394.957983193277"/>
    <n v="9235.2941176470595"/>
    <s v="Shenzhen"/>
    <x v="0"/>
    <n v="30"/>
    <n v="100"/>
    <n v="35"/>
    <n v="0.69413916455013169"/>
    <n v="29"/>
    <n v="0.68389881278175257"/>
    <n v="49"/>
    <n v="0.7088535259295331"/>
    <n v="15"/>
    <n v="0.6770439224252589"/>
    <n v="37"/>
    <n v="0.69111022068329964"/>
    <n v="22"/>
    <n v="0.70959954888675481"/>
    <n v="36"/>
    <n v="0.61541250763214173"/>
    <n v="11"/>
    <n v="0.6925913383036012"/>
    <n v="9"/>
    <n v="0.65656294474880084"/>
    <n v="26"/>
    <n v="0.61811367467959277"/>
    <n v="101"/>
    <n v="0.59337674637121751"/>
    <n v="71"/>
    <n v="0.5774281838217814"/>
    <n v="22"/>
    <s v=""/>
    <n v="17"/>
    <s v=""/>
    <n v="66"/>
    <s v=""/>
    <n v="160"/>
    <s v=""/>
    <n v="4.5714285714285712"/>
    <n v="20"/>
    <s v=""/>
    <n v="0.5"/>
    <n v="14"/>
    <s v=""/>
    <n v="0.14000000000000001"/>
    <n v="6"/>
    <s v=""/>
    <n v="0.27272727272727271"/>
    <n v="45"/>
    <n v="21"/>
    <n v="30"/>
    <n v="100"/>
    <n v="100"/>
    <n v="0"/>
    <n v="361462.5"/>
    <n v="56511"/>
    <n v="89250"/>
    <n v="0"/>
    <n v="88"/>
    <n v="261800"/>
    <n v="211637.59621495657"/>
    <n v="40"/>
    <n v="114"/>
    <n v="25.5"/>
    <n v="100"/>
    <n v="100"/>
    <n v="0"/>
    <n v="748212.5"/>
    <n v="306774"/>
    <n v="75862.5"/>
    <n v="0"/>
    <n v="88"/>
    <n v="261800"/>
    <n v="179891.9567827131"/>
    <n v="50"/>
    <n v="154"/>
    <n v="66"/>
    <n v="0"/>
    <n v="0"/>
    <n v="779990"/>
    <n v="458150"/>
    <n v="196350"/>
    <n v="0"/>
    <n v="88"/>
    <n v="261800"/>
    <n v="554067.22689075628"/>
    <n v="35"/>
    <n v="235"/>
    <n v="160"/>
    <n v="100"/>
    <n v="0"/>
    <n v="632385"/>
    <n v="476000"/>
    <x v="42"/>
    <x v="0"/>
    <n v="88"/>
    <n v="261800"/>
    <n v="1343193.2773109244"/>
    <n v="40"/>
    <n v="108"/>
    <n v="40"/>
    <m/>
    <n v="0"/>
    <n v="0"/>
    <n v="321300"/>
    <n v="107640"/>
    <x v="0"/>
    <n v="0"/>
    <n v="88"/>
    <n v="261800"/>
    <n v="335798.31932773109"/>
    <n v="100"/>
    <n v="102"/>
    <n v="14"/>
    <m/>
    <n v="0"/>
    <n v="0"/>
    <n v="303450"/>
    <n v="37674"/>
    <n v="0"/>
    <n v="0"/>
    <n v="102"/>
    <n v="261800"/>
    <n v="117529.41176470587"/>
    <n v="22"/>
    <n v="94"/>
    <n v="22"/>
    <n v="0"/>
    <n v="0"/>
    <n v="0"/>
    <n v="279650"/>
    <n v="59202"/>
    <n v="0"/>
    <n v="0"/>
    <n v="94"/>
    <n v="261800"/>
    <n v="184689.0756302521"/>
    <n v="20"/>
    <n v="72"/>
    <n v="20"/>
    <n v="100"/>
    <n v="100"/>
    <n v="100"/>
    <n v="214200"/>
    <n v="53820"/>
    <n v="269100"/>
    <n v="269100"/>
    <n v="172"/>
    <n v="483300"/>
    <n v="167899.15966386555"/>
    <n v="25"/>
    <n v="152"/>
    <n v="25"/>
    <n v="0"/>
    <n v="0"/>
    <m/>
    <n v="409032"/>
    <n v="67275"/>
    <n v="0"/>
    <n v="0"/>
    <n v="152"/>
    <n v="409032"/>
    <n v="209873.94957983191"/>
    <n v="50"/>
    <n v="127"/>
    <n v="50"/>
    <n v="0"/>
    <n v="0"/>
    <n v="0"/>
    <m/>
    <n v="341757"/>
    <n v="134550"/>
    <n v="0"/>
    <n v="0"/>
    <n v="127"/>
    <n v="341757"/>
    <n v="461764.70588235295"/>
    <n v="31"/>
    <n v="77"/>
    <n v="31"/>
    <n v="0"/>
    <n v="0"/>
    <n v="207207"/>
    <n v="83421"/>
    <n v="0"/>
    <n v="0"/>
    <n v="77"/>
    <n v="207207"/>
    <n v="300608.82352941181"/>
    <n v="15"/>
    <n v="46"/>
    <n v="15"/>
    <n v="0"/>
    <n v="0"/>
    <n v="123786"/>
    <n v="40365"/>
    <n v="0"/>
    <n v="46"/>
    <n v="123786"/>
    <n v="125924.36974789915"/>
    <n v="18.599999999999998"/>
    <n v="31"/>
    <n v="18.599999999999998"/>
    <n v="0"/>
    <m/>
    <n v="83421"/>
    <n v="55334.999999999993"/>
    <n v="0"/>
    <n v="31"/>
    <n v="83421"/>
    <n v="156146.21848739494"/>
  </r>
  <r>
    <s v="Lhotse-Hidratación"/>
    <x v="1"/>
    <x v="12"/>
    <x v="28"/>
    <s v="LHBOADV"/>
    <x v="143"/>
    <x v="140"/>
    <x v="0"/>
    <x v="4"/>
    <n v="1"/>
    <x v="117"/>
    <n v="131"/>
    <m/>
    <n v="0"/>
    <n v="2937"/>
    <n v="384747"/>
    <n v="2.6"/>
    <n v="2840.5"/>
    <n v="8394.957983193277"/>
    <n v="9235.2941176470595"/>
    <s v="Shenzhen"/>
    <x v="0"/>
    <n v="30"/>
    <n v="100"/>
    <n v="51"/>
    <n v="0.71665311844442792"/>
    <n v="34"/>
    <n v="0.71907201050638569"/>
    <n v="25"/>
    <n v="0.71528048155026447"/>
    <n v="59"/>
    <n v="0.61774453901143489"/>
    <n v="18"/>
    <n v="0.69132119924835889"/>
    <n v="29"/>
    <n v="0.69886920575302336"/>
    <n v="27"/>
    <n v="0.65488561861227645"/>
    <n v="14"/>
    <n v="0.70442255687597688"/>
    <n v="13"/>
    <n v="0.69242021224245309"/>
    <n v="49"/>
    <n v="0.58590969537418902"/>
    <n v="153"/>
    <n v="0.57922316085417702"/>
    <n v="89"/>
    <n v="0.5945409337343216"/>
    <n v="16"/>
    <s v=""/>
    <n v="30"/>
    <s v=""/>
    <n v="61"/>
    <s v=""/>
    <n v="40"/>
    <s v=""/>
    <n v="1"/>
    <n v="19"/>
    <s v=""/>
    <n v="0.54285714285714282"/>
    <n v="24"/>
    <s v=""/>
    <n v="0.2"/>
    <n v="3"/>
    <s v=""/>
    <n v="0.2"/>
    <n v="40"/>
    <n v="1"/>
    <n v="5"/>
    <n v="100"/>
    <n v="100"/>
    <n v="0"/>
    <n v="326007"/>
    <n v="2691"/>
    <n v="14685"/>
    <n v="0"/>
    <n v="131"/>
    <n v="384747"/>
    <n v="35272.932702492762"/>
    <n v="35"/>
    <n v="111"/>
    <n v="45"/>
    <n v="0"/>
    <n v="0"/>
    <n v="0"/>
    <n v="428802"/>
    <n v="298701"/>
    <n v="132165"/>
    <n v="0"/>
    <n v="131"/>
    <n v="384747"/>
    <n v="317456.39432243485"/>
    <n v="40"/>
    <n v="71"/>
    <n v="61"/>
    <n v="0"/>
    <n v="0"/>
    <n v="390822"/>
    <n v="208527"/>
    <n v="179157"/>
    <n v="0"/>
    <n v="131"/>
    <n v="384747"/>
    <n v="512092.43697478989"/>
    <n v="40"/>
    <n v="180"/>
    <n v="40"/>
    <n v="150"/>
    <n v="0"/>
    <n v="484380"/>
    <n v="117480"/>
    <x v="41"/>
    <x v="0"/>
    <n v="131"/>
    <n v="384747"/>
    <n v="335798.31932773109"/>
    <n v="35"/>
    <n v="150"/>
    <n v="35"/>
    <m/>
    <n v="0"/>
    <n v="0"/>
    <n v="440550"/>
    <n v="94185"/>
    <x v="0"/>
    <n v="0"/>
    <n v="131"/>
    <n v="384747"/>
    <n v="293823.5294117647"/>
    <n v="120"/>
    <n v="155"/>
    <n v="24"/>
    <m/>
    <n v="0"/>
    <n v="0"/>
    <n v="455235"/>
    <n v="64584"/>
    <n v="0"/>
    <n v="0"/>
    <n v="155"/>
    <n v="384747"/>
    <n v="201478.99159663863"/>
    <n v="15"/>
    <n v="134"/>
    <n v="15"/>
    <n v="0"/>
    <n v="0"/>
    <n v="0"/>
    <n v="393558"/>
    <n v="40365"/>
    <n v="0"/>
    <n v="0"/>
    <n v="134"/>
    <n v="384747"/>
    <n v="125924.36974789915"/>
    <n v="33"/>
    <n v="119"/>
    <n v="33"/>
    <n v="100"/>
    <n v="100"/>
    <n v="100"/>
    <n v="349503"/>
    <n v="88803"/>
    <n v="269100"/>
    <n v="269100"/>
    <n v="219"/>
    <n v="618603"/>
    <n v="277033.61344537814"/>
    <n v="35"/>
    <n v="186"/>
    <n v="35"/>
    <n v="0"/>
    <n v="0"/>
    <m/>
    <n v="500526"/>
    <n v="94185"/>
    <n v="0"/>
    <n v="0"/>
    <n v="186"/>
    <n v="500526"/>
    <n v="293823.5294117647"/>
    <n v="40"/>
    <n v="151"/>
    <n v="40"/>
    <n v="0"/>
    <n v="0"/>
    <n v="0"/>
    <m/>
    <n v="406341"/>
    <n v="107640"/>
    <n v="0"/>
    <n v="0"/>
    <n v="151"/>
    <n v="406341"/>
    <n v="369411.76470588241"/>
    <n v="56"/>
    <n v="111"/>
    <n v="56"/>
    <n v="0"/>
    <n v="0"/>
    <n v="298701"/>
    <n v="150696"/>
    <n v="0"/>
    <n v="0"/>
    <n v="111"/>
    <n v="298701"/>
    <n v="543035.29411764711"/>
    <n v="20"/>
    <n v="55"/>
    <n v="20"/>
    <n v="0"/>
    <n v="0"/>
    <n v="148005"/>
    <n v="53820"/>
    <n v="0"/>
    <n v="55"/>
    <n v="148005"/>
    <n v="167899.15966386555"/>
    <n v="33.6"/>
    <n v="35"/>
    <n v="33.6"/>
    <n v="0"/>
    <m/>
    <n v="94185"/>
    <n v="98683.199999999997"/>
    <n v="0"/>
    <n v="35"/>
    <n v="94185"/>
    <n v="282070.5882352941"/>
  </r>
  <r>
    <s v="Lhotse-Hidratación"/>
    <x v="1"/>
    <x v="12"/>
    <x v="28"/>
    <s v="LHBOHY95"/>
    <x v="144"/>
    <x v="141"/>
    <x v="0"/>
    <x v="6"/>
    <n v="1"/>
    <x v="12"/>
    <n v="4"/>
    <m/>
    <n v="0"/>
    <n v="4684"/>
    <n v="18736"/>
    <n v="4"/>
    <n v="4370"/>
    <n v="12596.638655462186"/>
    <n v="8394.957983193277"/>
    <s v="Shenzhen"/>
    <x v="0"/>
    <n v="30"/>
    <n v="100"/>
    <n v="15"/>
    <n v="0.63264991711664997"/>
    <n v="20"/>
    <n v="0.66613211694877994"/>
    <n v="33"/>
    <n v="0.63580811224575662"/>
    <n v="43"/>
    <n v="0.59831464056858708"/>
    <n v="25"/>
    <n v="0.62149724252917782"/>
    <n v="39"/>
    <n v="0.55713203572457959"/>
    <n v="30"/>
    <n v="0.50633378613492952"/>
    <n v="17"/>
    <n v="0.59450807177607379"/>
    <n v="18"/>
    <n v="0.57787798992796147"/>
    <n v="14"/>
    <n v="0.52954101932184283"/>
    <n v="6"/>
    <n v="0.57905458031274337"/>
    <n v="3"/>
    <n v="0.46881378997505102"/>
    <n v="2"/>
    <s v=""/>
    <n v="0"/>
    <s v=""/>
    <n v="0"/>
    <s v=""/>
    <n v="0"/>
    <s v=""/>
    <n v="0"/>
    <n v="0"/>
    <s v=""/>
    <n v="0"/>
    <n v="0"/>
    <s v=""/>
    <n v="0"/>
    <n v="0"/>
    <s v=""/>
    <n v="0"/>
    <n v="0"/>
    <n v="6"/>
    <n v="0"/>
    <n v="0"/>
    <n v="0"/>
    <n v="0"/>
    <n v="0"/>
    <n v="24840"/>
    <n v="0"/>
    <n v="0"/>
    <n v="4"/>
    <n v="18736"/>
    <n v="0"/>
    <n v="0"/>
    <n v="4"/>
    <n v="0"/>
    <n v="0"/>
    <n v="0"/>
    <n v="0"/>
    <n v="0"/>
    <n v="16560"/>
    <n v="0"/>
    <n v="0"/>
    <n v="4"/>
    <n v="18736"/>
    <n v="0"/>
    <n v="0"/>
    <n v="4"/>
    <n v="0"/>
    <n v="0"/>
    <n v="0"/>
    <n v="0"/>
    <n v="18736"/>
    <n v="0"/>
    <n v="0"/>
    <n v="4"/>
    <n v="18736"/>
    <n v="0"/>
    <n v="0"/>
    <n v="4"/>
    <n v="0"/>
    <n v="0"/>
    <n v="0"/>
    <n v="16560"/>
    <n v="0"/>
    <x v="0"/>
    <x v="0"/>
    <n v="4"/>
    <n v="18736"/>
    <n v="0"/>
    <n v="0"/>
    <n v="4"/>
    <n v="0"/>
    <m/>
    <n v="0"/>
    <n v="0"/>
    <n v="18736"/>
    <n v="0"/>
    <x v="0"/>
    <n v="0"/>
    <n v="4"/>
    <n v="18736"/>
    <n v="0"/>
    <n v="0"/>
    <n v="4"/>
    <n v="0"/>
    <m/>
    <n v="0"/>
    <n v="0"/>
    <n v="18736"/>
    <n v="0"/>
    <n v="0"/>
    <n v="0"/>
    <n v="4"/>
    <n v="18736"/>
    <n v="0"/>
    <n v="0"/>
    <n v="4"/>
    <n v="0"/>
    <n v="0"/>
    <n v="0"/>
    <n v="0"/>
    <n v="18736"/>
    <n v="0"/>
    <n v="0"/>
    <n v="0"/>
    <n v="4"/>
    <n v="18736"/>
    <n v="0"/>
    <n v="0"/>
    <n v="4"/>
    <n v="0"/>
    <n v="0"/>
    <n v="0"/>
    <n v="0"/>
    <n v="18736"/>
    <n v="0"/>
    <n v="0"/>
    <n v="0"/>
    <n v="4"/>
    <n v="18736"/>
    <n v="0"/>
    <n v="0"/>
    <n v="4"/>
    <n v="0"/>
    <n v="0"/>
    <n v="0"/>
    <m/>
    <n v="16560"/>
    <n v="0"/>
    <n v="0"/>
    <n v="0"/>
    <n v="4"/>
    <n v="16560"/>
    <n v="0"/>
    <n v="0"/>
    <n v="4"/>
    <n v="0"/>
    <n v="0"/>
    <n v="0"/>
    <n v="0"/>
    <m/>
    <n v="16560"/>
    <n v="0"/>
    <n v="0"/>
    <n v="0"/>
    <n v="4"/>
    <n v="16560"/>
    <n v="0"/>
    <n v="0"/>
    <n v="4"/>
    <n v="0"/>
    <n v="0"/>
    <n v="0"/>
    <n v="16560"/>
    <n v="0"/>
    <n v="0"/>
    <n v="0"/>
    <n v="4"/>
    <n v="16560"/>
    <n v="0"/>
    <n v="0"/>
    <n v="4"/>
    <n v="0"/>
    <n v="0"/>
    <n v="0"/>
    <n v="16560"/>
    <n v="0"/>
    <n v="0"/>
    <n v="4"/>
    <n v="16560"/>
    <n v="0"/>
    <n v="0"/>
    <n v="4"/>
    <n v="0"/>
    <n v="0"/>
    <m/>
    <n v="16560"/>
    <n v="0"/>
    <n v="0"/>
    <n v="4"/>
    <n v="16560"/>
    <n v="0"/>
  </r>
  <r>
    <s v="Lhotse-Hidratación"/>
    <x v="1"/>
    <x v="12"/>
    <x v="28"/>
    <s v="LHBOHY95"/>
    <x v="145"/>
    <x v="142"/>
    <x v="0"/>
    <x v="1"/>
    <n v="1"/>
    <x v="118"/>
    <n v="0"/>
    <m/>
    <n v="0"/>
    <n v="4758"/>
    <n v="0"/>
    <n v="4"/>
    <n v="4370"/>
    <n v="11016.806722689076"/>
    <n v="9364.2857142857138"/>
    <s v="Shenzhen"/>
    <x v="0"/>
    <n v="30"/>
    <n v="100"/>
    <n v="52"/>
    <n v="0.61220485242743738"/>
    <n v="44"/>
    <n v="0.64192284997757854"/>
    <n v="14"/>
    <n v="0.6476060360629442"/>
    <n v="0"/>
    <n v="0.64761133603238863"/>
    <n v="2"/>
    <n v="0.58979215913652383"/>
    <n v="49"/>
    <n v="0.55691713946781551"/>
    <n v="35"/>
    <n v="0.50179450314687912"/>
    <n v="15"/>
    <n v="0.58835788615072804"/>
    <n v="8"/>
    <n v="0.57668405191107952"/>
    <n v="16"/>
    <n v="0.5518238653087657"/>
    <n v="16"/>
    <n v="0.55991901265969135"/>
    <n v="21"/>
    <n v="0.49318505483016567"/>
    <n v="2"/>
    <s v=""/>
    <n v="1"/>
    <s v=""/>
    <n v="0"/>
    <s v=""/>
    <n v="0"/>
    <s v=""/>
    <n v="0"/>
    <n v="0"/>
    <s v=""/>
    <n v="0"/>
    <n v="0"/>
    <s v=""/>
    <n v="0"/>
    <n v="0"/>
    <s v=""/>
    <n v="0"/>
    <n v="0"/>
    <n v="2"/>
    <n v="0"/>
    <n v="0"/>
    <n v="0"/>
    <n v="0"/>
    <n v="7137"/>
    <n v="8280"/>
    <n v="0"/>
    <n v="0"/>
    <n v="0"/>
    <n v="0"/>
    <n v="0"/>
    <n v="0"/>
    <n v="2"/>
    <n v="1.5"/>
    <n v="0"/>
    <n v="0"/>
    <n v="0"/>
    <n v="7137"/>
    <n v="8280"/>
    <n v="7137"/>
    <n v="0"/>
    <n v="0"/>
    <n v="0"/>
    <n v="13886.731163053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1"/>
    <x v="12"/>
    <x v="28"/>
    <s v="LHTPHY01"/>
    <x v="146"/>
    <x v="143"/>
    <x v="0"/>
    <x v="6"/>
    <n v="1"/>
    <x v="12"/>
    <n v="182"/>
    <m/>
    <n v="0"/>
    <n v="859"/>
    <n v="156338"/>
    <n v="0.5"/>
    <n v="546.25"/>
    <n v="3352.9411764705883"/>
    <n v="3352.9411764705883"/>
    <s v="Shenzhen"/>
    <x v="0"/>
    <n v="30"/>
    <n v="100"/>
    <n v="34"/>
    <n v="0.73618848792126457"/>
    <n v="21"/>
    <s v=""/>
    <n v="16"/>
    <n v="0.73618848792126457"/>
    <n v="4"/>
    <n v="0.73618848792126446"/>
    <n v="13"/>
    <n v="0.72229495330036886"/>
    <n v="30"/>
    <n v="0.58441885222103929"/>
    <n v="22"/>
    <n v="0.69630834512022621"/>
    <n v="9"/>
    <s v=""/>
    <n v="6"/>
    <s v=""/>
    <n v="8"/>
    <n v="0.74385923053981506"/>
    <n v="5"/>
    <n v="0.72671969455933816"/>
    <n v="1"/>
    <n v="0.74381151207873542"/>
    <n v="1"/>
    <s v=""/>
    <n v="2"/>
    <s v=""/>
    <n v="0"/>
    <s v=""/>
    <n v="1"/>
    <s v=""/>
    <n v="0"/>
    <n v="0"/>
    <s v=""/>
    <n v="0"/>
    <n v="0"/>
    <s v=""/>
    <n v="0"/>
    <n v="0"/>
    <s v=""/>
    <n v="0"/>
    <n v="5"/>
    <n v="174"/>
    <n v="5"/>
    <n v="0"/>
    <n v="0"/>
    <n v="0"/>
    <n v="6872"/>
    <n v="90045"/>
    <n v="4295"/>
    <n v="0"/>
    <n v="182"/>
    <n v="156338"/>
    <n v="14087.988136431046"/>
    <n v="0"/>
    <n v="185"/>
    <n v="3"/>
    <n v="0"/>
    <n v="0"/>
    <n v="0"/>
    <n v="3436"/>
    <n v="95737.5"/>
    <n v="2577"/>
    <n v="0"/>
    <n v="182"/>
    <n v="156338"/>
    <n v="8452.7928818586261"/>
    <n v="0"/>
    <n v="183"/>
    <n v="0"/>
    <n v="0"/>
    <n v="0"/>
    <n v="7586.5"/>
    <n v="157197"/>
    <n v="0"/>
    <n v="0"/>
    <n v="182"/>
    <n v="156338"/>
    <n v="0"/>
    <n v="0"/>
    <n v="183"/>
    <n v="1"/>
    <n v="0"/>
    <n v="0"/>
    <n v="94702.5"/>
    <n v="859"/>
    <x v="0"/>
    <x v="0"/>
    <n v="182"/>
    <n v="156338"/>
    <n v="3352.9411764705883"/>
    <n v="13"/>
    <n v="182"/>
    <n v="13"/>
    <m/>
    <n v="0"/>
    <n v="0"/>
    <n v="156338"/>
    <n v="6727.5"/>
    <x v="0"/>
    <n v="0"/>
    <n v="182"/>
    <n v="156338"/>
    <n v="43588.23529411765"/>
    <n v="30"/>
    <n v="182"/>
    <n v="0"/>
    <m/>
    <n v="0"/>
    <n v="0"/>
    <n v="156338"/>
    <n v="0"/>
    <n v="0"/>
    <n v="0"/>
    <n v="182"/>
    <n v="156338"/>
    <n v="0"/>
    <n v="22"/>
    <n v="182"/>
    <n v="22"/>
    <n v="0"/>
    <n v="0"/>
    <n v="0"/>
    <n v="156338"/>
    <n v="11385"/>
    <n v="0"/>
    <n v="0"/>
    <n v="182"/>
    <n v="156338"/>
    <n v="73764.705882352937"/>
    <n v="9"/>
    <n v="160"/>
    <n v="9"/>
    <n v="0"/>
    <n v="0"/>
    <n v="0"/>
    <n v="137440"/>
    <n v="4657.5"/>
    <n v="0"/>
    <n v="0"/>
    <n v="160"/>
    <n v="137440"/>
    <n v="30176.470588235294"/>
    <n v="6"/>
    <n v="151"/>
    <n v="6"/>
    <n v="0"/>
    <n v="0"/>
    <m/>
    <n v="78142.5"/>
    <n v="3105"/>
    <n v="0"/>
    <n v="0"/>
    <n v="151"/>
    <n v="78142.5"/>
    <n v="20117.647058823532"/>
    <n v="8"/>
    <n v="145"/>
    <n v="8"/>
    <n v="0"/>
    <n v="0"/>
    <n v="0"/>
    <m/>
    <n v="75037.5"/>
    <n v="4140"/>
    <n v="0"/>
    <n v="0"/>
    <n v="145"/>
    <n v="75037.5"/>
    <n v="26823.529411764706"/>
    <n v="8"/>
    <n v="137"/>
    <n v="8"/>
    <n v="0"/>
    <n v="0"/>
    <n v="70897.5"/>
    <n v="4140"/>
    <n v="0"/>
    <n v="0"/>
    <n v="137"/>
    <n v="70897.5"/>
    <n v="28164.705882352944"/>
    <n v="8"/>
    <n v="129"/>
    <n v="8"/>
    <n v="0"/>
    <n v="0"/>
    <n v="66757.5"/>
    <n v="4140"/>
    <n v="0"/>
    <n v="129"/>
    <n v="66757.5"/>
    <n v="26823.529411764706"/>
    <n v="4.8"/>
    <n v="121"/>
    <n v="4.8"/>
    <n v="0"/>
    <m/>
    <n v="62617.5"/>
    <n v="4123.2"/>
    <n v="0"/>
    <n v="121"/>
    <n v="62617.5"/>
    <n v="16094.117647058823"/>
  </r>
  <r>
    <s v="Lhotse-Hidratación"/>
    <x v="1"/>
    <x v="12"/>
    <x v="28"/>
    <s v="LHTRMU"/>
    <x v="147"/>
    <x v="144"/>
    <x v="0"/>
    <x v="4"/>
    <n v="1"/>
    <x v="119"/>
    <n v="44"/>
    <m/>
    <n v="0"/>
    <n v="3092"/>
    <n v="136048"/>
    <n v="2.8"/>
    <n v="3058.9999999999995"/>
    <n v="8394.957983193277"/>
    <n v="10915.966386554623"/>
    <s v="Shenzhen"/>
    <x v="0"/>
    <n v="30"/>
    <n v="100"/>
    <n v="1"/>
    <n v="0.77730685718288162"/>
    <n v="1"/>
    <n v="0.6872218396458436"/>
    <n v="25"/>
    <n v="0.71991955988913225"/>
    <n v="27"/>
    <n v="0.67885983890662072"/>
    <n v="49"/>
    <n v="0.65475928911207937"/>
    <n v="94"/>
    <n v="0.59997082794430789"/>
    <n v="1"/>
    <n v="0.67888054232319528"/>
    <n v="13"/>
    <n v="0.53852076381164249"/>
    <n v="8"/>
    <n v="0.7049439255719161"/>
    <n v="37"/>
    <n v="0.51120261017363522"/>
    <n v="33"/>
    <n v="0.63922429854880469"/>
    <n v="155"/>
    <n v="0.59706050214133333"/>
    <n v="30"/>
    <s v=""/>
    <n v="57"/>
    <s v=""/>
    <n v="93"/>
    <s v=""/>
    <n v="104"/>
    <s v=""/>
    <n v="1.3"/>
    <n v="34"/>
    <s v=""/>
    <n v="0.47222222222222221"/>
    <n v="40"/>
    <s v=""/>
    <n v="0.3007518796992481"/>
    <n v="3"/>
    <s v=""/>
    <n v="3.7974683544303799E-2"/>
    <n v="35"/>
    <n v="97"/>
    <n v="30"/>
    <n v="100"/>
    <n v="100"/>
    <n v="0"/>
    <n v="644682"/>
    <n v="281106"/>
    <n v="92760"/>
    <n v="0"/>
    <n v="44"/>
    <n v="136048"/>
    <n v="211637.59621495657"/>
    <n v="30"/>
    <n v="182"/>
    <n v="85.5"/>
    <n v="100"/>
    <n v="0"/>
    <n v="0"/>
    <n v="873490"/>
    <n v="527436"/>
    <n v="264366"/>
    <n v="0"/>
    <n v="44"/>
    <n v="136048"/>
    <n v="603167.14921262627"/>
    <n v="45"/>
    <n v="137"/>
    <n v="93"/>
    <n v="0"/>
    <n v="0"/>
    <n v="817780"/>
    <n v="423604"/>
    <n v="287556"/>
    <n v="0"/>
    <n v="44"/>
    <n v="136048"/>
    <n v="780731.09243697475"/>
    <n v="80"/>
    <n v="218"/>
    <n v="104"/>
    <n v="100"/>
    <n v="0"/>
    <n v="631764"/>
    <n v="321568"/>
    <x v="43"/>
    <x v="0"/>
    <n v="44"/>
    <n v="136048"/>
    <n v="873075.63025210076"/>
    <n v="72"/>
    <n v="78"/>
    <n v="72"/>
    <m/>
    <n v="0"/>
    <n v="0"/>
    <n v="241176"/>
    <n v="208656"/>
    <x v="0"/>
    <n v="0"/>
    <n v="44"/>
    <n v="136048"/>
    <n v="604436.97478991596"/>
    <n v="133"/>
    <n v="84"/>
    <n v="40"/>
    <m/>
    <n v="0"/>
    <n v="0"/>
    <n v="259728"/>
    <n v="115920"/>
    <n v="0"/>
    <n v="0"/>
    <n v="84"/>
    <n v="136048"/>
    <n v="335798.31932773109"/>
    <n v="79"/>
    <n v="47"/>
    <n v="79"/>
    <n v="0"/>
    <n v="0"/>
    <n v="0"/>
    <n v="145324"/>
    <n v="228942"/>
    <n v="0"/>
    <n v="0"/>
    <n v="47"/>
    <n v="136048"/>
    <n v="663201.68067226885"/>
    <n v="35"/>
    <n v="0"/>
    <n v="35"/>
    <n v="100"/>
    <n v="100"/>
    <n v="0"/>
    <n v="0"/>
    <n v="101430"/>
    <n v="289800"/>
    <n v="0"/>
    <n v="100"/>
    <n v="289800"/>
    <n v="293823.5294117647"/>
    <n v="40"/>
    <n v="0"/>
    <n v="40"/>
    <n v="0"/>
    <n v="0"/>
    <n v="100"/>
    <n v="0"/>
    <n v="115920"/>
    <n v="0"/>
    <n v="289800"/>
    <n v="100"/>
    <n v="289800"/>
    <n v="335798.31932773109"/>
    <n v="60"/>
    <n v="60"/>
    <n v="60"/>
    <n v="200"/>
    <n v="200"/>
    <n v="200"/>
    <n v="0"/>
    <n v="173880"/>
    <n v="173880"/>
    <n v="579600"/>
    <n v="579600"/>
    <n v="260"/>
    <n v="753480"/>
    <n v="654957.98319327738"/>
    <n v="40"/>
    <n v="200"/>
    <n v="40"/>
    <n v="0"/>
    <n v="0"/>
    <n v="579600"/>
    <n v="115920"/>
    <n v="0"/>
    <n v="0"/>
    <n v="200"/>
    <n v="579600"/>
    <n v="458470.58823529421"/>
    <n v="80"/>
    <n v="160"/>
    <n v="80"/>
    <n v="0"/>
    <n v="0"/>
    <n v="463680"/>
    <n v="231840"/>
    <n v="0"/>
    <n v="160"/>
    <n v="463680"/>
    <n v="671596.63865546219"/>
    <n v="24"/>
    <n v="80"/>
    <n v="24"/>
    <n v="0"/>
    <m/>
    <n v="231840"/>
    <n v="74208"/>
    <n v="0"/>
    <n v="80"/>
    <n v="231840"/>
    <n v="201478.99159663863"/>
  </r>
  <r>
    <s v="Lhotse-Hidratación"/>
    <x v="1"/>
    <x v="12"/>
    <x v="28"/>
    <s v="LHTRMU"/>
    <x v="148"/>
    <x v="145"/>
    <x v="0"/>
    <x v="4"/>
    <n v="1"/>
    <x v="120"/>
    <n v="110"/>
    <m/>
    <n v="0"/>
    <n v="3221"/>
    <n v="354310"/>
    <n v="2.8"/>
    <n v="3058.9999999999995"/>
    <n v="8394.957983193277"/>
    <n v="10915.966386554623"/>
    <s v="Shenzhen"/>
    <x v="0"/>
    <n v="30"/>
    <n v="100"/>
    <n v="29"/>
    <n v="0.75011120468601311"/>
    <n v="41"/>
    <n v="0.72523199554553264"/>
    <n v="47"/>
    <n v="0.72150158893159921"/>
    <n v="26"/>
    <n v="0.67802056992303705"/>
    <n v="30"/>
    <n v="0.69459328091262895"/>
    <n v="26"/>
    <n v="0.6256856402236548"/>
    <n v="10"/>
    <n v="0.73570538526440965"/>
    <n v="14"/>
    <n v="0.57725183957687587"/>
    <n v="6"/>
    <n v="0.69408170470990382"/>
    <n v="17"/>
    <n v="0.63500958791865358"/>
    <n v="17"/>
    <n v="0.64189919521479943"/>
    <n v="25"/>
    <n v="0.62520899865335766"/>
    <n v="41"/>
    <s v=""/>
    <n v="23"/>
    <s v=""/>
    <n v="48"/>
    <s v=""/>
    <n v="30"/>
    <s v=""/>
    <n v="1"/>
    <n v="10"/>
    <s v=""/>
    <n v="0.45454545454545453"/>
    <n v="33"/>
    <s v=""/>
    <n v="1.32"/>
    <n v="0"/>
    <s v=""/>
    <n v="0"/>
    <n v="35"/>
    <n v="228"/>
    <n v="30"/>
    <n v="100"/>
    <n v="100"/>
    <n v="0"/>
    <n v="362362.5"/>
    <n v="660744"/>
    <n v="96630"/>
    <n v="0"/>
    <n v="110"/>
    <n v="354310"/>
    <n v="211637.59621495657"/>
    <n v="35"/>
    <n v="276"/>
    <n v="34.5"/>
    <n v="0"/>
    <n v="0"/>
    <n v="0"/>
    <n v="362362.5"/>
    <n v="799848"/>
    <n v="111124.5"/>
    <n v="0"/>
    <n v="110"/>
    <n v="354310"/>
    <n v="243383.23564720005"/>
    <n v="45"/>
    <n v="248"/>
    <n v="48"/>
    <n v="0"/>
    <n v="0"/>
    <n v="314994"/>
    <n v="798808"/>
    <n v="154608"/>
    <n v="0"/>
    <n v="110"/>
    <n v="354310"/>
    <n v="402957.98319327726"/>
    <n v="30"/>
    <n v="196"/>
    <n v="30"/>
    <n v="0"/>
    <n v="0"/>
    <n v="568008"/>
    <n v="96630"/>
    <x v="0"/>
    <x v="0"/>
    <n v="110"/>
    <n v="354310"/>
    <n v="251848.73949579831"/>
    <n v="22"/>
    <n v="120"/>
    <n v="22"/>
    <m/>
    <n v="0"/>
    <n v="0"/>
    <n v="386520"/>
    <n v="63756"/>
    <x v="0"/>
    <n v="0"/>
    <n v="110"/>
    <n v="354310"/>
    <n v="184689.0756302521"/>
    <n v="25"/>
    <n v="143"/>
    <n v="33"/>
    <m/>
    <n v="0"/>
    <n v="0"/>
    <n v="460603"/>
    <n v="95634"/>
    <n v="0"/>
    <n v="0"/>
    <n v="143"/>
    <n v="354310"/>
    <n v="277033.61344537814"/>
    <n v="20"/>
    <n v="110"/>
    <n v="20"/>
    <n v="0"/>
    <n v="0"/>
    <n v="0"/>
    <n v="354310"/>
    <n v="57960"/>
    <n v="0"/>
    <n v="0"/>
    <n v="110"/>
    <n v="354310"/>
    <n v="167899.15966386555"/>
    <n v="15"/>
    <n v="90"/>
    <n v="15"/>
    <n v="0"/>
    <n v="0"/>
    <n v="0"/>
    <n v="289890"/>
    <n v="43470"/>
    <n v="0"/>
    <n v="0"/>
    <n v="90"/>
    <n v="289890"/>
    <n v="125924.36974789915"/>
    <n v="15"/>
    <n v="75"/>
    <n v="15"/>
    <n v="0"/>
    <n v="0"/>
    <m/>
    <n v="217350"/>
    <n v="43470"/>
    <n v="0"/>
    <n v="0"/>
    <n v="75"/>
    <n v="217350"/>
    <n v="125924.36974789915"/>
    <n v="25"/>
    <n v="60"/>
    <n v="25"/>
    <n v="0"/>
    <n v="0"/>
    <n v="0"/>
    <m/>
    <n v="173880"/>
    <n v="72450"/>
    <n v="0"/>
    <n v="0"/>
    <n v="60"/>
    <n v="173880"/>
    <n v="272899.15966386558"/>
    <n v="17"/>
    <n v="35"/>
    <n v="17"/>
    <n v="0"/>
    <n v="0"/>
    <n v="101430"/>
    <n v="49266"/>
    <n v="0"/>
    <n v="0"/>
    <n v="35"/>
    <n v="101430"/>
    <n v="194850.00000000003"/>
    <n v="30"/>
    <n v="18"/>
    <n v="30"/>
    <n v="0"/>
    <n v="0"/>
    <n v="52164"/>
    <n v="86940"/>
    <n v="0"/>
    <n v="18"/>
    <n v="52164"/>
    <n v="251848.73949579831"/>
    <n v="10.199999999999999"/>
    <n v="0"/>
    <n v="10.199999999999999"/>
    <n v="0"/>
    <m/>
    <n v="0"/>
    <n v="32854.199999999997"/>
    <n v="0"/>
    <n v="0"/>
    <n v="0"/>
    <n v="85628.57142857142"/>
  </r>
  <r>
    <s v="Lhotse-Hidratación"/>
    <x v="1"/>
    <x v="12"/>
    <x v="28"/>
    <s v="LHTRMU"/>
    <x v="149"/>
    <x v="146"/>
    <x v="0"/>
    <x v="4"/>
    <n v="1"/>
    <x v="121"/>
    <n v="66"/>
    <m/>
    <n v="0"/>
    <n v="3118"/>
    <n v="205788"/>
    <n v="2.8"/>
    <n v="3058.9999999999995"/>
    <n v="8394.957983193277"/>
    <n v="10915.966386554623"/>
    <s v="Shenzhen"/>
    <x v="0"/>
    <n v="30"/>
    <n v="100"/>
    <n v="14"/>
    <n v="0.77748947628305032"/>
    <n v="0"/>
    <n v="0.74781138366277689"/>
    <n v="17"/>
    <n v="0.72477216797650246"/>
    <n v="33"/>
    <n v="0.67484350650296399"/>
    <n v="43"/>
    <n v="0.66990940999031234"/>
    <n v="93"/>
    <n v="0.5971811740385301"/>
    <n v="11"/>
    <n v="0.58930365443836874"/>
    <n v="18"/>
    <n v="0.59208663594460142"/>
    <n v="9"/>
    <n v="0.69700746550746551"/>
    <n v="29"/>
    <n v="0.61139526594197546"/>
    <n v="39"/>
    <n v="0.65097315435809233"/>
    <n v="64"/>
    <n v="0.63582658079088561"/>
    <n v="39"/>
    <s v=""/>
    <n v="51"/>
    <s v=""/>
    <n v="72"/>
    <s v=""/>
    <n v="65"/>
    <s v=""/>
    <n v="1.8571428571428572"/>
    <n v="29"/>
    <s v=""/>
    <n v="0.46031746031746029"/>
    <n v="6"/>
    <s v=""/>
    <n v="4.6153846153846156E-2"/>
    <n v="4"/>
    <s v=""/>
    <n v="0.05"/>
    <n v="30"/>
    <n v="142"/>
    <n v="30"/>
    <n v="100"/>
    <n v="100"/>
    <n v="0"/>
    <n v="556563"/>
    <n v="411516"/>
    <n v="93540"/>
    <n v="0"/>
    <n v="66"/>
    <n v="205788"/>
    <n v="211637.59621495657"/>
    <n v="30"/>
    <n v="205"/>
    <n v="76.5"/>
    <n v="0"/>
    <n v="0"/>
    <n v="0"/>
    <n v="665693"/>
    <n v="594090"/>
    <n v="238527"/>
    <n v="0"/>
    <n v="66"/>
    <n v="205788"/>
    <n v="539675.87034813932"/>
    <n v="50"/>
    <n v="136"/>
    <n v="72"/>
    <n v="0"/>
    <n v="0"/>
    <n v="609740"/>
    <n v="424048"/>
    <n v="224496"/>
    <n v="0"/>
    <n v="66"/>
    <n v="205788"/>
    <n v="604436.97478991596"/>
    <n v="35"/>
    <n v="169"/>
    <n v="65"/>
    <n v="100"/>
    <n v="0"/>
    <n v="489762"/>
    <n v="202670"/>
    <x v="43"/>
    <x v="0"/>
    <n v="66"/>
    <n v="205788"/>
    <n v="545672.26890756295"/>
    <n v="63"/>
    <n v="95"/>
    <n v="63"/>
    <m/>
    <n v="0"/>
    <n v="0"/>
    <n v="296210"/>
    <n v="182574"/>
    <x v="0"/>
    <n v="0"/>
    <n v="66"/>
    <n v="205788"/>
    <n v="528882.3529411765"/>
    <n v="130"/>
    <n v="72"/>
    <n v="6"/>
    <m/>
    <n v="0"/>
    <n v="0"/>
    <n v="224496"/>
    <n v="17388"/>
    <n v="0"/>
    <n v="0"/>
    <n v="72"/>
    <n v="205788"/>
    <n v="50369.747899159658"/>
    <n v="80"/>
    <n v="70"/>
    <n v="80"/>
    <n v="0"/>
    <n v="0"/>
    <n v="0"/>
    <n v="218260"/>
    <n v="231840"/>
    <n v="0"/>
    <n v="0"/>
    <n v="70"/>
    <n v="205788"/>
    <n v="671596.63865546219"/>
    <n v="29"/>
    <n v="0"/>
    <n v="29"/>
    <n v="100"/>
    <n v="100"/>
    <n v="0"/>
    <n v="0"/>
    <n v="84042"/>
    <n v="289800"/>
    <n v="0"/>
    <n v="100"/>
    <n v="289800"/>
    <n v="243453.78151260503"/>
    <n v="37"/>
    <n v="0"/>
    <n v="37"/>
    <n v="0"/>
    <n v="0"/>
    <n v="100"/>
    <n v="0"/>
    <n v="107226"/>
    <n v="0"/>
    <n v="289800"/>
    <n v="100"/>
    <n v="289800"/>
    <n v="310613.44537815126"/>
    <n v="35"/>
    <n v="63"/>
    <n v="35"/>
    <n v="0"/>
    <n v="0"/>
    <n v="0"/>
    <m/>
    <n v="182574"/>
    <n v="101430"/>
    <n v="0"/>
    <n v="0"/>
    <n v="63"/>
    <n v="182574"/>
    <n v="382058.82352941181"/>
    <n v="30"/>
    <n v="28"/>
    <n v="30"/>
    <n v="0"/>
    <n v="0"/>
    <n v="81144"/>
    <n v="86940"/>
    <n v="0"/>
    <n v="0"/>
    <n v="28"/>
    <n v="81144"/>
    <n v="343852.94117647066"/>
    <n v="50"/>
    <n v="0"/>
    <n v="50"/>
    <n v="0"/>
    <n v="0"/>
    <n v="0"/>
    <n v="144900"/>
    <n v="0"/>
    <n v="0"/>
    <n v="0"/>
    <n v="419747.89915966382"/>
    <n v="18"/>
    <n v="0"/>
    <n v="18"/>
    <n v="0"/>
    <m/>
    <n v="0"/>
    <n v="56124"/>
    <n v="0"/>
    <n v="0"/>
    <n v="0"/>
    <n v="151109.24369747899"/>
  </r>
  <r>
    <s v="Lhotse-Hidratación"/>
    <x v="1"/>
    <x v="12"/>
    <x v="28"/>
    <s v="LHTRMU"/>
    <x v="150"/>
    <x v="147"/>
    <x v="0"/>
    <x v="4"/>
    <n v="1"/>
    <x v="122"/>
    <n v="114"/>
    <m/>
    <n v="0"/>
    <n v="3148"/>
    <n v="358872"/>
    <n v="2.8"/>
    <n v="3058.9999999999995"/>
    <n v="8394.957983193277"/>
    <n v="10915.966386554623"/>
    <s v="Shenzhen"/>
    <x v="0"/>
    <n v="30"/>
    <n v="100"/>
    <n v="24"/>
    <n v="0.76334726520467433"/>
    <n v="19"/>
    <n v="0.75384681599250603"/>
    <n v="19"/>
    <n v="0.72372977444322117"/>
    <n v="64"/>
    <n v="0.63038596007445358"/>
    <n v="20"/>
    <n v="0.64326626377047913"/>
    <n v="81"/>
    <n v="0.61874275082220587"/>
    <n v="11"/>
    <n v="0.68634391188812449"/>
    <n v="18"/>
    <n v="0.57656286710431259"/>
    <n v="9"/>
    <n v="0.69993722816465231"/>
    <n v="27"/>
    <n v="0.61353553084272672"/>
    <n v="29"/>
    <n v="0.61487163191014083"/>
    <n v="67"/>
    <n v="0.63958071162861463"/>
    <n v="35"/>
    <s v=""/>
    <n v="49"/>
    <s v=""/>
    <n v="78"/>
    <s v=""/>
    <n v="64"/>
    <s v=""/>
    <n v="1.0666666666666667"/>
    <n v="16"/>
    <s v=""/>
    <n v="0.15384615384615385"/>
    <n v="93"/>
    <s v=""/>
    <n v="0.81578947368421051"/>
    <n v="2"/>
    <s v=""/>
    <n v="2.7397260273972601E-2"/>
    <n v="45"/>
    <n v="165"/>
    <n v="25"/>
    <n v="100"/>
    <n v="100"/>
    <n v="0"/>
    <n v="555622"/>
    <n v="478170"/>
    <n v="78700"/>
    <n v="0"/>
    <n v="114"/>
    <n v="358872"/>
    <n v="176364.6635124638"/>
    <n v="40"/>
    <n v="224"/>
    <n v="73.5"/>
    <n v="100"/>
    <n v="0"/>
    <n v="0"/>
    <n v="678394"/>
    <n v="649152"/>
    <n v="231378"/>
    <n v="0"/>
    <n v="114"/>
    <n v="358872"/>
    <n v="518512.11072664359"/>
    <n v="50"/>
    <n v="192"/>
    <n v="78"/>
    <n v="0"/>
    <n v="0"/>
    <n v="748408"/>
    <n v="604416"/>
    <n v="245544"/>
    <n v="0"/>
    <n v="114"/>
    <n v="358872"/>
    <n v="654806.72268907563"/>
    <n v="60"/>
    <n v="292"/>
    <n v="64"/>
    <n v="100"/>
    <n v="0"/>
    <n v="846216"/>
    <n v="201472"/>
    <x v="43"/>
    <x v="0"/>
    <n v="114"/>
    <n v="358872"/>
    <n v="537277.31092436973"/>
    <n v="104"/>
    <n v="130"/>
    <n v="104"/>
    <m/>
    <n v="0"/>
    <n v="0"/>
    <n v="409240"/>
    <n v="301392"/>
    <x v="0"/>
    <n v="0"/>
    <n v="114"/>
    <n v="358872"/>
    <n v="873075.63025210076"/>
    <n v="114"/>
    <n v="207"/>
    <n v="93"/>
    <m/>
    <n v="0"/>
    <n v="0"/>
    <n v="651636"/>
    <n v="269514"/>
    <n v="0"/>
    <n v="0"/>
    <n v="207"/>
    <n v="358872"/>
    <n v="780731.09243697475"/>
    <n v="73"/>
    <n v="116"/>
    <n v="73"/>
    <n v="0"/>
    <n v="0"/>
    <n v="0"/>
    <n v="365168"/>
    <n v="211554"/>
    <n v="0"/>
    <n v="0"/>
    <n v="116"/>
    <n v="358872"/>
    <n v="612831.93277310918"/>
    <n v="29"/>
    <n v="43"/>
    <n v="29"/>
    <n v="100"/>
    <n v="100"/>
    <n v="0"/>
    <n v="135364"/>
    <n v="84042"/>
    <n v="289800"/>
    <n v="0"/>
    <n v="143"/>
    <n v="425164"/>
    <n v="243453.78151260503"/>
    <n v="17"/>
    <n v="14"/>
    <n v="17"/>
    <n v="0"/>
    <n v="0"/>
    <n v="100"/>
    <n v="40572"/>
    <n v="49266"/>
    <n v="0"/>
    <n v="289800"/>
    <n v="114"/>
    <n v="330372"/>
    <n v="142714.28571428571"/>
    <n v="35"/>
    <n v="97"/>
    <n v="35"/>
    <n v="0"/>
    <n v="0"/>
    <n v="0"/>
    <m/>
    <n v="281106"/>
    <n v="101430"/>
    <n v="0"/>
    <n v="0"/>
    <n v="97"/>
    <n v="281106"/>
    <n v="382058.82352941181"/>
    <n v="30"/>
    <n v="62"/>
    <n v="30"/>
    <n v="0"/>
    <n v="0"/>
    <n v="179676"/>
    <n v="86940"/>
    <n v="0"/>
    <n v="0"/>
    <n v="62"/>
    <n v="179676"/>
    <n v="343852.94117647066"/>
    <n v="70"/>
    <n v="32"/>
    <n v="70"/>
    <n v="0"/>
    <n v="0"/>
    <n v="92736"/>
    <n v="202860"/>
    <n v="0"/>
    <n v="32"/>
    <n v="92736"/>
    <n v="587647.0588235294"/>
    <n v="18"/>
    <n v="0"/>
    <n v="18"/>
    <n v="0"/>
    <m/>
    <n v="0"/>
    <n v="56664"/>
    <n v="0"/>
    <n v="0"/>
    <n v="0"/>
    <n v="151109.24369747899"/>
  </r>
  <r>
    <s v="Lhotse-Hidratación"/>
    <x v="1"/>
    <x v="12"/>
    <x v="28"/>
    <s v="LHTRMU"/>
    <x v="151"/>
    <x v="148"/>
    <x v="0"/>
    <x v="4"/>
    <n v="1"/>
    <x v="123"/>
    <n v="33"/>
    <m/>
    <n v="0"/>
    <n v="3481"/>
    <n v="114873"/>
    <n v="2.8"/>
    <n v="3058.9999999999995"/>
    <n v="8394.957983193277"/>
    <n v="10915.966386554623"/>
    <s v="Shenzhen"/>
    <x v="0"/>
    <n v="30"/>
    <n v="200"/>
    <n v="1"/>
    <n v="0.77774672550255652"/>
    <n v="0"/>
    <s v=""/>
    <n v="18"/>
    <n v="0.66225192640352259"/>
    <n v="23"/>
    <n v="0.65379251417578221"/>
    <n v="39"/>
    <n v="0.65139571409626029"/>
    <n v="85"/>
    <n v="0.61201582303545787"/>
    <n v="23"/>
    <n v="0.6630652952644368"/>
    <n v="3"/>
    <n v="0.47091823056300264"/>
    <n v="4"/>
    <n v="0.69734246109363029"/>
    <n v="24"/>
    <n v="0.60719102181792672"/>
    <n v="24"/>
    <n v="0.63011251322191275"/>
    <n v="49"/>
    <n v="0.63606540617063123"/>
    <n v="8"/>
    <s v=""/>
    <n v="25"/>
    <s v=""/>
    <n v="47"/>
    <s v=""/>
    <n v="20"/>
    <s v=""/>
    <n v="0.8"/>
    <n v="8"/>
    <s v=""/>
    <n v="0.14545454545454545"/>
    <n v="206"/>
    <s v=""/>
    <n v="1.7606837606837606"/>
    <n v="2"/>
    <s v=""/>
    <n v="6.0606060606060608E-2"/>
    <n v="30"/>
    <n v="132"/>
    <n v="20"/>
    <n v="0"/>
    <n v="0"/>
    <n v="0"/>
    <n v="363764.5"/>
    <n v="382536"/>
    <n v="69620"/>
    <n v="0"/>
    <n v="33"/>
    <n v="114873"/>
    <n v="141091.73080997105"/>
    <n v="25"/>
    <n v="140"/>
    <n v="37.5"/>
    <n v="100"/>
    <n v="100"/>
    <n v="0"/>
    <n v="363764.5"/>
    <n v="405720"/>
    <n v="130537.5"/>
    <n v="0"/>
    <n v="33"/>
    <n v="114873"/>
    <n v="264546.9952686957"/>
    <n v="24"/>
    <n v="80"/>
    <n v="47"/>
    <n v="0"/>
    <n v="0"/>
    <n v="392617"/>
    <n v="278480"/>
    <n v="163607"/>
    <n v="0"/>
    <n v="33"/>
    <n v="114873"/>
    <n v="394563.02521008404"/>
    <n v="25"/>
    <n v="263"/>
    <n v="20"/>
    <n v="100"/>
    <n v="0"/>
    <n v="762174"/>
    <n v="69620"/>
    <x v="43"/>
    <x v="0"/>
    <n v="33"/>
    <n v="114873"/>
    <n v="167899.15966386555"/>
    <n v="55"/>
    <n v="41"/>
    <n v="55"/>
    <m/>
    <n v="0"/>
    <n v="0"/>
    <n v="142721"/>
    <n v="159390"/>
    <x v="0"/>
    <n v="0"/>
    <n v="33"/>
    <n v="114873"/>
    <n v="461722.68907563022"/>
    <n v="117"/>
    <n v="239"/>
    <n v="206"/>
    <m/>
    <n v="0"/>
    <n v="0"/>
    <n v="831959"/>
    <n v="596988"/>
    <n v="0"/>
    <n v="0"/>
    <n v="239"/>
    <n v="114873"/>
    <n v="1729361.3445378151"/>
    <n v="33"/>
    <n v="35"/>
    <n v="33"/>
    <n v="0"/>
    <n v="0"/>
    <n v="0"/>
    <n v="121835"/>
    <n v="95634"/>
    <n v="0"/>
    <n v="0"/>
    <n v="35"/>
    <n v="114873"/>
    <n v="277033.61344537814"/>
    <n v="21"/>
    <n v="2"/>
    <n v="21"/>
    <n v="0"/>
    <n v="0"/>
    <n v="0"/>
    <n v="6962"/>
    <n v="60858"/>
    <n v="0"/>
    <n v="0"/>
    <n v="2"/>
    <n v="6962"/>
    <n v="176294.11764705883"/>
    <n v="28"/>
    <n v="0"/>
    <n v="28"/>
    <n v="0"/>
    <n v="0"/>
    <m/>
    <n v="0"/>
    <n v="81144"/>
    <n v="0"/>
    <n v="0"/>
    <n v="0"/>
    <n v="0"/>
    <n v="235058.82352941175"/>
    <n v="35"/>
    <n v="0"/>
    <n v="0"/>
    <n v="0"/>
    <n v="0"/>
    <n v="0"/>
    <m/>
    <n v="0"/>
    <n v="0"/>
    <n v="0"/>
    <n v="0"/>
    <n v="0"/>
    <n v="0"/>
    <n v="0"/>
    <n v="30"/>
    <n v="0"/>
    <n v="30"/>
    <n v="0"/>
    <n v="0"/>
    <n v="0"/>
    <n v="86940"/>
    <n v="0"/>
    <n v="0"/>
    <n v="0"/>
    <n v="0"/>
    <n v="343852.94117647066"/>
    <n v="50"/>
    <n v="0"/>
    <n v="50"/>
    <n v="0"/>
    <n v="0"/>
    <n v="0"/>
    <n v="144900"/>
    <n v="0"/>
    <n v="0"/>
    <n v="0"/>
    <n v="419747.89915966382"/>
    <n v="18"/>
    <n v="0"/>
    <n v="18"/>
    <n v="0"/>
    <m/>
    <n v="0"/>
    <n v="62658"/>
    <n v="0"/>
    <n v="0"/>
    <n v="0"/>
    <n v="151109.24369747899"/>
  </r>
  <r>
    <s v="Lhotse-Hidratación"/>
    <x v="1"/>
    <x v="12"/>
    <x v="28"/>
    <s v="LHBOIND"/>
    <x v="152"/>
    <x v="149"/>
    <x v="0"/>
    <x v="6"/>
    <n v="0.6"/>
    <x v="12"/>
    <n v="24"/>
    <m/>
    <n v="0"/>
    <n v="3794"/>
    <n v="91056"/>
    <n v="3.4"/>
    <n v="3714.4999999999995"/>
    <n v="8394.957983193277"/>
    <n v="8394.957983193277"/>
    <s v="Shenzhen"/>
    <x v="0"/>
    <n v="30"/>
    <n v="200"/>
    <n v="15"/>
    <n v="0.62911945128073776"/>
    <n v="29"/>
    <n v="0.5976361395469455"/>
    <n v="44"/>
    <n v="0.63145975815674704"/>
    <n v="30"/>
    <n v="0.56749192279353722"/>
    <n v="38"/>
    <n v="0.54933020716866043"/>
    <n v="155"/>
    <n v="0.51277599226248893"/>
    <n v="237"/>
    <n v="0.47689281149026702"/>
    <n v="379"/>
    <n v="0.4480831054132014"/>
    <n v="40"/>
    <n v="0.47115108383667159"/>
    <n v="113"/>
    <n v="0.50773607579825764"/>
    <n v="228"/>
    <n v="0.47218501612923863"/>
    <n v="247"/>
    <n v="0.46859884841096089"/>
    <n v="250"/>
    <s v=""/>
    <n v="147"/>
    <s v=""/>
    <n v="59"/>
    <s v=""/>
    <n v="33"/>
    <s v=""/>
    <n v="0.33"/>
    <n v="1"/>
    <s v=""/>
    <n v="0.04"/>
    <n v="1"/>
    <s v=""/>
    <n v="0"/>
    <n v="0"/>
    <s v=""/>
    <n v="0"/>
    <n v="100"/>
    <n v="293"/>
    <n v="100"/>
    <n v="0"/>
    <n v="0"/>
    <n v="0"/>
    <n v="1439823"/>
    <n v="1031066.9999999999"/>
    <n v="379400"/>
    <n v="0"/>
    <n v="24"/>
    <n v="91056"/>
    <n v="705458.65404985519"/>
    <n v="100"/>
    <n v="251"/>
    <n v="220.5"/>
    <n v="0"/>
    <n v="0"/>
    <n v="0"/>
    <n v="1185625"/>
    <n v="883268.99999999988"/>
    <n v="836577"/>
    <n v="0"/>
    <n v="24"/>
    <n v="91056"/>
    <n v="1555536.3321799308"/>
    <n v="100"/>
    <n v="87"/>
    <n v="59"/>
    <n v="0"/>
    <n v="0"/>
    <n v="401833"/>
    <n v="330078"/>
    <n v="223846"/>
    <n v="0"/>
    <n v="24"/>
    <n v="91056"/>
    <n v="495302.52100840333"/>
    <n v="100"/>
    <n v="38"/>
    <n v="33"/>
    <n v="0"/>
    <n v="0"/>
    <n v="133721.99999999997"/>
    <n v="125202"/>
    <x v="0"/>
    <x v="0"/>
    <n v="24"/>
    <n v="91056"/>
    <n v="277033.61344537814"/>
    <n v="25"/>
    <n v="25"/>
    <n v="15"/>
    <m/>
    <n v="0"/>
    <n v="0"/>
    <n v="94850"/>
    <n v="52784.999999999993"/>
    <x v="0"/>
    <n v="0"/>
    <n v="24"/>
    <n v="91056"/>
    <n v="125924.36974789915"/>
    <n v="0"/>
    <n v="25"/>
    <n v="1"/>
    <m/>
    <n v="0"/>
    <n v="0"/>
    <n v="94850"/>
    <n v="3518.9999999999995"/>
    <n v="0"/>
    <n v="0"/>
    <n v="25"/>
    <n v="91056"/>
    <n v="8394.957983193277"/>
    <n v="0"/>
    <n v="24"/>
    <n v="0"/>
    <n v="0"/>
    <n v="0"/>
    <n v="0"/>
    <n v="91056"/>
    <n v="0"/>
    <n v="0"/>
    <n v="0"/>
    <n v="24"/>
    <n v="91056"/>
    <n v="0"/>
    <n v="0"/>
    <n v="24"/>
    <n v="0"/>
    <n v="0"/>
    <n v="0"/>
    <n v="0"/>
    <n v="91056"/>
    <n v="0"/>
    <n v="0"/>
    <n v="0"/>
    <n v="24"/>
    <n v="91056"/>
    <n v="0"/>
    <n v="0"/>
    <n v="24"/>
    <n v="0"/>
    <n v="0"/>
    <n v="0"/>
    <m/>
    <n v="84455.999999999985"/>
    <n v="0"/>
    <n v="0"/>
    <n v="0"/>
    <n v="24"/>
    <n v="84455.999999999985"/>
    <n v="0"/>
    <n v="0"/>
    <n v="24"/>
    <n v="0"/>
    <n v="0"/>
    <n v="0"/>
    <n v="0"/>
    <m/>
    <n v="84455.999999999985"/>
    <n v="0"/>
    <n v="0"/>
    <n v="0"/>
    <n v="24"/>
    <n v="84455.999999999985"/>
    <n v="0"/>
    <n v="0"/>
    <n v="24"/>
    <n v="0"/>
    <n v="0"/>
    <n v="0"/>
    <n v="84455.999999999985"/>
    <n v="0"/>
    <n v="0"/>
    <n v="0"/>
    <n v="24"/>
    <n v="84455.999999999985"/>
    <n v="0"/>
    <n v="0"/>
    <n v="24"/>
    <n v="0"/>
    <n v="0"/>
    <n v="0"/>
    <n v="84455.999999999985"/>
    <n v="0"/>
    <n v="0"/>
    <n v="24"/>
    <n v="84455.999999999985"/>
    <n v="0"/>
    <n v="0"/>
    <n v="24"/>
    <n v="0"/>
    <n v="0"/>
    <m/>
    <n v="84455.999999999985"/>
    <n v="0"/>
    <n v="0"/>
    <n v="24"/>
    <n v="84455.999999999985"/>
    <n v="0"/>
  </r>
  <r>
    <s v="Lhotse-Hidratación"/>
    <x v="1"/>
    <x v="12"/>
    <x v="28"/>
    <s v="LHBOIND"/>
    <x v="153"/>
    <x v="150"/>
    <x v="0"/>
    <x v="6"/>
    <n v="1"/>
    <x v="12"/>
    <n v="4"/>
    <m/>
    <n v="0"/>
    <n v="3794"/>
    <n v="15176"/>
    <n v="3.4"/>
    <n v="3714.4999999999995"/>
    <n v="10915.966386554623"/>
    <n v="10915.966386554623"/>
    <s v="Shenzhen"/>
    <x v="0"/>
    <n v="30"/>
    <n v="200"/>
    <n v="3"/>
    <n v="0.58973399653979242"/>
    <n v="6"/>
    <n v="0.55268745578872913"/>
    <n v="8"/>
    <n v="0.64359426631410999"/>
    <n v="8"/>
    <n v="0.63666923817673149"/>
    <n v="9"/>
    <n v="0.54584766388700479"/>
    <n v="85"/>
    <n v="0.50989161914898185"/>
    <n v="14"/>
    <n v="0.54040213138708337"/>
    <n v="17"/>
    <n v="0.54320611606067903"/>
    <n v="6"/>
    <n v="0.57507139790566131"/>
    <n v="5"/>
    <n v="0.575117424041382"/>
    <n v="-1"/>
    <n v="0.54805122096485992"/>
    <n v="0"/>
    <s v=""/>
    <n v="2"/>
    <s v=""/>
    <n v="1"/>
    <s v=""/>
    <n v="0"/>
    <s v=""/>
    <n v="0"/>
    <s v=""/>
    <n v="0"/>
    <n v="0"/>
    <s v=""/>
    <n v="0"/>
    <n v="0"/>
    <s v=""/>
    <n v="0"/>
    <n v="0"/>
    <s v=""/>
    <n v="0"/>
    <n v="0"/>
    <n v="4"/>
    <n v="0"/>
    <n v="0"/>
    <n v="0"/>
    <n v="0"/>
    <n v="5691"/>
    <n v="14075.999999999998"/>
    <n v="0"/>
    <n v="0"/>
    <n v="4"/>
    <n v="15176"/>
    <n v="0"/>
    <n v="0"/>
    <n v="4"/>
    <n v="1.5"/>
    <n v="0"/>
    <n v="0"/>
    <n v="0"/>
    <n v="5691"/>
    <n v="14075.999999999998"/>
    <n v="5691"/>
    <n v="0"/>
    <n v="4"/>
    <n v="15176"/>
    <n v="13759.621495657088"/>
    <n v="0"/>
    <n v="3"/>
    <n v="0"/>
    <n v="0"/>
    <n v="0"/>
    <n v="0"/>
    <n v="11382"/>
    <n v="0"/>
    <n v="0"/>
    <n v="4"/>
    <n v="15176"/>
    <n v="0"/>
    <n v="0"/>
    <n v="3"/>
    <n v="0"/>
    <n v="0"/>
    <n v="0"/>
    <n v="10556.999999999998"/>
    <n v="0"/>
    <x v="0"/>
    <x v="0"/>
    <n v="4"/>
    <n v="15176"/>
    <n v="0"/>
    <n v="0"/>
    <n v="4"/>
    <n v="0"/>
    <m/>
    <n v="0"/>
    <n v="0"/>
    <n v="15176"/>
    <n v="0"/>
    <x v="0"/>
    <n v="0"/>
    <n v="4"/>
    <n v="15176"/>
    <n v="0"/>
    <n v="0"/>
    <n v="4"/>
    <n v="0"/>
    <m/>
    <n v="0"/>
    <n v="0"/>
    <n v="15176"/>
    <n v="0"/>
    <n v="0"/>
    <n v="0"/>
    <n v="4"/>
    <n v="15176"/>
    <n v="0"/>
    <n v="0"/>
    <n v="4"/>
    <n v="0"/>
    <n v="0"/>
    <n v="0"/>
    <n v="0"/>
    <n v="15176"/>
    <n v="0"/>
    <n v="0"/>
    <n v="0"/>
    <n v="4"/>
    <n v="15176"/>
    <n v="0"/>
    <n v="0"/>
    <n v="4"/>
    <n v="0"/>
    <n v="0"/>
    <n v="0"/>
    <n v="0"/>
    <n v="15176"/>
    <n v="0"/>
    <n v="0"/>
    <n v="0"/>
    <n v="4"/>
    <n v="15176"/>
    <n v="0"/>
    <n v="0"/>
    <n v="4"/>
    <n v="0"/>
    <n v="0"/>
    <n v="0"/>
    <m/>
    <n v="14075.999999999998"/>
    <n v="0"/>
    <n v="0"/>
    <n v="0"/>
    <n v="4"/>
    <n v="14075.999999999998"/>
    <n v="0"/>
    <n v="0"/>
    <n v="4"/>
    <n v="0"/>
    <n v="0"/>
    <n v="0"/>
    <n v="0"/>
    <m/>
    <n v="14075.999999999998"/>
    <n v="0"/>
    <n v="0"/>
    <n v="0"/>
    <n v="4"/>
    <n v="14075.999999999998"/>
    <n v="0"/>
    <n v="0"/>
    <n v="4"/>
    <n v="0"/>
    <n v="0"/>
    <n v="0"/>
    <n v="14075.999999999998"/>
    <n v="0"/>
    <n v="0"/>
    <n v="0"/>
    <n v="4"/>
    <n v="14075.999999999998"/>
    <n v="0"/>
    <n v="0"/>
    <n v="4"/>
    <n v="0"/>
    <n v="0"/>
    <n v="0"/>
    <n v="14075.999999999998"/>
    <n v="0"/>
    <n v="0"/>
    <n v="4"/>
    <n v="14075.999999999998"/>
    <n v="0"/>
    <n v="0"/>
    <n v="4"/>
    <n v="0"/>
    <n v="0"/>
    <m/>
    <n v="14075.999999999998"/>
    <n v="0"/>
    <n v="0"/>
    <n v="4"/>
    <n v="14075.999999999998"/>
    <n v="0"/>
  </r>
  <r>
    <s v="Lhotse-Hidratación"/>
    <x v="1"/>
    <x v="12"/>
    <x v="28"/>
    <s v="LHBOIND"/>
    <x v="154"/>
    <x v="151"/>
    <x v="0"/>
    <x v="6"/>
    <n v="1"/>
    <x v="12"/>
    <n v="10"/>
    <m/>
    <n v="0"/>
    <n v="3794"/>
    <n v="37940"/>
    <n v="3.4"/>
    <n v="3714.4999999999995"/>
    <n v="10915.966386554623"/>
    <n v="10915.966386554623"/>
    <s v="Shenzhen"/>
    <x v="0"/>
    <n v="30"/>
    <n v="200"/>
    <n v="8"/>
    <n v="0.60579453493875768"/>
    <n v="9"/>
    <n v="0.64264649251615957"/>
    <n v="5"/>
    <n v="0.64881430607749135"/>
    <n v="3"/>
    <n v="0.65242396482227927"/>
    <n v="3"/>
    <n v="0.5342899226709219"/>
    <n v="7"/>
    <n v="0.54804764740917211"/>
    <n v="24"/>
    <n v="0.47037135768224536"/>
    <n v="17"/>
    <n v="0.5263870539276323"/>
    <n v="6"/>
    <n v="0.47545090625052033"/>
    <n v="7"/>
    <n v="0.49250300957330945"/>
    <n v="27"/>
    <n v="0.53241097878827992"/>
    <n v="19"/>
    <n v="0.54806408590446754"/>
    <n v="12"/>
    <s v=""/>
    <n v="8"/>
    <s v=""/>
    <n v="2"/>
    <s v=""/>
    <n v="3"/>
    <s v=""/>
    <n v="0"/>
    <n v="0"/>
    <s v=""/>
    <n v="0"/>
    <n v="0"/>
    <s v=""/>
    <n v="0"/>
    <n v="1"/>
    <s v=""/>
    <n v="0"/>
    <n v="10"/>
    <n v="28"/>
    <n v="10"/>
    <n v="0"/>
    <n v="0"/>
    <n v="0"/>
    <n v="91056"/>
    <n v="98531.999999999985"/>
    <n v="37940"/>
    <n v="0"/>
    <n v="10"/>
    <n v="37940"/>
    <n v="91730.80997104726"/>
    <n v="0"/>
    <n v="15"/>
    <n v="12"/>
    <n v="0"/>
    <n v="0"/>
    <n v="0"/>
    <n v="64498"/>
    <n v="52784.999999999993"/>
    <n v="45528"/>
    <n v="0"/>
    <n v="10"/>
    <n v="37940"/>
    <n v="110076.9719652567"/>
    <n v="0"/>
    <n v="7"/>
    <n v="2"/>
    <n v="0"/>
    <n v="0"/>
    <n v="29527"/>
    <n v="26558"/>
    <n v="7588"/>
    <n v="0"/>
    <n v="10"/>
    <n v="37940"/>
    <n v="21831.932773109245"/>
    <n v="0"/>
    <n v="6"/>
    <n v="3"/>
    <n v="0"/>
    <n v="0"/>
    <n v="21113.999999999996"/>
    <n v="11382"/>
    <x v="0"/>
    <x v="0"/>
    <n v="10"/>
    <n v="37940"/>
    <n v="32747.899159663866"/>
    <n v="3"/>
    <n v="10"/>
    <n v="3"/>
    <m/>
    <n v="0"/>
    <n v="0"/>
    <n v="37940"/>
    <n v="10556.999999999998"/>
    <x v="0"/>
    <n v="0"/>
    <n v="10"/>
    <n v="37940"/>
    <n v="32747.899159663866"/>
    <n v="0"/>
    <n v="10"/>
    <n v="0"/>
    <m/>
    <n v="0"/>
    <n v="0"/>
    <n v="37940"/>
    <n v="0"/>
    <n v="0"/>
    <n v="0"/>
    <n v="10"/>
    <n v="37940"/>
    <n v="0"/>
    <n v="0"/>
    <n v="11"/>
    <n v="0"/>
    <n v="0"/>
    <n v="0"/>
    <n v="0"/>
    <n v="41734"/>
    <n v="0"/>
    <n v="0"/>
    <n v="0"/>
    <n v="11"/>
    <n v="37940"/>
    <n v="0"/>
    <n v="0"/>
    <n v="11"/>
    <n v="0"/>
    <n v="0"/>
    <n v="0"/>
    <n v="0"/>
    <n v="41734"/>
    <n v="0"/>
    <n v="0"/>
    <n v="0"/>
    <n v="11"/>
    <n v="41734"/>
    <n v="0"/>
    <n v="0"/>
    <n v="11"/>
    <n v="0"/>
    <n v="0"/>
    <n v="0"/>
    <m/>
    <n v="38708.999999999993"/>
    <n v="0"/>
    <n v="0"/>
    <n v="0"/>
    <n v="11"/>
    <n v="38708.999999999993"/>
    <n v="0"/>
    <n v="0"/>
    <n v="11"/>
    <n v="0"/>
    <n v="0"/>
    <n v="0"/>
    <n v="0"/>
    <m/>
    <n v="38708.999999999993"/>
    <n v="0"/>
    <n v="0"/>
    <n v="0"/>
    <n v="11"/>
    <n v="38708.999999999993"/>
    <n v="0"/>
    <n v="0"/>
    <n v="11"/>
    <n v="0"/>
    <n v="0"/>
    <n v="0"/>
    <n v="38708.999999999993"/>
    <n v="0"/>
    <n v="0"/>
    <n v="0"/>
    <n v="11"/>
    <n v="38708.999999999993"/>
    <n v="0"/>
    <n v="0"/>
    <n v="11"/>
    <n v="0"/>
    <n v="0"/>
    <n v="0"/>
    <n v="38708.999999999993"/>
    <n v="0"/>
    <n v="0"/>
    <n v="11"/>
    <n v="38708.999999999993"/>
    <n v="0"/>
    <n v="0"/>
    <n v="11"/>
    <n v="0"/>
    <n v="0"/>
    <m/>
    <n v="38708.999999999993"/>
    <n v="0"/>
    <n v="0"/>
    <n v="11"/>
    <n v="38708.999999999993"/>
    <n v="0"/>
  </r>
  <r>
    <m/>
    <x v="1"/>
    <x v="12"/>
    <x v="28"/>
    <s v="LHBOHYCO"/>
    <x v="155"/>
    <x v="152"/>
    <x v="0"/>
    <x v="3"/>
    <n v="1"/>
    <x v="124"/>
    <n v="443"/>
    <m/>
    <n v="0"/>
    <n v="4899"/>
    <n v="2170257"/>
    <n v="5.15"/>
    <n v="5626.375"/>
    <n v="12596.638655462186"/>
    <n v="12596.638655462186"/>
    <s v="Ningbo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5"/>
    <n v="0.47525889867735577"/>
    <n v="143"/>
    <n v="0.40246171992555324"/>
    <n v="24"/>
    <s v=""/>
    <n v="25"/>
    <s v=""/>
    <n v="173"/>
    <s v=""/>
    <n v="16"/>
    <s v=""/>
    <n v="0.32"/>
    <n v="2"/>
    <s v=""/>
    <n v="0.02"/>
    <n v="53"/>
    <s v=""/>
    <n v="0.35333333333333333"/>
    <n v="4"/>
    <s v=""/>
    <n v="0.05"/>
    <n v="40"/>
    <n v="39"/>
    <n v="35"/>
    <n v="0"/>
    <n v="200"/>
    <n v="0"/>
    <n v="1202704.5"/>
    <n v="207879.75"/>
    <n v="171465"/>
    <n v="0"/>
    <n v="443"/>
    <n v="2170257"/>
    <n v="370489.37221947609"/>
    <n v="40"/>
    <n v="215"/>
    <n v="37.5"/>
    <n v="0"/>
    <n v="0"/>
    <n v="0"/>
    <n v="1109623.5"/>
    <n v="1146003.75"/>
    <n v="183712.5"/>
    <n v="0"/>
    <n v="443"/>
    <n v="2170257"/>
    <n v="396952.89880658151"/>
    <n v="80"/>
    <n v="165"/>
    <n v="173"/>
    <n v="0"/>
    <n v="0"/>
    <n v="1458936"/>
    <n v="808335"/>
    <n v="847527"/>
    <n v="0"/>
    <n v="443"/>
    <n v="2170257"/>
    <n v="2179218.4873949583"/>
    <n v="50"/>
    <n v="19"/>
    <n v="16"/>
    <n v="0"/>
    <n v="0"/>
    <n v="101274.75"/>
    <n v="78384"/>
    <x v="0"/>
    <x v="0"/>
    <n v="443"/>
    <n v="2170257"/>
    <n v="201546.21848739497"/>
    <n v="100"/>
    <n v="445"/>
    <n v="100"/>
    <m/>
    <n v="0"/>
    <n v="0"/>
    <n v="2180055"/>
    <n v="533025"/>
    <x v="0"/>
    <n v="0"/>
    <n v="443"/>
    <n v="2170257"/>
    <n v="1259663.8655462186"/>
    <n v="150"/>
    <n v="496"/>
    <n v="53"/>
    <m/>
    <n v="0"/>
    <n v="0"/>
    <n v="2429904"/>
    <n v="282503.25"/>
    <n v="0"/>
    <n v="0"/>
    <n v="496"/>
    <n v="2170257"/>
    <n v="667621.84873949585"/>
    <n v="80"/>
    <n v="447"/>
    <n v="80"/>
    <n v="500"/>
    <n v="500"/>
    <n v="0"/>
    <n v="2189853"/>
    <n v="426420"/>
    <n v="2576287.5"/>
    <n v="0"/>
    <n v="447"/>
    <n v="2170257"/>
    <n v="1007731.0924369749"/>
    <n v="80"/>
    <n v="367"/>
    <n v="80"/>
    <n v="0"/>
    <n v="0"/>
    <n v="0"/>
    <n v="1797933"/>
    <n v="426420"/>
    <n v="0"/>
    <n v="0"/>
    <n v="367"/>
    <n v="1797933"/>
    <n v="1007731.0924369749"/>
    <n v="80"/>
    <n v="287"/>
    <n v="80"/>
    <n v="0"/>
    <n v="0"/>
    <m/>
    <n v="1529781.75"/>
    <n v="426420"/>
    <n v="0"/>
    <n v="0"/>
    <n v="287"/>
    <n v="1529781.75"/>
    <n v="1007731.0924369749"/>
    <n v="120"/>
    <n v="207"/>
    <n v="120"/>
    <n v="0"/>
    <n v="0"/>
    <n v="0"/>
    <m/>
    <n v="1103361.75"/>
    <n v="639630"/>
    <n v="0"/>
    <n v="0"/>
    <n v="207"/>
    <n v="1103361.75"/>
    <n v="1511596.6386554623"/>
    <n v="80"/>
    <n v="87"/>
    <n v="80"/>
    <n v="0"/>
    <n v="0"/>
    <n v="463731.75"/>
    <n v="426420"/>
    <n v="0"/>
    <n v="0"/>
    <n v="87"/>
    <n v="463731.75"/>
    <n v="1058117.6470588236"/>
    <n v="150"/>
    <n v="7"/>
    <n v="150"/>
    <n v="0"/>
    <n v="0"/>
    <n v="37311.75"/>
    <n v="799537.5"/>
    <n v="0"/>
    <n v="7"/>
    <n v="37311.75"/>
    <n v="1889495.7983193279"/>
    <n v="48"/>
    <n v="0"/>
    <n v="48"/>
    <n v="0"/>
    <m/>
    <n v="0"/>
    <n v="235152"/>
    <n v="0"/>
    <n v="0"/>
    <n v="0"/>
    <n v="604638.65546218492"/>
  </r>
  <r>
    <m/>
    <x v="1"/>
    <x v="12"/>
    <x v="28"/>
    <s v="LHBOHYCO"/>
    <x v="156"/>
    <x v="153"/>
    <x v="0"/>
    <x v="3"/>
    <n v="1"/>
    <x v="125"/>
    <n v="12"/>
    <m/>
    <n v="0"/>
    <n v="5127"/>
    <n v="61524"/>
    <n v="5.15"/>
    <n v="5626.375"/>
    <n v="12596.638655462186"/>
    <n v="12596.638655462186"/>
    <s v="Ningbo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50169131572321535"/>
    <n v="111"/>
    <n v="0.35713544137076042"/>
    <n v="28"/>
    <s v=""/>
    <n v="28"/>
    <s v=""/>
    <n v="64"/>
    <s v=""/>
    <n v="35"/>
    <s v=""/>
    <n v="0.7"/>
    <n v="44"/>
    <s v=""/>
    <n v="0.88"/>
    <n v="24"/>
    <s v=""/>
    <n v="0.24"/>
    <n v="2"/>
    <s v=""/>
    <n v="0.05"/>
    <n v="30"/>
    <n v="64"/>
    <n v="20"/>
    <n v="0"/>
    <n v="200"/>
    <n v="0"/>
    <n v="646002"/>
    <n v="341136"/>
    <n v="102540"/>
    <n v="0"/>
    <n v="12"/>
    <n v="61524"/>
    <n v="211708.21269684349"/>
    <n v="30"/>
    <n v="310"/>
    <n v="42"/>
    <n v="0"/>
    <n v="0"/>
    <n v="0"/>
    <n v="722907"/>
    <n v="1652377.5"/>
    <n v="215334"/>
    <n v="0"/>
    <n v="12"/>
    <n v="61524"/>
    <n v="444587.24666337128"/>
    <n v="90"/>
    <n v="271"/>
    <n v="64"/>
    <n v="0"/>
    <n v="0"/>
    <n v="774085.5"/>
    <n v="1389417"/>
    <n v="328128"/>
    <n v="0"/>
    <n v="12"/>
    <n v="61524"/>
    <n v="806184.87394957989"/>
    <n v="50"/>
    <n v="118"/>
    <n v="35"/>
    <n v="0"/>
    <n v="0"/>
    <n v="628969.5"/>
    <n v="179445"/>
    <x v="0"/>
    <x v="0"/>
    <n v="12"/>
    <n v="61524"/>
    <n v="440882.3529411765"/>
    <n v="50"/>
    <n v="56"/>
    <n v="50"/>
    <m/>
    <n v="0"/>
    <n v="0"/>
    <n v="287112"/>
    <n v="266512.5"/>
    <x v="0"/>
    <n v="0"/>
    <n v="12"/>
    <n v="61524"/>
    <n v="629831.93277310929"/>
    <n v="100"/>
    <n v="36"/>
    <n v="24"/>
    <m/>
    <n v="0"/>
    <n v="0"/>
    <n v="184572"/>
    <n v="127926"/>
    <n v="0"/>
    <n v="0"/>
    <n v="36"/>
    <n v="61524"/>
    <n v="302319.32773109246"/>
    <n v="40"/>
    <n v="14"/>
    <n v="40"/>
    <n v="0"/>
    <n v="0"/>
    <n v="0"/>
    <n v="71778"/>
    <n v="213210"/>
    <n v="0"/>
    <n v="0"/>
    <n v="14"/>
    <n v="61524"/>
    <n v="503865.54621848743"/>
    <n v="40"/>
    <n v="0"/>
    <n v="40"/>
    <n v="0"/>
    <n v="0"/>
    <n v="0"/>
    <n v="0"/>
    <n v="213210"/>
    <n v="0"/>
    <n v="0"/>
    <n v="0"/>
    <n v="0"/>
    <n v="503865.54621848743"/>
    <n v="40"/>
    <n v="0"/>
    <n v="40"/>
    <n v="0"/>
    <n v="0"/>
    <m/>
    <n v="0"/>
    <n v="213210"/>
    <n v="0"/>
    <n v="0"/>
    <n v="0"/>
    <n v="0"/>
    <n v="503865.54621848743"/>
    <n v="70"/>
    <n v="0"/>
    <n v="0"/>
    <n v="500"/>
    <n v="500"/>
    <n v="500"/>
    <n v="0"/>
    <n v="0"/>
    <n v="0"/>
    <n v="2665125"/>
    <n v="2665125"/>
    <n v="500"/>
    <n v="2665125"/>
    <n v="0"/>
    <n v="60"/>
    <n v="500"/>
    <n v="60"/>
    <n v="0"/>
    <n v="0"/>
    <n v="2665125"/>
    <n v="319815"/>
    <n v="0"/>
    <n v="0"/>
    <n v="500"/>
    <n v="2665125"/>
    <n v="793588.23529411771"/>
    <n v="100"/>
    <n v="440"/>
    <n v="100"/>
    <n v="0"/>
    <n v="0"/>
    <n v="2345310"/>
    <n v="533025"/>
    <n v="0"/>
    <n v="440"/>
    <n v="2345310"/>
    <n v="1259663.8655462186"/>
    <n v="36"/>
    <n v="340"/>
    <n v="36"/>
    <n v="0"/>
    <m/>
    <n v="1812285"/>
    <n v="184572"/>
    <n v="0"/>
    <n v="340"/>
    <n v="1812285"/>
    <n v="453478.99159663869"/>
  </r>
  <r>
    <m/>
    <x v="1"/>
    <x v="12"/>
    <x v="28"/>
    <s v="LHBOHYCO"/>
    <x v="157"/>
    <x v="154"/>
    <x v="0"/>
    <x v="3"/>
    <n v="1.2"/>
    <x v="126"/>
    <n v="497"/>
    <m/>
    <n v="0"/>
    <n v="5092"/>
    <n v="2530724"/>
    <n v="5.15"/>
    <n v="5626.375"/>
    <n v="12596.638655462186"/>
    <n v="12596.638655462186"/>
    <s v="Ningbo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3"/>
    <n v="0.49271097239305683"/>
    <n v="48"/>
    <n v="0.50534774882961897"/>
    <n v="29"/>
    <s v=""/>
    <n v="63"/>
    <s v=""/>
    <n v="141"/>
    <s v=""/>
    <n v="56"/>
    <s v=""/>
    <n v="1.4"/>
    <n v="39"/>
    <s v=""/>
    <n v="0.32500000000000001"/>
    <n v="11"/>
    <s v=""/>
    <n v="6.8750000000000006E-2"/>
    <n v="4"/>
    <s v=""/>
    <n v="0.04"/>
    <n v="30"/>
    <n v="143"/>
    <n v="30"/>
    <n v="0"/>
    <n v="200"/>
    <n v="0"/>
    <n v="1351926"/>
    <n v="762225.75"/>
    <n v="152760"/>
    <n v="0"/>
    <n v="497"/>
    <n v="2530724"/>
    <n v="317562.31904526521"/>
    <n v="30"/>
    <n v="306"/>
    <n v="94.5"/>
    <n v="0"/>
    <n v="0"/>
    <n v="0"/>
    <n v="1484318"/>
    <n v="1631056.5"/>
    <n v="481194"/>
    <n v="0"/>
    <n v="497"/>
    <n v="2530724"/>
    <n v="1000321.3049925854"/>
    <n v="120"/>
    <n v="233"/>
    <n v="141"/>
    <n v="0"/>
    <n v="0"/>
    <n v="1770680"/>
    <n v="1186436"/>
    <n v="717972"/>
    <n v="0"/>
    <n v="497"/>
    <n v="2530724"/>
    <n v="1776126.0504201683"/>
    <n v="40"/>
    <n v="85"/>
    <n v="56"/>
    <n v="0"/>
    <n v="0"/>
    <n v="453071.25"/>
    <n v="285152"/>
    <x v="0"/>
    <x v="0"/>
    <n v="497"/>
    <n v="2530724"/>
    <n v="705411.76470588241"/>
    <n v="120"/>
    <n v="536"/>
    <n v="144"/>
    <m/>
    <n v="0"/>
    <n v="0"/>
    <n v="2729312"/>
    <n v="767556"/>
    <x v="0"/>
    <n v="0"/>
    <n v="497"/>
    <n v="2530724"/>
    <n v="1813915.9663865548"/>
    <n v="160"/>
    <n v="508"/>
    <n v="11"/>
    <m/>
    <n v="0"/>
    <n v="0"/>
    <n v="2586736"/>
    <n v="58632.75"/>
    <n v="0"/>
    <n v="0"/>
    <n v="508"/>
    <n v="2530724"/>
    <n v="138563.02521008404"/>
    <n v="100"/>
    <n v="501"/>
    <n v="120"/>
    <n v="500"/>
    <n v="500"/>
    <n v="0"/>
    <n v="2551092"/>
    <n v="639630"/>
    <n v="2576287.5"/>
    <n v="0"/>
    <n v="501"/>
    <n v="2530724"/>
    <n v="1511596.6386554623"/>
    <n v="100"/>
    <n v="381"/>
    <n v="120"/>
    <n v="0"/>
    <n v="0"/>
    <n v="0"/>
    <n v="1940052"/>
    <n v="639630"/>
    <n v="0"/>
    <n v="0"/>
    <n v="381"/>
    <n v="1940052"/>
    <n v="1511596.6386554623"/>
    <n v="100"/>
    <n v="261"/>
    <n v="120"/>
    <n v="0"/>
    <n v="0"/>
    <m/>
    <n v="1391195.25"/>
    <n v="639630"/>
    <n v="0"/>
    <n v="0"/>
    <n v="261"/>
    <n v="1391195.25"/>
    <n v="1511596.6386554623"/>
    <n v="120"/>
    <n v="141"/>
    <n v="141"/>
    <n v="500"/>
    <n v="500"/>
    <n v="500"/>
    <n v="0"/>
    <n v="751565.25"/>
    <n v="751565.25"/>
    <n v="2665125"/>
    <n v="2665125"/>
    <n v="641"/>
    <n v="3416690.25"/>
    <n v="1776126.0504201683"/>
    <n v="80"/>
    <n v="500"/>
    <n v="96"/>
    <n v="0"/>
    <n v="0"/>
    <n v="2665125"/>
    <n v="511704"/>
    <n v="0"/>
    <n v="0"/>
    <n v="500"/>
    <n v="2665125"/>
    <n v="1269741.1764705884"/>
    <n v="150"/>
    <n v="404"/>
    <n v="180"/>
    <n v="0"/>
    <n v="0"/>
    <n v="2153421"/>
    <n v="959445"/>
    <n v="0"/>
    <n v="404"/>
    <n v="2153421"/>
    <n v="2267394.9579831935"/>
    <n v="48"/>
    <n v="224"/>
    <n v="57.599999999999994"/>
    <n v="0"/>
    <m/>
    <n v="1193976"/>
    <n v="293299.19999999995"/>
    <n v="0"/>
    <n v="224"/>
    <n v="1193976"/>
    <n v="725566.38655462186"/>
  </r>
  <r>
    <m/>
    <x v="1"/>
    <x v="12"/>
    <x v="28"/>
    <s v="LHBOHYCO"/>
    <x v="158"/>
    <x v="155"/>
    <x v="0"/>
    <x v="3"/>
    <n v="1"/>
    <x v="127"/>
    <n v="16"/>
    <m/>
    <n v="0"/>
    <n v="5127"/>
    <n v="82032"/>
    <n v="5.15"/>
    <n v="5626.375"/>
    <n v="12596.638655462186"/>
    <n v="12596.638655462186"/>
    <s v="Ningbo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52032128294038027"/>
    <n v="95"/>
    <n v="0.38627723201013214"/>
    <n v="34"/>
    <s v=""/>
    <n v="44"/>
    <s v=""/>
    <n v="197"/>
    <s v=""/>
    <n v="28"/>
    <s v=""/>
    <n v="0.93333333333333335"/>
    <n v="16"/>
    <s v=""/>
    <n v="0.26666666666666666"/>
    <n v="3"/>
    <s v=""/>
    <n v="3.3333333333333333E-2"/>
    <n v="0"/>
    <s v=""/>
    <n v="0"/>
    <n v="20"/>
    <n v="95"/>
    <n v="15"/>
    <n v="0"/>
    <n v="200"/>
    <n v="0"/>
    <n v="1425306"/>
    <n v="506373.75"/>
    <n v="76905"/>
    <n v="0"/>
    <n v="16"/>
    <n v="82032"/>
    <n v="158781.1595226326"/>
    <n v="25"/>
    <n v="321"/>
    <n v="66"/>
    <n v="0"/>
    <n v="0"/>
    <n v="0"/>
    <n v="1491957"/>
    <n v="1711010.25"/>
    <n v="338382"/>
    <n v="0"/>
    <n v="16"/>
    <n v="82032"/>
    <n v="698637.10189958347"/>
    <n v="63"/>
    <n v="274"/>
    <n v="197"/>
    <n v="0"/>
    <n v="0"/>
    <n v="1473390"/>
    <n v="1404798"/>
    <n v="1010019"/>
    <n v="0"/>
    <n v="16"/>
    <n v="82032"/>
    <n v="2481537.8151260507"/>
    <n v="30"/>
    <n v="34"/>
    <n v="28"/>
    <n v="0"/>
    <n v="0"/>
    <n v="181228.5"/>
    <n v="143556"/>
    <x v="0"/>
    <x v="0"/>
    <n v="16"/>
    <n v="82032"/>
    <n v="352705.8823529412"/>
    <n v="60"/>
    <n v="32"/>
    <n v="60"/>
    <m/>
    <n v="0"/>
    <n v="0"/>
    <n v="164064"/>
    <n v="319815"/>
    <x v="0"/>
    <n v="0"/>
    <n v="16"/>
    <n v="82032"/>
    <n v="755798.31932773115"/>
    <n v="90"/>
    <n v="19"/>
    <n v="3"/>
    <m/>
    <n v="0"/>
    <n v="0"/>
    <n v="97413"/>
    <n v="15990.75"/>
    <n v="0"/>
    <n v="0"/>
    <n v="19"/>
    <n v="82032"/>
    <n v="37789.915966386558"/>
    <n v="40"/>
    <n v="16"/>
    <n v="40"/>
    <n v="0"/>
    <n v="0"/>
    <n v="0"/>
    <n v="82032"/>
    <n v="213210"/>
    <n v="0"/>
    <n v="0"/>
    <n v="16"/>
    <n v="82032"/>
    <n v="503865.54621848743"/>
    <n v="40"/>
    <n v="0"/>
    <n v="40"/>
    <n v="0"/>
    <n v="0"/>
    <n v="0"/>
    <n v="0"/>
    <n v="213210"/>
    <n v="0"/>
    <n v="0"/>
    <n v="0"/>
    <n v="0"/>
    <n v="503865.54621848743"/>
    <n v="40"/>
    <n v="0"/>
    <n v="40"/>
    <n v="0"/>
    <n v="0"/>
    <m/>
    <n v="0"/>
    <n v="213210"/>
    <n v="0"/>
    <n v="0"/>
    <n v="0"/>
    <n v="0"/>
    <n v="503865.54621848743"/>
    <n v="70"/>
    <n v="0"/>
    <n v="0"/>
    <n v="500"/>
    <n v="500"/>
    <n v="500"/>
    <n v="0"/>
    <n v="0"/>
    <n v="0"/>
    <n v="2665125"/>
    <n v="2665125"/>
    <n v="500"/>
    <n v="2665125"/>
    <n v="0"/>
    <n v="50"/>
    <n v="500"/>
    <n v="50"/>
    <n v="0"/>
    <n v="0"/>
    <n v="2665125"/>
    <n v="266512.5"/>
    <n v="0"/>
    <n v="0"/>
    <n v="500"/>
    <n v="2665125"/>
    <n v="661323.52941176482"/>
    <n v="100"/>
    <n v="450"/>
    <n v="100"/>
    <n v="0"/>
    <n v="0"/>
    <n v="2398612.5"/>
    <n v="533025"/>
    <n v="0"/>
    <n v="450"/>
    <n v="2398612.5"/>
    <n v="1259663.8655462186"/>
    <n v="30"/>
    <n v="350"/>
    <n v="30"/>
    <n v="0"/>
    <m/>
    <n v="1865587.5"/>
    <n v="153810"/>
    <n v="0"/>
    <n v="350"/>
    <n v="1865587.5"/>
    <n v="377899.15966386558"/>
  </r>
  <r>
    <m/>
    <x v="1"/>
    <x v="12"/>
    <x v="28"/>
    <s v="LHBOHYCO"/>
    <x v="159"/>
    <x v="156"/>
    <x v="0"/>
    <x v="3"/>
    <n v="1.2"/>
    <x v="128"/>
    <n v="110"/>
    <m/>
    <n v="0"/>
    <n v="5184"/>
    <n v="570240"/>
    <n v="5.15"/>
    <n v="5626.375"/>
    <n v="12596.638655462186"/>
    <n v="12596.638655462186"/>
    <s v="Ningbo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28951377269435358"/>
    <n v="37"/>
    <n v="0.48403585274560723"/>
    <n v="19"/>
    <s v=""/>
    <n v="19"/>
    <s v=""/>
    <n v="44"/>
    <s v=""/>
    <n v="93"/>
    <s v=""/>
    <n v="3.1"/>
    <n v="14"/>
    <s v=""/>
    <n v="0.56000000000000005"/>
    <n v="44"/>
    <s v=""/>
    <n v="0.88"/>
    <n v="7"/>
    <s v=""/>
    <n v="0.23333333333333334"/>
    <n v="30"/>
    <n v="155"/>
    <n v="25"/>
    <n v="0"/>
    <n v="100"/>
    <n v="0"/>
    <n v="505440"/>
    <n v="826188.75"/>
    <n v="129600"/>
    <n v="0"/>
    <n v="110"/>
    <n v="570240"/>
    <n v="264635.26587105432"/>
    <n v="25"/>
    <n v="248"/>
    <n v="28.5"/>
    <n v="0"/>
    <n v="0"/>
    <n v="0"/>
    <n v="857952"/>
    <n v="1321902"/>
    <n v="147744"/>
    <n v="0"/>
    <n v="110"/>
    <n v="570240"/>
    <n v="301684.20309300197"/>
    <n v="50"/>
    <n v="227"/>
    <n v="44"/>
    <n v="0"/>
    <n v="0"/>
    <n v="870115.5"/>
    <n v="1176768"/>
    <n v="228096"/>
    <n v="0"/>
    <n v="110"/>
    <n v="570240"/>
    <n v="554252.10084033618"/>
    <n v="30"/>
    <n v="178"/>
    <n v="93"/>
    <n v="0"/>
    <n v="0"/>
    <n v="948784.5"/>
    <n v="482112"/>
    <x v="0"/>
    <x v="0"/>
    <n v="110"/>
    <n v="570240"/>
    <n v="1171487.3949579834"/>
    <n v="25"/>
    <n v="124"/>
    <n v="30"/>
    <m/>
    <n v="0"/>
    <n v="0"/>
    <n v="642816"/>
    <n v="159907.5"/>
    <x v="0"/>
    <n v="0"/>
    <n v="110"/>
    <n v="570240"/>
    <n v="377899.15966386558"/>
    <n v="50"/>
    <n v="154"/>
    <n v="44"/>
    <m/>
    <n v="0"/>
    <n v="0"/>
    <n v="798336"/>
    <n v="234531"/>
    <n v="0"/>
    <n v="0"/>
    <n v="154"/>
    <n v="570240"/>
    <n v="554252.10084033618"/>
    <n v="30"/>
    <n v="117"/>
    <n v="36"/>
    <n v="0"/>
    <n v="0"/>
    <n v="0"/>
    <n v="606528"/>
    <n v="191889"/>
    <n v="0"/>
    <n v="0"/>
    <n v="117"/>
    <n v="570240"/>
    <n v="453478.99159663869"/>
    <n v="30"/>
    <n v="81"/>
    <n v="36"/>
    <n v="0"/>
    <n v="0"/>
    <n v="0"/>
    <n v="419904"/>
    <n v="191889"/>
    <n v="0"/>
    <n v="0"/>
    <n v="81"/>
    <n v="419904"/>
    <n v="453478.99159663869"/>
    <n v="30"/>
    <n v="45"/>
    <n v="36"/>
    <n v="0"/>
    <n v="0"/>
    <m/>
    <n v="239861.25"/>
    <n v="191889"/>
    <n v="0"/>
    <n v="0"/>
    <n v="45"/>
    <n v="239861.25"/>
    <n v="453478.99159663869"/>
    <n v="20"/>
    <n v="9"/>
    <n v="9"/>
    <n v="0"/>
    <n v="0"/>
    <n v="0"/>
    <m/>
    <n v="47972.25"/>
    <n v="47972.25"/>
    <n v="0"/>
    <n v="0"/>
    <n v="9"/>
    <n v="47972.25"/>
    <n v="113369.747899159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2"/>
    <x v="28"/>
    <s v="LHSHNUCO"/>
    <x v="160"/>
    <x v="157"/>
    <x v="0"/>
    <x v="3"/>
    <n v="1"/>
    <x v="129"/>
    <n v="290"/>
    <m/>
    <n v="0"/>
    <n v="3509"/>
    <n v="1017610"/>
    <n v="3.69"/>
    <n v="4031.3249999999998"/>
    <n v="10915.966386554623"/>
    <n v="10915.966386554623"/>
    <s v="Ningbo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7"/>
    <n v="0.55553366940624371"/>
    <n v="120"/>
    <n v="0.60167400628605572"/>
    <n v="0"/>
    <s v=""/>
    <n v="32"/>
    <s v=""/>
    <n v="151"/>
    <s v=""/>
    <n v="57"/>
    <s v=""/>
    <n v="0.56999999999999995"/>
    <n v="72"/>
    <s v=""/>
    <n v="0.72"/>
    <n v="118"/>
    <s v=""/>
    <n v="0.78666666666666663"/>
    <n v="27"/>
    <s v=""/>
    <n v="0.33750000000000002"/>
    <n v="5"/>
    <n v="3"/>
    <n v="5"/>
    <n v="0"/>
    <n v="240"/>
    <n v="0"/>
    <n v="715836"/>
    <n v="11457.449999999999"/>
    <n v="17545"/>
    <n v="0"/>
    <n v="290"/>
    <n v="1017610"/>
    <n v="45865.40498552363"/>
    <n v="60"/>
    <n v="240"/>
    <n v="48"/>
    <n v="0"/>
    <n v="0"/>
    <n v="0"/>
    <n v="898304"/>
    <n v="916595.99999999988"/>
    <n v="168432"/>
    <n v="0"/>
    <n v="290"/>
    <n v="1017610"/>
    <n v="440307.8878610268"/>
    <n v="120"/>
    <n v="168"/>
    <n v="151"/>
    <n v="0"/>
    <n v="0"/>
    <n v="1111787"/>
    <n v="589512"/>
    <n v="529859"/>
    <n v="0"/>
    <n v="290"/>
    <n v="1017610"/>
    <n v="1648310.924369748"/>
    <n v="100"/>
    <n v="52"/>
    <n v="57"/>
    <n v="300"/>
    <n v="0"/>
    <n v="198595.8"/>
    <n v="200013"/>
    <x v="44"/>
    <x v="0"/>
    <n v="290"/>
    <n v="1017610"/>
    <n v="622210.08403361344"/>
    <n v="100"/>
    <n v="362"/>
    <n v="100"/>
    <m/>
    <n v="0"/>
    <n v="0"/>
    <n v="1270258"/>
    <n v="381914.99999999994"/>
    <x v="0"/>
    <n v="0"/>
    <n v="290"/>
    <n v="1017610"/>
    <n v="1091596.6386554623"/>
    <n v="150"/>
    <n v="408"/>
    <n v="118"/>
    <m/>
    <n v="0"/>
    <n v="0"/>
    <n v="1431672"/>
    <n v="450659.69999999995"/>
    <n v="0"/>
    <n v="0"/>
    <n v="408"/>
    <n v="1017610"/>
    <n v="1288084.0336134455"/>
    <n v="80"/>
    <n v="317"/>
    <n v="80"/>
    <n v="0"/>
    <n v="0"/>
    <n v="0"/>
    <n v="1112353"/>
    <n v="305532"/>
    <n v="0"/>
    <n v="0"/>
    <n v="317"/>
    <n v="1017610"/>
    <n v="873277.31092436984"/>
    <n v="80"/>
    <n v="237"/>
    <n v="80"/>
    <n v="500"/>
    <n v="500"/>
    <n v="500"/>
    <n v="831633"/>
    <n v="305532"/>
    <n v="1909574.9999999998"/>
    <n v="1909574.9999999998"/>
    <n v="737"/>
    <n v="2741208"/>
    <n v="873277.31092436984"/>
    <n v="80"/>
    <n v="657"/>
    <n v="80"/>
    <n v="0"/>
    <n v="0"/>
    <n v="500"/>
    <n v="2509181.5499999998"/>
    <n v="305532"/>
    <n v="0"/>
    <n v="1909574.9999999998"/>
    <n v="1157"/>
    <n v="4418756.55"/>
    <n v="873277.31092436984"/>
    <n v="150"/>
    <n v="1077"/>
    <n v="150"/>
    <n v="0"/>
    <n v="0"/>
    <n v="0"/>
    <m/>
    <n v="4113224.55"/>
    <n v="572872.5"/>
    <n v="0"/>
    <n v="0"/>
    <n v="1077"/>
    <n v="4113224.55"/>
    <n v="1637394.9579831935"/>
    <n v="120"/>
    <n v="927"/>
    <n v="120"/>
    <n v="0"/>
    <n v="0"/>
    <n v="3540352.05"/>
    <n v="458297.99999999994"/>
    <n v="0"/>
    <n v="0"/>
    <n v="927"/>
    <n v="3540352.05"/>
    <n v="1375411.7647058826"/>
    <n v="200"/>
    <n v="807"/>
    <n v="200"/>
    <n v="0"/>
    <n v="0"/>
    <n v="3082054.05"/>
    <n v="763829.99999999988"/>
    <n v="0"/>
    <n v="807"/>
    <n v="3082054.05"/>
    <n v="2183193.2773109246"/>
    <n v="72"/>
    <n v="607"/>
    <n v="72"/>
    <n v="0"/>
    <m/>
    <n v="2318224.0499999998"/>
    <n v="252648"/>
    <n v="0"/>
    <n v="607"/>
    <n v="2318224.0499999998"/>
    <n v="785949.57983193279"/>
  </r>
  <r>
    <m/>
    <x v="1"/>
    <x v="12"/>
    <x v="28"/>
    <s v="LHSHNUCO"/>
    <x v="161"/>
    <x v="158"/>
    <x v="0"/>
    <x v="3"/>
    <n v="1"/>
    <x v="130"/>
    <n v="246"/>
    <m/>
    <n v="0"/>
    <n v="3501"/>
    <n v="861246"/>
    <n v="3.69"/>
    <n v="4031.3249999999998"/>
    <n v="10915.966386554623"/>
    <n v="10915.966386554623"/>
    <s v="Ningbo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4"/>
    <n v="0.51959811087707475"/>
    <n v="125"/>
    <n v="0.58935289513806022"/>
    <n v="0"/>
    <s v=""/>
    <n v="25"/>
    <s v=""/>
    <n v="164"/>
    <s v=""/>
    <n v="55"/>
    <s v=""/>
    <n v="0.55000000000000004"/>
    <n v="86"/>
    <s v=""/>
    <n v="0.86"/>
    <n v="128"/>
    <s v=""/>
    <n v="0.85333333333333339"/>
    <n v="40"/>
    <s v=""/>
    <n v="0.5"/>
    <n v="5"/>
    <n v="2"/>
    <n v="5"/>
    <n v="0"/>
    <n v="240"/>
    <n v="0"/>
    <n v="722956.5"/>
    <n v="7638.2999999999993"/>
    <n v="17505"/>
    <n v="0"/>
    <n v="246"/>
    <n v="861246"/>
    <n v="45865.40498552363"/>
    <n v="60"/>
    <n v="240"/>
    <n v="37.5"/>
    <n v="0"/>
    <n v="0"/>
    <n v="0"/>
    <n v="898006.5"/>
    <n v="916595.99999999988"/>
    <n v="131287.5"/>
    <n v="0"/>
    <n v="246"/>
    <n v="861246"/>
    <n v="343990.53739142721"/>
    <n v="120"/>
    <n v="186"/>
    <n v="164"/>
    <n v="0"/>
    <n v="0"/>
    <n v="1148634"/>
    <n v="651186"/>
    <n v="574164"/>
    <n v="0"/>
    <n v="246"/>
    <n v="861246"/>
    <n v="1790218.487394958"/>
    <n v="100"/>
    <n v="54"/>
    <n v="55"/>
    <n v="300"/>
    <n v="0"/>
    <n v="206234.09999999998"/>
    <n v="192555"/>
    <x v="44"/>
    <x v="0"/>
    <n v="246"/>
    <n v="861246"/>
    <n v="600378.15126050427"/>
    <n v="100"/>
    <n v="332"/>
    <n v="100"/>
    <m/>
    <n v="0"/>
    <n v="0"/>
    <n v="1162332"/>
    <n v="381914.99999999994"/>
    <x v="0"/>
    <n v="0"/>
    <n v="246"/>
    <n v="861246"/>
    <n v="1091596.6386554623"/>
    <n v="150"/>
    <n v="374"/>
    <n v="128"/>
    <m/>
    <n v="0"/>
    <n v="0"/>
    <n v="1309374"/>
    <n v="488851.19999999995"/>
    <n v="0"/>
    <n v="0"/>
    <n v="374"/>
    <n v="861246"/>
    <n v="1397243.6974789917"/>
    <n v="80"/>
    <n v="286"/>
    <n v="80"/>
    <n v="0"/>
    <n v="0"/>
    <n v="0"/>
    <n v="1001286"/>
    <n v="305532"/>
    <n v="0"/>
    <n v="0"/>
    <n v="286"/>
    <n v="861246"/>
    <n v="873277.31092436984"/>
    <n v="80"/>
    <n v="206"/>
    <n v="80"/>
    <n v="500"/>
    <n v="500"/>
    <n v="500"/>
    <n v="721206"/>
    <n v="305532"/>
    <n v="1909574.9999999998"/>
    <n v="1909574.9999999998"/>
    <n v="706"/>
    <n v="2630781"/>
    <n v="873277.31092436984"/>
    <n v="80"/>
    <n v="626"/>
    <n v="80"/>
    <n v="0"/>
    <n v="0"/>
    <n v="500"/>
    <n v="2390787.9"/>
    <n v="305532"/>
    <n v="0"/>
    <n v="1909574.9999999998"/>
    <n v="1126"/>
    <n v="4300362.8999999994"/>
    <n v="873277.31092436984"/>
    <n v="150"/>
    <n v="1046"/>
    <n v="150"/>
    <n v="0"/>
    <n v="0"/>
    <n v="0"/>
    <m/>
    <n v="3994830.8999999994"/>
    <n v="572872.5"/>
    <n v="0"/>
    <n v="0"/>
    <n v="1046"/>
    <n v="3994830.8999999994"/>
    <n v="1637394.9579831935"/>
    <n v="120"/>
    <n v="896"/>
    <n v="120"/>
    <n v="0"/>
    <n v="0"/>
    <n v="3421958.3999999994"/>
    <n v="458297.99999999994"/>
    <n v="0"/>
    <n v="0"/>
    <n v="896"/>
    <n v="3421958.3999999994"/>
    <n v="1375411.7647058826"/>
    <n v="200"/>
    <n v="776"/>
    <n v="200"/>
    <n v="0"/>
    <n v="0"/>
    <n v="2963660.4"/>
    <n v="763829.99999999988"/>
    <n v="0"/>
    <n v="776"/>
    <n v="2963660.4"/>
    <n v="2183193.2773109246"/>
    <n v="72"/>
    <n v="576"/>
    <n v="72"/>
    <n v="0"/>
    <m/>
    <n v="2199830.4"/>
    <n v="252072"/>
    <n v="0"/>
    <n v="576"/>
    <n v="2199830.4"/>
    <n v="785949.57983193279"/>
  </r>
  <r>
    <m/>
    <x v="1"/>
    <x v="12"/>
    <x v="28"/>
    <s v="LHSHNUCO"/>
    <x v="162"/>
    <x v="159"/>
    <x v="0"/>
    <x v="3"/>
    <n v="1.1000000000000001"/>
    <x v="131"/>
    <n v="39"/>
    <m/>
    <n v="0"/>
    <n v="3509"/>
    <n v="136851"/>
    <n v="3.69"/>
    <n v="4031.3249999999998"/>
    <n v="10915.966386554623"/>
    <n v="10915.966386554623"/>
    <s v="Ningbo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8"/>
    <n v="0.49763491524056935"/>
    <n v="102"/>
    <n v="0.57878788220273181"/>
    <n v="27"/>
    <s v=""/>
    <n v="10"/>
    <s v=""/>
    <n v="47"/>
    <s v=""/>
    <n v="64"/>
    <s v=""/>
    <n v="1.28"/>
    <n v="38"/>
    <s v=""/>
    <n v="1.2666666666666666"/>
    <n v="52"/>
    <s v=""/>
    <n v="1.04"/>
    <n v="5"/>
    <s v=""/>
    <n v="0.16666666666666666"/>
    <n v="30"/>
    <n v="37"/>
    <n v="37"/>
    <n v="0"/>
    <n v="240"/>
    <n v="0"/>
    <n v="347391"/>
    <n v="141308.54999999999"/>
    <n v="129833"/>
    <n v="0"/>
    <n v="39"/>
    <n v="136851"/>
    <n v="339403.99689287483"/>
    <n v="40"/>
    <n v="242"/>
    <n v="15"/>
    <n v="0"/>
    <n v="0"/>
    <n v="0"/>
    <n v="442134"/>
    <n v="924234.29999999993"/>
    <n v="52635"/>
    <n v="0"/>
    <n v="39"/>
    <n v="136851"/>
    <n v="137596.21495657088"/>
    <n v="60"/>
    <n v="205"/>
    <n v="47"/>
    <n v="0"/>
    <n v="0"/>
    <n v="515530.94999999995"/>
    <n v="719345"/>
    <n v="164923"/>
    <n v="0"/>
    <n v="39"/>
    <n v="136851"/>
    <n v="513050.42016806727"/>
    <n v="50"/>
    <n v="188"/>
    <n v="64"/>
    <n v="0"/>
    <n v="0"/>
    <n v="718000.2"/>
    <n v="224576"/>
    <x v="0"/>
    <x v="0"/>
    <n v="39"/>
    <n v="136851"/>
    <n v="698621.84873949585"/>
    <n v="30"/>
    <n v="77"/>
    <n v="33"/>
    <m/>
    <n v="0"/>
    <n v="0"/>
    <n v="270193"/>
    <n v="126031.94999999998"/>
    <x v="0"/>
    <n v="0"/>
    <n v="39"/>
    <n v="136851"/>
    <n v="360226.89075630257"/>
    <n v="50"/>
    <n v="91"/>
    <n v="52"/>
    <m/>
    <n v="0"/>
    <n v="0"/>
    <n v="319319"/>
    <n v="198595.8"/>
    <n v="0"/>
    <n v="0"/>
    <n v="91"/>
    <n v="136851"/>
    <n v="567630.25210084033"/>
    <n v="30"/>
    <n v="44"/>
    <n v="33"/>
    <n v="0"/>
    <n v="0"/>
    <n v="0"/>
    <n v="154396"/>
    <n v="126031.94999999998"/>
    <n v="0"/>
    <n v="0"/>
    <n v="44"/>
    <n v="136851"/>
    <n v="360226.89075630257"/>
    <n v="30"/>
    <n v="11"/>
    <n v="33"/>
    <n v="0"/>
    <n v="0"/>
    <n v="0"/>
    <n v="38599"/>
    <n v="126031.94999999998"/>
    <n v="0"/>
    <n v="0"/>
    <n v="11"/>
    <n v="38599"/>
    <n v="360226.89075630257"/>
    <n v="25"/>
    <n v="0"/>
    <n v="27.500000000000004"/>
    <n v="0"/>
    <n v="0"/>
    <m/>
    <n v="0"/>
    <n v="105026.625"/>
    <n v="0"/>
    <n v="0"/>
    <n v="0"/>
    <n v="0"/>
    <n v="300189.07563025213"/>
    <n v="60"/>
    <n v="0"/>
    <n v="0"/>
    <n v="0"/>
    <n v="0"/>
    <n v="0"/>
    <m/>
    <n v="0"/>
    <n v="0"/>
    <n v="0"/>
    <n v="0"/>
    <n v="0"/>
    <n v="0"/>
    <n v="0"/>
    <n v="50"/>
    <n v="0"/>
    <n v="55.000000000000007"/>
    <n v="0"/>
    <n v="0"/>
    <n v="0"/>
    <n v="210053.25"/>
    <n v="0"/>
    <n v="0"/>
    <n v="0"/>
    <n v="0"/>
    <n v="630397.05882352951"/>
    <n v="100"/>
    <n v="0"/>
    <n v="110.00000000000001"/>
    <n v="0"/>
    <n v="0"/>
    <n v="0"/>
    <n v="420106.5"/>
    <n v="0"/>
    <n v="0"/>
    <n v="0"/>
    <n v="1200756.3025210085"/>
    <n v="30"/>
    <n v="0"/>
    <n v="33"/>
    <n v="0"/>
    <m/>
    <n v="0"/>
    <n v="115797"/>
    <n v="0"/>
    <n v="0"/>
    <n v="0"/>
    <n v="360226.89075630257"/>
  </r>
  <r>
    <m/>
    <x v="1"/>
    <x v="12"/>
    <x v="28"/>
    <s v="LHSHNUCO"/>
    <x v="163"/>
    <x v="160"/>
    <x v="0"/>
    <x v="3"/>
    <n v="1"/>
    <x v="12"/>
    <n v="0"/>
    <m/>
    <n v="0"/>
    <n v="4031.3249999999998"/>
    <n v="0"/>
    <n v="3.69"/>
    <n v="4031.3249999999998"/>
    <n v="10163.004201680671"/>
    <n v="8638.5535714285706"/>
    <s v="Ningbo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30"/>
    <n v="37"/>
    <n v="37"/>
    <n v="0"/>
    <n v="240"/>
    <n v="0"/>
    <n v="149159.02499999999"/>
    <n v="141308.54999999999"/>
    <n v="149159.02499999999"/>
    <n v="0"/>
    <n v="0"/>
    <n v="0"/>
    <n v="315992.56761528138"/>
    <n v="40"/>
    <n v="242"/>
    <n v="0"/>
    <n v="0"/>
    <n v="0"/>
    <n v="0"/>
    <n v="0"/>
    <n v="924234.29999999993"/>
    <n v="0"/>
    <n v="0"/>
    <n v="0"/>
    <n v="0"/>
    <n v="0"/>
    <n v="60"/>
    <n v="205"/>
    <n v="0"/>
    <n v="0"/>
    <n v="0"/>
    <n v="0"/>
    <n v="826421.625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500"/>
    <n v="500"/>
    <n v="500"/>
    <n v="0"/>
    <n v="190957.49999999997"/>
    <n v="1909574.9999999998"/>
    <n v="1909574.9999999998"/>
    <n v="500"/>
    <n v="1909574.9999999998"/>
    <n v="508150.21008403355"/>
    <n v="80"/>
    <n v="450"/>
    <n v="80"/>
    <n v="0"/>
    <n v="0"/>
    <n v="0"/>
    <m/>
    <n v="1718617.4999999998"/>
    <n v="305532"/>
    <n v="0"/>
    <n v="0"/>
    <n v="450"/>
    <n v="1718617.4999999998"/>
    <n v="691084.28571428568"/>
    <n v="70"/>
    <n v="370"/>
    <n v="70"/>
    <n v="0"/>
    <n v="0"/>
    <n v="1413085.4999999998"/>
    <n v="267340.5"/>
    <n v="0"/>
    <n v="0"/>
    <n v="370"/>
    <n v="1413085.4999999998"/>
    <n v="634933.6875"/>
    <n v="100"/>
    <n v="300"/>
    <n v="100"/>
    <n v="0"/>
    <n v="0"/>
    <n v="1145745"/>
    <n v="381914.99999999994"/>
    <n v="0"/>
    <n v="300"/>
    <n v="1145745"/>
    <n v="1016300.4201680671"/>
    <n v="42"/>
    <n v="200"/>
    <n v="42"/>
    <n v="0"/>
    <m/>
    <n v="763829.99999999988"/>
    <n v="169315.65"/>
    <n v="0"/>
    <n v="200"/>
    <n v="763829.99999999988"/>
    <n v="426846.17647058819"/>
  </r>
  <r>
    <m/>
    <x v="1"/>
    <x v="12"/>
    <x v="28"/>
    <s v="LHSHNUCO"/>
    <x v="164"/>
    <x v="161"/>
    <x v="0"/>
    <x v="3"/>
    <n v="1"/>
    <x v="12"/>
    <n v="0"/>
    <m/>
    <n v="0"/>
    <n v="4031.3249999999998"/>
    <n v="0"/>
    <n v="3.69"/>
    <n v="4031.3249999999998"/>
    <n v="10163.004201680671"/>
    <n v="8638.5535714285706"/>
    <s v="Ningbo"/>
    <x v="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30"/>
    <n v="37"/>
    <n v="37"/>
    <n v="0"/>
    <n v="240"/>
    <n v="0"/>
    <n v="149159.02499999999"/>
    <n v="141308.54999999999"/>
    <n v="149159.02499999999"/>
    <n v="0"/>
    <n v="0"/>
    <n v="0"/>
    <n v="315992.56761528138"/>
    <n v="40"/>
    <n v="242"/>
    <n v="0"/>
    <n v="0"/>
    <n v="0"/>
    <n v="0"/>
    <n v="0"/>
    <n v="924234.29999999993"/>
    <n v="0"/>
    <n v="0"/>
    <n v="0"/>
    <n v="0"/>
    <n v="0"/>
    <n v="60"/>
    <n v="205"/>
    <n v="0"/>
    <n v="0"/>
    <n v="0"/>
    <n v="0"/>
    <n v="826421.625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500"/>
    <n v="500"/>
    <n v="500"/>
    <n v="0"/>
    <n v="190957.49999999997"/>
    <n v="1909574.9999999998"/>
    <n v="1909574.9999999998"/>
    <n v="500"/>
    <n v="1909574.9999999998"/>
    <n v="508150.21008403355"/>
    <n v="80"/>
    <n v="450"/>
    <n v="80"/>
    <n v="0"/>
    <n v="0"/>
    <n v="0"/>
    <m/>
    <n v="1718617.4999999998"/>
    <n v="305532"/>
    <n v="0"/>
    <n v="0"/>
    <n v="450"/>
    <n v="1718617.4999999998"/>
    <n v="691084.28571428568"/>
    <n v="70"/>
    <n v="370"/>
    <n v="70"/>
    <n v="0"/>
    <n v="0"/>
    <n v="1413085.4999999998"/>
    <n v="267340.5"/>
    <n v="0"/>
    <n v="0"/>
    <n v="370"/>
    <n v="1413085.4999999998"/>
    <n v="634933.6875"/>
    <n v="100"/>
    <n v="300"/>
    <n v="100"/>
    <n v="0"/>
    <n v="0"/>
    <n v="1145745"/>
    <n v="381914.99999999994"/>
    <n v="0"/>
    <n v="300"/>
    <n v="1145745"/>
    <n v="1016300.4201680671"/>
    <n v="42"/>
    <n v="200"/>
    <n v="42"/>
    <n v="0"/>
    <m/>
    <n v="763829.99999999988"/>
    <n v="169315.65"/>
    <n v="0"/>
    <n v="200"/>
    <n v="763829.99999999988"/>
    <n v="426846.17647058819"/>
  </r>
  <r>
    <s v="Lhotse-Hidratación"/>
    <x v="1"/>
    <x v="12"/>
    <x v="28"/>
    <s v="LHBIGMU-BL"/>
    <x v="165"/>
    <x v="162"/>
    <x v="0"/>
    <x v="6"/>
    <n v="1"/>
    <x v="12"/>
    <n v="5"/>
    <m/>
    <n v="0"/>
    <n v="3942"/>
    <n v="19710"/>
    <n v="4"/>
    <n v="4370"/>
    <n v="16798.319327731093"/>
    <n v="16798.319327731093"/>
    <s v="Shenzhen"/>
    <x v="0"/>
    <n v="30"/>
    <n v="100"/>
    <n v="22"/>
    <n v="0.72260127811973429"/>
    <n v="14"/>
    <n v="0.71688752472023642"/>
    <n v="23"/>
    <n v="0.67905519624863542"/>
    <n v="247"/>
    <n v="0.46449085446885147"/>
    <n v="8"/>
    <n v="0.6742960799092983"/>
    <n v="24"/>
    <n v="0.70321894991206058"/>
    <n v="32"/>
    <n v="0.59294096658876716"/>
    <n v="6"/>
    <n v="0.70829099889688263"/>
    <n v="4"/>
    <n v="0.74685506013069791"/>
    <n v="22"/>
    <n v="0.53838103572045759"/>
    <n v="14"/>
    <n v="0.56375536531575332"/>
    <n v="144"/>
    <n v="0.50535091889060968"/>
    <n v="36"/>
    <s v=""/>
    <n v="0"/>
    <s v=""/>
    <n v="0"/>
    <s v=""/>
    <n v="0"/>
    <s v=""/>
    <n v="0"/>
    <n v="0"/>
    <s v=""/>
    <n v="0"/>
    <n v="0"/>
    <s v=""/>
    <n v="0"/>
    <n v="0"/>
    <s v=""/>
    <n v="0"/>
    <n v="25"/>
    <n v="20"/>
    <n v="25"/>
    <n v="0"/>
    <n v="0"/>
    <n v="0"/>
    <n v="98550"/>
    <n v="82800"/>
    <n v="98550"/>
    <n v="0"/>
    <n v="5"/>
    <n v="19710"/>
    <n v="352905.86822964484"/>
    <n v="25"/>
    <n v="0"/>
    <n v="0"/>
    <n v="0"/>
    <n v="0"/>
    <n v="0"/>
    <n v="0"/>
    <n v="0"/>
    <n v="0"/>
    <n v="0"/>
    <n v="5"/>
    <n v="19710"/>
    <n v="0"/>
    <n v="0"/>
    <n v="-1"/>
    <n v="0"/>
    <n v="0"/>
    <n v="0"/>
    <n v="0"/>
    <n v="-3942"/>
    <n v="0"/>
    <n v="0"/>
    <n v="5"/>
    <n v="19710"/>
    <n v="0"/>
    <n v="0"/>
    <n v="4"/>
    <n v="0"/>
    <n v="0"/>
    <n v="0"/>
    <n v="16560"/>
    <n v="0"/>
    <x v="0"/>
    <x v="0"/>
    <n v="5"/>
    <n v="19710"/>
    <n v="0"/>
    <n v="0"/>
    <n v="5"/>
    <n v="0"/>
    <m/>
    <n v="0"/>
    <n v="0"/>
    <n v="19710"/>
    <n v="0"/>
    <x v="0"/>
    <n v="0"/>
    <n v="5"/>
    <n v="19710"/>
    <n v="0"/>
    <n v="0"/>
    <n v="5"/>
    <n v="0"/>
    <m/>
    <n v="0"/>
    <n v="0"/>
    <n v="19710"/>
    <n v="0"/>
    <n v="0"/>
    <n v="0"/>
    <n v="5"/>
    <n v="19710"/>
    <n v="0"/>
    <n v="0"/>
    <n v="5"/>
    <n v="0"/>
    <n v="0"/>
    <n v="0"/>
    <n v="0"/>
    <n v="19710"/>
    <n v="0"/>
    <n v="0"/>
    <n v="0"/>
    <n v="5"/>
    <n v="19710"/>
    <n v="0"/>
    <n v="0"/>
    <n v="5"/>
    <n v="0"/>
    <n v="0"/>
    <n v="0"/>
    <n v="0"/>
    <n v="19710"/>
    <n v="0"/>
    <n v="0"/>
    <n v="0"/>
    <n v="5"/>
    <n v="19710"/>
    <n v="0"/>
    <n v="0"/>
    <n v="5"/>
    <n v="0"/>
    <n v="0"/>
    <n v="0"/>
    <m/>
    <n v="20700"/>
    <n v="0"/>
    <n v="0"/>
    <n v="0"/>
    <n v="5"/>
    <n v="20700"/>
    <n v="0"/>
    <n v="0"/>
    <n v="5"/>
    <n v="0"/>
    <n v="0"/>
    <n v="0"/>
    <n v="0"/>
    <m/>
    <n v="20700"/>
    <n v="0"/>
    <n v="0"/>
    <n v="0"/>
    <n v="5"/>
    <n v="20700"/>
    <n v="0"/>
    <n v="0"/>
    <n v="5"/>
    <n v="0"/>
    <n v="0"/>
    <n v="0"/>
    <n v="20700"/>
    <n v="0"/>
    <n v="0"/>
    <n v="0"/>
    <n v="5"/>
    <n v="20700"/>
    <n v="0"/>
    <n v="0"/>
    <n v="5"/>
    <n v="0"/>
    <n v="0"/>
    <n v="0"/>
    <n v="20700"/>
    <n v="0"/>
    <n v="0"/>
    <n v="5"/>
    <n v="20700"/>
    <n v="0"/>
    <n v="0"/>
    <n v="5"/>
    <n v="0"/>
    <n v="0"/>
    <m/>
    <n v="20700"/>
    <n v="0"/>
    <n v="0"/>
    <n v="5"/>
    <n v="20700"/>
    <n v="0"/>
  </r>
  <r>
    <s v="Lhotse-Hidratación"/>
    <x v="1"/>
    <x v="12"/>
    <x v="28"/>
    <s v="LHBIGMU-CR"/>
    <x v="166"/>
    <x v="163"/>
    <x v="0"/>
    <x v="6"/>
    <n v="1"/>
    <x v="12"/>
    <n v="2"/>
    <m/>
    <n v="0"/>
    <n v="4038"/>
    <n v="8076"/>
    <n v="4"/>
    <n v="4370"/>
    <n v="7554.6218487394963"/>
    <n v="7554.6218487394963"/>
    <s v="Shenzhen"/>
    <x v="0"/>
    <n v="30"/>
    <n v="100"/>
    <n v="29"/>
    <n v="0.69395345583080792"/>
    <n v="9"/>
    <n v="0.70708255015128485"/>
    <n v="19"/>
    <n v="0.659900047791386"/>
    <n v="68"/>
    <n v="0.57403207405006462"/>
    <n v="18"/>
    <n v="0.68821300088421811"/>
    <n v="130"/>
    <n v="0.61440824602456101"/>
    <n v="19"/>
    <n v="0.58841293671647454"/>
    <n v="36"/>
    <n v="0.68579433172273874"/>
    <n v="6"/>
    <n v="0.70263983105259498"/>
    <n v="12"/>
    <n v="0.6411966171714405"/>
    <n v="15"/>
    <n v="0.61578706766763391"/>
    <n v="3"/>
    <n v="0.56281352629109671"/>
    <n v="2"/>
    <s v=""/>
    <n v="0"/>
    <s v=""/>
    <n v="0"/>
    <s v=""/>
    <n v="2"/>
    <s v=""/>
    <n v="0"/>
    <n v="0"/>
    <s v=""/>
    <n v="0"/>
    <n v="0"/>
    <s v=""/>
    <n v="0"/>
    <n v="0"/>
    <s v=""/>
    <n v="0"/>
    <n v="10"/>
    <n v="3"/>
    <n v="10"/>
    <n v="0"/>
    <n v="0"/>
    <n v="0"/>
    <n v="40380"/>
    <n v="12420"/>
    <n v="40380"/>
    <n v="0"/>
    <n v="2"/>
    <n v="8076"/>
    <n v="63484.21721629829"/>
    <n v="10"/>
    <n v="1"/>
    <n v="0"/>
    <n v="0"/>
    <n v="0"/>
    <n v="0"/>
    <n v="8076"/>
    <n v="4140"/>
    <n v="0"/>
    <n v="0"/>
    <n v="2"/>
    <n v="8076"/>
    <n v="0"/>
    <n v="0"/>
    <n v="1"/>
    <n v="0"/>
    <n v="0"/>
    <n v="0"/>
    <n v="8076"/>
    <n v="4038"/>
    <n v="0"/>
    <n v="0"/>
    <n v="2"/>
    <n v="8076"/>
    <n v="0"/>
    <n v="0"/>
    <n v="4"/>
    <n v="2"/>
    <n v="0"/>
    <n v="0"/>
    <n v="16560"/>
    <n v="8076"/>
    <x v="0"/>
    <x v="0"/>
    <n v="2"/>
    <n v="8076"/>
    <n v="15109.243697478993"/>
    <n v="0"/>
    <n v="2"/>
    <n v="0"/>
    <m/>
    <n v="0"/>
    <n v="0"/>
    <n v="8076"/>
    <n v="0"/>
    <x v="0"/>
    <n v="0"/>
    <n v="2"/>
    <n v="8076"/>
    <n v="0"/>
    <n v="0"/>
    <n v="2"/>
    <n v="0"/>
    <m/>
    <n v="0"/>
    <n v="0"/>
    <n v="8076"/>
    <n v="0"/>
    <n v="0"/>
    <n v="0"/>
    <n v="2"/>
    <n v="8076"/>
    <n v="0"/>
    <n v="0"/>
    <n v="2"/>
    <n v="0"/>
    <n v="0"/>
    <n v="0"/>
    <n v="0"/>
    <n v="8076"/>
    <n v="0"/>
    <n v="0"/>
    <n v="0"/>
    <n v="2"/>
    <n v="8076"/>
    <n v="0"/>
    <n v="0"/>
    <n v="2"/>
    <n v="0"/>
    <n v="0"/>
    <n v="0"/>
    <n v="0"/>
    <n v="8076"/>
    <n v="0"/>
    <n v="0"/>
    <n v="0"/>
    <n v="2"/>
    <n v="8076"/>
    <n v="0"/>
    <n v="0"/>
    <n v="2"/>
    <n v="0"/>
    <n v="0"/>
    <n v="0"/>
    <m/>
    <n v="8280"/>
    <n v="0"/>
    <n v="0"/>
    <n v="0"/>
    <n v="2"/>
    <n v="8280"/>
    <n v="0"/>
    <n v="0"/>
    <n v="2"/>
    <n v="0"/>
    <n v="0"/>
    <n v="0"/>
    <n v="0"/>
    <m/>
    <n v="8280"/>
    <n v="0"/>
    <n v="0"/>
    <n v="0"/>
    <n v="2"/>
    <n v="8280"/>
    <n v="0"/>
    <n v="0"/>
    <n v="2"/>
    <n v="0"/>
    <n v="0"/>
    <n v="0"/>
    <n v="8280"/>
    <n v="0"/>
    <n v="0"/>
    <n v="0"/>
    <n v="2"/>
    <n v="8280"/>
    <n v="0"/>
    <n v="0"/>
    <n v="2"/>
    <n v="0"/>
    <n v="0"/>
    <n v="0"/>
    <n v="8280"/>
    <n v="0"/>
    <n v="0"/>
    <n v="2"/>
    <n v="8280"/>
    <n v="0"/>
    <n v="0"/>
    <n v="2"/>
    <n v="0"/>
    <n v="0"/>
    <m/>
    <n v="8280"/>
    <n v="0"/>
    <n v="0"/>
    <n v="2"/>
    <n v="8280"/>
    <n v="0"/>
  </r>
  <r>
    <s v="Lhotse-Hidratación"/>
    <x v="1"/>
    <x v="12"/>
    <x v="28"/>
    <s v="LHBIGMU-PK"/>
    <x v="167"/>
    <x v="164"/>
    <x v="0"/>
    <x v="6"/>
    <n v="1"/>
    <x v="12"/>
    <n v="7"/>
    <m/>
    <n v="0"/>
    <n v="4034"/>
    <n v="28238"/>
    <n v="4"/>
    <n v="4370"/>
    <n v="16798.319327731093"/>
    <n v="16798.319327731093"/>
    <s v="Shenzhen"/>
    <x v="0"/>
    <n v="30"/>
    <n v="100"/>
    <n v="51"/>
    <n v="0.75647248110191245"/>
    <n v="67"/>
    <n v="0.71030745007318741"/>
    <n v="65"/>
    <n v="0.67403076418630425"/>
    <n v="158"/>
    <n v="0.50027466275192878"/>
    <n v="45"/>
    <n v="0.710932739442516"/>
    <n v="83"/>
    <n v="0.68277986824604686"/>
    <n v="43"/>
    <n v="0.63710021622184421"/>
    <n v="17"/>
    <n v="0.7585940890664743"/>
    <n v="9"/>
    <n v="0.72619933374783963"/>
    <n v="29"/>
    <n v="0.57296819836333401"/>
    <n v="1"/>
    <n v="0.65694361765456244"/>
    <n v="3"/>
    <n v="0.63982142857142854"/>
    <n v="2"/>
    <s v=""/>
    <n v="0"/>
    <s v=""/>
    <n v="1"/>
    <s v=""/>
    <n v="1"/>
    <s v=""/>
    <n v="0"/>
    <n v="0"/>
    <s v=""/>
    <n v="0"/>
    <n v="0"/>
    <s v=""/>
    <n v="0"/>
    <n v="0"/>
    <s v=""/>
    <n v="0"/>
    <n v="10"/>
    <n v="11"/>
    <n v="10"/>
    <n v="0"/>
    <n v="0"/>
    <n v="0"/>
    <n v="44374"/>
    <n v="45540"/>
    <n v="40340"/>
    <n v="0"/>
    <n v="7"/>
    <n v="28238"/>
    <n v="141162.34729185794"/>
    <n v="10"/>
    <n v="7"/>
    <n v="0"/>
    <n v="0"/>
    <n v="0"/>
    <n v="0"/>
    <n v="8068"/>
    <n v="28980"/>
    <n v="0"/>
    <n v="0"/>
    <n v="7"/>
    <n v="28238"/>
    <n v="0"/>
    <n v="0"/>
    <n v="6"/>
    <n v="1"/>
    <n v="0"/>
    <n v="0"/>
    <n v="8068"/>
    <n v="24204"/>
    <n v="4034"/>
    <n v="0"/>
    <n v="7"/>
    <n v="28238"/>
    <n v="16798.319327731093"/>
    <n v="0"/>
    <n v="8"/>
    <n v="1"/>
    <n v="0"/>
    <n v="0"/>
    <n v="33120"/>
    <n v="4034"/>
    <x v="0"/>
    <x v="0"/>
    <n v="7"/>
    <n v="28238"/>
    <n v="16798.319327731093"/>
    <n v="0"/>
    <n v="7"/>
    <n v="0"/>
    <m/>
    <n v="0"/>
    <n v="0"/>
    <n v="28238"/>
    <n v="0"/>
    <x v="0"/>
    <n v="0"/>
    <n v="7"/>
    <n v="28238"/>
    <n v="0"/>
    <n v="0"/>
    <n v="7"/>
    <n v="0"/>
    <m/>
    <n v="0"/>
    <n v="0"/>
    <n v="28238"/>
    <n v="0"/>
    <n v="0"/>
    <n v="0"/>
    <n v="7"/>
    <n v="28238"/>
    <n v="0"/>
    <n v="0"/>
    <n v="7"/>
    <n v="0"/>
    <n v="0"/>
    <n v="0"/>
    <n v="0"/>
    <n v="28238"/>
    <n v="0"/>
    <n v="0"/>
    <n v="0"/>
    <n v="7"/>
    <n v="28238"/>
    <n v="0"/>
    <n v="0"/>
    <n v="7"/>
    <n v="0"/>
    <n v="0"/>
    <n v="0"/>
    <n v="0"/>
    <n v="28238"/>
    <n v="0"/>
    <n v="0"/>
    <n v="0"/>
    <n v="7"/>
    <n v="28238"/>
    <n v="0"/>
    <n v="0"/>
    <n v="7"/>
    <n v="0"/>
    <n v="0"/>
    <n v="0"/>
    <m/>
    <n v="28980"/>
    <n v="0"/>
    <n v="0"/>
    <n v="0"/>
    <n v="7"/>
    <n v="28980"/>
    <n v="0"/>
    <n v="0"/>
    <n v="7"/>
    <n v="0"/>
    <n v="0"/>
    <n v="0"/>
    <n v="0"/>
    <m/>
    <n v="28980"/>
    <n v="0"/>
    <n v="0"/>
    <n v="0"/>
    <n v="7"/>
    <n v="28980"/>
    <n v="0"/>
    <n v="0"/>
    <n v="7"/>
    <n v="0"/>
    <n v="0"/>
    <n v="0"/>
    <n v="28980"/>
    <n v="0"/>
    <n v="0"/>
    <n v="0"/>
    <n v="7"/>
    <n v="28980"/>
    <n v="0"/>
    <n v="0"/>
    <n v="7"/>
    <n v="0"/>
    <n v="0"/>
    <n v="0"/>
    <n v="28980"/>
    <n v="0"/>
    <n v="0"/>
    <n v="7"/>
    <n v="28980"/>
    <n v="0"/>
    <n v="0"/>
    <n v="7"/>
    <n v="0"/>
    <n v="0"/>
    <m/>
    <n v="28980"/>
    <n v="0"/>
    <n v="0"/>
    <n v="7"/>
    <n v="28980"/>
    <n v="0"/>
  </r>
  <r>
    <m/>
    <x v="1"/>
    <x v="12"/>
    <x v="28"/>
    <s v="LHBIGMUN"/>
    <x v="168"/>
    <x v="165"/>
    <x v="0"/>
    <x v="4"/>
    <n v="1.2"/>
    <x v="132"/>
    <n v="235"/>
    <m/>
    <n v="0"/>
    <n v="4181"/>
    <n v="982535"/>
    <n v="3.6"/>
    <n v="3932.9999999999995"/>
    <n v="10915.966386554623"/>
    <n v="10915.966386554623"/>
    <s v="Shenzhen"/>
    <x v="0"/>
    <n v="30"/>
    <n v="200"/>
    <n v="0"/>
    <m/>
    <n v="0"/>
    <m/>
    <n v="0"/>
    <m/>
    <n v="0"/>
    <m/>
    <n v="0"/>
    <m/>
    <n v="0"/>
    <m/>
    <n v="0"/>
    <m/>
    <m/>
    <m/>
    <n v="2"/>
    <n v="0.50433760564168584"/>
    <n v="4"/>
    <n v="0.62995926041993111"/>
    <n v="39"/>
    <n v="0.61016426017612613"/>
    <n v="147"/>
    <n v="0.53347835473275851"/>
    <n v="83"/>
    <s v=""/>
    <n v="17"/>
    <s v=""/>
    <n v="27"/>
    <s v=""/>
    <n v="23"/>
    <s v=""/>
    <n v="0.57499999999999996"/>
    <n v="7"/>
    <s v=""/>
    <n v="0.17499999999999999"/>
    <n v="86"/>
    <s v=""/>
    <n v="1.075"/>
    <n v="2"/>
    <s v=""/>
    <n v="0.05"/>
    <n v="50"/>
    <n v="351"/>
    <n v="40"/>
    <n v="100"/>
    <n v="100"/>
    <n v="0"/>
    <n v="386742.5"/>
    <n v="1307825.9999999998"/>
    <n v="167240"/>
    <n v="0"/>
    <n v="235"/>
    <n v="982535"/>
    <n v="366923.23988418904"/>
    <n v="40"/>
    <n v="389"/>
    <n v="25.5"/>
    <n v="0"/>
    <n v="0"/>
    <n v="0"/>
    <n v="315665.5"/>
    <n v="1449413.9999999998"/>
    <n v="106615.5"/>
    <n v="0"/>
    <n v="235"/>
    <n v="982535"/>
    <n v="233913.56542617051"/>
    <n v="56"/>
    <n v="371"/>
    <n v="27"/>
    <n v="0"/>
    <n v="0"/>
    <n v="387898"/>
    <n v="1551151"/>
    <n v="112887"/>
    <n v="0"/>
    <n v="235"/>
    <n v="982535"/>
    <n v="294731.09243697481"/>
    <n v="40"/>
    <n v="344"/>
    <n v="23"/>
    <n v="0"/>
    <n v="0"/>
    <n v="1281743.9999999998"/>
    <n v="96163"/>
    <x v="0"/>
    <x v="0"/>
    <n v="235"/>
    <n v="982535"/>
    <n v="251067.22689075631"/>
    <n v="40"/>
    <n v="242"/>
    <n v="48"/>
    <m/>
    <n v="0"/>
    <n v="0"/>
    <n v="1011802"/>
    <n v="178847.99999999997"/>
    <x v="0"/>
    <n v="0"/>
    <n v="235"/>
    <n v="982535"/>
    <n v="523966.38655462186"/>
    <n v="80"/>
    <n v="321"/>
    <n v="86"/>
    <m/>
    <n v="0"/>
    <n v="0"/>
    <n v="1342101"/>
    <n v="320435.99999999994"/>
    <n v="0"/>
    <n v="0"/>
    <n v="321"/>
    <n v="982535"/>
    <n v="938773.1092436976"/>
    <n v="40"/>
    <n v="237"/>
    <n v="48"/>
    <n v="0"/>
    <n v="0"/>
    <n v="0"/>
    <n v="990897"/>
    <n v="178847.99999999997"/>
    <n v="0"/>
    <n v="0"/>
    <n v="237"/>
    <n v="982535"/>
    <n v="523966.38655462186"/>
    <n v="32"/>
    <n v="189"/>
    <n v="38.4"/>
    <n v="0"/>
    <n v="0"/>
    <n v="0"/>
    <n v="790209"/>
    <n v="143078.39999999997"/>
    <n v="0"/>
    <n v="0"/>
    <n v="189"/>
    <n v="790209"/>
    <n v="419173.10924369749"/>
    <n v="28.8"/>
    <n v="150.6"/>
    <n v="34.56"/>
    <n v="0"/>
    <n v="0"/>
    <m/>
    <n v="561135.59999999986"/>
    <n v="128770.56"/>
    <n v="0"/>
    <n v="0"/>
    <n v="150.6"/>
    <n v="561135.59999999986"/>
    <n v="377255.79831932776"/>
    <n v="80"/>
    <n v="116.03999999999999"/>
    <n v="96"/>
    <n v="100"/>
    <n v="100"/>
    <n v="100"/>
    <n v="0"/>
    <n v="432365.03999999992"/>
    <n v="357695.99999999994"/>
    <n v="372599.99999999994"/>
    <n v="372599.99999999994"/>
    <n v="216.04"/>
    <n v="804965.0399999998"/>
    <n v="1047932.7731092437"/>
    <n v="70"/>
    <n v="120.03999999999999"/>
    <n v="84"/>
    <n v="0"/>
    <n v="0"/>
    <n v="447269.03999999992"/>
    <n v="312983.99999999994"/>
    <n v="0"/>
    <n v="0"/>
    <n v="120.03999999999999"/>
    <n v="447269.03999999992"/>
    <n v="962788.23529411783"/>
    <n v="120"/>
    <n v="36.039999999999992"/>
    <n v="144"/>
    <n v="0"/>
    <n v="0"/>
    <n v="134285.03999999995"/>
    <n v="536543.99999999988"/>
    <n v="0"/>
    <n v="36.039999999999992"/>
    <n v="134285.03999999995"/>
    <n v="1571899.1596638656"/>
    <n v="42"/>
    <n v="0"/>
    <n v="50.4"/>
    <n v="0"/>
    <m/>
    <n v="0"/>
    <n v="210722.4"/>
    <n v="0"/>
    <n v="0"/>
    <n v="0"/>
    <n v="550164.70588235301"/>
  </r>
  <r>
    <m/>
    <x v="1"/>
    <x v="12"/>
    <x v="28"/>
    <s v="LHBIGMUN"/>
    <x v="169"/>
    <x v="166"/>
    <x v="0"/>
    <x v="4"/>
    <n v="1"/>
    <x v="133"/>
    <n v="442"/>
    <m/>
    <n v="0"/>
    <n v="4213"/>
    <n v="1862146"/>
    <n v="3.6"/>
    <n v="3932.9999999999995"/>
    <n v="10915.966386554623"/>
    <n v="10915.966386554623"/>
    <s v="Shenzhen"/>
    <x v="0"/>
    <n v="30"/>
    <n v="200"/>
    <n v="0"/>
    <m/>
    <n v="0"/>
    <m/>
    <n v="0"/>
    <m/>
    <n v="0"/>
    <m/>
    <n v="0"/>
    <m/>
    <n v="0"/>
    <m/>
    <n v="0"/>
    <m/>
    <n v="0"/>
    <m/>
    <n v="0"/>
    <s v=""/>
    <n v="10"/>
    <n v="0.63458412074898707"/>
    <n v="20"/>
    <n v="0.56194907887320045"/>
    <n v="168"/>
    <n v="0.53055151933734479"/>
    <n v="84"/>
    <s v=""/>
    <n v="18"/>
    <s v=""/>
    <n v="33"/>
    <s v=""/>
    <n v="23"/>
    <s v=""/>
    <n v="0.51111111111111107"/>
    <n v="6"/>
    <s v=""/>
    <n v="0.15"/>
    <n v="66"/>
    <s v=""/>
    <n v="0.66"/>
    <n v="2"/>
    <s v=""/>
    <n v="2.5000000000000001E-2"/>
    <n v="50"/>
    <n v="448"/>
    <n v="40"/>
    <n v="200"/>
    <n v="200"/>
    <n v="0"/>
    <n v="421300"/>
    <n v="1669247.9999999998"/>
    <n v="168520"/>
    <n v="0"/>
    <n v="442"/>
    <n v="1862146"/>
    <n v="366923.23988418904"/>
    <n v="50"/>
    <n v="590"/>
    <n v="27"/>
    <n v="0"/>
    <n v="0"/>
    <n v="0"/>
    <n v="349679"/>
    <n v="2198339.9999999995"/>
    <n v="113751"/>
    <n v="0"/>
    <n v="442"/>
    <n v="1862146"/>
    <n v="247673.18692182758"/>
    <n v="80"/>
    <n v="570"/>
    <n v="33"/>
    <n v="0"/>
    <n v="0"/>
    <n v="384968"/>
    <n v="2401410"/>
    <n v="139029"/>
    <n v="0"/>
    <n v="442"/>
    <n v="1862146"/>
    <n v="360226.89075630257"/>
    <n v="45"/>
    <n v="536"/>
    <n v="23"/>
    <n v="0"/>
    <n v="0"/>
    <n v="1997135.9999999998"/>
    <n v="96899"/>
    <x v="0"/>
    <x v="0"/>
    <n v="442"/>
    <n v="1862146"/>
    <n v="251067.22689075631"/>
    <n v="40"/>
    <n v="448"/>
    <n v="40"/>
    <m/>
    <n v="0"/>
    <n v="0"/>
    <n v="1887424"/>
    <n v="149039.99999999997"/>
    <x v="0"/>
    <n v="0"/>
    <n v="442"/>
    <n v="1862146"/>
    <n v="436638.65546218492"/>
    <n v="100"/>
    <n v="508"/>
    <n v="66"/>
    <m/>
    <n v="0"/>
    <n v="0"/>
    <n v="2140204"/>
    <n v="245915.99999999997"/>
    <n v="0"/>
    <n v="0"/>
    <n v="508"/>
    <n v="1862146"/>
    <n v="720453.78151260514"/>
    <n v="80"/>
    <n v="444"/>
    <n v="80"/>
    <n v="0"/>
    <n v="0"/>
    <n v="0"/>
    <n v="1870572"/>
    <n v="298079.99999999994"/>
    <n v="0"/>
    <n v="0"/>
    <n v="444"/>
    <n v="1862146"/>
    <n v="873277.31092436984"/>
    <n v="32"/>
    <n v="364"/>
    <n v="32"/>
    <n v="0"/>
    <n v="0"/>
    <n v="0"/>
    <n v="1533532"/>
    <n v="119231.99999999999"/>
    <n v="0"/>
    <n v="0"/>
    <n v="364"/>
    <n v="1533532"/>
    <n v="349310.92436974793"/>
    <n v="28.8"/>
    <n v="332"/>
    <n v="28.8"/>
    <n v="0"/>
    <n v="0"/>
    <m/>
    <n v="1237031.9999999998"/>
    <n v="107308.79999999999"/>
    <n v="0"/>
    <n v="0"/>
    <n v="332"/>
    <n v="1237031.9999999998"/>
    <n v="314379.83193277312"/>
    <n v="120"/>
    <n v="303.2"/>
    <n v="120"/>
    <n v="0"/>
    <n v="0"/>
    <n v="0"/>
    <m/>
    <n v="1129723.1999999997"/>
    <n v="447119.99999999994"/>
    <n v="0"/>
    <n v="0"/>
    <n v="303.2"/>
    <n v="1129723.1999999997"/>
    <n v="1309915.9663865548"/>
    <n v="100"/>
    <n v="183.2"/>
    <n v="100"/>
    <n v="0"/>
    <n v="0"/>
    <n v="682603.19999999984"/>
    <n v="372599.99999999994"/>
    <n v="0"/>
    <n v="0"/>
    <n v="183.2"/>
    <n v="682603.19999999984"/>
    <n v="1146176.4705882354"/>
    <n v="150"/>
    <n v="83.199999999999989"/>
    <n v="150"/>
    <n v="0"/>
    <n v="0"/>
    <n v="310003.1999999999"/>
    <n v="558899.99999999988"/>
    <n v="0"/>
    <n v="83.199999999999989"/>
    <n v="310003.1999999999"/>
    <n v="1637394.9579831935"/>
    <n v="60"/>
    <n v="0"/>
    <n v="60"/>
    <n v="0"/>
    <m/>
    <n v="0"/>
    <n v="252780"/>
    <n v="0"/>
    <n v="0"/>
    <n v="0"/>
    <n v="654957.98319327738"/>
  </r>
  <r>
    <m/>
    <x v="1"/>
    <x v="12"/>
    <x v="28"/>
    <s v="LHBIGMUN"/>
    <x v="170"/>
    <x v="167"/>
    <x v="0"/>
    <x v="4"/>
    <n v="1"/>
    <x v="134"/>
    <n v="181"/>
    <m/>
    <n v="0"/>
    <n v="4319"/>
    <n v="781739"/>
    <n v="3.3"/>
    <n v="3605.2499999999995"/>
    <n v="10915.966386554623"/>
    <n v="10915.966386554623"/>
    <s v="Shenzhen"/>
    <x v="0"/>
    <n v="30"/>
    <n v="200"/>
    <n v="0"/>
    <m/>
    <n v="0"/>
    <m/>
    <n v="0"/>
    <m/>
    <n v="0"/>
    <m/>
    <n v="0"/>
    <m/>
    <n v="0"/>
    <m/>
    <n v="0"/>
    <m/>
    <n v="0"/>
    <m/>
    <n v="2"/>
    <n v="0.70704765684426363"/>
    <n v="12"/>
    <n v="0.62206392171474889"/>
    <n v="27"/>
    <n v="0.55290995500386531"/>
    <n v="193"/>
    <n v="0.52159483761264447"/>
    <n v="62"/>
    <s v=""/>
    <n v="26"/>
    <s v=""/>
    <n v="63"/>
    <s v=""/>
    <n v="20"/>
    <s v=""/>
    <n v="0.66666666666666663"/>
    <n v="7"/>
    <s v=""/>
    <n v="0.23333333333333334"/>
    <n v="29"/>
    <s v=""/>
    <n v="0.41428571428571431"/>
    <n v="0"/>
    <s v=""/>
    <n v="0"/>
    <n v="50"/>
    <n v="98"/>
    <n v="60"/>
    <n v="100"/>
    <n v="100"/>
    <n v="0"/>
    <n v="699678"/>
    <n v="334718.99999999994"/>
    <n v="259140"/>
    <n v="0"/>
    <n v="181"/>
    <n v="781739"/>
    <n v="550384.85982628353"/>
    <n v="45"/>
    <n v="169"/>
    <n v="39"/>
    <n v="0"/>
    <n v="0"/>
    <n v="0"/>
    <n v="526918"/>
    <n v="577219.49999999988"/>
    <n v="168441"/>
    <n v="0"/>
    <n v="181"/>
    <n v="781739"/>
    <n v="357750.15888708428"/>
    <n v="72"/>
    <n v="135"/>
    <n v="63"/>
    <n v="0"/>
    <n v="0"/>
    <n v="460942"/>
    <n v="583065"/>
    <n v="272097"/>
    <n v="0"/>
    <n v="181"/>
    <n v="781739"/>
    <n v="687705.8823529412"/>
    <n v="30"/>
    <n v="77"/>
    <n v="20"/>
    <n v="0"/>
    <n v="0"/>
    <n v="262993.49999999994"/>
    <n v="86380"/>
    <x v="0"/>
    <x v="0"/>
    <n v="181"/>
    <n v="781739"/>
    <n v="218319.32773109246"/>
    <n v="30"/>
    <n v="188"/>
    <n v="30"/>
    <m/>
    <n v="0"/>
    <n v="0"/>
    <n v="811972"/>
    <n v="102464.99999999999"/>
    <x v="0"/>
    <n v="0"/>
    <n v="181"/>
    <n v="781739"/>
    <n v="327478.99159663869"/>
    <n v="70"/>
    <n v="210"/>
    <n v="29"/>
    <m/>
    <n v="0"/>
    <n v="0"/>
    <n v="906990"/>
    <n v="99049.499999999985"/>
    <n v="0"/>
    <n v="0"/>
    <n v="210"/>
    <n v="781739"/>
    <n v="316563.02521008404"/>
    <n v="30"/>
    <n v="181"/>
    <n v="30"/>
    <n v="150"/>
    <n v="150"/>
    <n v="0"/>
    <n v="781739"/>
    <n v="102464.99999999999"/>
    <n v="495247.49999999994"/>
    <n v="0"/>
    <n v="181"/>
    <n v="781739"/>
    <n v="327478.99159663869"/>
    <n v="48"/>
    <n v="151"/>
    <n v="48"/>
    <n v="0"/>
    <n v="0"/>
    <n v="0"/>
    <n v="652169"/>
    <n v="163943.99999999997"/>
    <n v="0"/>
    <n v="0"/>
    <n v="151"/>
    <n v="652169"/>
    <n v="523966.38655462186"/>
    <n v="43.2"/>
    <n v="103"/>
    <n v="43.2"/>
    <n v="0"/>
    <n v="0"/>
    <n v="100"/>
    <n v="351796.49999999994"/>
    <n v="147549.59999999998"/>
    <n v="0"/>
    <n v="341549.99999999994"/>
    <n v="203"/>
    <n v="693346.49999999988"/>
    <n v="471569.74789915973"/>
    <n v="70"/>
    <n v="159.80000000000001"/>
    <n v="70"/>
    <n v="200"/>
    <n v="200"/>
    <n v="200"/>
    <n v="0"/>
    <n v="545796.9"/>
    <n v="239084.99999999997"/>
    <n v="683099.99999999988"/>
    <n v="683099.99999999988"/>
    <n v="359.8"/>
    <n v="1228896.8999999999"/>
    <n v="764117.64705882361"/>
    <n v="60"/>
    <n v="289.8"/>
    <n v="60"/>
    <n v="0"/>
    <n v="0"/>
    <n v="989811.89999999991"/>
    <n v="204929.99999999997"/>
    <n v="0"/>
    <n v="0"/>
    <n v="289.8"/>
    <n v="989811.89999999991"/>
    <n v="687705.88235294132"/>
    <n v="150"/>
    <n v="229.8"/>
    <n v="150"/>
    <n v="0"/>
    <n v="0"/>
    <n v="784881.89999999991"/>
    <n v="512324.99999999994"/>
    <n v="0"/>
    <n v="229.8"/>
    <n v="784881.89999999991"/>
    <n v="1637394.9579831935"/>
    <n v="36"/>
    <n v="79.800000000000011"/>
    <n v="36"/>
    <n v="0"/>
    <m/>
    <n v="272556.90000000002"/>
    <n v="155484"/>
    <n v="0"/>
    <n v="79.800000000000011"/>
    <n v="272556.90000000002"/>
    <n v="392974.78991596639"/>
  </r>
  <r>
    <m/>
    <x v="1"/>
    <x v="12"/>
    <x v="28"/>
    <s v="LHBIGMUN"/>
    <x v="171"/>
    <x v="168"/>
    <x v="0"/>
    <x v="4"/>
    <n v="1"/>
    <x v="135"/>
    <n v="212"/>
    <m/>
    <n v="0"/>
    <n v="4292"/>
    <n v="909904"/>
    <n v="3.6"/>
    <n v="3932.9999999999995"/>
    <n v="12596.638655462186"/>
    <n v="10915.966386554623"/>
    <s v="Shenzhen"/>
    <x v="0"/>
    <n v="30"/>
    <n v="200"/>
    <n v="0"/>
    <m/>
    <n v="0"/>
    <m/>
    <n v="0"/>
    <m/>
    <n v="0"/>
    <m/>
    <n v="0"/>
    <m/>
    <n v="0"/>
    <m/>
    <n v="0"/>
    <m/>
    <n v="0"/>
    <m/>
    <n v="1"/>
    <n v="0.69877551020408168"/>
    <n v="7"/>
    <n v="0.59221638274737221"/>
    <n v="19"/>
    <n v="0.57198077938965419"/>
    <n v="98"/>
    <n v="0.52799090820923333"/>
    <n v="66"/>
    <s v=""/>
    <n v="11"/>
    <s v=""/>
    <n v="20"/>
    <s v=""/>
    <n v="15"/>
    <s v=""/>
    <n v="0.5"/>
    <n v="9"/>
    <s v=""/>
    <n v="0.3"/>
    <n v="41"/>
    <s v=""/>
    <n v="0.82"/>
    <n v="1"/>
    <s v=""/>
    <n v="3.3333333333333333E-2"/>
    <n v="40"/>
    <n v="370"/>
    <n v="30"/>
    <n v="0"/>
    <n v="0"/>
    <n v="0"/>
    <n v="285418"/>
    <n v="1378619.9999999998"/>
    <n v="128760"/>
    <n v="0"/>
    <n v="212"/>
    <n v="909904"/>
    <n v="317562.31904526521"/>
    <n v="40"/>
    <n v="311"/>
    <n v="16.5"/>
    <n v="0"/>
    <n v="0"/>
    <n v="0"/>
    <n v="221038"/>
    <n v="1158785.9999999998"/>
    <n v="70818"/>
    <n v="0"/>
    <n v="212"/>
    <n v="909904"/>
    <n v="174659.27547489587"/>
    <n v="48"/>
    <n v="299"/>
    <n v="20"/>
    <n v="0"/>
    <n v="0"/>
    <n v="262000"/>
    <n v="1283308"/>
    <n v="85840"/>
    <n v="0"/>
    <n v="212"/>
    <n v="909904"/>
    <n v="251932.77310924372"/>
    <n v="30"/>
    <n v="279"/>
    <n v="15"/>
    <n v="0"/>
    <n v="0"/>
    <n v="1039553.9999999999"/>
    <n v="64380"/>
    <x v="0"/>
    <x v="0"/>
    <n v="212"/>
    <n v="909904"/>
    <n v="188949.57983193279"/>
    <n v="30"/>
    <n v="221"/>
    <n v="30"/>
    <m/>
    <n v="0"/>
    <n v="0"/>
    <n v="948532"/>
    <n v="111779.99999999999"/>
    <x v="0"/>
    <n v="0"/>
    <n v="212"/>
    <n v="909904"/>
    <n v="377899.15966386558"/>
    <n v="50"/>
    <n v="253"/>
    <n v="41"/>
    <m/>
    <n v="0"/>
    <n v="0"/>
    <n v="1085876"/>
    <n v="152765.99999999997"/>
    <n v="0"/>
    <n v="0"/>
    <n v="253"/>
    <n v="909904"/>
    <n v="516462.18487394962"/>
    <n v="30"/>
    <n v="213"/>
    <n v="30"/>
    <n v="0"/>
    <n v="0"/>
    <n v="0"/>
    <n v="914196"/>
    <n v="111779.99999999999"/>
    <n v="0"/>
    <n v="0"/>
    <n v="213"/>
    <n v="909904"/>
    <n v="377899.15966386558"/>
    <n v="24"/>
    <n v="183"/>
    <n v="24"/>
    <n v="0"/>
    <n v="0"/>
    <n v="0"/>
    <n v="785436"/>
    <n v="89423.999999999985"/>
    <n v="0"/>
    <n v="0"/>
    <n v="183"/>
    <n v="785436"/>
    <n v="302319.32773109246"/>
    <n v="21.6"/>
    <n v="159"/>
    <n v="21.6"/>
    <n v="0"/>
    <n v="0"/>
    <m/>
    <n v="592433.99999999988"/>
    <n v="80481.599999999991"/>
    <n v="0"/>
    <n v="0"/>
    <n v="159"/>
    <n v="592433.99999999988"/>
    <n v="272087.39495798323"/>
    <n v="50"/>
    <n v="137.4"/>
    <n v="50"/>
    <n v="0"/>
    <n v="0"/>
    <n v="0"/>
    <m/>
    <n v="511952.39999999997"/>
    <n v="186299.99999999997"/>
    <n v="0"/>
    <n v="0"/>
    <n v="137.4"/>
    <n v="511952.39999999997"/>
    <n v="545798.31932773115"/>
    <n v="45"/>
    <n v="87.4"/>
    <n v="45"/>
    <n v="0"/>
    <n v="0"/>
    <n v="325652.39999999997"/>
    <n v="167669.99999999997"/>
    <n v="0"/>
    <n v="0"/>
    <n v="87.4"/>
    <n v="325652.39999999997"/>
    <n v="515779.41176470596"/>
    <n v="80"/>
    <n v="42.400000000000006"/>
    <n v="80"/>
    <n v="0"/>
    <n v="0"/>
    <n v="157982.39999999999"/>
    <n v="298079.99999999994"/>
    <n v="0"/>
    <n v="42.400000000000006"/>
    <n v="157982.39999999999"/>
    <n v="1007731.0924369749"/>
    <n v="27"/>
    <n v="0"/>
    <n v="27"/>
    <n v="0"/>
    <m/>
    <n v="0"/>
    <n v="115884"/>
    <n v="0"/>
    <n v="0"/>
    <n v="0"/>
    <n v="340109.24369747902"/>
  </r>
  <r>
    <m/>
    <x v="1"/>
    <x v="12"/>
    <x v="28"/>
    <s v="LHBIGMUN"/>
    <x v="172"/>
    <x v="169"/>
    <x v="0"/>
    <x v="4"/>
    <n v="1"/>
    <x v="136"/>
    <n v="182"/>
    <m/>
    <n v="0"/>
    <n v="4294"/>
    <n v="781508"/>
    <n v="3.6"/>
    <n v="3932.9999999999995"/>
    <n v="10915.966386554623"/>
    <n v="10915.966386554623"/>
    <s v="Shenzhen"/>
    <x v="0"/>
    <n v="30"/>
    <n v="200"/>
    <n v="0"/>
    <m/>
    <n v="0"/>
    <m/>
    <n v="0"/>
    <m/>
    <n v="0"/>
    <m/>
    <n v="0"/>
    <m/>
    <n v="0"/>
    <m/>
    <n v="0"/>
    <m/>
    <n v="0"/>
    <m/>
    <n v="0"/>
    <s v=""/>
    <n v="5"/>
    <n v="0.60455417233322872"/>
    <n v="29"/>
    <n v="0.54511283483006212"/>
    <n v="166"/>
    <n v="0.51320031663640953"/>
    <n v="92"/>
    <s v=""/>
    <n v="39"/>
    <s v=""/>
    <n v="149"/>
    <s v=""/>
    <n v="35"/>
    <s v=""/>
    <n v="0.7"/>
    <n v="7"/>
    <s v=""/>
    <n v="0.15555555555555556"/>
    <n v="52"/>
    <s v=""/>
    <n v="0.65"/>
    <n v="1"/>
    <s v=""/>
    <n v="1.6666666666666666E-2"/>
    <n v="40"/>
    <n v="217"/>
    <n v="60"/>
    <n v="100"/>
    <n v="100"/>
    <n v="0"/>
    <n v="1148645"/>
    <n v="808541.99999999988"/>
    <n v="257640"/>
    <n v="0"/>
    <n v="182"/>
    <n v="781508"/>
    <n v="550384.85982628353"/>
    <n v="50"/>
    <n v="303"/>
    <n v="58.5"/>
    <n v="0"/>
    <n v="0"/>
    <n v="0"/>
    <n v="1041295"/>
    <n v="1128977.9999999998"/>
    <n v="251199"/>
    <n v="0"/>
    <n v="182"/>
    <n v="781508"/>
    <n v="536625.23833062639"/>
    <n v="56"/>
    <n v="259"/>
    <n v="149"/>
    <n v="0"/>
    <n v="0"/>
    <n v="957766"/>
    <n v="1112146"/>
    <n v="639806"/>
    <n v="0"/>
    <n v="182"/>
    <n v="781508"/>
    <n v="1626478.9915966387"/>
    <n v="50"/>
    <n v="118"/>
    <n v="35"/>
    <n v="0"/>
    <n v="0"/>
    <n v="439667.99999999994"/>
    <n v="150290"/>
    <x v="0"/>
    <x v="0"/>
    <n v="182"/>
    <n v="781508"/>
    <n v="382058.82352941181"/>
    <n v="45"/>
    <n v="189"/>
    <n v="45"/>
    <m/>
    <n v="0"/>
    <n v="0"/>
    <n v="811566"/>
    <n v="167669.99999999997"/>
    <x v="0"/>
    <n v="0"/>
    <n v="182"/>
    <n v="781508"/>
    <n v="491218.48739495804"/>
    <n v="80"/>
    <n v="234"/>
    <n v="52"/>
    <m/>
    <n v="0"/>
    <n v="0"/>
    <n v="1004796"/>
    <n v="193751.99999999997"/>
    <n v="0"/>
    <n v="0"/>
    <n v="234"/>
    <n v="781508"/>
    <n v="567630.25210084033"/>
    <n v="60"/>
    <n v="183"/>
    <n v="60"/>
    <n v="150"/>
    <n v="150"/>
    <n v="0"/>
    <n v="785802"/>
    <n v="223559.99999999997"/>
    <n v="540270"/>
    <n v="0"/>
    <n v="183"/>
    <n v="781508"/>
    <n v="654957.98319327738"/>
    <n v="48"/>
    <n v="123"/>
    <n v="48"/>
    <n v="0"/>
    <n v="0"/>
    <n v="0"/>
    <n v="528162"/>
    <n v="178847.99999999997"/>
    <n v="0"/>
    <n v="0"/>
    <n v="123"/>
    <n v="528162"/>
    <n v="523966.38655462186"/>
    <n v="43.2"/>
    <n v="75"/>
    <n v="43.2"/>
    <n v="0"/>
    <n v="0"/>
    <n v="100"/>
    <n v="279449.99999999994"/>
    <n v="160963.19999999998"/>
    <n v="0"/>
    <n v="372599.99999999994"/>
    <n v="175"/>
    <n v="652049.99999999988"/>
    <n v="471569.74789915973"/>
    <n v="70"/>
    <n v="131.80000000000001"/>
    <n v="70"/>
    <n v="200"/>
    <n v="200"/>
    <n v="200"/>
    <n v="0"/>
    <n v="491086.8"/>
    <n v="260819.99999999997"/>
    <n v="745199.99999999988"/>
    <n v="745199.99999999988"/>
    <n v="331.8"/>
    <n v="1236286.7999999998"/>
    <n v="764117.64705882361"/>
    <n v="65"/>
    <n v="261.8"/>
    <n v="65"/>
    <n v="0"/>
    <n v="0"/>
    <n v="975466.79999999993"/>
    <n v="242189.99999999997"/>
    <n v="0"/>
    <n v="0"/>
    <n v="261.8"/>
    <n v="975466.79999999993"/>
    <n v="745014.70588235301"/>
    <n v="150"/>
    <n v="196.8"/>
    <n v="150"/>
    <n v="0"/>
    <n v="0"/>
    <n v="733276.79999999993"/>
    <n v="558899.99999999988"/>
    <n v="0"/>
    <n v="196.8"/>
    <n v="733276.79999999993"/>
    <n v="1637394.9579831935"/>
    <n v="39"/>
    <n v="46.800000000000011"/>
    <n v="39"/>
    <n v="0"/>
    <m/>
    <n v="174376.80000000002"/>
    <n v="167466"/>
    <n v="0"/>
    <n v="46.800000000000011"/>
    <n v="174376.80000000002"/>
    <n v="425722.68907563027"/>
  </r>
  <r>
    <m/>
    <x v="1"/>
    <x v="12"/>
    <x v="28"/>
    <s v="LHBIGMUN"/>
    <x v="173"/>
    <x v="170"/>
    <x v="0"/>
    <x v="4"/>
    <n v="1.2"/>
    <x v="137"/>
    <n v="112"/>
    <m/>
    <n v="0"/>
    <n v="4226"/>
    <n v="473312"/>
    <n v="3.6"/>
    <n v="3932.9999999999995"/>
    <n v="10915.966386554623"/>
    <n v="10915.966386554623"/>
    <s v="Ningbo"/>
    <x v="0"/>
    <n v="30"/>
    <n v="200"/>
    <n v="0"/>
    <m/>
    <n v="0"/>
    <m/>
    <n v="0"/>
    <m/>
    <n v="0"/>
    <m/>
    <n v="0"/>
    <m/>
    <n v="0"/>
    <m/>
    <n v="0"/>
    <m/>
    <n v="0"/>
    <m/>
    <n v="0"/>
    <s v=""/>
    <n v="7"/>
    <n v="0.62026339969372124"/>
    <n v="14"/>
    <n v="0.52172441744249187"/>
    <n v="111"/>
    <n v="0.53091183005541387"/>
    <n v="43"/>
    <s v=""/>
    <n v="9"/>
    <s v=""/>
    <n v="45"/>
    <s v=""/>
    <n v="21"/>
    <s v=""/>
    <n v="1.05"/>
    <n v="12"/>
    <s v=""/>
    <n v="0.6"/>
    <n v="47"/>
    <s v=""/>
    <n v="0.94"/>
    <n v="1"/>
    <s v=""/>
    <n v="0.02"/>
    <n v="30"/>
    <n v="138"/>
    <n v="30"/>
    <n v="150"/>
    <n v="150"/>
    <n v="0"/>
    <n v="374001"/>
    <n v="514187.99999999994"/>
    <n v="126780"/>
    <n v="0"/>
    <n v="112"/>
    <n v="473312"/>
    <n v="275192.42991314176"/>
    <n v="30"/>
    <n v="244"/>
    <n v="13.5"/>
    <n v="0"/>
    <n v="0"/>
    <n v="0"/>
    <n v="335967"/>
    <n v="909143.99999999988"/>
    <n v="57051"/>
    <n v="0"/>
    <n v="112"/>
    <n v="473312"/>
    <n v="123836.59346091379"/>
    <n v="40"/>
    <n v="235"/>
    <n v="45"/>
    <n v="0"/>
    <n v="0"/>
    <n v="368340"/>
    <n v="993110"/>
    <n v="190170"/>
    <n v="0"/>
    <n v="112"/>
    <n v="473312"/>
    <n v="491218.48739495804"/>
    <n v="20"/>
    <n v="185"/>
    <n v="21"/>
    <n v="0"/>
    <n v="0"/>
    <n v="689309.99999999988"/>
    <n v="88746"/>
    <x v="0"/>
    <x v="0"/>
    <n v="112"/>
    <n v="473312"/>
    <n v="229235.29411764708"/>
    <n v="20"/>
    <n v="124"/>
    <n v="24"/>
    <m/>
    <n v="0"/>
    <n v="0"/>
    <n v="524024"/>
    <n v="89423.999999999985"/>
    <x v="0"/>
    <n v="0"/>
    <n v="112"/>
    <n v="473312"/>
    <n v="261983.19327731093"/>
    <n v="50"/>
    <n v="159"/>
    <n v="47"/>
    <m/>
    <n v="0"/>
    <n v="0"/>
    <n v="671934"/>
    <n v="175121.99999999997"/>
    <n v="0"/>
    <n v="0"/>
    <n v="159"/>
    <n v="473312"/>
    <n v="513050.42016806727"/>
    <n v="50"/>
    <n v="113"/>
    <n v="60"/>
    <n v="0"/>
    <n v="0"/>
    <n v="0"/>
    <n v="477538"/>
    <n v="223559.99999999997"/>
    <n v="0"/>
    <n v="0"/>
    <n v="113"/>
    <n v="473312"/>
    <n v="654957.98319327738"/>
    <n v="24"/>
    <n v="53"/>
    <n v="28.799999999999997"/>
    <n v="0"/>
    <n v="0"/>
    <n v="0"/>
    <n v="223978"/>
    <n v="107308.79999999997"/>
    <n v="0"/>
    <n v="0"/>
    <n v="53"/>
    <n v="223978"/>
    <n v="314379.83193277312"/>
    <n v="21.6"/>
    <n v="24.200000000000003"/>
    <n v="25.92"/>
    <n v="0"/>
    <n v="0"/>
    <m/>
    <n v="90169.2"/>
    <n v="96577.919999999998"/>
    <n v="0"/>
    <n v="0"/>
    <n v="24.200000000000003"/>
    <n v="90169.2"/>
    <n v="282941.84873949585"/>
    <n v="40"/>
    <n v="0"/>
    <n v="0"/>
    <n v="150"/>
    <n v="150"/>
    <n v="150"/>
    <n v="0"/>
    <n v="0"/>
    <n v="0"/>
    <n v="558899.99999999988"/>
    <n v="558899.99999999988"/>
    <n v="150"/>
    <n v="558899.99999999988"/>
    <n v="0"/>
    <n v="35"/>
    <n v="150"/>
    <n v="42"/>
    <n v="0"/>
    <n v="0"/>
    <n v="558899.99999999988"/>
    <n v="156491.99999999997"/>
    <n v="0"/>
    <n v="0"/>
    <n v="150"/>
    <n v="558899.99999999988"/>
    <n v="481394.11764705891"/>
    <n v="100"/>
    <n v="108"/>
    <n v="120"/>
    <n v="0"/>
    <n v="0"/>
    <n v="402407.99999999994"/>
    <n v="447119.99999999994"/>
    <n v="0"/>
    <n v="108"/>
    <n v="402407.99999999994"/>
    <n v="1309915.9663865548"/>
    <n v="21"/>
    <n v="0"/>
    <n v="25.2"/>
    <n v="0"/>
    <m/>
    <n v="0"/>
    <n v="106495.2"/>
    <n v="0"/>
    <n v="0"/>
    <n v="0"/>
    <n v="275082.3529411765"/>
  </r>
  <r>
    <m/>
    <x v="1"/>
    <x v="12"/>
    <x v="28"/>
    <s v="LHBOHYTK750"/>
    <x v="174"/>
    <x v="171"/>
    <x v="0"/>
    <x v="2"/>
    <n v="1"/>
    <x v="12"/>
    <n v="0"/>
    <m/>
    <n v="0"/>
    <n v="3501.7499999999995"/>
    <n v="0"/>
    <n v="3.5"/>
    <n v="3501.7499999999995"/>
    <n v="8827.9411764705874"/>
    <n v="7503.7499999999991"/>
    <s v="Ningbo"/>
    <x v="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4.9999999998"/>
    <n v="0"/>
    <n v="0"/>
    <n v="0"/>
    <n v="0"/>
    <n v="50"/>
    <n v="0"/>
    <n v="50"/>
    <n v="0"/>
    <n v="500"/>
    <n v="0"/>
    <n v="0"/>
    <n v="181124.99999999997"/>
    <n v="0"/>
    <n v="0"/>
    <n v="500"/>
    <n v="0"/>
    <n v="441397.0588235294"/>
    <n v="50"/>
    <n v="0"/>
    <n v="50"/>
    <n v="0"/>
    <n v="0"/>
    <n v="500"/>
    <n v="0"/>
    <n v="181124.99999999997"/>
    <n v="0"/>
    <n v="1811249.9999999998"/>
    <n v="500"/>
    <n v="1811249.9999999998"/>
    <n v="441397.0588235294"/>
    <n v="100"/>
    <n v="450"/>
    <n v="100"/>
    <n v="0"/>
    <n v="0"/>
    <n v="0"/>
    <m/>
    <n v="1630124.9999999998"/>
    <n v="362249.99999999994"/>
    <n v="0"/>
    <n v="0"/>
    <n v="450"/>
    <n v="1630124.9999999998"/>
    <n v="750374.99999999988"/>
    <n v="80"/>
    <n v="350"/>
    <n v="80"/>
    <n v="0"/>
    <n v="0"/>
    <n v="1267874.9999999998"/>
    <n v="289799.99999999994"/>
    <n v="0"/>
    <n v="0"/>
    <n v="350"/>
    <n v="1267874.9999999998"/>
    <n v="630314.99999999988"/>
    <n v="150"/>
    <n v="270"/>
    <n v="150"/>
    <n v="0"/>
    <n v="0"/>
    <n v="978074.99999999988"/>
    <n v="543374.99999999988"/>
    <n v="0"/>
    <n v="270"/>
    <n v="978074.99999999988"/>
    <n v="1324191.1764705882"/>
    <n v="48"/>
    <n v="120"/>
    <n v="48"/>
    <n v="0"/>
    <m/>
    <n v="434699.99999999994"/>
    <n v="168083.99999999997"/>
    <n v="0"/>
    <n v="120"/>
    <n v="434699.99999999994"/>
    <n v="423741.17647058819"/>
  </r>
  <r>
    <m/>
    <x v="1"/>
    <x v="12"/>
    <x v="28"/>
    <s v="LHBOHYTK750"/>
    <x v="175"/>
    <x v="172"/>
    <x v="0"/>
    <x v="2"/>
    <n v="1"/>
    <x v="12"/>
    <n v="0"/>
    <m/>
    <n v="0"/>
    <n v="3501.7499999999995"/>
    <n v="0"/>
    <n v="3.5"/>
    <n v="3501.7499999999995"/>
    <n v="8827.9411764705874"/>
    <n v="7503.7499999999991"/>
    <s v="Ningbo"/>
    <x v="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4.9999999998"/>
    <n v="0"/>
    <n v="0"/>
    <n v="0"/>
    <n v="0"/>
    <n v="50"/>
    <n v="0"/>
    <n v="50"/>
    <n v="0"/>
    <n v="500"/>
    <n v="0"/>
    <n v="0"/>
    <n v="181124.99999999997"/>
    <n v="0"/>
    <n v="0"/>
    <n v="500"/>
    <n v="0"/>
    <n v="441397.0588235294"/>
    <n v="50"/>
    <n v="0"/>
    <n v="50"/>
    <n v="0"/>
    <n v="0"/>
    <n v="500"/>
    <n v="0"/>
    <n v="181124.99999999997"/>
    <n v="0"/>
    <n v="1811249.9999999998"/>
    <n v="500"/>
    <n v="1811249.9999999998"/>
    <n v="441397.0588235294"/>
    <n v="100"/>
    <n v="450"/>
    <n v="100"/>
    <n v="0"/>
    <n v="0"/>
    <n v="0"/>
    <m/>
    <n v="1630124.9999999998"/>
    <n v="362249.99999999994"/>
    <n v="0"/>
    <n v="0"/>
    <n v="450"/>
    <n v="1630124.9999999998"/>
    <n v="750374.99999999988"/>
    <n v="80"/>
    <n v="350"/>
    <n v="80"/>
    <n v="0"/>
    <n v="0"/>
    <n v="1267874.9999999998"/>
    <n v="289799.99999999994"/>
    <n v="0"/>
    <n v="0"/>
    <n v="350"/>
    <n v="1267874.9999999998"/>
    <n v="630314.99999999988"/>
    <n v="150"/>
    <n v="270"/>
    <n v="150"/>
    <n v="0"/>
    <n v="0"/>
    <n v="978074.99999999988"/>
    <n v="543374.99999999988"/>
    <n v="0"/>
    <n v="270"/>
    <n v="978074.99999999988"/>
    <n v="1324191.1764705882"/>
    <n v="48"/>
    <n v="120"/>
    <n v="48"/>
    <n v="0"/>
    <m/>
    <n v="434699.99999999994"/>
    <n v="168083.99999999997"/>
    <n v="0"/>
    <n v="120"/>
    <n v="434699.99999999994"/>
    <n v="423741.17647058819"/>
  </r>
  <r>
    <m/>
    <x v="1"/>
    <x v="12"/>
    <x v="28"/>
    <s v="LHBOHYTK750"/>
    <x v="176"/>
    <x v="173"/>
    <x v="0"/>
    <x v="2"/>
    <n v="1"/>
    <x v="12"/>
    <n v="0"/>
    <m/>
    <n v="0"/>
    <n v="3501.7499999999995"/>
    <n v="0"/>
    <n v="3.5"/>
    <n v="3501.7499999999995"/>
    <n v="8827.9411764705874"/>
    <n v="7503.7499999999991"/>
    <s v="Ningbo"/>
    <x v="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4.9999999998"/>
    <n v="0"/>
    <n v="0"/>
    <n v="0"/>
    <n v="0"/>
    <n v="30"/>
    <n v="0"/>
    <n v="30"/>
    <n v="0"/>
    <n v="500"/>
    <n v="0"/>
    <n v="0"/>
    <n v="108674.99999999999"/>
    <n v="0"/>
    <n v="0"/>
    <n v="500"/>
    <n v="0"/>
    <n v="264838.23529411759"/>
    <n v="30"/>
    <n v="0"/>
    <n v="30"/>
    <n v="0"/>
    <n v="0"/>
    <n v="500"/>
    <n v="0"/>
    <n v="108674.99999999999"/>
    <n v="0"/>
    <n v="1811249.9999999998"/>
    <n v="500"/>
    <n v="1811249.9999999998"/>
    <n v="264838.23529411759"/>
    <n v="60"/>
    <n v="470"/>
    <n v="60"/>
    <n v="0"/>
    <n v="0"/>
    <n v="0"/>
    <m/>
    <n v="1702574.9999999998"/>
    <n v="217349.99999999997"/>
    <n v="0"/>
    <n v="0"/>
    <n v="470"/>
    <n v="1702574.9999999998"/>
    <n v="450224.99999999994"/>
    <n v="40"/>
    <n v="410"/>
    <n v="40"/>
    <n v="0"/>
    <n v="0"/>
    <n v="1485224.9999999998"/>
    <n v="144899.99999999997"/>
    <n v="0"/>
    <n v="0"/>
    <n v="410"/>
    <n v="1485224.9999999998"/>
    <n v="315157.49999999994"/>
    <n v="90"/>
    <n v="370"/>
    <n v="90"/>
    <n v="0"/>
    <n v="0"/>
    <n v="1340324.9999999998"/>
    <n v="326024.99999999994"/>
    <n v="0"/>
    <n v="370"/>
    <n v="1340324.9999999998"/>
    <n v="794514.70588235289"/>
    <n v="24"/>
    <n v="280"/>
    <n v="24"/>
    <n v="0"/>
    <m/>
    <n v="1014299.9999999999"/>
    <n v="84041.999999999985"/>
    <n v="0"/>
    <n v="280"/>
    <n v="1014299.9999999999"/>
    <n v="211870.5882352941"/>
  </r>
  <r>
    <m/>
    <x v="1"/>
    <x v="12"/>
    <x v="28"/>
    <s v="LHBOHYTK750"/>
    <x v="177"/>
    <x v="174"/>
    <x v="0"/>
    <x v="2"/>
    <n v="1"/>
    <x v="12"/>
    <n v="0"/>
    <m/>
    <n v="0"/>
    <n v="3501.7499999999995"/>
    <n v="0"/>
    <n v="3.5"/>
    <n v="3501.7499999999995"/>
    <n v="8827.9411764705874"/>
    <n v="7503.7499999999991"/>
    <s v="Ningbo"/>
    <x v="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4.9999999998"/>
    <n v="0"/>
    <n v="0"/>
    <n v="0"/>
    <n v="0"/>
    <n v="30"/>
    <n v="0"/>
    <n v="30"/>
    <n v="0"/>
    <n v="500"/>
    <n v="0"/>
    <n v="0"/>
    <n v="108674.99999999999"/>
    <n v="0"/>
    <n v="0"/>
    <n v="500"/>
    <n v="0"/>
    <n v="264838.23529411759"/>
    <n v="30"/>
    <n v="0"/>
    <n v="30"/>
    <n v="0"/>
    <n v="0"/>
    <n v="500"/>
    <n v="0"/>
    <n v="108674.99999999999"/>
    <n v="0"/>
    <n v="1811249.9999999998"/>
    <n v="500"/>
    <n v="1811249.9999999998"/>
    <n v="264838.23529411759"/>
    <n v="60"/>
    <n v="470"/>
    <n v="60"/>
    <n v="0"/>
    <n v="0"/>
    <n v="0"/>
    <m/>
    <n v="1702574.9999999998"/>
    <n v="217349.99999999997"/>
    <n v="0"/>
    <n v="0"/>
    <n v="470"/>
    <n v="1702574.9999999998"/>
    <n v="450224.99999999994"/>
    <n v="40"/>
    <n v="410"/>
    <n v="40"/>
    <n v="0"/>
    <n v="0"/>
    <n v="1485224.9999999998"/>
    <n v="144899.99999999997"/>
    <n v="0"/>
    <n v="0"/>
    <n v="410"/>
    <n v="1485224.9999999998"/>
    <n v="315157.49999999994"/>
    <n v="90"/>
    <n v="370"/>
    <n v="90"/>
    <n v="0"/>
    <n v="0"/>
    <n v="1340324.9999999998"/>
    <n v="326024.99999999994"/>
    <n v="0"/>
    <n v="370"/>
    <n v="1340324.9999999998"/>
    <n v="794514.70588235289"/>
    <n v="24"/>
    <n v="280"/>
    <n v="24"/>
    <n v="0"/>
    <m/>
    <n v="1014299.9999999999"/>
    <n v="84041.999999999985"/>
    <n v="0"/>
    <n v="280"/>
    <n v="1014299.9999999999"/>
    <n v="211870.5882352941"/>
  </r>
  <r>
    <m/>
    <x v="1"/>
    <x v="12"/>
    <x v="28"/>
    <s v="LHBOHYTK750"/>
    <x v="178"/>
    <x v="175"/>
    <x v="0"/>
    <x v="2"/>
    <n v="1"/>
    <x v="12"/>
    <n v="0"/>
    <m/>
    <n v="0"/>
    <n v="3501.7499999999995"/>
    <n v="0"/>
    <n v="3.5"/>
    <n v="3501.7499999999995"/>
    <n v="8827.9411764705874"/>
    <n v="7503.7499999999991"/>
    <s v="Ningbo"/>
    <x v="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4.9999999998"/>
    <n v="0"/>
    <n v="0"/>
    <n v="0"/>
    <n v="0"/>
    <n v="30"/>
    <n v="0"/>
    <n v="30"/>
    <n v="0"/>
    <n v="500"/>
    <n v="0"/>
    <n v="0"/>
    <n v="108674.99999999999"/>
    <n v="0"/>
    <n v="0"/>
    <n v="500"/>
    <n v="0"/>
    <n v="264838.23529411759"/>
    <n v="30"/>
    <n v="0"/>
    <n v="30"/>
    <n v="0"/>
    <n v="0"/>
    <n v="500"/>
    <n v="0"/>
    <n v="108674.99999999999"/>
    <n v="0"/>
    <n v="1811249.9999999998"/>
    <n v="500"/>
    <n v="1811249.9999999998"/>
    <n v="264838.23529411759"/>
    <n v="60"/>
    <n v="470"/>
    <n v="60"/>
    <n v="0"/>
    <n v="0"/>
    <n v="0"/>
    <m/>
    <n v="1702574.9999999998"/>
    <n v="217349.99999999997"/>
    <n v="0"/>
    <n v="0"/>
    <n v="470"/>
    <n v="1702574.9999999998"/>
    <n v="450224.99999999994"/>
    <n v="40"/>
    <n v="410"/>
    <n v="40"/>
    <n v="0"/>
    <n v="0"/>
    <n v="1485224.9999999998"/>
    <n v="144899.99999999997"/>
    <n v="0"/>
    <n v="0"/>
    <n v="410"/>
    <n v="1485224.9999999998"/>
    <n v="315157.49999999994"/>
    <n v="90"/>
    <n v="370"/>
    <n v="90"/>
    <n v="0"/>
    <n v="0"/>
    <n v="1340324.9999999998"/>
    <n v="326024.99999999994"/>
    <n v="0"/>
    <n v="370"/>
    <n v="1340324.9999999998"/>
    <n v="794514.70588235289"/>
    <n v="24"/>
    <n v="280"/>
    <n v="24"/>
    <n v="0"/>
    <m/>
    <n v="1014299.9999999999"/>
    <n v="84041.999999999985"/>
    <n v="0"/>
    <n v="280"/>
    <n v="1014299.9999999999"/>
    <n v="211870.5882352941"/>
  </r>
  <r>
    <m/>
    <x v="1"/>
    <x v="12"/>
    <x v="28"/>
    <s v="LHMUTER590"/>
    <x v="179"/>
    <x v="176"/>
    <x v="0"/>
    <x v="2"/>
    <n v="1"/>
    <x v="12"/>
    <n v="0"/>
    <m/>
    <n v="0"/>
    <n v="3501.7499999999995"/>
    <n v="0"/>
    <n v="3.5"/>
    <n v="3501.7499999999995"/>
    <n v="8827.9411764705874"/>
    <n v="7503.7499999999991"/>
    <s v="Ningbo"/>
    <x v="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4.9999999998"/>
    <n v="0"/>
    <n v="0"/>
    <n v="0"/>
    <n v="0"/>
    <n v="50"/>
    <n v="0"/>
    <n v="50"/>
    <n v="0"/>
    <n v="500"/>
    <n v="0"/>
    <n v="0"/>
    <n v="181124.99999999997"/>
    <n v="0"/>
    <n v="0"/>
    <n v="500"/>
    <n v="0"/>
    <n v="441397.0588235294"/>
    <n v="50"/>
    <n v="0"/>
    <n v="50"/>
    <n v="0"/>
    <n v="0"/>
    <n v="500"/>
    <n v="0"/>
    <n v="181124.99999999997"/>
    <n v="0"/>
    <n v="1811249.9999999998"/>
    <n v="500"/>
    <n v="1811249.9999999998"/>
    <n v="441397.0588235294"/>
    <n v="80"/>
    <n v="450"/>
    <n v="80"/>
    <n v="0"/>
    <n v="0"/>
    <n v="0"/>
    <m/>
    <n v="1630124.9999999998"/>
    <n v="289799.99999999994"/>
    <n v="0"/>
    <n v="0"/>
    <n v="450"/>
    <n v="1630124.9999999998"/>
    <n v="600299.99999999988"/>
    <n v="60"/>
    <n v="370"/>
    <n v="60"/>
    <n v="0"/>
    <n v="0"/>
    <n v="1340324.9999999998"/>
    <n v="217349.99999999997"/>
    <n v="0"/>
    <n v="0"/>
    <n v="370"/>
    <n v="1340324.9999999998"/>
    <n v="472736.24999999994"/>
    <n v="100"/>
    <n v="310"/>
    <n v="100"/>
    <n v="0"/>
    <n v="0"/>
    <n v="1122974.9999999998"/>
    <n v="362249.99999999994"/>
    <n v="0"/>
    <n v="310"/>
    <n v="1122974.9999999998"/>
    <n v="882794.1176470588"/>
    <n v="36"/>
    <n v="210"/>
    <n v="36"/>
    <n v="0"/>
    <m/>
    <n v="760724.99999999988"/>
    <n v="126062.99999999999"/>
    <n v="0"/>
    <n v="210"/>
    <n v="760724.99999999988"/>
    <n v="317805.88235294115"/>
  </r>
  <r>
    <m/>
    <x v="1"/>
    <x v="12"/>
    <x v="28"/>
    <s v="LHMUTER590"/>
    <x v="180"/>
    <x v="177"/>
    <x v="0"/>
    <x v="2"/>
    <n v="1"/>
    <x v="12"/>
    <n v="0"/>
    <m/>
    <n v="0"/>
    <n v="3501.7499999999995"/>
    <n v="0"/>
    <n v="3.5"/>
    <n v="3501.7499999999995"/>
    <n v="8827.9411764705874"/>
    <n v="7503.7499999999991"/>
    <s v="Ningbo"/>
    <x v="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4.9999999998"/>
    <n v="0"/>
    <n v="0"/>
    <n v="0"/>
    <n v="0"/>
    <n v="50"/>
    <n v="0"/>
    <n v="50"/>
    <n v="0"/>
    <n v="500"/>
    <n v="0"/>
    <n v="0"/>
    <n v="181124.99999999997"/>
    <n v="0"/>
    <n v="0"/>
    <n v="500"/>
    <n v="0"/>
    <n v="441397.0588235294"/>
    <n v="50"/>
    <n v="0"/>
    <n v="50"/>
    <n v="0"/>
    <n v="0"/>
    <n v="500"/>
    <n v="0"/>
    <n v="181124.99999999997"/>
    <n v="0"/>
    <n v="1811249.9999999998"/>
    <n v="500"/>
    <n v="1811249.9999999998"/>
    <n v="441397.0588235294"/>
    <n v="80"/>
    <n v="450"/>
    <n v="80"/>
    <n v="0"/>
    <n v="0"/>
    <n v="0"/>
    <m/>
    <n v="1630124.9999999998"/>
    <n v="289799.99999999994"/>
    <n v="0"/>
    <n v="0"/>
    <n v="450"/>
    <n v="1630124.9999999998"/>
    <n v="600299.99999999988"/>
    <n v="60"/>
    <n v="370"/>
    <n v="60"/>
    <n v="0"/>
    <n v="0"/>
    <n v="1340324.9999999998"/>
    <n v="217349.99999999997"/>
    <n v="0"/>
    <n v="0"/>
    <n v="370"/>
    <n v="1340324.9999999998"/>
    <n v="472736.24999999994"/>
    <n v="100"/>
    <n v="310"/>
    <n v="100"/>
    <n v="0"/>
    <n v="0"/>
    <n v="1122974.9999999998"/>
    <n v="362249.99999999994"/>
    <n v="0"/>
    <n v="310"/>
    <n v="1122974.9999999998"/>
    <n v="882794.1176470588"/>
    <n v="36"/>
    <n v="210"/>
    <n v="36"/>
    <n v="0"/>
    <m/>
    <n v="760724.99999999988"/>
    <n v="126062.99999999999"/>
    <n v="0"/>
    <n v="210"/>
    <n v="760724.99999999988"/>
    <n v="317805.88235294115"/>
  </r>
  <r>
    <m/>
    <x v="1"/>
    <x v="12"/>
    <x v="28"/>
    <s v="LHMUTER590"/>
    <x v="181"/>
    <x v="178"/>
    <x v="0"/>
    <x v="2"/>
    <n v="1"/>
    <x v="12"/>
    <n v="0"/>
    <m/>
    <n v="0"/>
    <n v="3501.7499999999995"/>
    <n v="0"/>
    <n v="3.5"/>
    <n v="3501.7499999999995"/>
    <n v="8827.9411764705874"/>
    <n v="7503.7499999999991"/>
    <s v="Ningbo"/>
    <x v="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4.9999999998"/>
    <n v="0"/>
    <n v="0"/>
    <n v="0"/>
    <n v="0"/>
    <n v="30"/>
    <n v="0"/>
    <n v="30"/>
    <n v="0"/>
    <n v="500"/>
    <n v="0"/>
    <n v="0"/>
    <n v="108674.99999999999"/>
    <n v="0"/>
    <n v="0"/>
    <n v="500"/>
    <n v="0"/>
    <n v="264838.23529411759"/>
    <n v="30"/>
    <n v="0"/>
    <n v="30"/>
    <n v="0"/>
    <n v="0"/>
    <n v="500"/>
    <n v="0"/>
    <n v="108674.99999999999"/>
    <n v="0"/>
    <n v="1811249.9999999998"/>
    <n v="500"/>
    <n v="1811249.9999999998"/>
    <n v="264838.23529411759"/>
    <n v="40"/>
    <n v="470"/>
    <n v="40"/>
    <n v="0"/>
    <n v="0"/>
    <n v="0"/>
    <m/>
    <n v="1702574.9999999998"/>
    <n v="144899.99999999997"/>
    <n v="0"/>
    <n v="0"/>
    <n v="470"/>
    <n v="1702574.9999999998"/>
    <n v="300149.99999999994"/>
    <n v="40"/>
    <n v="430"/>
    <n v="40"/>
    <n v="0"/>
    <n v="0"/>
    <n v="1557674.9999999998"/>
    <n v="144899.99999999997"/>
    <n v="0"/>
    <n v="0"/>
    <n v="430"/>
    <n v="1557674.9999999998"/>
    <n v="315157.49999999994"/>
    <n v="80"/>
    <n v="390"/>
    <n v="80"/>
    <n v="0"/>
    <n v="0"/>
    <n v="1412774.9999999998"/>
    <n v="289799.99999999994"/>
    <n v="0"/>
    <n v="390"/>
    <n v="1412774.9999999998"/>
    <n v="706235.29411764699"/>
    <n v="24"/>
    <n v="310"/>
    <n v="24"/>
    <n v="0"/>
    <m/>
    <n v="1122974.9999999998"/>
    <n v="84041.999999999985"/>
    <n v="0"/>
    <n v="310"/>
    <n v="1122974.9999999998"/>
    <n v="211870.5882352941"/>
  </r>
  <r>
    <m/>
    <x v="1"/>
    <x v="12"/>
    <x v="28"/>
    <s v="LHMUTER590"/>
    <x v="182"/>
    <x v="179"/>
    <x v="0"/>
    <x v="2"/>
    <n v="1"/>
    <x v="12"/>
    <n v="0"/>
    <m/>
    <n v="0"/>
    <n v="3501.7499999999995"/>
    <n v="0"/>
    <n v="3.5"/>
    <n v="3501.7499999999995"/>
    <n v="8827.9411764705874"/>
    <n v="7503.7499999999991"/>
    <s v="Ningbo"/>
    <x v="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4.9999999998"/>
    <n v="0"/>
    <n v="0"/>
    <n v="0"/>
    <n v="0"/>
    <n v="30"/>
    <n v="0"/>
    <n v="30"/>
    <n v="0"/>
    <n v="500"/>
    <n v="0"/>
    <n v="0"/>
    <n v="108674.99999999999"/>
    <n v="0"/>
    <n v="0"/>
    <n v="500"/>
    <n v="0"/>
    <n v="264838.23529411759"/>
    <n v="30"/>
    <n v="0"/>
    <n v="30"/>
    <n v="0"/>
    <n v="0"/>
    <n v="500"/>
    <n v="0"/>
    <n v="108674.99999999999"/>
    <n v="0"/>
    <n v="1811249.9999999998"/>
    <n v="500"/>
    <n v="1811249.9999999998"/>
    <n v="264838.23529411759"/>
    <n v="40"/>
    <n v="470"/>
    <n v="40"/>
    <n v="0"/>
    <n v="0"/>
    <n v="0"/>
    <m/>
    <n v="1702574.9999999998"/>
    <n v="144899.99999999997"/>
    <n v="0"/>
    <n v="0"/>
    <n v="470"/>
    <n v="1702574.9999999998"/>
    <n v="300149.99999999994"/>
    <n v="40"/>
    <n v="430"/>
    <n v="40"/>
    <n v="0"/>
    <n v="0"/>
    <n v="1557674.9999999998"/>
    <n v="144899.99999999997"/>
    <n v="0"/>
    <n v="0"/>
    <n v="430"/>
    <n v="1557674.9999999998"/>
    <n v="315157.49999999994"/>
    <n v="80"/>
    <n v="390"/>
    <n v="80"/>
    <n v="0"/>
    <n v="0"/>
    <n v="1412774.9999999998"/>
    <n v="289799.99999999994"/>
    <n v="0"/>
    <n v="390"/>
    <n v="1412774.9999999998"/>
    <n v="706235.29411764699"/>
    <n v="24"/>
    <n v="310"/>
    <n v="24"/>
    <n v="0"/>
    <m/>
    <n v="1122974.9999999998"/>
    <n v="84041.999999999985"/>
    <n v="0"/>
    <n v="310"/>
    <n v="1122974.9999999998"/>
    <n v="211870.5882352941"/>
  </r>
  <r>
    <m/>
    <x v="1"/>
    <x v="12"/>
    <x v="28"/>
    <s v="LHMUTER590"/>
    <x v="183"/>
    <x v="180"/>
    <x v="0"/>
    <x v="2"/>
    <n v="1"/>
    <x v="12"/>
    <n v="0"/>
    <m/>
    <n v="0"/>
    <n v="3501.7499999999995"/>
    <n v="0"/>
    <n v="3.5"/>
    <n v="3501.7499999999995"/>
    <n v="8827.9411764705874"/>
    <n v="7503.7499999999991"/>
    <s v="Ningbo"/>
    <x v="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4.9999999998"/>
    <n v="0"/>
    <n v="0"/>
    <n v="0"/>
    <n v="0"/>
    <n v="30"/>
    <n v="0"/>
    <n v="30"/>
    <n v="0"/>
    <n v="500"/>
    <n v="0"/>
    <n v="0"/>
    <n v="108674.99999999999"/>
    <n v="0"/>
    <n v="0"/>
    <n v="500"/>
    <n v="0"/>
    <n v="264838.23529411759"/>
    <n v="30"/>
    <n v="0"/>
    <n v="30"/>
    <n v="0"/>
    <n v="0"/>
    <n v="500"/>
    <n v="0"/>
    <n v="108674.99999999999"/>
    <n v="0"/>
    <n v="1811249.9999999998"/>
    <n v="500"/>
    <n v="1811249.9999999998"/>
    <n v="264838.23529411759"/>
    <n v="40"/>
    <n v="470"/>
    <n v="40"/>
    <n v="0"/>
    <n v="0"/>
    <n v="0"/>
    <m/>
    <n v="1702574.9999999998"/>
    <n v="144899.99999999997"/>
    <n v="0"/>
    <n v="0"/>
    <n v="470"/>
    <n v="1702574.9999999998"/>
    <n v="300149.99999999994"/>
    <n v="40"/>
    <n v="430"/>
    <n v="40"/>
    <n v="0"/>
    <n v="0"/>
    <n v="1557674.9999999998"/>
    <n v="144899.99999999997"/>
    <n v="0"/>
    <n v="0"/>
    <n v="430"/>
    <n v="1557674.9999999998"/>
    <n v="315157.49999999994"/>
    <n v="80"/>
    <n v="390"/>
    <n v="80"/>
    <n v="0"/>
    <n v="0"/>
    <n v="1412774.9999999998"/>
    <n v="289799.99999999994"/>
    <n v="0"/>
    <n v="390"/>
    <n v="1412774.9999999998"/>
    <n v="706235.29411764699"/>
    <n v="24"/>
    <n v="310"/>
    <n v="24"/>
    <n v="0"/>
    <m/>
    <n v="1122974.9999999998"/>
    <n v="84041.999999999985"/>
    <n v="0"/>
    <n v="310"/>
    <n v="1122974.9999999998"/>
    <n v="211870.5882352941"/>
  </r>
  <r>
    <s v="Lhotse-Hidratación"/>
    <x v="1"/>
    <x v="12"/>
    <x v="29"/>
    <s v="LHTHCLA"/>
    <x v="184"/>
    <x v="181"/>
    <x v="0"/>
    <x v="4"/>
    <n v="1"/>
    <x v="138"/>
    <n v="355"/>
    <m/>
    <n v="0"/>
    <n v="7187"/>
    <n v="2551385"/>
    <n v="6.3"/>
    <n v="6882.7499999999991"/>
    <n v="16798.319327731093"/>
    <n v="15117.64705882353"/>
    <s v="Shenzhen"/>
    <x v="0"/>
    <n v="30"/>
    <n v="100"/>
    <n v="2"/>
    <n v="0.59817140820410208"/>
    <n v="0"/>
    <s v=""/>
    <n v="5"/>
    <s v=""/>
    <n v="63"/>
    <n v="0.57600608987186774"/>
    <n v="19"/>
    <n v="0.5471246159512051"/>
    <n v="110"/>
    <n v="0.53712045899552141"/>
    <n v="48"/>
    <n v="0.48257178148011487"/>
    <n v="0"/>
    <n v="0.76882248622730887"/>
    <n v="12"/>
    <n v="0.58931594574139845"/>
    <n v="59"/>
    <n v="0.502227397666414"/>
    <n v="43"/>
    <n v="0.47117880875723372"/>
    <n v="75"/>
    <n v="0.50873183789778231"/>
    <n v="30"/>
    <s v=""/>
    <n v="59"/>
    <s v=""/>
    <n v="91"/>
    <s v=""/>
    <n v="47"/>
    <s v=""/>
    <n v="0.72307692307692306"/>
    <n v="65"/>
    <s v=""/>
    <n v="1.3"/>
    <n v="52"/>
    <s v=""/>
    <n v="0.34666666666666668"/>
    <n v="16"/>
    <s v=""/>
    <n v="0.13333333333333333"/>
    <n v="50"/>
    <n v="232"/>
    <n v="50"/>
    <n v="0"/>
    <n v="0"/>
    <n v="0"/>
    <n v="1649416.5"/>
    <n v="1512755.9999999998"/>
    <n v="359350"/>
    <n v="0"/>
    <n v="355"/>
    <n v="2551385"/>
    <n v="705811.73645928968"/>
    <n v="35"/>
    <n v="179"/>
    <n v="88.5"/>
    <n v="0"/>
    <n v="0"/>
    <n v="0"/>
    <n v="1627855.5"/>
    <n v="1167169.4999999998"/>
    <n v="636049.5"/>
    <n v="0"/>
    <n v="355"/>
    <n v="2551385"/>
    <n v="1249286.7735329426"/>
    <n v="60"/>
    <n v="147"/>
    <n v="91"/>
    <n v="0"/>
    <n v="0"/>
    <n v="1317831"/>
    <n v="1056489"/>
    <n v="654017"/>
    <n v="0"/>
    <n v="355"/>
    <n v="2551385"/>
    <n v="1528647.0588235294"/>
    <n v="65"/>
    <n v="335"/>
    <n v="47"/>
    <n v="200"/>
    <n v="0"/>
    <n v="2184367.4999999995"/>
    <n v="337789"/>
    <x v="45"/>
    <x v="0"/>
    <n v="355"/>
    <n v="2551385"/>
    <n v="789521.00840336131"/>
    <n v="50"/>
    <n v="420"/>
    <n v="50"/>
    <m/>
    <n v="0"/>
    <n v="0"/>
    <n v="3018540"/>
    <n v="326024.99999999994"/>
    <x v="0"/>
    <n v="0"/>
    <n v="355"/>
    <n v="2551385"/>
    <n v="839915.96638655465"/>
    <n v="150"/>
    <n v="407"/>
    <n v="52"/>
    <m/>
    <n v="0"/>
    <n v="0"/>
    <n v="2925109"/>
    <n v="339065.99999999994"/>
    <n v="0"/>
    <n v="0"/>
    <n v="407"/>
    <n v="2551385"/>
    <n v="873512.60504201683"/>
    <n v="120"/>
    <n v="371"/>
    <n v="120"/>
    <n v="200"/>
    <n v="200"/>
    <n v="0"/>
    <n v="2666377"/>
    <n v="782459.99999999988"/>
    <n v="1260630"/>
    <n v="0"/>
    <n v="371"/>
    <n v="2551385"/>
    <n v="2015798.3193277312"/>
    <n v="50"/>
    <n v="251"/>
    <n v="50"/>
    <n v="200"/>
    <n v="200"/>
    <n v="0"/>
    <n v="1803937"/>
    <n v="326024.99999999994"/>
    <n v="1304099.9999999998"/>
    <n v="0"/>
    <n v="451"/>
    <n v="3108037"/>
    <n v="839915.96638655465"/>
    <n v="48"/>
    <n v="201"/>
    <n v="48"/>
    <n v="0"/>
    <n v="0"/>
    <n v="200"/>
    <n v="1310620.4999999998"/>
    <n v="312983.99999999994"/>
    <n v="0"/>
    <n v="1304099.9999999998"/>
    <n v="401"/>
    <n v="2614720.4999999995"/>
    <n v="806319.32773109246"/>
    <n v="100"/>
    <n v="353"/>
    <n v="100"/>
    <n v="0"/>
    <n v="0"/>
    <n v="0"/>
    <m/>
    <n v="2301736.4999999995"/>
    <n v="652049.99999999988"/>
    <n v="0"/>
    <n v="0"/>
    <n v="353"/>
    <n v="2301736.4999999995"/>
    <n v="1511764.705882353"/>
    <n v="80"/>
    <n v="253"/>
    <n v="80"/>
    <n v="0"/>
    <n v="0"/>
    <n v="1649686.4999999998"/>
    <n v="521639.99999999994"/>
    <n v="0"/>
    <n v="0"/>
    <n v="253"/>
    <n v="1649686.4999999998"/>
    <n v="1269882.3529411766"/>
    <n v="100"/>
    <n v="173"/>
    <n v="100"/>
    <n v="0"/>
    <n v="0"/>
    <n v="1128046.4999999998"/>
    <n v="652049.99999999988"/>
    <n v="0"/>
    <n v="173"/>
    <n v="1128046.4999999998"/>
    <n v="1679831.9327731093"/>
    <n v="48"/>
    <n v="73"/>
    <n v="48"/>
    <n v="0"/>
    <m/>
    <n v="475996.49999999994"/>
    <n v="344976"/>
    <n v="0"/>
    <n v="73"/>
    <n v="475996.49999999994"/>
    <n v="806319.32773109246"/>
  </r>
  <r>
    <s v="Lhotse-Hidratación"/>
    <x v="1"/>
    <x v="12"/>
    <x v="29"/>
    <s v="LHTHCLA"/>
    <x v="185"/>
    <x v="182"/>
    <x v="0"/>
    <x v="4"/>
    <n v="1"/>
    <x v="139"/>
    <n v="207"/>
    <m/>
    <n v="0"/>
    <n v="7339"/>
    <n v="1519173"/>
    <n v="6.3"/>
    <n v="6882.7499999999991"/>
    <n v="16798.319327731093"/>
    <n v="15117.64705882353"/>
    <s v="Shenzhen"/>
    <x v="0"/>
    <n v="30"/>
    <n v="100"/>
    <n v="1"/>
    <n v="0.58049600440892801"/>
    <n v="0"/>
    <n v="0.56851085539368507"/>
    <n v="1"/>
    <n v="0.54175353882788724"/>
    <n v="28"/>
    <n v="0.57419451990805037"/>
    <n v="34"/>
    <n v="0.54261649992477801"/>
    <n v="107"/>
    <n v="0.56493445169307199"/>
    <n v="31"/>
    <n v="0.48538701823391961"/>
    <n v="4"/>
    <n v="0.60780754535166437"/>
    <n v="5"/>
    <n v="0.61309802339744801"/>
    <n v="30"/>
    <n v="0.51356654680724556"/>
    <n v="16"/>
    <n v="0.54660043715510298"/>
    <n v="32"/>
    <n v="0.52746905625150586"/>
    <n v="60"/>
    <s v=""/>
    <n v="20"/>
    <s v=""/>
    <n v="15"/>
    <s v=""/>
    <n v="27"/>
    <s v=""/>
    <n v="0.77142857142857146"/>
    <n v="31"/>
    <s v=""/>
    <n v="0.88571428571428568"/>
    <n v="55"/>
    <s v=""/>
    <n v="0.5"/>
    <n v="9"/>
    <s v=""/>
    <n v="8.1818181818181818E-2"/>
    <n v="20"/>
    <n v="223"/>
    <n v="20"/>
    <n v="0"/>
    <n v="0"/>
    <n v="0"/>
    <n v="477035"/>
    <n v="1454071.4999999998"/>
    <n v="146780"/>
    <n v="0"/>
    <n v="207"/>
    <n v="1519173"/>
    <n v="282324.69458371587"/>
    <n v="60"/>
    <n v="154"/>
    <n v="30"/>
    <n v="0"/>
    <n v="0"/>
    <n v="0"/>
    <n v="528408"/>
    <n v="1004156.9999999999"/>
    <n v="220170"/>
    <n v="0"/>
    <n v="207"/>
    <n v="1519173"/>
    <n v="423487.04187557381"/>
    <n v="28"/>
    <n v="141"/>
    <n v="15"/>
    <n v="0"/>
    <n v="0"/>
    <n v="536455.5"/>
    <n v="1034799"/>
    <n v="110085"/>
    <n v="0"/>
    <n v="207"/>
    <n v="1519173"/>
    <n v="251974.78991596639"/>
    <n v="35"/>
    <n v="111"/>
    <n v="27"/>
    <n v="0"/>
    <n v="0"/>
    <n v="723775.49999999988"/>
    <n v="198153"/>
    <x v="0"/>
    <x v="0"/>
    <n v="207"/>
    <n v="1519173"/>
    <n v="453554.62184873951"/>
    <n v="35"/>
    <n v="238"/>
    <n v="35"/>
    <m/>
    <n v="0"/>
    <n v="0"/>
    <n v="1746682"/>
    <n v="228217.49999999997"/>
    <x v="0"/>
    <n v="0"/>
    <n v="207"/>
    <n v="1519173"/>
    <n v="587941.17647058819"/>
    <n v="110"/>
    <n v="262"/>
    <n v="55"/>
    <m/>
    <n v="0"/>
    <n v="0"/>
    <n v="1922818"/>
    <n v="358627.49999999994"/>
    <n v="0"/>
    <n v="0"/>
    <n v="262"/>
    <n v="1519173"/>
    <n v="923907.56302521005"/>
    <n v="110"/>
    <n v="216"/>
    <n v="110"/>
    <n v="200"/>
    <n v="200"/>
    <n v="0"/>
    <n v="1585224"/>
    <n v="717254.99999999988"/>
    <n v="1260630"/>
    <n v="0"/>
    <n v="216"/>
    <n v="1519173"/>
    <n v="1847815.1260504201"/>
    <n v="35"/>
    <n v="106"/>
    <n v="35"/>
    <n v="100"/>
    <n v="100"/>
    <n v="0"/>
    <n v="777934"/>
    <n v="228217.49999999997"/>
    <n v="652049.99999999988"/>
    <n v="0"/>
    <n v="206"/>
    <n v="1429984"/>
    <n v="587941.17647058819"/>
    <n v="34"/>
    <n v="71"/>
    <n v="34"/>
    <n v="0"/>
    <n v="0"/>
    <n v="100"/>
    <n v="462955.49999999994"/>
    <n v="221696.99999999997"/>
    <n v="0"/>
    <n v="652049.99999999988"/>
    <n v="171"/>
    <n v="1115005.4999999998"/>
    <n v="571142.85714285716"/>
    <n v="80"/>
    <n v="137"/>
    <n v="80"/>
    <n v="100"/>
    <n v="100"/>
    <n v="100"/>
    <n v="0"/>
    <n v="893308.49999999988"/>
    <n v="521639.99999999994"/>
    <n v="652049.99999999988"/>
    <n v="652049.99999999988"/>
    <n v="237"/>
    <n v="1545358.4999999998"/>
    <n v="1209411.7647058824"/>
    <n v="60"/>
    <n v="157"/>
    <n v="60"/>
    <n v="0"/>
    <n v="0"/>
    <n v="1023718.4999999999"/>
    <n v="391229.99999999994"/>
    <n v="0"/>
    <n v="0"/>
    <n v="157"/>
    <n v="1023718.4999999999"/>
    <n v="952411.76470588241"/>
    <n v="80"/>
    <n v="97"/>
    <n v="80"/>
    <n v="0"/>
    <n v="0"/>
    <n v="632488.49999999988"/>
    <n v="521639.99999999994"/>
    <n v="0"/>
    <n v="97"/>
    <n v="632488.49999999988"/>
    <n v="1343865.5462184874"/>
    <n v="36"/>
    <n v="17"/>
    <n v="36"/>
    <n v="0"/>
    <m/>
    <n v="110848.49999999999"/>
    <n v="264204"/>
    <n v="0"/>
    <n v="17"/>
    <n v="110848.49999999999"/>
    <n v="604739.49579831935"/>
  </r>
  <r>
    <s v="Lhotse-Hidratación"/>
    <x v="1"/>
    <x v="12"/>
    <x v="29"/>
    <s v="LHTHCLA"/>
    <x v="186"/>
    <x v="183"/>
    <x v="0"/>
    <x v="4"/>
    <n v="1"/>
    <x v="140"/>
    <n v="239"/>
    <m/>
    <n v="0"/>
    <n v="7179"/>
    <n v="1715781"/>
    <n v="6.3"/>
    <n v="6882.7499999999991"/>
    <n v="16798.319327731093"/>
    <n v="15117.64705882353"/>
    <s v="Shenzhen"/>
    <x v="0"/>
    <n v="30"/>
    <n v="100"/>
    <n v="42"/>
    <n v="0.56379974060378601"/>
    <n v="35"/>
    <n v="0.5353558600720133"/>
    <n v="22"/>
    <n v="0.56887799032950981"/>
    <n v="60"/>
    <n v="0.57255811823607528"/>
    <n v="27"/>
    <n v="0.52855175755617922"/>
    <n v="33"/>
    <n v="0.529971150428589"/>
    <n v="53"/>
    <n v="0.49040877544469574"/>
    <n v="9"/>
    <n v="0.5439614783793032"/>
    <n v="6"/>
    <n v="0.63207007398357729"/>
    <n v="24"/>
    <n v="0.56717222094044173"/>
    <n v="17"/>
    <n v="0.5850917870510578"/>
    <n v="64"/>
    <n v="0.39541132772391752"/>
    <n v="32"/>
    <s v=""/>
    <n v="29"/>
    <s v=""/>
    <n v="36"/>
    <s v=""/>
    <n v="40"/>
    <s v=""/>
    <n v="0.66666666666666663"/>
    <n v="51"/>
    <s v=""/>
    <n v="1.7"/>
    <n v="21"/>
    <s v=""/>
    <n v="0.35"/>
    <n v="13"/>
    <s v=""/>
    <n v="0.13"/>
    <n v="50"/>
    <n v="344"/>
    <n v="50"/>
    <n v="0"/>
    <n v="0"/>
    <n v="0"/>
    <n v="929680.5"/>
    <n v="2243051.9999999995"/>
    <n v="358950"/>
    <n v="0"/>
    <n v="239"/>
    <n v="1715781"/>
    <n v="705811.73645928968"/>
    <n v="25"/>
    <n v="321"/>
    <n v="43.5"/>
    <n v="0"/>
    <n v="0"/>
    <n v="0"/>
    <n v="857890.5"/>
    <n v="2093080.4999999998"/>
    <n v="312286.5"/>
    <n v="0"/>
    <n v="239"/>
    <n v="1715781"/>
    <n v="614056.21071958204"/>
    <n v="50"/>
    <n v="309"/>
    <n v="36"/>
    <n v="0"/>
    <n v="0"/>
    <n v="741219"/>
    <n v="2218311"/>
    <n v="258444"/>
    <n v="0"/>
    <n v="239"/>
    <n v="1715781"/>
    <n v="604739.49579831935"/>
    <n v="60"/>
    <n v="254"/>
    <n v="40"/>
    <n v="0"/>
    <n v="0"/>
    <n v="1656206.9999999998"/>
    <n v="287160"/>
    <x v="0"/>
    <x v="0"/>
    <n v="239"/>
    <n v="1715781"/>
    <n v="671932.77310924372"/>
    <n v="30"/>
    <n v="290"/>
    <n v="30"/>
    <m/>
    <n v="0"/>
    <n v="0"/>
    <n v="2081910"/>
    <n v="195614.99999999997"/>
    <x v="0"/>
    <n v="0"/>
    <n v="239"/>
    <n v="1715781"/>
    <n v="503949.57983193279"/>
    <n v="60"/>
    <n v="260"/>
    <n v="21"/>
    <m/>
    <n v="0"/>
    <n v="0"/>
    <n v="1866540"/>
    <n v="136930.49999999997"/>
    <n v="0"/>
    <n v="0"/>
    <n v="260"/>
    <n v="1715781"/>
    <n v="352764.70588235295"/>
    <n v="100"/>
    <n v="252"/>
    <n v="100"/>
    <n v="0"/>
    <n v="0"/>
    <n v="0"/>
    <n v="1809108"/>
    <n v="652049.99999999988"/>
    <n v="0"/>
    <n v="0"/>
    <n v="252"/>
    <n v="1715781"/>
    <n v="1679831.9327731093"/>
    <n v="50"/>
    <n v="152"/>
    <n v="50"/>
    <n v="100"/>
    <n v="100"/>
    <n v="0"/>
    <n v="1091208"/>
    <n v="326024.99999999994"/>
    <n v="652049.99999999988"/>
    <n v="0"/>
    <n v="252"/>
    <n v="1743258"/>
    <n v="839915.96638655465"/>
    <n v="45"/>
    <n v="102"/>
    <n v="45"/>
    <n v="0"/>
    <n v="0"/>
    <n v="100"/>
    <n v="665090.99999999988"/>
    <n v="293422.49999999994"/>
    <n v="0"/>
    <n v="652049.99999999988"/>
    <n v="202"/>
    <n v="1317140.9999999998"/>
    <n v="755924.36974789924"/>
    <n v="60"/>
    <n v="157"/>
    <n v="60"/>
    <n v="0"/>
    <n v="0"/>
    <n v="0"/>
    <m/>
    <n v="1023718.4999999999"/>
    <n v="391229.99999999994"/>
    <n v="0"/>
    <n v="0"/>
    <n v="157"/>
    <n v="1023718.4999999999"/>
    <n v="907058.82352941181"/>
    <n v="50"/>
    <n v="97"/>
    <n v="50"/>
    <n v="0"/>
    <n v="0"/>
    <n v="632488.49999999988"/>
    <n v="326024.99999999994"/>
    <n v="0"/>
    <n v="0"/>
    <n v="97"/>
    <n v="632488.49999999988"/>
    <n v="793676.47058823542"/>
    <n v="70"/>
    <n v="47"/>
    <n v="70"/>
    <n v="0"/>
    <n v="0"/>
    <n v="306463.49999999994"/>
    <n v="456434.99999999994"/>
    <n v="0"/>
    <n v="47"/>
    <n v="306463.49999999994"/>
    <n v="1175882.3529411764"/>
    <n v="30"/>
    <n v="0"/>
    <n v="30"/>
    <n v="0"/>
    <m/>
    <n v="0"/>
    <n v="215370"/>
    <n v="0"/>
    <n v="0"/>
    <n v="0"/>
    <n v="503949.57983193279"/>
  </r>
  <r>
    <s v="Lhotse-Hidratación"/>
    <x v="1"/>
    <x v="12"/>
    <x v="29"/>
    <s v="LHTHCLA"/>
    <x v="187"/>
    <x v="184"/>
    <x v="0"/>
    <x v="4"/>
    <n v="0.6"/>
    <x v="141"/>
    <n v="356"/>
    <m/>
    <n v="0"/>
    <n v="7194"/>
    <n v="2561064"/>
    <n v="6.3"/>
    <n v="6882.7499999999991"/>
    <n v="16798.319327731093"/>
    <n v="15117.64705882353"/>
    <s v="Shenzhen"/>
    <x v="0"/>
    <n v="30"/>
    <n v="100"/>
    <n v="1"/>
    <n v="0.56615073223002743"/>
    <n v="0"/>
    <s v=""/>
    <n v="6"/>
    <n v="0.54339396745601265"/>
    <n v="35"/>
    <n v="0.58068264651569634"/>
    <n v="54"/>
    <n v="0.52974887448317887"/>
    <n v="76"/>
    <n v="0.53706982765153"/>
    <n v="37"/>
    <n v="0.48091996084986727"/>
    <n v="1"/>
    <n v="0.37237186064147743"/>
    <n v="4"/>
    <n v="0.57396027724584386"/>
    <n v="16"/>
    <n v="0.49018042698904257"/>
    <n v="8"/>
    <n v="0.55995283306875088"/>
    <n v="59"/>
    <n v="0.40031308598826759"/>
    <n v="17"/>
    <s v=""/>
    <n v="21"/>
    <s v=""/>
    <n v="10"/>
    <s v=""/>
    <n v="12"/>
    <s v=""/>
    <n v="0.2"/>
    <n v="19"/>
    <s v=""/>
    <n v="0.35185185185185186"/>
    <n v="8"/>
    <s v=""/>
    <n v="0.1"/>
    <n v="4"/>
    <s v=""/>
    <n v="0.04"/>
    <n v="45"/>
    <n v="316"/>
    <n v="45"/>
    <n v="0"/>
    <n v="0"/>
    <n v="0"/>
    <n v="622281"/>
    <n v="2060477.9999999998"/>
    <n v="323730"/>
    <n v="0"/>
    <n v="356"/>
    <n v="2561064"/>
    <n v="635230.56281336071"/>
    <n v="35"/>
    <n v="305"/>
    <n v="31.5"/>
    <n v="0"/>
    <n v="0"/>
    <n v="0"/>
    <n v="384879"/>
    <n v="1988752.4999999998"/>
    <n v="226611"/>
    <n v="0"/>
    <n v="356"/>
    <n v="2561064"/>
    <n v="444661.39396935247"/>
    <n v="35"/>
    <n v="297"/>
    <n v="10"/>
    <n v="0"/>
    <n v="0"/>
    <n v="369532.19999999995"/>
    <n v="2136618"/>
    <n v="71940"/>
    <n v="0"/>
    <n v="356"/>
    <n v="2561064"/>
    <n v="167983.19327731093"/>
    <n v="60"/>
    <n v="275"/>
    <n v="12"/>
    <n v="100"/>
    <n v="0"/>
    <n v="1793137.4999999998"/>
    <n v="86328"/>
    <x v="46"/>
    <x v="0"/>
    <n v="356"/>
    <n v="2561064"/>
    <n v="201579.83193277312"/>
    <n v="54"/>
    <n v="375"/>
    <n v="32.4"/>
    <m/>
    <n v="0"/>
    <n v="0"/>
    <n v="2697750"/>
    <n v="211264.19999999995"/>
    <x v="0"/>
    <n v="0"/>
    <n v="356"/>
    <n v="2561064"/>
    <n v="544265.54621848743"/>
    <n v="80"/>
    <n v="364"/>
    <n v="8"/>
    <m/>
    <n v="0"/>
    <n v="0"/>
    <n v="2618616"/>
    <n v="52163.999999999993"/>
    <n v="0"/>
    <n v="0"/>
    <n v="364"/>
    <n v="2561064"/>
    <n v="134386.55462184874"/>
    <n v="100"/>
    <n v="360"/>
    <n v="60"/>
    <n v="200"/>
    <n v="200"/>
    <n v="0"/>
    <n v="2589840"/>
    <n v="391229.99999999994"/>
    <n v="1260630"/>
    <n v="0"/>
    <n v="360"/>
    <n v="2561064"/>
    <n v="1007899.1596638656"/>
    <n v="45"/>
    <n v="300"/>
    <n v="27"/>
    <n v="0"/>
    <n v="0"/>
    <n v="0"/>
    <n v="2158200"/>
    <n v="176053.49999999997"/>
    <n v="0"/>
    <n v="0"/>
    <n v="300"/>
    <n v="2158200"/>
    <n v="453554.62184873951"/>
    <n v="30"/>
    <n v="273"/>
    <n v="18"/>
    <n v="0"/>
    <n v="0"/>
    <m/>
    <n v="1780096.4999999998"/>
    <n v="117368.99999999999"/>
    <n v="0"/>
    <n v="0"/>
    <n v="273"/>
    <n v="1780096.4999999998"/>
    <n v="302369.74789915967"/>
    <n v="60"/>
    <n v="255"/>
    <n v="36"/>
    <n v="0"/>
    <n v="0"/>
    <n v="0"/>
    <m/>
    <n v="1662727.4999999998"/>
    <n v="234737.99999999997"/>
    <n v="0"/>
    <n v="0"/>
    <n v="255"/>
    <n v="1662727.4999999998"/>
    <n v="544235.29411764711"/>
    <n v="50"/>
    <n v="219"/>
    <n v="30"/>
    <n v="0"/>
    <n v="0"/>
    <n v="1427989.4999999998"/>
    <n v="195614.99999999997"/>
    <n v="0"/>
    <n v="0"/>
    <n v="219"/>
    <n v="1427989.4999999998"/>
    <n v="476205.8823529412"/>
    <n v="70"/>
    <n v="189"/>
    <n v="42"/>
    <n v="0"/>
    <n v="0"/>
    <n v="1232374.4999999998"/>
    <n v="273860.99999999994"/>
    <n v="0"/>
    <n v="189"/>
    <n v="1232374.4999999998"/>
    <n v="705529.4117647059"/>
    <n v="30"/>
    <n v="147"/>
    <n v="18"/>
    <n v="0"/>
    <m/>
    <n v="958513.49999999988"/>
    <n v="129492"/>
    <n v="0"/>
    <n v="147"/>
    <n v="958513.49999999988"/>
    <n v="302369.74789915967"/>
  </r>
  <r>
    <s v="Lhotse-Hidratación"/>
    <x v="1"/>
    <x v="12"/>
    <x v="30"/>
    <s v="LHVACAM"/>
    <x v="188"/>
    <x v="185"/>
    <x v="0"/>
    <x v="6"/>
    <n v="1"/>
    <x v="12"/>
    <n v="1"/>
    <m/>
    <n v="0"/>
    <n v="2867"/>
    <n v="2867"/>
    <n v="2.4"/>
    <n v="2622"/>
    <n v="7554.6218487394963"/>
    <n v="6714.2857142857147"/>
    <s v="Shenzhen"/>
    <x v="0"/>
    <n v="30"/>
    <n v="500"/>
    <n v="5"/>
    <n v="0.64583961261951239"/>
    <n v="4"/>
    <n v="0.59813398877670043"/>
    <n v="17"/>
    <n v="0.43741030968860384"/>
    <n v="12"/>
    <n v="0.43294645064526233"/>
    <n v="5"/>
    <n v="0.5096511031298101"/>
    <n v="29"/>
    <n v="0.44387351631217314"/>
    <n v="32"/>
    <n v="0.35108674964482389"/>
    <n v="16"/>
    <n v="0.46609346817558284"/>
    <n v="15"/>
    <n v="0.27747578324329752"/>
    <n v="0"/>
    <s v=""/>
    <n v="7"/>
    <n v="0.48527761086459686"/>
    <n v="2"/>
    <n v="0.62049721913236933"/>
    <n v="1"/>
    <s v=""/>
    <n v="0"/>
    <s v=""/>
    <n v="0"/>
    <s v=""/>
    <n v="0"/>
    <s v=""/>
    <n v="0"/>
    <n v="1"/>
    <s v=""/>
    <n v="0"/>
    <n v="1"/>
    <s v=""/>
    <n v="0"/>
    <n v="0"/>
    <s v=""/>
    <n v="0"/>
    <n v="0"/>
    <n v="2"/>
    <n v="0"/>
    <n v="0"/>
    <n v="0"/>
    <n v="0"/>
    <n v="0"/>
    <n v="4968"/>
    <n v="0"/>
    <n v="0"/>
    <n v="1"/>
    <n v="2867"/>
    <n v="0"/>
    <n v="0"/>
    <n v="1"/>
    <n v="0"/>
    <n v="0"/>
    <n v="0"/>
    <n v="0"/>
    <n v="0"/>
    <n v="2484"/>
    <n v="0"/>
    <n v="0"/>
    <n v="1"/>
    <n v="2867"/>
    <n v="0"/>
    <n v="0"/>
    <n v="1"/>
    <n v="0"/>
    <n v="0"/>
    <n v="0"/>
    <n v="0"/>
    <n v="2867"/>
    <n v="0"/>
    <n v="0"/>
    <n v="1"/>
    <n v="2867"/>
    <n v="0"/>
    <n v="12"/>
    <n v="3"/>
    <n v="0"/>
    <n v="0"/>
    <n v="0"/>
    <n v="7452"/>
    <n v="0"/>
    <x v="0"/>
    <x v="0"/>
    <n v="1"/>
    <n v="2867"/>
    <n v="0"/>
    <n v="0"/>
    <n v="2"/>
    <n v="0"/>
    <m/>
    <n v="0"/>
    <n v="0"/>
    <n v="5734"/>
    <n v="0"/>
    <x v="0"/>
    <n v="0"/>
    <n v="1"/>
    <n v="2867"/>
    <n v="0"/>
    <n v="0"/>
    <n v="2"/>
    <n v="1"/>
    <m/>
    <n v="0"/>
    <n v="0"/>
    <n v="5734"/>
    <n v="2484"/>
    <n v="0"/>
    <n v="0"/>
    <n v="2"/>
    <n v="2867"/>
    <n v="7554.6218487394963"/>
    <n v="0"/>
    <n v="1"/>
    <n v="0"/>
    <n v="0"/>
    <n v="0"/>
    <n v="0"/>
    <n v="2867"/>
    <n v="0"/>
    <n v="0"/>
    <n v="0"/>
    <n v="1"/>
    <n v="2867"/>
    <n v="0"/>
    <n v="0"/>
    <n v="1"/>
    <n v="0"/>
    <n v="0"/>
    <n v="0"/>
    <n v="0"/>
    <n v="2867"/>
    <n v="0"/>
    <n v="0"/>
    <n v="0"/>
    <n v="1"/>
    <n v="2867"/>
    <n v="0"/>
    <n v="0"/>
    <n v="1"/>
    <n v="0"/>
    <n v="0"/>
    <n v="0"/>
    <m/>
    <n v="2484"/>
    <n v="0"/>
    <n v="0"/>
    <n v="0"/>
    <n v="1"/>
    <n v="2484"/>
    <n v="0"/>
    <n v="0"/>
    <n v="1"/>
    <n v="0"/>
    <n v="0"/>
    <n v="0"/>
    <n v="0"/>
    <m/>
    <n v="2484"/>
    <n v="0"/>
    <n v="0"/>
    <n v="0"/>
    <n v="1"/>
    <n v="2484"/>
    <n v="0"/>
    <n v="0"/>
    <n v="1"/>
    <n v="0"/>
    <n v="0"/>
    <n v="0"/>
    <n v="2484"/>
    <n v="0"/>
    <n v="0"/>
    <n v="0"/>
    <n v="1"/>
    <n v="2484"/>
    <n v="0"/>
    <n v="0"/>
    <n v="1"/>
    <n v="0"/>
    <n v="0"/>
    <n v="0"/>
    <n v="2484"/>
    <n v="0"/>
    <n v="0"/>
    <n v="1"/>
    <n v="2484"/>
    <n v="0"/>
    <n v="0"/>
    <n v="1"/>
    <n v="0"/>
    <n v="0"/>
    <m/>
    <n v="2484"/>
    <n v="0"/>
    <n v="0"/>
    <n v="1"/>
    <n v="2484"/>
    <n v="0"/>
  </r>
  <r>
    <s v="Lhotse-Hidratación"/>
    <x v="1"/>
    <x v="12"/>
    <x v="30"/>
    <s v="LHVACAM"/>
    <x v="189"/>
    <x v="186"/>
    <x v="0"/>
    <x v="6"/>
    <n v="1"/>
    <x v="12"/>
    <n v="32"/>
    <m/>
    <n v="0"/>
    <n v="2872"/>
    <n v="91904"/>
    <n v="2.4"/>
    <n v="2622"/>
    <n v="7554.6218487394963"/>
    <n v="6714.2857142857147"/>
    <s v="Shenzhen"/>
    <x v="0"/>
    <n v="30"/>
    <n v="500"/>
    <n v="2"/>
    <n v="0.54704991719895912"/>
    <n v="2"/>
    <n v="0.57224754244861487"/>
    <n v="12"/>
    <n v="0.47113690771301076"/>
    <n v="4"/>
    <n v="0.59023649010165857"/>
    <n v="2"/>
    <n v="0.57774014899039394"/>
    <n v="4"/>
    <n v="0.42947953913388953"/>
    <n v="23"/>
    <n v="0.33976640978739991"/>
    <n v="8"/>
    <n v="0.45228759416420333"/>
    <n v="10"/>
    <n v="0.47293349896710229"/>
    <n v="4"/>
    <n v="0.44530564944471274"/>
    <n v="2"/>
    <n v="0.47341400806747341"/>
    <n v="4"/>
    <n v="0.52256670268473115"/>
    <n v="8"/>
    <s v=""/>
    <n v="6"/>
    <s v=""/>
    <n v="2"/>
    <s v=""/>
    <n v="1"/>
    <s v=""/>
    <n v="0.2"/>
    <n v="9"/>
    <s v=""/>
    <n v="4.5"/>
    <n v="7"/>
    <s v=""/>
    <n v="0.53846153846153844"/>
    <n v="0"/>
    <s v=""/>
    <n v="0"/>
    <n v="3"/>
    <n v="96"/>
    <n v="3"/>
    <n v="0"/>
    <n v="0"/>
    <n v="0"/>
    <n v="40208"/>
    <n v="238464"/>
    <n v="8616"/>
    <n v="0"/>
    <n v="32"/>
    <n v="91904"/>
    <n v="19045.26516488949"/>
    <n v="3"/>
    <n v="54"/>
    <n v="9"/>
    <n v="0"/>
    <n v="0"/>
    <n v="0"/>
    <n v="34464"/>
    <n v="134136"/>
    <n v="25848"/>
    <n v="0"/>
    <n v="32"/>
    <n v="91904"/>
    <n v="57135.795494668462"/>
    <n v="12"/>
    <n v="49"/>
    <n v="2"/>
    <n v="0"/>
    <n v="0"/>
    <n v="13584"/>
    <n v="140728"/>
    <n v="5744"/>
    <n v="0"/>
    <n v="32"/>
    <n v="91904"/>
    <n v="15109.243697478993"/>
    <n v="5"/>
    <n v="46"/>
    <n v="1"/>
    <n v="0"/>
    <n v="0"/>
    <n v="114264"/>
    <n v="2872"/>
    <x v="0"/>
    <x v="0"/>
    <n v="32"/>
    <n v="91904"/>
    <n v="7554.6218487394963"/>
    <n v="2"/>
    <n v="41"/>
    <n v="2"/>
    <m/>
    <n v="0"/>
    <n v="0"/>
    <n v="117752"/>
    <n v="4968"/>
    <x v="0"/>
    <n v="0"/>
    <n v="32"/>
    <n v="91904"/>
    <n v="15109.243697478993"/>
    <n v="13"/>
    <n v="39"/>
    <n v="7"/>
    <m/>
    <n v="0"/>
    <n v="0"/>
    <n v="112008"/>
    <n v="17388"/>
    <n v="0"/>
    <n v="0"/>
    <n v="39"/>
    <n v="91904"/>
    <n v="52882.352941176476"/>
    <n v="23"/>
    <n v="32"/>
    <n v="23"/>
    <n v="0"/>
    <n v="0"/>
    <n v="0"/>
    <n v="91904"/>
    <n v="57132"/>
    <n v="0"/>
    <n v="0"/>
    <n v="32"/>
    <n v="91904"/>
    <n v="173756.30252100842"/>
    <n v="5"/>
    <n v="9"/>
    <n v="5"/>
    <n v="0"/>
    <n v="0"/>
    <n v="0"/>
    <n v="25848"/>
    <n v="12420"/>
    <n v="0"/>
    <n v="0"/>
    <n v="9"/>
    <n v="25848"/>
    <n v="37773.10924369748"/>
    <n v="0"/>
    <n v="4"/>
    <n v="0"/>
    <n v="0"/>
    <n v="0"/>
    <m/>
    <n v="9936"/>
    <n v="0"/>
    <n v="0"/>
    <n v="0"/>
    <n v="4"/>
    <n v="9936"/>
    <n v="0"/>
    <n v="0"/>
    <n v="4"/>
    <n v="0"/>
    <n v="0"/>
    <n v="0"/>
    <n v="0"/>
    <m/>
    <n v="9936"/>
    <n v="0"/>
    <n v="0"/>
    <n v="0"/>
    <n v="4"/>
    <n v="9936"/>
    <n v="0"/>
    <n v="0"/>
    <n v="4"/>
    <n v="0"/>
    <n v="0"/>
    <n v="0"/>
    <n v="9936"/>
    <n v="0"/>
    <n v="0"/>
    <n v="0"/>
    <n v="4"/>
    <n v="9936"/>
    <n v="0"/>
    <n v="0"/>
    <n v="4"/>
    <n v="0"/>
    <n v="0"/>
    <n v="0"/>
    <n v="9936"/>
    <n v="0"/>
    <n v="0"/>
    <n v="4"/>
    <n v="9936"/>
    <n v="0"/>
    <n v="0"/>
    <n v="4"/>
    <n v="0"/>
    <n v="0"/>
    <m/>
    <n v="9936"/>
    <n v="0"/>
    <n v="0"/>
    <n v="4"/>
    <n v="9936"/>
    <n v="0"/>
  </r>
  <r>
    <s v="Lhotse-Hidratación"/>
    <x v="1"/>
    <x v="12"/>
    <x v="30"/>
    <s v="LHVACAM"/>
    <x v="190"/>
    <x v="187"/>
    <x v="0"/>
    <x v="6"/>
    <n v="1"/>
    <x v="12"/>
    <n v="2"/>
    <m/>
    <n v="0"/>
    <n v="2849"/>
    <n v="5698"/>
    <n v="2.4"/>
    <n v="2622"/>
    <n v="7554.6218487394963"/>
    <n v="6714.2857142857147"/>
    <s v="Shenzhen"/>
    <x v="0"/>
    <n v="30"/>
    <n v="500"/>
    <n v="5"/>
    <n v="0.67089913726389405"/>
    <n v="1"/>
    <n v="0.57246053023532917"/>
    <n v="10"/>
    <n v="0.47797873923322365"/>
    <n v="8"/>
    <n v="0.42030595244105617"/>
    <n v="8"/>
    <n v="0.52759857810545718"/>
    <n v="3"/>
    <s v=""/>
    <n v="28"/>
    <n v="0.34944069415440404"/>
    <n v="4"/>
    <s v=""/>
    <n v="8"/>
    <n v="0.35833149790338331"/>
    <n v="6"/>
    <n v="0.39878521311132054"/>
    <n v="80"/>
    <n v="0.45716717095310139"/>
    <n v="14"/>
    <n v="0.51101000024331489"/>
    <n v="0"/>
    <s v=""/>
    <n v="2"/>
    <s v=""/>
    <n v="0"/>
    <s v=""/>
    <n v="0"/>
    <s v=""/>
    <n v="0"/>
    <n v="0"/>
    <s v=""/>
    <n v="0"/>
    <n v="0"/>
    <s v=""/>
    <n v="0"/>
    <n v="0"/>
    <s v=""/>
    <n v="0"/>
    <n v="0"/>
    <n v="2"/>
    <n v="0"/>
    <n v="0"/>
    <n v="0"/>
    <n v="0"/>
    <n v="8547"/>
    <n v="4968"/>
    <n v="0"/>
    <n v="0"/>
    <n v="2"/>
    <n v="5698"/>
    <n v="0"/>
    <n v="0"/>
    <n v="4"/>
    <n v="3"/>
    <n v="0"/>
    <n v="0"/>
    <n v="0"/>
    <n v="8547"/>
    <n v="9936"/>
    <n v="8547"/>
    <n v="0"/>
    <n v="2"/>
    <n v="5698"/>
    <n v="19045.26516488949"/>
    <n v="10"/>
    <n v="2"/>
    <n v="0"/>
    <n v="0"/>
    <n v="0"/>
    <n v="0"/>
    <n v="5698"/>
    <n v="0"/>
    <n v="0"/>
    <n v="2"/>
    <n v="5698"/>
    <n v="0"/>
    <n v="5"/>
    <n v="2"/>
    <n v="0"/>
    <n v="0"/>
    <n v="0"/>
    <n v="4968"/>
    <n v="0"/>
    <x v="0"/>
    <x v="0"/>
    <n v="2"/>
    <n v="5698"/>
    <n v="0"/>
    <n v="0"/>
    <n v="2"/>
    <n v="0"/>
    <m/>
    <n v="0"/>
    <n v="0"/>
    <n v="5698"/>
    <n v="0"/>
    <x v="0"/>
    <n v="0"/>
    <n v="2"/>
    <n v="5698"/>
    <n v="0"/>
    <n v="0"/>
    <n v="2"/>
    <n v="0"/>
    <m/>
    <n v="0"/>
    <n v="0"/>
    <n v="5698"/>
    <n v="0"/>
    <n v="0"/>
    <n v="0"/>
    <n v="2"/>
    <n v="5698"/>
    <n v="0"/>
    <n v="0"/>
    <n v="2"/>
    <n v="0"/>
    <n v="0"/>
    <n v="0"/>
    <n v="0"/>
    <n v="5698"/>
    <n v="0"/>
    <n v="0"/>
    <n v="0"/>
    <n v="2"/>
    <n v="5698"/>
    <n v="0"/>
    <n v="0"/>
    <n v="2"/>
    <n v="0"/>
    <n v="0"/>
    <n v="0"/>
    <n v="0"/>
    <n v="5698"/>
    <n v="0"/>
    <n v="0"/>
    <n v="0"/>
    <n v="2"/>
    <n v="5698"/>
    <n v="0"/>
    <n v="0"/>
    <n v="2"/>
    <n v="0"/>
    <n v="0"/>
    <n v="0"/>
    <m/>
    <n v="4968"/>
    <n v="0"/>
    <n v="0"/>
    <n v="0"/>
    <n v="2"/>
    <n v="4968"/>
    <n v="0"/>
    <n v="0"/>
    <n v="2"/>
    <n v="0"/>
    <n v="0"/>
    <n v="0"/>
    <n v="0"/>
    <m/>
    <n v="4968"/>
    <n v="0"/>
    <n v="0"/>
    <n v="0"/>
    <n v="2"/>
    <n v="4968"/>
    <n v="0"/>
    <n v="0"/>
    <n v="2"/>
    <n v="0"/>
    <n v="0"/>
    <n v="0"/>
    <n v="4968"/>
    <n v="0"/>
    <n v="0"/>
    <n v="0"/>
    <n v="2"/>
    <n v="4968"/>
    <n v="0"/>
    <n v="0"/>
    <n v="2"/>
    <n v="0"/>
    <n v="0"/>
    <n v="0"/>
    <n v="4968"/>
    <n v="0"/>
    <n v="0"/>
    <n v="2"/>
    <n v="4968"/>
    <n v="0"/>
    <n v="0"/>
    <n v="2"/>
    <n v="0"/>
    <n v="0"/>
    <m/>
    <n v="4968"/>
    <n v="0"/>
    <n v="0"/>
    <n v="2"/>
    <n v="4968"/>
    <n v="0"/>
  </r>
  <r>
    <s v="Lhotse-Hidratación"/>
    <x v="1"/>
    <x v="12"/>
    <x v="30"/>
    <s v="LHVACAM"/>
    <x v="191"/>
    <x v="188"/>
    <x v="0"/>
    <x v="6"/>
    <n v="1"/>
    <x v="12"/>
    <n v="0"/>
    <m/>
    <n v="0"/>
    <n v="2873"/>
    <n v="0"/>
    <n v="2.4"/>
    <n v="2622"/>
    <n v="4825.361344537816"/>
    <n v="6714.2857142857147"/>
    <s v="Shenzhen"/>
    <x v="0"/>
    <n v="30"/>
    <n v="500"/>
    <n v="0"/>
    <n v="0.52024044080814824"/>
    <n v="2"/>
    <n v="0.65605937275556614"/>
    <n v="16"/>
    <n v="0.39424085818993992"/>
    <n v="6"/>
    <n v="0.4017531318319047"/>
    <n v="7"/>
    <n v="0.54504314781094132"/>
    <n v="4"/>
    <n v="0.38866382978723402"/>
    <n v="25"/>
    <n v="0.32193307276274813"/>
    <n v="6"/>
    <n v="0.44584763741562194"/>
    <n v="21"/>
    <n v="0.31027091287350539"/>
    <n v="11"/>
    <n v="0.59564920360775286"/>
    <n v="71"/>
    <n v="0.45990262499503592"/>
    <n v="7"/>
    <n v="0.55354526484038535"/>
    <n v="1"/>
    <s v=""/>
    <n v="1"/>
    <s v=""/>
    <n v="0"/>
    <s v=""/>
    <n v="0"/>
    <s v=""/>
    <n v="0"/>
    <n v="1"/>
    <s v=""/>
    <n v="0"/>
    <n v="0"/>
    <s v=""/>
    <n v="0"/>
    <n v="0"/>
    <s v=""/>
    <n v="0"/>
    <n v="0"/>
    <n v="1"/>
    <n v="0"/>
    <n v="0"/>
    <n v="0"/>
    <n v="0"/>
    <n v="4309.5"/>
    <n v="2484"/>
    <n v="0"/>
    <n v="0"/>
    <n v="0"/>
    <n v="0"/>
    <n v="0"/>
    <n v="0"/>
    <n v="1"/>
    <n v="1.5"/>
    <n v="0"/>
    <n v="0"/>
    <n v="0"/>
    <n v="4309.5"/>
    <n v="2484"/>
    <n v="4309.5"/>
    <n v="0"/>
    <n v="0"/>
    <n v="0"/>
    <n v="6082.388249417415"/>
    <n v="16"/>
    <n v="0"/>
    <n v="0"/>
    <n v="0"/>
    <n v="0"/>
    <n v="0"/>
    <n v="0"/>
    <n v="0"/>
    <n v="0"/>
    <n v="0"/>
    <n v="0"/>
    <n v="0"/>
    <n v="5"/>
    <n v="2"/>
    <n v="0"/>
    <n v="0"/>
    <n v="0"/>
    <n v="4968"/>
    <n v="0"/>
    <x v="0"/>
    <x v="0"/>
    <n v="0"/>
    <n v="0"/>
    <n v="0"/>
    <n v="0"/>
    <n v="1"/>
    <n v="0"/>
    <m/>
    <n v="0"/>
    <n v="0"/>
    <n v="2873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1"/>
    <x v="12"/>
    <x v="30"/>
    <s v="LHMAMU"/>
    <x v="192"/>
    <x v="189"/>
    <x v="0"/>
    <x v="4"/>
    <n v="1"/>
    <x v="142"/>
    <n v="173"/>
    <m/>
    <n v="0"/>
    <n v="2630"/>
    <n v="454990"/>
    <n v="2.2999999999999998"/>
    <n v="2512.75"/>
    <n v="8394.957983193277"/>
    <n v="7554.6218487394963"/>
    <s v="Shenzhen"/>
    <x v="0"/>
    <n v="30"/>
    <n v="100"/>
    <n v="17"/>
    <n v="0.67417266335958437"/>
    <n v="31"/>
    <n v="0.67820623727115081"/>
    <n v="34"/>
    <n v="0.65728163787500993"/>
    <n v="85"/>
    <n v="0.65075738816054751"/>
    <n v="14"/>
    <n v="0.58825687178910246"/>
    <n v="73"/>
    <n v="0.61198135845314805"/>
    <n v="10"/>
    <n v="0.64271119759118278"/>
    <n v="-3"/>
    <n v="0.20480406386066768"/>
    <n v="8"/>
    <n v="0.58573190386097673"/>
    <n v="50"/>
    <n v="0.63874547679398652"/>
    <n v="104"/>
    <n v="0.66554015131149424"/>
    <n v="80"/>
    <n v="0.6137708483490143"/>
    <n v="24"/>
    <s v=""/>
    <n v="47"/>
    <s v=""/>
    <n v="104"/>
    <s v=""/>
    <n v="96"/>
    <s v=""/>
    <n v="1.1294117647058823"/>
    <n v="93"/>
    <s v=""/>
    <n v="2.657142857142857"/>
    <n v="6"/>
    <s v=""/>
    <n v="0.05"/>
    <n v="17"/>
    <s v=""/>
    <n v="0.14166666666666666"/>
    <n v="40"/>
    <n v="19"/>
    <n v="40"/>
    <n v="100"/>
    <n v="100"/>
    <n v="0"/>
    <n v="564135"/>
    <n v="45229.5"/>
    <n v="105200"/>
    <n v="0"/>
    <n v="173"/>
    <n v="454990"/>
    <n v="282183.4616199421"/>
    <n v="25"/>
    <n v="144"/>
    <n v="70.5"/>
    <n v="100"/>
    <n v="100"/>
    <n v="0"/>
    <n v="711415"/>
    <n v="342792"/>
    <n v="185415"/>
    <n v="0"/>
    <n v="173"/>
    <n v="454990"/>
    <n v="497348.35110514797"/>
    <n v="40"/>
    <n v="211"/>
    <n v="104"/>
    <n v="0"/>
    <n v="0"/>
    <n v="609317.5"/>
    <n v="554930"/>
    <n v="273520"/>
    <n v="0"/>
    <n v="173"/>
    <n v="454990"/>
    <n v="873075.63025210076"/>
    <n v="85"/>
    <n v="201"/>
    <n v="96"/>
    <n v="160"/>
    <n v="0"/>
    <n v="478480.5"/>
    <n v="252480"/>
    <x v="47"/>
    <x v="0"/>
    <n v="173"/>
    <n v="454990"/>
    <n v="805915.96638655453"/>
    <n v="35"/>
    <n v="266"/>
    <n v="35"/>
    <m/>
    <n v="0"/>
    <n v="0"/>
    <n v="699580"/>
    <n v="83317.5"/>
    <x v="0"/>
    <n v="0"/>
    <n v="173"/>
    <n v="454990"/>
    <n v="293823.5294117647"/>
    <n v="120"/>
    <n v="179"/>
    <n v="6"/>
    <m/>
    <n v="0"/>
    <n v="0"/>
    <n v="470770"/>
    <n v="14283"/>
    <n v="0"/>
    <n v="0"/>
    <n v="179"/>
    <n v="454990"/>
    <n v="50369.747899159658"/>
    <n v="120"/>
    <n v="190"/>
    <n v="120"/>
    <n v="150"/>
    <n v="150"/>
    <n v="0"/>
    <n v="499700"/>
    <n v="285660"/>
    <n v="345172.49999999994"/>
    <n v="0"/>
    <n v="190"/>
    <n v="454990"/>
    <n v="1007394.9579831932"/>
    <n v="40"/>
    <n v="70"/>
    <n v="40"/>
    <n v="150"/>
    <n v="150"/>
    <n v="120"/>
    <n v="184100"/>
    <n v="95220"/>
    <n v="357075"/>
    <n v="285660"/>
    <n v="220"/>
    <n v="541175"/>
    <n v="335798.31932773109"/>
    <n v="36"/>
    <n v="150"/>
    <n v="36"/>
    <n v="0"/>
    <n v="0"/>
    <m/>
    <n v="357075"/>
    <n v="85698"/>
    <n v="0"/>
    <n v="0"/>
    <n v="150"/>
    <n v="357075"/>
    <n v="302218.48739495798"/>
    <n v="100"/>
    <n v="114"/>
    <n v="100"/>
    <n v="200"/>
    <n v="200"/>
    <n v="200"/>
    <n v="0"/>
    <n v="271377"/>
    <n v="238050"/>
    <n v="476100"/>
    <n v="476100"/>
    <n v="314"/>
    <n v="747477"/>
    <n v="755462.18487394962"/>
    <n v="80"/>
    <n v="214"/>
    <n v="80"/>
    <n v="0"/>
    <n v="0"/>
    <n v="509427"/>
    <n v="190440"/>
    <n v="0"/>
    <n v="0"/>
    <n v="214"/>
    <n v="509427"/>
    <n v="634588.23529411771"/>
    <n v="100"/>
    <n v="134"/>
    <n v="100"/>
    <n v="0"/>
    <n v="0"/>
    <n v="318987"/>
    <n v="238050"/>
    <n v="0"/>
    <n v="134"/>
    <n v="318987"/>
    <n v="839495.79831932765"/>
    <n v="48"/>
    <n v="34"/>
    <n v="48"/>
    <n v="0"/>
    <m/>
    <n v="80937"/>
    <n v="126240"/>
    <n v="0"/>
    <n v="34"/>
    <n v="80937"/>
    <n v="402957.98319327726"/>
  </r>
  <r>
    <s v="Lhotse-Hidratación"/>
    <x v="1"/>
    <x v="12"/>
    <x v="30"/>
    <s v="LHMAMU"/>
    <x v="193"/>
    <x v="190"/>
    <x v="0"/>
    <x v="4"/>
    <n v="0.8"/>
    <x v="143"/>
    <n v="225"/>
    <m/>
    <n v="0"/>
    <n v="2934"/>
    <n v="660150"/>
    <n v="2.2999999999999998"/>
    <n v="2512.75"/>
    <n v="8394.957983193277"/>
    <n v="7554.6218487394963"/>
    <s v="Shenzhen"/>
    <x v="0"/>
    <n v="30"/>
    <n v="100"/>
    <n v="9"/>
    <n v="0.65369765820448678"/>
    <n v="20"/>
    <n v="0.6578257672555291"/>
    <n v="13"/>
    <n v="0.66907391937587068"/>
    <n v="56"/>
    <n v="0.5955277258174666"/>
    <n v="33"/>
    <n v="0.63402171672935259"/>
    <n v="108"/>
    <n v="0.64660366576780059"/>
    <n v="12"/>
    <n v="0.61516081693901647"/>
    <n v="1"/>
    <n v="0.70021226538401204"/>
    <n v="6"/>
    <n v="0.637328171530673"/>
    <n v="22"/>
    <n v="0.62805350816467809"/>
    <n v="75"/>
    <n v="0.66616151538787538"/>
    <n v="45"/>
    <n v="0.55655857570799672"/>
    <n v="39"/>
    <s v=""/>
    <n v="18"/>
    <s v=""/>
    <n v="23"/>
    <s v=""/>
    <n v="27"/>
    <s v=""/>
    <n v="0.49090909090909091"/>
    <n v="58"/>
    <s v=""/>
    <n v="1.6571428571428573"/>
    <n v="79"/>
    <s v=""/>
    <n v="0.71818181818181814"/>
    <n v="14"/>
    <s v=""/>
    <n v="0.11666666666666667"/>
    <n v="20"/>
    <n v="56"/>
    <n v="20"/>
    <n v="0"/>
    <n v="0"/>
    <n v="0"/>
    <n v="205380"/>
    <n v="133308"/>
    <n v="58680"/>
    <n v="0"/>
    <n v="225"/>
    <n v="660150"/>
    <n v="141091.73080997105"/>
    <n v="50"/>
    <n v="18"/>
    <n v="27"/>
    <n v="100"/>
    <n v="100"/>
    <n v="0"/>
    <n v="225918"/>
    <n v="42849"/>
    <n v="79218"/>
    <n v="0"/>
    <n v="225"/>
    <n v="660150"/>
    <n v="190473.83659346093"/>
    <n v="25"/>
    <n v="109"/>
    <n v="23"/>
    <n v="0"/>
    <n v="0"/>
    <n v="213354"/>
    <n v="319806"/>
    <n v="67482"/>
    <n v="0"/>
    <n v="225"/>
    <n v="660150"/>
    <n v="193084.03361344538"/>
    <n v="55"/>
    <n v="185"/>
    <n v="27"/>
    <n v="120"/>
    <n v="0"/>
    <n v="440392.5"/>
    <n v="79218"/>
    <x v="48"/>
    <x v="0"/>
    <n v="225"/>
    <n v="660150"/>
    <n v="226663.86554621847"/>
    <n v="35"/>
    <n v="283"/>
    <n v="28"/>
    <m/>
    <n v="0"/>
    <n v="0"/>
    <n v="830322"/>
    <n v="66654"/>
    <x v="0"/>
    <n v="0"/>
    <n v="225"/>
    <n v="660150"/>
    <n v="235058.82352941175"/>
    <n v="110"/>
    <n v="304"/>
    <n v="79"/>
    <m/>
    <n v="0"/>
    <n v="0"/>
    <n v="891936"/>
    <n v="188059.5"/>
    <n v="0"/>
    <n v="0"/>
    <n v="304"/>
    <n v="660150"/>
    <n v="663201.68067226885"/>
    <n v="120"/>
    <n v="239"/>
    <n v="96"/>
    <n v="180"/>
    <n v="180"/>
    <n v="0"/>
    <n v="701226"/>
    <n v="228528"/>
    <n v="414206.99999999994"/>
    <n v="0"/>
    <n v="239"/>
    <n v="660150"/>
    <n v="805915.96638655453"/>
    <n v="35.799999999999997"/>
    <n v="143"/>
    <n v="28.64"/>
    <n v="150"/>
    <n v="150"/>
    <n v="150"/>
    <n v="419562"/>
    <n v="68177.52"/>
    <n v="357075"/>
    <n v="357075"/>
    <n v="293"/>
    <n v="776637"/>
    <n v="240431.59663865546"/>
    <n v="37.799999999999997"/>
    <n v="264.36"/>
    <n v="30.24"/>
    <n v="0"/>
    <n v="0"/>
    <m/>
    <n v="629308.98"/>
    <n v="71986.319999999992"/>
    <n v="0"/>
    <n v="0"/>
    <n v="264.36"/>
    <n v="629308.98"/>
    <n v="253863.52941176467"/>
    <n v="100"/>
    <n v="234.12"/>
    <n v="80"/>
    <n v="0"/>
    <n v="0"/>
    <n v="0"/>
    <m/>
    <n v="557322.66"/>
    <n v="190440"/>
    <n v="0"/>
    <n v="0"/>
    <n v="234.12"/>
    <n v="557322.66"/>
    <n v="604369.74789915967"/>
    <n v="80"/>
    <n v="154.12"/>
    <n v="64"/>
    <n v="0"/>
    <n v="0"/>
    <n v="366882.66000000003"/>
    <n v="152352"/>
    <n v="0"/>
    <n v="0"/>
    <n v="154.12"/>
    <n v="366882.66000000003"/>
    <n v="507670.58823529416"/>
    <n v="110"/>
    <n v="90.12"/>
    <n v="88"/>
    <n v="0"/>
    <n v="0"/>
    <n v="214530.66"/>
    <n v="209484"/>
    <n v="0"/>
    <n v="90.12"/>
    <n v="214530.66"/>
    <n v="738756.30252100842"/>
    <n v="48"/>
    <n v="2.1200000000000045"/>
    <n v="38.400000000000006"/>
    <n v="0"/>
    <m/>
    <n v="5046.6600000000108"/>
    <n v="112665.60000000002"/>
    <n v="0"/>
    <n v="2.1200000000000045"/>
    <n v="5046.6600000000108"/>
    <n v="322366.38655462186"/>
  </r>
  <r>
    <s v="Lhotse-Hidratación"/>
    <x v="1"/>
    <x v="12"/>
    <x v="30"/>
    <s v="LHMAMU"/>
    <x v="194"/>
    <x v="191"/>
    <x v="0"/>
    <x v="4"/>
    <n v="1"/>
    <x v="144"/>
    <n v="88"/>
    <m/>
    <n v="0"/>
    <n v="2625"/>
    <n v="231000"/>
    <n v="2.2999999999999998"/>
    <n v="2512.75"/>
    <n v="8394.957983193277"/>
    <n v="7554.6218487394963"/>
    <s v="Shenzhen"/>
    <x v="0"/>
    <n v="30"/>
    <n v="100"/>
    <n v="37"/>
    <n v="0.66556034288631005"/>
    <n v="47"/>
    <n v="0.65868090832895099"/>
    <n v="15"/>
    <n v="0.75435162314749471"/>
    <n v="69"/>
    <n v="0.66216317121423052"/>
    <n v="27"/>
    <n v="0.62185916150881704"/>
    <n v="5"/>
    <n v="0.67857653365098269"/>
    <n v="9"/>
    <n v="0.702951074905248"/>
    <n v="1"/>
    <n v="0.5498361408882082"/>
    <n v="11"/>
    <n v="0.69298780417978811"/>
    <n v="21"/>
    <n v="0.67648541691177466"/>
    <n v="105"/>
    <n v="0.65857654976192526"/>
    <n v="37"/>
    <n v="0.69112234292687957"/>
    <n v="10"/>
    <s v=""/>
    <n v="65"/>
    <s v=""/>
    <n v="53"/>
    <s v=""/>
    <n v="65"/>
    <s v=""/>
    <n v="1.0833333333333333"/>
    <n v="116"/>
    <s v=""/>
    <n v="3.3142857142857145"/>
    <n v="18"/>
    <s v=""/>
    <n v="0.22500000000000001"/>
    <n v="4"/>
    <s v=""/>
    <n v="0.08"/>
    <n v="40"/>
    <n v="12"/>
    <n v="20"/>
    <n v="100"/>
    <n v="100"/>
    <n v="0"/>
    <n v="447562.5"/>
    <n v="28566"/>
    <n v="52500"/>
    <n v="0"/>
    <n v="88"/>
    <n v="231000"/>
    <n v="141091.73080997105"/>
    <n v="20"/>
    <n v="128"/>
    <n v="97.5"/>
    <n v="100"/>
    <n v="100"/>
    <n v="0"/>
    <n v="565687.5"/>
    <n v="304704"/>
    <n v="255937.5"/>
    <n v="0"/>
    <n v="88"/>
    <n v="231000"/>
    <n v="687822.18769860885"/>
    <n v="35"/>
    <n v="163"/>
    <n v="53"/>
    <n v="0"/>
    <n v="0"/>
    <n v="393067.5"/>
    <n v="427875"/>
    <n v="139125"/>
    <n v="0"/>
    <n v="88"/>
    <n v="231000"/>
    <n v="444932.77310924366"/>
    <n v="60"/>
    <n v="228"/>
    <n v="65"/>
    <n v="120"/>
    <n v="0"/>
    <n v="542754"/>
    <n v="170625"/>
    <x v="48"/>
    <x v="0"/>
    <n v="88"/>
    <n v="231000"/>
    <n v="545672.26890756295"/>
    <n v="35"/>
    <n v="204"/>
    <n v="35"/>
    <m/>
    <n v="0"/>
    <n v="0"/>
    <n v="535500"/>
    <n v="83317.5"/>
    <x v="0"/>
    <n v="0"/>
    <n v="88"/>
    <n v="231000"/>
    <n v="293823.5294117647"/>
    <n v="80"/>
    <n v="106"/>
    <n v="18"/>
    <m/>
    <n v="0"/>
    <n v="0"/>
    <n v="278250"/>
    <n v="42849"/>
    <n v="0"/>
    <n v="0"/>
    <n v="106"/>
    <n v="231000"/>
    <n v="151109.24369747899"/>
    <n v="50"/>
    <n v="92"/>
    <n v="50"/>
    <n v="0"/>
    <n v="0"/>
    <n v="0"/>
    <n v="241500"/>
    <n v="119025"/>
    <n v="0"/>
    <n v="0"/>
    <n v="92"/>
    <n v="231000"/>
    <n v="419747.89915966382"/>
    <n v="25"/>
    <n v="42"/>
    <n v="25"/>
    <n v="150"/>
    <n v="150"/>
    <n v="150"/>
    <n v="110250"/>
    <n v="59512.5"/>
    <n v="357075"/>
    <n v="357075"/>
    <n v="192"/>
    <n v="467325"/>
    <n v="209873.94957983191"/>
    <n v="28.4"/>
    <n v="167"/>
    <n v="28.4"/>
    <n v="0"/>
    <n v="0"/>
    <m/>
    <n v="397543.5"/>
    <n v="67606.2"/>
    <n v="0"/>
    <n v="0"/>
    <n v="167"/>
    <n v="397543.5"/>
    <n v="238416.80672268904"/>
    <n v="60"/>
    <n v="138.6"/>
    <n v="60"/>
    <n v="150"/>
    <n v="150"/>
    <n v="150"/>
    <n v="0"/>
    <n v="329937.3"/>
    <n v="142830"/>
    <n v="357075"/>
    <n v="357075"/>
    <n v="288.60000000000002"/>
    <n v="687012.3"/>
    <n v="453277.31092436978"/>
    <n v="80"/>
    <n v="228.6"/>
    <n v="80"/>
    <n v="0"/>
    <n v="0"/>
    <n v="544182.29999999993"/>
    <n v="190440"/>
    <n v="0"/>
    <n v="0"/>
    <n v="228.6"/>
    <n v="544182.29999999993"/>
    <n v="634588.23529411771"/>
    <n v="80"/>
    <n v="148.6"/>
    <n v="80"/>
    <n v="0"/>
    <n v="0"/>
    <n v="353742.3"/>
    <n v="190440"/>
    <n v="0"/>
    <n v="148.6"/>
    <n v="353742.3"/>
    <n v="671596.63865546219"/>
    <n v="48"/>
    <n v="68.599999999999994"/>
    <n v="48"/>
    <n v="0"/>
    <m/>
    <n v="163302.29999999999"/>
    <n v="126000"/>
    <n v="0"/>
    <n v="68.599999999999994"/>
    <n v="163302.29999999999"/>
    <n v="402957.98319327726"/>
  </r>
  <r>
    <s v="Lhotse-Hidratación"/>
    <x v="1"/>
    <x v="12"/>
    <x v="30"/>
    <s v="LHMAMU"/>
    <x v="195"/>
    <x v="192"/>
    <x v="0"/>
    <x v="4"/>
    <n v="1"/>
    <x v="145"/>
    <n v="149"/>
    <m/>
    <n v="0"/>
    <n v="2569"/>
    <n v="382781"/>
    <n v="2.2999999999999998"/>
    <n v="2512.75"/>
    <n v="8394.957983193277"/>
    <n v="7554.6218487394963"/>
    <s v="Shenzhen"/>
    <x v="0"/>
    <n v="30"/>
    <n v="100"/>
    <n v="2"/>
    <n v="0.58175248281130632"/>
    <n v="10"/>
    <n v="0.67425196721785507"/>
    <n v="10"/>
    <n v="0.65012397750511242"/>
    <n v="18"/>
    <n v="0.56837999299229158"/>
    <n v="35"/>
    <n v="0.63741837395584833"/>
    <n v="77"/>
    <n v="0.64947172479799675"/>
    <n v="94"/>
    <n v="0.49612067903749307"/>
    <n v="14"/>
    <n v="0.57842252472896738"/>
    <n v="13"/>
    <n v="0.56172496067229671"/>
    <n v="5"/>
    <n v="0.72831521318720449"/>
    <n v="17"/>
    <n v="0.65244752291253116"/>
    <n v="41"/>
    <n v="0.62981190137691612"/>
    <n v="47"/>
    <s v=""/>
    <n v="15"/>
    <s v=""/>
    <n v="14"/>
    <s v=""/>
    <n v="36"/>
    <s v=""/>
    <n v="1.2"/>
    <n v="89"/>
    <s v=""/>
    <n v="2.5428571428571427"/>
    <n v="22"/>
    <s v=""/>
    <n v="0.29333333333333333"/>
    <n v="10"/>
    <s v=""/>
    <n v="9.2336103416435833E-2"/>
    <n v="20"/>
    <n v="55"/>
    <n v="35"/>
    <n v="100"/>
    <n v="100"/>
    <n v="0"/>
    <n v="183683.5"/>
    <n v="130927.5"/>
    <n v="89915"/>
    <n v="0"/>
    <n v="149"/>
    <n v="382781"/>
    <n v="246910.52891744935"/>
    <n v="35"/>
    <n v="110"/>
    <n v="22.5"/>
    <n v="0"/>
    <n v="0"/>
    <n v="0"/>
    <n v="186252.5"/>
    <n v="261855"/>
    <n v="57802.5"/>
    <n v="0"/>
    <n v="149"/>
    <n v="382781"/>
    <n v="158728.19716121742"/>
    <n v="30"/>
    <n v="92"/>
    <n v="14"/>
    <n v="0"/>
    <n v="0"/>
    <n v="211767.5"/>
    <n v="236348"/>
    <n v="35966"/>
    <n v="0"/>
    <n v="149"/>
    <n v="382781"/>
    <n v="117529.41176470587"/>
    <n v="30"/>
    <n v="154"/>
    <n v="36"/>
    <n v="60"/>
    <n v="0"/>
    <n v="366597"/>
    <n v="92484"/>
    <x v="49"/>
    <x v="0"/>
    <n v="149"/>
    <n v="382781"/>
    <n v="302218.48739495798"/>
    <n v="35"/>
    <n v="238"/>
    <n v="35"/>
    <m/>
    <n v="0"/>
    <n v="0"/>
    <n v="611422"/>
    <n v="83317.5"/>
    <x v="0"/>
    <n v="0"/>
    <n v="149"/>
    <n v="382781"/>
    <n v="293823.5294117647"/>
    <n v="75"/>
    <n v="171"/>
    <n v="22"/>
    <m/>
    <n v="0"/>
    <n v="0"/>
    <n v="439299"/>
    <n v="52371"/>
    <n v="0"/>
    <n v="0"/>
    <n v="171"/>
    <n v="382781"/>
    <n v="184689.0756302521"/>
    <n v="108.3"/>
    <n v="159"/>
    <n v="108.3"/>
    <n v="150"/>
    <n v="150"/>
    <n v="0"/>
    <n v="408471"/>
    <n v="257808.15"/>
    <n v="345172.49999999994"/>
    <n v="0"/>
    <n v="159"/>
    <n v="382781"/>
    <n v="909173.94957983191"/>
    <n v="35"/>
    <n v="50.7"/>
    <n v="35"/>
    <n v="100"/>
    <n v="100"/>
    <n v="40"/>
    <n v="130248.3"/>
    <n v="83317.5"/>
    <n v="238050"/>
    <n v="95220"/>
    <n v="150.69999999999999"/>
    <n v="368298.3"/>
    <n v="293823.5294117647"/>
    <n v="30"/>
    <n v="55.7"/>
    <n v="30"/>
    <n v="0"/>
    <n v="0"/>
    <m/>
    <n v="132593.85"/>
    <n v="71415"/>
    <n v="0"/>
    <n v="0"/>
    <n v="55.7"/>
    <n v="132593.85"/>
    <n v="251848.73949579831"/>
    <n v="50"/>
    <n v="25.700000000000003"/>
    <n v="25.700000000000003"/>
    <n v="100"/>
    <n v="100"/>
    <n v="100"/>
    <n v="0"/>
    <n v="61178.850000000006"/>
    <n v="61178.850000000006"/>
    <n v="238050"/>
    <n v="238050"/>
    <n v="125.7"/>
    <n v="299228.84999999998"/>
    <n v="194153.78151260508"/>
    <n v="40"/>
    <n v="100"/>
    <n v="40"/>
    <n v="0"/>
    <n v="0"/>
    <n v="238050"/>
    <n v="95220"/>
    <n v="0"/>
    <n v="0"/>
    <n v="100"/>
    <n v="238050"/>
    <n v="317294.11764705885"/>
    <n v="45"/>
    <n v="60"/>
    <n v="45"/>
    <n v="0"/>
    <n v="0"/>
    <n v="142830"/>
    <n v="107122.5"/>
    <n v="0"/>
    <n v="60"/>
    <n v="142830"/>
    <n v="377773.10924369749"/>
    <n v="24"/>
    <n v="15"/>
    <n v="24"/>
    <n v="0"/>
    <m/>
    <n v="35707.5"/>
    <n v="61656"/>
    <n v="0"/>
    <n v="15"/>
    <n v="35707.5"/>
    <n v="201478.99159663863"/>
  </r>
  <r>
    <s v="Lhotse-Hidratación"/>
    <x v="1"/>
    <x v="12"/>
    <x v="30"/>
    <s v="LHMAMU"/>
    <x v="196"/>
    <x v="193"/>
    <x v="0"/>
    <x v="4"/>
    <n v="1"/>
    <x v="146"/>
    <n v="258"/>
    <m/>
    <n v="0"/>
    <n v="2709"/>
    <n v="698922"/>
    <n v="2.2999999999999998"/>
    <n v="2512.75"/>
    <n v="8394.957983193277"/>
    <n v="7554.6218487394963"/>
    <s v="Shenzhen"/>
    <x v="0"/>
    <n v="30"/>
    <n v="100"/>
    <n v="3"/>
    <n v="0.63720531911588152"/>
    <n v="22"/>
    <n v="0.67109380721339562"/>
    <n v="21"/>
    <n v="0.64563381347421134"/>
    <n v="38"/>
    <n v="0.64344385373383406"/>
    <n v="63"/>
    <n v="0.59051447158743187"/>
    <n v="98"/>
    <n v="0.64375815586178087"/>
    <n v="36"/>
    <n v="0.56339264658659938"/>
    <n v="1"/>
    <n v="0.77187644429619751"/>
    <n v="2"/>
    <n v="0.63814651578320425"/>
    <n v="14"/>
    <n v="0.65459310879248456"/>
    <n v="84"/>
    <n v="0.65629064423827277"/>
    <n v="30"/>
    <n v="0.57360850616000469"/>
    <n v="15"/>
    <s v=""/>
    <n v="16"/>
    <s v=""/>
    <n v="13"/>
    <s v=""/>
    <n v="24"/>
    <s v=""/>
    <n v="0.68571428571428572"/>
    <n v="56"/>
    <s v=""/>
    <n v="0.88888888888888884"/>
    <n v="6"/>
    <s v=""/>
    <n v="0.06"/>
    <n v="13"/>
    <s v=""/>
    <n v="0.13"/>
    <n v="25"/>
    <n v="27"/>
    <n v="30"/>
    <n v="0"/>
    <n v="0"/>
    <n v="0"/>
    <n v="181503"/>
    <n v="64273.5"/>
    <n v="81270"/>
    <n v="0"/>
    <n v="258"/>
    <n v="698922"/>
    <n v="211637.59621495657"/>
    <n v="30"/>
    <n v="24"/>
    <n v="24"/>
    <n v="100"/>
    <n v="100"/>
    <n v="0"/>
    <n v="165249"/>
    <n v="57132"/>
    <n v="65016"/>
    <n v="0"/>
    <n v="258"/>
    <n v="698922"/>
    <n v="169310.07697196526"/>
    <n v="35"/>
    <n v="114"/>
    <n v="13"/>
    <n v="0"/>
    <n v="0"/>
    <n v="250204.5"/>
    <n v="308826"/>
    <n v="35217"/>
    <n v="0"/>
    <n v="258"/>
    <n v="698922"/>
    <n v="109134.4537815126"/>
    <n v="35"/>
    <n v="94"/>
    <n v="24"/>
    <n v="150"/>
    <n v="0"/>
    <n v="223767"/>
    <n v="65016"/>
    <x v="50"/>
    <x v="0"/>
    <n v="258"/>
    <n v="698922"/>
    <n v="201478.99159663863"/>
    <n v="63"/>
    <n v="314"/>
    <n v="63"/>
    <m/>
    <n v="0"/>
    <n v="0"/>
    <n v="850626"/>
    <n v="149971.5"/>
    <x v="0"/>
    <n v="0"/>
    <n v="258"/>
    <n v="698922"/>
    <n v="528882.3529411765"/>
    <n v="100"/>
    <n v="264"/>
    <n v="6"/>
    <m/>
    <n v="150"/>
    <n v="0"/>
    <n v="715176"/>
    <n v="14283"/>
    <n v="0"/>
    <n v="0"/>
    <n v="264"/>
    <n v="698922"/>
    <n v="50369.747899159658"/>
    <n v="100"/>
    <n v="271"/>
    <n v="100"/>
    <n v="220"/>
    <n v="220"/>
    <n v="0"/>
    <n v="734139"/>
    <n v="238050"/>
    <n v="506252.99999999994"/>
    <n v="0"/>
    <n v="271"/>
    <n v="698922"/>
    <n v="839495.79831932765"/>
    <n v="60"/>
    <n v="171"/>
    <n v="60"/>
    <n v="0"/>
    <n v="0"/>
    <n v="0"/>
    <n v="463239"/>
    <n v="142830"/>
    <n v="0"/>
    <n v="0"/>
    <n v="171"/>
    <n v="463239"/>
    <n v="503697.47899159661"/>
    <n v="55"/>
    <n v="111"/>
    <n v="55"/>
    <n v="0"/>
    <n v="0"/>
    <m/>
    <n v="264235.5"/>
    <n v="130927.5"/>
    <n v="0"/>
    <n v="0"/>
    <n v="111"/>
    <n v="264235.5"/>
    <n v="461722.68907563022"/>
    <n v="70"/>
    <n v="56"/>
    <n v="56"/>
    <n v="200"/>
    <n v="200"/>
    <n v="200"/>
    <n v="0"/>
    <n v="133308"/>
    <n v="133308"/>
    <n v="476100"/>
    <n v="476100"/>
    <n v="256"/>
    <n v="609408"/>
    <n v="423058.82352941181"/>
    <n v="60"/>
    <n v="200"/>
    <n v="60"/>
    <n v="0"/>
    <n v="0"/>
    <n v="476100"/>
    <n v="142830"/>
    <n v="0"/>
    <n v="0"/>
    <n v="200"/>
    <n v="476100"/>
    <n v="475941.17647058831"/>
    <n v="90"/>
    <n v="140"/>
    <n v="90"/>
    <n v="0"/>
    <n v="0"/>
    <n v="333270"/>
    <n v="214245"/>
    <n v="0"/>
    <n v="140"/>
    <n v="333270"/>
    <n v="755546.21848739497"/>
    <n v="36"/>
    <n v="50"/>
    <n v="36"/>
    <n v="0"/>
    <m/>
    <n v="119025"/>
    <n v="97524"/>
    <n v="0"/>
    <n v="50"/>
    <n v="119025"/>
    <n v="302218.48739495798"/>
  </r>
  <r>
    <s v="Lhotse-Hidratación"/>
    <x v="1"/>
    <x v="12"/>
    <x v="30"/>
    <s v="LHMAMU"/>
    <x v="197"/>
    <x v="194"/>
    <x v="0"/>
    <x v="4"/>
    <n v="1.4"/>
    <x v="147"/>
    <n v="109"/>
    <m/>
    <n v="0"/>
    <n v="2825"/>
    <n v="307925"/>
    <n v="2.6"/>
    <n v="2840.5"/>
    <n v="8394.957983193277"/>
    <n v="7554.6218487394963"/>
    <s v="Shenzhen"/>
    <x v="0"/>
    <n v="30"/>
    <n v="100"/>
    <n v="10"/>
    <n v="0.654653130118523"/>
    <n v="9"/>
    <n v="0.66548046904703384"/>
    <n v="10"/>
    <n v="0.65049368947913966"/>
    <n v="22"/>
    <n v="0.64933421060210872"/>
    <n v="15"/>
    <n v="0.68599992659859332"/>
    <n v="51"/>
    <n v="0.6691708732872732"/>
    <n v="55"/>
    <n v="0.59107129099210631"/>
    <n v="9"/>
    <n v="0.53804928608791669"/>
    <n v="2"/>
    <n v="0.54910653505786255"/>
    <n v="5"/>
    <n v="0.66533229670980976"/>
    <n v="10"/>
    <n v="0.63015312131919909"/>
    <n v="34"/>
    <n v="0.6617329880093562"/>
    <n v="32"/>
    <s v=""/>
    <n v="29"/>
    <s v=""/>
    <n v="14"/>
    <s v=""/>
    <n v="36"/>
    <s v=""/>
    <n v="1.8"/>
    <n v="5"/>
    <s v=""/>
    <n v="0.33333333333333331"/>
    <n v="4"/>
    <s v=""/>
    <n v="0.08"/>
    <n v="9"/>
    <s v=""/>
    <n v="0.14195583596214512"/>
    <n v="15"/>
    <n v="101"/>
    <n v="15"/>
    <n v="0"/>
    <n v="0"/>
    <n v="0"/>
    <n v="204812.5"/>
    <n v="271791"/>
    <n v="42375"/>
    <n v="0"/>
    <n v="109"/>
    <n v="307925"/>
    <n v="105818.79810747829"/>
    <n v="10"/>
    <n v="57"/>
    <n v="43.5"/>
    <n v="0"/>
    <n v="0"/>
    <n v="0"/>
    <n v="264137.5"/>
    <n v="153387"/>
    <n v="122887.5"/>
    <n v="0"/>
    <n v="109"/>
    <n v="307925"/>
    <n v="306874.51451168704"/>
    <n v="55"/>
    <n v="27"/>
    <n v="14"/>
    <n v="0"/>
    <n v="0"/>
    <n v="197761"/>
    <n v="76275"/>
    <n v="39550"/>
    <n v="0"/>
    <n v="109"/>
    <n v="307925"/>
    <n v="117529.41176470587"/>
    <n v="20"/>
    <n v="54"/>
    <n v="36"/>
    <n v="40"/>
    <n v="0"/>
    <n v="145314"/>
    <n v="101700"/>
    <x v="51"/>
    <x v="0"/>
    <n v="109"/>
    <n v="307925"/>
    <n v="302218.48739495798"/>
    <n v="15"/>
    <n v="114"/>
    <n v="21"/>
    <m/>
    <n v="0"/>
    <n v="0"/>
    <n v="322050"/>
    <n v="56511"/>
    <x v="0"/>
    <n v="0"/>
    <n v="109"/>
    <n v="307925"/>
    <n v="176294.11764705883"/>
    <n v="50"/>
    <n v="113"/>
    <n v="4"/>
    <m/>
    <n v="0"/>
    <n v="0"/>
    <n v="319225"/>
    <n v="10764"/>
    <n v="0"/>
    <n v="0"/>
    <n v="113"/>
    <n v="307925"/>
    <n v="33579.831932773108"/>
    <n v="63.4"/>
    <n v="118"/>
    <n v="88.759999999999991"/>
    <n v="100"/>
    <n v="100"/>
    <n v="0"/>
    <n v="333350"/>
    <n v="238853.15999999997"/>
    <n v="260129.99999999997"/>
    <n v="0"/>
    <n v="118"/>
    <n v="307925"/>
    <n v="745136.47058823518"/>
    <n v="20"/>
    <n v="29.240000000000009"/>
    <n v="28"/>
    <n v="100"/>
    <n v="100"/>
    <n v="100"/>
    <n v="82603.000000000029"/>
    <n v="75348"/>
    <n v="269100"/>
    <n v="269100"/>
    <n v="129.24"/>
    <n v="351703"/>
    <n v="235058.82352941175"/>
    <n v="18"/>
    <n v="101.24000000000001"/>
    <n v="25.2"/>
    <n v="0"/>
    <n v="0"/>
    <m/>
    <n v="272436.84000000003"/>
    <n v="67813.2"/>
    <n v="0"/>
    <n v="0"/>
    <n v="101.24000000000001"/>
    <n v="272436.84000000003"/>
    <n v="211552.94117647057"/>
    <n v="35"/>
    <n v="76.040000000000006"/>
    <n v="49"/>
    <n v="100"/>
    <n v="100"/>
    <n v="100"/>
    <n v="0"/>
    <n v="204623.64"/>
    <n v="131859"/>
    <n v="269100"/>
    <n v="269100"/>
    <n v="176.04000000000002"/>
    <n v="473723.64"/>
    <n v="370176.4705882353"/>
    <n v="35"/>
    <n v="127.04"/>
    <n v="49"/>
    <n v="0"/>
    <n v="0"/>
    <n v="341864.64"/>
    <n v="131859"/>
    <n v="0"/>
    <n v="0"/>
    <n v="127.04"/>
    <n v="341864.64"/>
    <n v="388685.29411764711"/>
    <n v="50"/>
    <n v="78.040000000000006"/>
    <n v="70"/>
    <n v="0"/>
    <n v="0"/>
    <n v="210005.64"/>
    <n v="188370"/>
    <n v="0"/>
    <n v="78.040000000000006"/>
    <n v="210005.64"/>
    <n v="587647.0588235294"/>
    <n v="21"/>
    <n v="8.0400000000000063"/>
    <n v="29.4"/>
    <n v="0"/>
    <m/>
    <n v="21635.640000000018"/>
    <n v="83055"/>
    <n v="0"/>
    <n v="8.0400000000000063"/>
    <n v="21635.640000000018"/>
    <n v="246811.76470588232"/>
  </r>
  <r>
    <s v="Lhotse-Hidratación"/>
    <x v="1"/>
    <x v="12"/>
    <x v="30"/>
    <s v="LHCAMU"/>
    <x v="198"/>
    <x v="195"/>
    <x v="0"/>
    <x v="0"/>
    <n v="0.7"/>
    <x v="148"/>
    <n v="167"/>
    <m/>
    <n v="0"/>
    <n v="3053"/>
    <n v="509851"/>
    <n v="2.5"/>
    <n v="2731.25"/>
    <n v="8394.957983193277"/>
    <n v="7554.6218487394963"/>
    <s v="Shenzhen"/>
    <x v="0"/>
    <n v="30"/>
    <n v="50"/>
    <n v="21"/>
    <n v="0.56362035416472167"/>
    <n v="37"/>
    <n v="0.58506699010923613"/>
    <n v="25"/>
    <n v="0.53090848531114943"/>
    <n v="3"/>
    <n v="0.54151772415847488"/>
    <n v="0"/>
    <s v=""/>
    <n v="48"/>
    <n v="0.6191376013318437"/>
    <n v="38"/>
    <n v="0.4502246661953444"/>
    <n v="19"/>
    <n v="0.61944946418595859"/>
    <n v="21"/>
    <n v="0.62303469821014534"/>
    <n v="25"/>
    <n v="0.53479344455372968"/>
    <n v="123"/>
    <n v="0.60871099086155289"/>
    <n v="37"/>
    <n v="0.5712733857791269"/>
    <n v="3"/>
    <s v=""/>
    <n v="0"/>
    <s v=""/>
    <n v="0"/>
    <s v=""/>
    <n v="8"/>
    <s v=""/>
    <n v="0.4"/>
    <n v="141"/>
    <s v=""/>
    <n v="7.05"/>
    <n v="27"/>
    <s v=""/>
    <n v="0.54"/>
    <n v="13"/>
    <s v=""/>
    <n v="0.52"/>
    <n v="20"/>
    <n v="6"/>
    <n v="10"/>
    <n v="100"/>
    <n v="100"/>
    <n v="0"/>
    <n v="30530"/>
    <n v="15525"/>
    <n v="30530"/>
    <n v="0"/>
    <n v="167"/>
    <n v="509851"/>
    <n v="70545.865404985525"/>
    <n v="35"/>
    <n v="4"/>
    <n v="0"/>
    <n v="0"/>
    <n v="0"/>
    <n v="0"/>
    <n v="24424"/>
    <n v="10350"/>
    <n v="0"/>
    <n v="0"/>
    <n v="167"/>
    <n v="509851"/>
    <n v="0"/>
    <n v="30"/>
    <n v="3"/>
    <n v="0"/>
    <n v="0"/>
    <n v="0"/>
    <n v="60649"/>
    <n v="9159"/>
    <n v="0"/>
    <n v="0"/>
    <n v="167"/>
    <n v="509851"/>
    <n v="0"/>
    <n v="20"/>
    <n v="110"/>
    <n v="8"/>
    <n v="100"/>
    <n v="0"/>
    <n v="284625"/>
    <n v="24424"/>
    <x v="52"/>
    <x v="0"/>
    <n v="167"/>
    <n v="509851"/>
    <n v="67159.663865546216"/>
    <n v="20"/>
    <n v="308"/>
    <n v="14"/>
    <m/>
    <n v="0"/>
    <n v="0"/>
    <n v="940324"/>
    <n v="36225"/>
    <x v="0"/>
    <n v="0"/>
    <n v="167"/>
    <n v="509851"/>
    <n v="117529.41176470587"/>
    <n v="50"/>
    <n v="194"/>
    <n v="27"/>
    <m/>
    <n v="0"/>
    <n v="0"/>
    <n v="592282"/>
    <n v="69862.5"/>
    <n v="0"/>
    <n v="0"/>
    <n v="194"/>
    <n v="509851"/>
    <n v="226663.86554621847"/>
    <n v="25"/>
    <n v="180"/>
    <n v="17.5"/>
    <n v="100"/>
    <n v="100"/>
    <n v="0"/>
    <n v="549540"/>
    <n v="45281.25"/>
    <n v="250125"/>
    <n v="0"/>
    <n v="180"/>
    <n v="509851"/>
    <n v="146911.76470588235"/>
    <n v="25"/>
    <n v="162.5"/>
    <n v="17.5"/>
    <n v="100"/>
    <n v="100"/>
    <n v="100"/>
    <n v="496112.5"/>
    <n v="45281.25"/>
    <n v="258750"/>
    <n v="258750"/>
    <n v="262.5"/>
    <n v="754862.5"/>
    <n v="146911.76470588235"/>
    <n v="25"/>
    <n v="245"/>
    <n v="17.5"/>
    <n v="0"/>
    <n v="0"/>
    <m/>
    <n v="633937.5"/>
    <n v="45281.25"/>
    <n v="0"/>
    <n v="0"/>
    <n v="245"/>
    <n v="633937.5"/>
    <n v="146911.76470588235"/>
    <n v="50"/>
    <n v="227.5"/>
    <n v="35"/>
    <n v="0"/>
    <n v="0"/>
    <n v="0"/>
    <m/>
    <n v="588656.25"/>
    <n v="90562.5"/>
    <n v="0"/>
    <n v="0"/>
    <n v="227.5"/>
    <n v="588656.25"/>
    <n v="264411.76470588235"/>
    <n v="40"/>
    <n v="192.5"/>
    <n v="28"/>
    <n v="0"/>
    <n v="0"/>
    <n v="498093.75"/>
    <n v="72450"/>
    <n v="0"/>
    <n v="0"/>
    <n v="192.5"/>
    <n v="498093.75"/>
    <n v="222105.8823529412"/>
    <n v="50"/>
    <n v="164.5"/>
    <n v="35"/>
    <n v="0"/>
    <n v="0"/>
    <n v="425643.75"/>
    <n v="90562.5"/>
    <n v="0"/>
    <n v="164.5"/>
    <n v="425643.75"/>
    <n v="293823.5294117647"/>
    <n v="24"/>
    <n v="129.5"/>
    <n v="16.799999999999997"/>
    <n v="0"/>
    <m/>
    <n v="335081.25"/>
    <n v="51290.399999999994"/>
    <n v="0"/>
    <n v="129.5"/>
    <n v="335081.25"/>
    <n v="141035.29411764702"/>
  </r>
  <r>
    <s v="Lhotse-Hidratación"/>
    <x v="1"/>
    <x v="12"/>
    <x v="30"/>
    <s v="LHCAMU"/>
    <x v="199"/>
    <x v="196"/>
    <x v="0"/>
    <x v="0"/>
    <n v="1"/>
    <x v="149"/>
    <n v="30"/>
    <m/>
    <n v="0"/>
    <n v="2873"/>
    <n v="86190"/>
    <n v="2.5"/>
    <n v="2731.25"/>
    <n v="8394.957983193277"/>
    <n v="7554.6218487394963"/>
    <s v="Shenzhen"/>
    <x v="0"/>
    <n v="30"/>
    <n v="50"/>
    <n v="17"/>
    <n v="0.6209137052837812"/>
    <n v="15"/>
    <n v="0.57896437166624504"/>
    <n v="21"/>
    <n v="0.50327397320910627"/>
    <n v="8"/>
    <n v="0.54906610382664889"/>
    <n v="3"/>
    <n v="0.65627339915449057"/>
    <n v="14"/>
    <n v="1.4767752442996747"/>
    <n v="1"/>
    <n v="0.65627397260273979"/>
    <n v="3"/>
    <n v="1.5019194770465012"/>
    <n v="3"/>
    <n v="0.51549528180271231"/>
    <n v="6"/>
    <n v="0.56287061679973849"/>
    <n v="73"/>
    <n v="0.59815093953184206"/>
    <n v="15"/>
    <n v="0.55044398797619909"/>
    <n v="23"/>
    <s v=""/>
    <n v="6"/>
    <s v=""/>
    <n v="25"/>
    <s v=""/>
    <n v="11"/>
    <s v=""/>
    <n v="0.73333333333333328"/>
    <n v="16"/>
    <s v=""/>
    <n v="1.0666666666666667"/>
    <n v="17"/>
    <s v=""/>
    <n v="0.68"/>
    <n v="10"/>
    <s v=""/>
    <n v="0.93457943925233655"/>
    <n v="20"/>
    <n v="98"/>
    <n v="20"/>
    <n v="0"/>
    <n v="0"/>
    <n v="0"/>
    <n v="155142"/>
    <n v="253575"/>
    <n v="57460"/>
    <n v="0"/>
    <n v="30"/>
    <n v="86190"/>
    <n v="141091.73080997105"/>
    <n v="20"/>
    <n v="180"/>
    <n v="9"/>
    <n v="0"/>
    <n v="0"/>
    <n v="0"/>
    <n v="129285"/>
    <n v="465750"/>
    <n v="25857"/>
    <n v="0"/>
    <n v="30"/>
    <n v="86190"/>
    <n v="63491.278864486972"/>
    <n v="25"/>
    <n v="174"/>
    <n v="25"/>
    <n v="0"/>
    <n v="0"/>
    <n v="142240.5"/>
    <n v="499902"/>
    <n v="71825"/>
    <n v="0"/>
    <n v="30"/>
    <n v="86190"/>
    <n v="209873.94957983191"/>
    <n v="15"/>
    <n v="149"/>
    <n v="11"/>
    <n v="0"/>
    <n v="0"/>
    <n v="385537.5"/>
    <n v="31603"/>
    <x v="0"/>
    <x v="0"/>
    <n v="30"/>
    <n v="86190"/>
    <n v="92344.537815126052"/>
    <n v="15"/>
    <n v="46"/>
    <n v="15"/>
    <m/>
    <n v="0"/>
    <n v="0"/>
    <n v="132158"/>
    <n v="38812.5"/>
    <x v="0"/>
    <n v="0"/>
    <n v="30"/>
    <n v="86190"/>
    <n v="125924.36974789915"/>
    <n v="25"/>
    <n v="47"/>
    <n v="17"/>
    <m/>
    <n v="0"/>
    <n v="0"/>
    <n v="135031"/>
    <n v="43987.5"/>
    <n v="0"/>
    <n v="0"/>
    <n v="47"/>
    <n v="86190"/>
    <n v="142714.28571428571"/>
    <n v="10.7"/>
    <n v="40"/>
    <n v="10.7"/>
    <n v="0"/>
    <n v="0"/>
    <n v="0"/>
    <n v="114920"/>
    <n v="27686.249999999996"/>
    <n v="0"/>
    <n v="0"/>
    <n v="40"/>
    <n v="86190"/>
    <n v="89826.05042016806"/>
    <n v="12.6"/>
    <n v="29.3"/>
    <n v="12.6"/>
    <n v="0"/>
    <n v="0"/>
    <n v="0"/>
    <n v="84178.900000000009"/>
    <n v="32602.5"/>
    <n v="0"/>
    <n v="0"/>
    <n v="29.3"/>
    <n v="84178.900000000009"/>
    <n v="105776.47058823529"/>
    <n v="13"/>
    <n v="16.700000000000003"/>
    <n v="13"/>
    <n v="0"/>
    <n v="0"/>
    <m/>
    <n v="43211.250000000007"/>
    <n v="33637.5"/>
    <n v="0"/>
    <n v="0"/>
    <n v="16.700000000000003"/>
    <n v="43211.250000000007"/>
    <n v="109134.4537815126"/>
    <n v="0"/>
    <n v="3.7000000000000028"/>
    <n v="0"/>
    <n v="0"/>
    <n v="0"/>
    <n v="0"/>
    <m/>
    <n v="9573.7500000000073"/>
    <n v="0"/>
    <n v="0"/>
    <n v="0"/>
    <n v="3.7000000000000028"/>
    <n v="9573.7500000000073"/>
    <n v="0"/>
    <n v="0"/>
    <n v="3.7000000000000028"/>
    <n v="0"/>
    <n v="0"/>
    <n v="0"/>
    <n v="9573.7500000000073"/>
    <n v="0"/>
    <n v="0"/>
    <n v="0"/>
    <n v="3.7000000000000028"/>
    <n v="9573.7500000000073"/>
    <n v="0"/>
    <n v="0"/>
    <n v="3.7000000000000028"/>
    <n v="0"/>
    <n v="0"/>
    <n v="0"/>
    <n v="9573.7500000000073"/>
    <n v="0"/>
    <n v="0"/>
    <n v="3.7000000000000028"/>
    <n v="9573.7500000000073"/>
    <n v="0"/>
    <n v="0"/>
    <n v="3.7000000000000028"/>
    <n v="0"/>
    <n v="0"/>
    <m/>
    <n v="9573.7500000000073"/>
    <n v="0"/>
    <n v="0"/>
    <n v="3.7000000000000028"/>
    <n v="9573.7500000000073"/>
    <n v="0"/>
  </r>
  <r>
    <s v="Lhotse-Hidratación"/>
    <x v="1"/>
    <x v="12"/>
    <x v="30"/>
    <s v="LHCAMU"/>
    <x v="200"/>
    <x v="197"/>
    <x v="0"/>
    <x v="0"/>
    <n v="1"/>
    <x v="150"/>
    <n v="186"/>
    <m/>
    <n v="0"/>
    <n v="3047"/>
    <n v="566742"/>
    <n v="2.5"/>
    <n v="2731.25"/>
    <n v="8394.957983193277"/>
    <n v="7554.6218487394963"/>
    <s v="Shenzhen"/>
    <x v="0"/>
    <n v="30"/>
    <n v="50"/>
    <n v="11"/>
    <n v="0.53275967768838928"/>
    <n v="15"/>
    <n v="0.60552987937755121"/>
    <n v="28"/>
    <n v="0.50213657473599094"/>
    <n v="35"/>
    <n v="0.44911377886133697"/>
    <n v="19"/>
    <n v="0.58609873760144271"/>
    <n v="38"/>
    <n v="0.63178819722979829"/>
    <n v="3"/>
    <n v="0.67715184976789977"/>
    <n v="8"/>
    <n v="0.650850684130033"/>
    <n v="4"/>
    <n v="0.55001727364329922"/>
    <n v="11"/>
    <n v="0.59955114197947568"/>
    <n v="175"/>
    <n v="0.59803823756439001"/>
    <n v="12"/>
    <n v="0.56980571612074515"/>
    <n v="2"/>
    <s v=""/>
    <n v="0"/>
    <s v=""/>
    <n v="0"/>
    <s v=""/>
    <n v="9"/>
    <s v=""/>
    <n v="0"/>
    <n v="9"/>
    <s v=""/>
    <n v="0.45"/>
    <n v="19"/>
    <s v=""/>
    <n v="0.47499999999999998"/>
    <n v="11"/>
    <s v=""/>
    <n v="0.27500000000000002"/>
    <n v="15"/>
    <n v="6"/>
    <n v="6"/>
    <n v="0"/>
    <n v="0"/>
    <n v="0"/>
    <n v="18282"/>
    <n v="15525"/>
    <n v="18282"/>
    <n v="0"/>
    <n v="186"/>
    <n v="566742"/>
    <n v="42327.519242991315"/>
    <n v="0"/>
    <n v="5"/>
    <n v="0"/>
    <n v="0"/>
    <n v="0"/>
    <n v="0"/>
    <n v="27423"/>
    <n v="12937.5"/>
    <n v="0"/>
    <n v="0"/>
    <n v="186"/>
    <n v="566742"/>
    <n v="0"/>
    <n v="0"/>
    <n v="4"/>
    <n v="0"/>
    <n v="0"/>
    <n v="0"/>
    <n v="79173"/>
    <n v="12188"/>
    <n v="0"/>
    <n v="0"/>
    <n v="186"/>
    <n v="566742"/>
    <n v="0"/>
    <n v="0"/>
    <n v="103"/>
    <n v="9"/>
    <n v="100"/>
    <n v="0"/>
    <n v="266512.5"/>
    <n v="27423"/>
    <x v="52"/>
    <x v="0"/>
    <n v="186"/>
    <n v="566742"/>
    <n v="75554.621848739494"/>
    <n v="20"/>
    <n v="195"/>
    <n v="20"/>
    <m/>
    <n v="0"/>
    <n v="0"/>
    <n v="594165"/>
    <n v="51750"/>
    <x v="0"/>
    <n v="0"/>
    <n v="186"/>
    <n v="566742"/>
    <n v="167899.15966386555"/>
    <n v="40"/>
    <n v="205"/>
    <n v="19"/>
    <m/>
    <n v="0"/>
    <n v="0"/>
    <n v="624635"/>
    <n v="49162.5"/>
    <n v="0"/>
    <n v="0"/>
    <n v="205"/>
    <n v="566742"/>
    <n v="159504.20168067227"/>
    <n v="40"/>
    <n v="197"/>
    <n v="40"/>
    <n v="100"/>
    <n v="100"/>
    <n v="0"/>
    <n v="600259"/>
    <n v="103500"/>
    <n v="250125"/>
    <n v="0"/>
    <n v="197"/>
    <n v="566742"/>
    <n v="335798.31932773109"/>
    <n v="23.6"/>
    <n v="157"/>
    <n v="23.6"/>
    <n v="0"/>
    <n v="0"/>
    <n v="0"/>
    <n v="478379"/>
    <n v="61065.000000000007"/>
    <n v="0"/>
    <n v="0"/>
    <n v="157"/>
    <n v="478379"/>
    <n v="198121.00840336134"/>
    <n v="20"/>
    <n v="133.4"/>
    <n v="20"/>
    <n v="0"/>
    <n v="0"/>
    <m/>
    <n v="345172.5"/>
    <n v="51750"/>
    <n v="0"/>
    <n v="0"/>
    <n v="133.4"/>
    <n v="345172.5"/>
    <n v="167899.15966386555"/>
    <n v="20"/>
    <n v="113.4"/>
    <n v="20"/>
    <n v="0"/>
    <n v="0"/>
    <n v="0"/>
    <m/>
    <n v="293422.5"/>
    <n v="51750"/>
    <n v="0"/>
    <n v="0"/>
    <n v="113.4"/>
    <n v="293422.5"/>
    <n v="151092.43697478992"/>
    <n v="40"/>
    <n v="93.4"/>
    <n v="40"/>
    <n v="0"/>
    <n v="0"/>
    <n v="241672.50000000003"/>
    <n v="103500"/>
    <n v="0"/>
    <n v="0"/>
    <n v="93.4"/>
    <n v="241672.50000000003"/>
    <n v="317294.11764705885"/>
    <n v="40"/>
    <n v="53.400000000000006"/>
    <n v="40"/>
    <n v="0"/>
    <n v="0"/>
    <n v="138172.50000000003"/>
    <n v="103500"/>
    <n v="0"/>
    <n v="53.400000000000006"/>
    <n v="138172.50000000003"/>
    <n v="335798.31932773109"/>
    <n v="24"/>
    <n v="13.400000000000006"/>
    <n v="24"/>
    <n v="0"/>
    <m/>
    <n v="34672.500000000015"/>
    <n v="73128"/>
    <n v="0"/>
    <n v="13.400000000000006"/>
    <n v="34672.500000000015"/>
    <n v="201478.99159663863"/>
  </r>
  <r>
    <s v="Lhotse-Hidratación"/>
    <x v="1"/>
    <x v="12"/>
    <x v="30"/>
    <s v="LHCAMU"/>
    <x v="201"/>
    <x v="198"/>
    <x v="0"/>
    <x v="0"/>
    <n v="0.8"/>
    <x v="151"/>
    <n v="252"/>
    <m/>
    <n v="0"/>
    <n v="3043"/>
    <n v="766836"/>
    <n v="2.5"/>
    <n v="2731.25"/>
    <n v="8394.957983193277"/>
    <n v="7554.6218487394963"/>
    <s v="Shenzhen"/>
    <x v="0"/>
    <n v="30"/>
    <n v="50"/>
    <n v="7"/>
    <n v="0.55838071957471047"/>
    <n v="15"/>
    <n v="0.61891956649546864"/>
    <n v="27"/>
    <n v="0.48799979840864066"/>
    <n v="65"/>
    <n v="0.54320779450319623"/>
    <n v="3"/>
    <n v="0.65898987492555072"/>
    <n v="14"/>
    <n v="1"/>
    <n v="2"/>
    <n v="0.62104970547355876"/>
    <n v="6"/>
    <n v="0.6569571382654894"/>
    <n v="6"/>
    <n v="0.5936324963459062"/>
    <n v="11"/>
    <n v="0.56551679389312959"/>
    <n v="78"/>
    <n v="0.60341383693481021"/>
    <n v="11"/>
    <n v="0.62970866770982925"/>
    <n v="23"/>
    <s v=""/>
    <n v="13"/>
    <s v=""/>
    <n v="7"/>
    <s v=""/>
    <n v="8"/>
    <s v=""/>
    <n v="0.22857142857142856"/>
    <n v="16"/>
    <s v=""/>
    <n v="0.8"/>
    <n v="23"/>
    <s v=""/>
    <n v="0.76666666666666672"/>
    <n v="7"/>
    <s v=""/>
    <n v="0.23333333333333334"/>
    <n v="20"/>
    <n v="25"/>
    <n v="18"/>
    <n v="0"/>
    <n v="0"/>
    <n v="0"/>
    <n v="135413.5"/>
    <n v="64687.5"/>
    <n v="54774"/>
    <n v="0"/>
    <n v="252"/>
    <n v="766836"/>
    <n v="126982.55772897394"/>
    <n v="20"/>
    <n v="15"/>
    <n v="19.5"/>
    <n v="0"/>
    <n v="0"/>
    <n v="0"/>
    <n v="104983.5"/>
    <n v="38812.5"/>
    <n v="59338.5"/>
    <n v="0"/>
    <n v="252"/>
    <n v="766836"/>
    <n v="137564.43753972178"/>
    <n v="30"/>
    <n v="3"/>
    <n v="7"/>
    <n v="0"/>
    <n v="0"/>
    <n v="87045"/>
    <n v="9129"/>
    <n v="21301"/>
    <n v="0"/>
    <n v="252"/>
    <n v="766836"/>
    <n v="58764.705882352937"/>
    <n v="35"/>
    <n v="173"/>
    <n v="8"/>
    <n v="100"/>
    <n v="0"/>
    <n v="447637.5"/>
    <n v="24344"/>
    <x v="52"/>
    <x v="0"/>
    <n v="252"/>
    <n v="766836"/>
    <n v="67159.663865546216"/>
    <n v="20"/>
    <n v="268"/>
    <n v="16"/>
    <m/>
    <n v="0"/>
    <n v="0"/>
    <n v="815524"/>
    <n v="41400"/>
    <x v="0"/>
    <n v="0"/>
    <n v="252"/>
    <n v="766836"/>
    <n v="134319.32773109243"/>
    <n v="30"/>
    <n v="275"/>
    <n v="23"/>
    <m/>
    <n v="0"/>
    <n v="0"/>
    <n v="836825"/>
    <n v="59512.5"/>
    <n v="0"/>
    <n v="0"/>
    <n v="275"/>
    <n v="766836"/>
    <n v="193084.03361344538"/>
    <n v="30"/>
    <n v="259"/>
    <n v="24"/>
    <n v="100"/>
    <n v="100"/>
    <n v="0"/>
    <n v="788137"/>
    <n v="62100"/>
    <n v="250125"/>
    <n v="0"/>
    <n v="259"/>
    <n v="766836"/>
    <n v="201478.99159663863"/>
    <n v="20.399999999999999"/>
    <n v="235"/>
    <n v="16.32"/>
    <n v="0"/>
    <n v="0"/>
    <n v="0"/>
    <n v="715105"/>
    <n v="42228"/>
    <n v="0"/>
    <n v="0"/>
    <n v="235"/>
    <n v="715105"/>
    <n v="137005.71428571429"/>
    <n v="20.100000000000001"/>
    <n v="218.68"/>
    <n v="16.080000000000002"/>
    <n v="0"/>
    <n v="0"/>
    <m/>
    <n v="565834.5"/>
    <n v="41607.000000000007"/>
    <n v="0"/>
    <n v="0"/>
    <n v="218.68"/>
    <n v="565834.5"/>
    <n v="134990.9243697479"/>
    <n v="20"/>
    <n v="202.6"/>
    <n v="16"/>
    <n v="0"/>
    <n v="0"/>
    <n v="0"/>
    <m/>
    <n v="524227.5"/>
    <n v="41400"/>
    <n v="0"/>
    <n v="0"/>
    <n v="202.6"/>
    <n v="524227.5"/>
    <n v="120873.94957983194"/>
    <n v="35"/>
    <n v="186.6"/>
    <n v="28"/>
    <n v="0"/>
    <n v="0"/>
    <n v="482827.5"/>
    <n v="72450"/>
    <n v="0"/>
    <n v="0"/>
    <n v="186.6"/>
    <n v="482827.5"/>
    <n v="222105.8823529412"/>
    <n v="35"/>
    <n v="158.6"/>
    <n v="28"/>
    <n v="0"/>
    <n v="0"/>
    <n v="410377.5"/>
    <n v="72450"/>
    <n v="0"/>
    <n v="158.6"/>
    <n v="410377.5"/>
    <n v="235058.82352941175"/>
    <n v="21"/>
    <n v="130.6"/>
    <n v="16.8"/>
    <n v="0"/>
    <m/>
    <n v="337927.5"/>
    <n v="51122.400000000001"/>
    <n v="0"/>
    <n v="130.6"/>
    <n v="337927.5"/>
    <n v="141035.29411764705"/>
  </r>
  <r>
    <s v="Lhotse-Video"/>
    <x v="1"/>
    <x v="13"/>
    <x v="31"/>
    <s v="LHCAMACXPL"/>
    <x v="202"/>
    <x v="199"/>
    <x v="0"/>
    <x v="3"/>
    <n v="1"/>
    <x v="152"/>
    <n v="445"/>
    <m/>
    <n v="0"/>
    <n v="22771"/>
    <n v="10133095"/>
    <n v="21.75"/>
    <n v="23761.874999999996"/>
    <n v="50411.764705882357"/>
    <n v="42008.403361344543"/>
    <s v="Shenzhen"/>
    <x v="0"/>
    <n v="50"/>
    <n v="500"/>
    <n v="7"/>
    <n v="0.58484491108517533"/>
    <n v="21"/>
    <n v="0.59252539503224433"/>
    <n v="27"/>
    <n v="0.57010510282794369"/>
    <n v="31"/>
    <n v="0.59809665410106461"/>
    <n v="23"/>
    <n v="0.61609421786850593"/>
    <n v="86"/>
    <n v="0.52682587166404216"/>
    <n v="48"/>
    <n v="0.58292139543851396"/>
    <n v="36"/>
    <n v="0.60651338808038768"/>
    <n v="14"/>
    <n v="0.65227031804756819"/>
    <n v="42"/>
    <n v="0.58132825075008154"/>
    <n v="50"/>
    <n v="0.51566622435330378"/>
    <n v="214"/>
    <n v="0.50669949363279287"/>
    <n v="4"/>
    <s v=""/>
    <n v="21"/>
    <s v=""/>
    <n v="34"/>
    <s v=""/>
    <n v="65"/>
    <s v=""/>
    <n v="1.8571428571428572"/>
    <n v="52"/>
    <s v=""/>
    <n v="1.7333333333333334"/>
    <n v="85"/>
    <s v=""/>
    <n v="1.0625"/>
    <n v="29"/>
    <s v=""/>
    <n v="0.41428571428571431"/>
    <n v="50"/>
    <n v="43"/>
    <n v="43"/>
    <n v="0"/>
    <n v="0"/>
    <n v="0"/>
    <n v="2470653.5"/>
    <n v="967983.75"/>
    <n v="979153"/>
    <n v="0"/>
    <n v="445"/>
    <n v="10133095"/>
    <n v="1821601.5818091945"/>
    <n v="0"/>
    <n v="25"/>
    <n v="31.5"/>
    <n v="0"/>
    <n v="0"/>
    <n v="0"/>
    <n v="2971615.5"/>
    <n v="562781.25"/>
    <n v="717286.5"/>
    <n v="0"/>
    <n v="445"/>
    <n v="10133095"/>
    <n v="1334429.0657439448"/>
    <n v="35"/>
    <n v="188"/>
    <n v="34"/>
    <n v="0"/>
    <n v="0"/>
    <n v="2929666.5"/>
    <n v="4280948"/>
    <n v="774214"/>
    <n v="0"/>
    <n v="445"/>
    <n v="10133095"/>
    <n v="1714000.0000000002"/>
    <n v="35"/>
    <n v="165"/>
    <n v="65"/>
    <n v="500"/>
    <n v="0"/>
    <n v="3714356.25"/>
    <n v="1480115"/>
    <x v="53"/>
    <x v="0"/>
    <n v="445"/>
    <n v="10133095"/>
    <n v="3276764.7058823532"/>
    <n v="30"/>
    <n v="497"/>
    <n v="30"/>
    <m/>
    <n v="0"/>
    <n v="0"/>
    <n v="11317187"/>
    <n v="675337.5"/>
    <x v="0"/>
    <n v="0"/>
    <n v="445"/>
    <n v="10133095"/>
    <n v="1512352.9411764706"/>
    <n v="80"/>
    <n v="530"/>
    <n v="85"/>
    <m/>
    <n v="500"/>
    <n v="0"/>
    <n v="12068630"/>
    <n v="1913456.25"/>
    <n v="0"/>
    <n v="0"/>
    <n v="530"/>
    <n v="10133095"/>
    <n v="4285000"/>
    <n v="70"/>
    <n v="474"/>
    <n v="70"/>
    <n v="0"/>
    <n v="0"/>
    <n v="0"/>
    <n v="10793454"/>
    <n v="1575787.5"/>
    <n v="0"/>
    <n v="0"/>
    <n v="474"/>
    <n v="10133095"/>
    <n v="3528823.5294117648"/>
    <n v="80"/>
    <n v="404"/>
    <n v="80"/>
    <n v="0"/>
    <n v="0"/>
    <n v="0"/>
    <n v="9199484"/>
    <n v="1800900"/>
    <n v="0"/>
    <n v="0"/>
    <n v="404"/>
    <n v="9199484"/>
    <n v="4032941.1764705884"/>
    <n v="40"/>
    <n v="324"/>
    <n v="40"/>
    <n v="0"/>
    <n v="0"/>
    <m/>
    <n v="7293645"/>
    <n v="900450"/>
    <n v="0"/>
    <n v="0"/>
    <n v="324"/>
    <n v="7293645"/>
    <n v="2016470.5882352942"/>
    <n v="120"/>
    <n v="284"/>
    <n v="120"/>
    <n v="0"/>
    <n v="0"/>
    <n v="0"/>
    <m/>
    <n v="6393195"/>
    <n v="2701350"/>
    <n v="0"/>
    <n v="0"/>
    <n v="284"/>
    <n v="6393195"/>
    <n v="5041008.4033613447"/>
    <n v="70"/>
    <n v="164"/>
    <n v="70"/>
    <n v="0"/>
    <n v="0"/>
    <n v="3691845"/>
    <n v="1575787.5"/>
    <n v="0"/>
    <n v="0"/>
    <n v="164"/>
    <n v="3691845"/>
    <n v="3087617.6470588241"/>
    <n v="250"/>
    <n v="94"/>
    <n v="250"/>
    <n v="500"/>
    <n v="500"/>
    <n v="2116057.5"/>
    <n v="5627812.5"/>
    <n v="11255625"/>
    <n v="594"/>
    <n v="13371682.5"/>
    <n v="12602941.176470589"/>
    <n v="42"/>
    <n v="344"/>
    <n v="42"/>
    <n v="0"/>
    <m/>
    <n v="7743870"/>
    <n v="956382"/>
    <n v="0"/>
    <n v="344"/>
    <n v="7743870"/>
    <n v="2117294.1176470588"/>
  </r>
  <r>
    <m/>
    <x v="1"/>
    <x v="13"/>
    <x v="31"/>
    <s v="LHCAMACSUM"/>
    <x v="203"/>
    <x v="200"/>
    <x v="0"/>
    <x v="2"/>
    <n v="1"/>
    <x v="153"/>
    <n v="83"/>
    <m/>
    <n v="0"/>
    <n v="52240"/>
    <n v="4335920"/>
    <n v="58.3"/>
    <n v="52240"/>
    <n v="142848.73949579833"/>
    <n v="109235.29411764706"/>
    <s v="Shenzhen"/>
    <x v="0"/>
    <n v="30"/>
    <n v="100"/>
    <n v="3"/>
    <n v="1.3778107475711301"/>
    <n v="7"/>
    <n v="1.5228450871169601"/>
    <n v="7"/>
    <n v="1.5108339762982601"/>
    <n v="6"/>
    <n v="1.4463139681163"/>
    <n v="12"/>
    <n v="1.5486194368245201"/>
    <n v="42"/>
    <n v="1.399625236501"/>
    <n v="14"/>
    <n v="1.4570594404145401"/>
    <n v="15"/>
    <n v="1.5048120543835699"/>
    <n v="0"/>
    <s v=""/>
    <n v="0"/>
    <s v=""/>
    <n v="0"/>
    <s v=""/>
    <n v="0"/>
    <s v=""/>
    <n v="0"/>
    <s v=""/>
    <n v="0"/>
    <s v=""/>
    <n v="0"/>
    <s v=""/>
    <n v="2"/>
    <s v=""/>
    <n v="0.4"/>
    <n v="9"/>
    <s v=""/>
    <n v="1.8"/>
    <n v="9"/>
    <s v=""/>
    <n v="0.6"/>
    <n v="2"/>
    <s v=""/>
    <n v="0.2"/>
    <n v="0"/>
    <n v="0"/>
    <n v="0"/>
    <n v="0"/>
    <n v="0"/>
    <n v="0"/>
    <n v="0"/>
    <n v="0"/>
    <n v="0"/>
    <n v="0"/>
    <n v="83"/>
    <n v="4335920"/>
    <n v="0"/>
    <n v="0"/>
    <n v="1"/>
    <n v="0"/>
    <m/>
    <n v="100"/>
    <n v="0"/>
    <n v="104480"/>
    <n v="60340.499999999993"/>
    <n v="0"/>
    <n v="0"/>
    <n v="83"/>
    <n v="4335920"/>
    <n v="0"/>
    <n v="15"/>
    <n v="83"/>
    <n v="0"/>
    <n v="0"/>
    <n v="0"/>
    <n v="406182.49999999994"/>
    <n v="4335920"/>
    <n v="0"/>
    <n v="0"/>
    <n v="83"/>
    <n v="4335920"/>
    <n v="0"/>
    <n v="5"/>
    <n v="100"/>
    <n v="2"/>
    <n v="0"/>
    <n v="0"/>
    <n v="6034049.9999999991"/>
    <n v="104480"/>
    <x v="0"/>
    <x v="0"/>
    <n v="83"/>
    <n v="4335920"/>
    <n v="285697.47899159667"/>
    <n v="5"/>
    <n v="92"/>
    <n v="5"/>
    <m/>
    <n v="0"/>
    <n v="0"/>
    <n v="4806080"/>
    <n v="301702.49999999994"/>
    <x v="0"/>
    <n v="0"/>
    <n v="83"/>
    <n v="4335920"/>
    <n v="714243.6974789917"/>
    <n v="15"/>
    <n v="92"/>
    <n v="9"/>
    <m/>
    <n v="0"/>
    <n v="0"/>
    <n v="4806080"/>
    <n v="543064.49999999988"/>
    <n v="0"/>
    <n v="0"/>
    <n v="92"/>
    <n v="4335920"/>
    <n v="1285638.6554621849"/>
    <n v="10"/>
    <n v="85"/>
    <n v="10"/>
    <n v="0"/>
    <n v="0"/>
    <n v="0"/>
    <n v="4440400"/>
    <n v="603404.99999999988"/>
    <n v="0"/>
    <n v="0"/>
    <n v="85"/>
    <n v="4335920"/>
    <n v="1428487.3949579834"/>
    <n v="12"/>
    <n v="75"/>
    <n v="12"/>
    <n v="50"/>
    <n v="50"/>
    <n v="50"/>
    <n v="3918000"/>
    <n v="724085.99999999988"/>
    <n v="3017024.9999999995"/>
    <n v="3017024.9999999995"/>
    <n v="125"/>
    <n v="6935025"/>
    <n v="1714184.8739495799"/>
    <n v="12"/>
    <n v="113"/>
    <n v="12"/>
    <n v="0"/>
    <n v="0"/>
    <m/>
    <n v="6818476.4999999991"/>
    <n v="724085.99999999988"/>
    <n v="0"/>
    <n v="0"/>
    <n v="113"/>
    <n v="6818476.4999999991"/>
    <n v="1714184.8739495799"/>
    <n v="20"/>
    <n v="101"/>
    <n v="20"/>
    <n v="0"/>
    <n v="0"/>
    <n v="0"/>
    <m/>
    <n v="6094390.4999999991"/>
    <n v="1206809.9999999998"/>
    <n v="0"/>
    <n v="0"/>
    <n v="101"/>
    <n v="6094390.4999999991"/>
    <n v="2184705.8823529412"/>
    <n v="15"/>
    <n v="81"/>
    <n v="15"/>
    <n v="0"/>
    <n v="0"/>
    <n v="4887580.4999999991"/>
    <n v="905107.49999999988"/>
    <n v="0"/>
    <n v="0"/>
    <n v="81"/>
    <n v="4887580.4999999991"/>
    <n v="1720455.8823529414"/>
    <n v="30"/>
    <n v="66"/>
    <n v="30"/>
    <m/>
    <n v="0"/>
    <n v="3982472.9999999995"/>
    <n v="1810214.9999999998"/>
    <n v="0"/>
    <n v="66"/>
    <n v="3982472.9999999995"/>
    <n v="4285462.1848739497"/>
    <n v="9"/>
    <n v="36"/>
    <n v="9"/>
    <n v="0"/>
    <m/>
    <n v="2172257.9999999995"/>
    <n v="470160"/>
    <n v="0"/>
    <n v="36"/>
    <n v="2172257.9999999995"/>
    <n v="1285638.6554621849"/>
  </r>
  <r>
    <s v="Lhotse-Smartwatch"/>
    <x v="1"/>
    <x v="14"/>
    <x v="32"/>
    <s v="LHSWFLO"/>
    <x v="204"/>
    <x v="201"/>
    <x v="0"/>
    <x v="6"/>
    <n v="1"/>
    <x v="12"/>
    <n v="23"/>
    <m/>
    <n v="0"/>
    <n v="13582"/>
    <n v="312386"/>
    <n v="12.65"/>
    <n v="13820.124999999998"/>
    <n v="21000"/>
    <n v="18478.991596638658"/>
    <s v="Shenzhen"/>
    <x v="1"/>
    <n v="45"/>
    <n v="100"/>
    <n v="11"/>
    <n v="0.56853255948691861"/>
    <n v="20"/>
    <n v="0.53321210405639852"/>
    <n v="29"/>
    <n v="0.47450833310477797"/>
    <n v="23"/>
    <n v="0.5468454226303181"/>
    <n v="13"/>
    <n v="0.43021321019404257"/>
    <n v="15"/>
    <n v="0.39561788760054878"/>
    <n v="8"/>
    <n v="0.42135152174020957"/>
    <n v="9"/>
    <n v="0.48091043248201865"/>
    <n v="7"/>
    <n v="0.53103315662653094"/>
    <n v="37"/>
    <n v="0.47029985785062173"/>
    <n v="31"/>
    <n v="0.43709528911641521"/>
    <n v="49"/>
    <n v="0.43680639144336264"/>
    <n v="27"/>
    <s v=""/>
    <n v="32"/>
    <s v=""/>
    <n v="28"/>
    <s v=""/>
    <n v="21"/>
    <s v=""/>
    <n v="1.05"/>
    <n v="12"/>
    <s v=""/>
    <n v="0.8"/>
    <n v="24"/>
    <s v=""/>
    <n v="1.2"/>
    <n v="2"/>
    <s v=""/>
    <n v="0.1"/>
    <n v="20"/>
    <n v="58"/>
    <n v="30"/>
    <n v="100"/>
    <n v="50"/>
    <n v="0"/>
    <n v="1439692"/>
    <n v="759379.49999999988"/>
    <n v="407460"/>
    <n v="0"/>
    <n v="23"/>
    <n v="312386"/>
    <n v="529411.76470588241"/>
    <n v="20"/>
    <n v="238"/>
    <n v="48"/>
    <n v="0"/>
    <n v="0"/>
    <n v="0"/>
    <n v="1317454"/>
    <n v="3116074.4999999995"/>
    <n v="651936"/>
    <n v="0"/>
    <n v="23"/>
    <n v="312386"/>
    <n v="847058.82352941181"/>
    <n v="39"/>
    <n v="202"/>
    <n v="28"/>
    <n v="0"/>
    <n v="0"/>
    <n v="861909.25"/>
    <n v="2743564"/>
    <n v="380296"/>
    <n v="0"/>
    <n v="23"/>
    <n v="312386"/>
    <n v="588000"/>
    <n v="20"/>
    <n v="176"/>
    <n v="21"/>
    <n v="0"/>
    <n v="0"/>
    <n v="2304323.9999999995"/>
    <n v="285222"/>
    <x v="0"/>
    <x v="0"/>
    <n v="23"/>
    <n v="312386"/>
    <n v="441000"/>
    <n v="15"/>
    <n v="35"/>
    <n v="15"/>
    <m/>
    <n v="0"/>
    <n v="0"/>
    <n v="475370"/>
    <n v="196391.24999999997"/>
    <x v="0"/>
    <n v="0"/>
    <n v="23"/>
    <n v="312386"/>
    <n v="315000"/>
    <n v="20"/>
    <n v="47"/>
    <n v="24"/>
    <m/>
    <n v="0"/>
    <n v="0"/>
    <n v="638354"/>
    <n v="314225.99999999994"/>
    <n v="0"/>
    <n v="0"/>
    <n v="47"/>
    <n v="312386"/>
    <n v="504000"/>
    <n v="20"/>
    <n v="25"/>
    <n v="20"/>
    <n v="0"/>
    <n v="0"/>
    <n v="0"/>
    <n v="339550"/>
    <n v="261854.99999999997"/>
    <n v="0"/>
    <n v="0"/>
    <n v="25"/>
    <n v="312386"/>
    <n v="420000"/>
    <n v="20"/>
    <n v="5"/>
    <n v="20"/>
    <n v="0"/>
    <n v="0"/>
    <n v="0"/>
    <n v="67910"/>
    <n v="261854.99999999997"/>
    <n v="0"/>
    <n v="0"/>
    <n v="5"/>
    <n v="67910"/>
    <n v="420000"/>
    <n v="15"/>
    <n v="0"/>
    <n v="15"/>
    <n v="0"/>
    <n v="0"/>
    <m/>
    <n v="0"/>
    <n v="196391.24999999997"/>
    <n v="0"/>
    <n v="0"/>
    <n v="0"/>
    <n v="0"/>
    <n v="315000"/>
    <n v="42.1"/>
    <n v="0"/>
    <n v="0"/>
    <n v="0"/>
    <n v="0"/>
    <n v="0"/>
    <m/>
    <n v="0"/>
    <n v="0"/>
    <n v="0"/>
    <n v="0"/>
    <n v="0"/>
    <n v="0"/>
    <n v="0"/>
    <n v="28"/>
    <n v="0"/>
    <n v="28"/>
    <n v="0"/>
    <n v="0"/>
    <n v="0"/>
    <n v="366596.99999999994"/>
    <n v="0"/>
    <n v="0"/>
    <n v="0"/>
    <n v="0"/>
    <n v="543282.3529411765"/>
    <n v="0"/>
    <n v="0"/>
    <n v="0"/>
    <n v="0"/>
    <n v="0"/>
    <n v="0"/>
    <n v="0"/>
    <n v="0"/>
    <n v="0"/>
    <n v="0"/>
    <n v="0"/>
    <n v="16.8"/>
    <n v="0"/>
    <n v="16.8"/>
    <n v="0"/>
    <m/>
    <n v="0"/>
    <n v="228177.6"/>
    <n v="0"/>
    <n v="0"/>
    <n v="0"/>
    <n v="352800"/>
  </r>
  <r>
    <s v="Lhotse-Smartwatch"/>
    <x v="1"/>
    <x v="14"/>
    <x v="32"/>
    <s v="LHSWFLO"/>
    <x v="205"/>
    <x v="201"/>
    <x v="0"/>
    <x v="6"/>
    <n v="1.8"/>
    <x v="12"/>
    <n v="73"/>
    <m/>
    <n v="0"/>
    <n v="13074"/>
    <n v="954402"/>
    <n v="12.65"/>
    <n v="13820.124999999998"/>
    <n v="21000"/>
    <n v="18478.991596638658"/>
    <s v="Shenzhen"/>
    <x v="1"/>
    <n v="45"/>
    <n v="100"/>
    <n v="28"/>
    <n v="0.60970732820989237"/>
    <n v="18"/>
    <n v="0.57538971600685118"/>
    <n v="28"/>
    <n v="0.52522270976513408"/>
    <n v="3"/>
    <n v="0.49750508000521954"/>
    <n v="0"/>
    <s v=""/>
    <n v="6"/>
    <n v="0.48040766921014083"/>
    <n v="15"/>
    <n v="0.464132492920935"/>
    <n v="5"/>
    <n v="0.50736715093208951"/>
    <n v="5"/>
    <n v="0.42353237908629826"/>
    <n v="38"/>
    <n v="0.4245840792189477"/>
    <n v="20"/>
    <n v="0.37035407820613397"/>
    <n v="44"/>
    <n v="0.45323724532944359"/>
    <n v="27"/>
    <s v=""/>
    <n v="21"/>
    <s v=""/>
    <n v="20"/>
    <s v=""/>
    <n v="16"/>
    <s v=""/>
    <n v="2.6666666666666665"/>
    <n v="10"/>
    <s v=""/>
    <n v="0.5"/>
    <n v="5"/>
    <s v=""/>
    <n v="0.25"/>
    <n v="5"/>
    <s v=""/>
    <n v="0.18518518518518517"/>
    <n v="24.666666666666668"/>
    <n v="66"/>
    <n v="20"/>
    <n v="100"/>
    <n v="50"/>
    <n v="0"/>
    <n v="934791"/>
    <n v="864121.49999999988"/>
    <n v="261480"/>
    <n v="0"/>
    <n v="73"/>
    <n v="954402"/>
    <n v="352941.17647058825"/>
    <n v="20"/>
    <n v="46"/>
    <n v="31.5"/>
    <n v="0"/>
    <n v="0"/>
    <n v="0"/>
    <n v="882495"/>
    <n v="602266.49999999988"/>
    <n v="411831"/>
    <n v="0"/>
    <n v="73"/>
    <n v="954402"/>
    <n v="555882.3529411765"/>
    <n v="32"/>
    <n v="25"/>
    <n v="20"/>
    <n v="0"/>
    <n v="0"/>
    <n v="942003"/>
    <n v="326850"/>
    <n v="261480"/>
    <n v="0"/>
    <n v="73"/>
    <n v="954402"/>
    <n v="420000"/>
    <n v="6"/>
    <n v="37"/>
    <n v="16"/>
    <n v="0"/>
    <n v="0"/>
    <n v="484431.74999999994"/>
    <n v="209184"/>
    <x v="0"/>
    <x v="0"/>
    <n v="73"/>
    <n v="954402"/>
    <n v="336000"/>
    <n v="20"/>
    <n v="83"/>
    <n v="36"/>
    <m/>
    <n v="0"/>
    <n v="0"/>
    <n v="1085142"/>
    <n v="471338.99999999994"/>
    <x v="0"/>
    <n v="0"/>
    <n v="73"/>
    <n v="954402"/>
    <n v="756000"/>
    <n v="20"/>
    <n v="78"/>
    <n v="5"/>
    <m/>
    <n v="0"/>
    <n v="0"/>
    <n v="1019772"/>
    <n v="65463.749999999993"/>
    <n v="0"/>
    <n v="0"/>
    <n v="78"/>
    <n v="954402"/>
    <n v="105000"/>
    <n v="27"/>
    <n v="78"/>
    <n v="48.6"/>
    <n v="0"/>
    <n v="0"/>
    <n v="0"/>
    <n v="1019772"/>
    <n v="636307.64999999991"/>
    <n v="0"/>
    <n v="0"/>
    <n v="78"/>
    <n v="954402"/>
    <n v="1020600"/>
    <n v="18.2"/>
    <n v="29.4"/>
    <n v="32.76"/>
    <n v="0"/>
    <n v="0"/>
    <n v="0"/>
    <n v="384375.6"/>
    <n v="428918.48999999993"/>
    <n v="0"/>
    <n v="0"/>
    <n v="29.4"/>
    <n v="384375.6"/>
    <n v="687960"/>
    <n v="16.3"/>
    <n v="0"/>
    <n v="29.340000000000003"/>
    <n v="0"/>
    <n v="0"/>
    <m/>
    <n v="0"/>
    <n v="384141.28499999997"/>
    <n v="0"/>
    <n v="0"/>
    <n v="0"/>
    <n v="0"/>
    <n v="616140.0000000001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Smartwatch"/>
    <x v="1"/>
    <x v="14"/>
    <x v="33"/>
    <n v="1652824924113"/>
    <x v="206"/>
    <x v="202"/>
    <x v="0"/>
    <x v="6"/>
    <n v="1"/>
    <x v="12"/>
    <n v="6"/>
    <m/>
    <n v="0"/>
    <n v="20635"/>
    <n v="123810"/>
    <n v="20.6"/>
    <n v="22505.5"/>
    <n v="42008.403361344543"/>
    <n v="25201.680672268907"/>
    <s v="Shenzhen"/>
    <x v="1"/>
    <n v="45"/>
    <n v="100"/>
    <n v="0"/>
    <s v=""/>
    <n v="0"/>
    <s v=""/>
    <n v="0"/>
    <s v=""/>
    <n v="0"/>
    <s v=""/>
    <n v="0"/>
    <s v=""/>
    <n v="0"/>
    <s v=""/>
    <n v="0"/>
    <s v=""/>
    <n v="1"/>
    <n v="0.52770593486072648"/>
    <n v="0"/>
    <s v=""/>
    <n v="3"/>
    <n v="0.55914713611211997"/>
    <n v="2"/>
    <n v="0.53651016753190817"/>
    <n v="2"/>
    <n v="0.39881779458326688"/>
    <n v="0"/>
    <s v=""/>
    <n v="1"/>
    <s v=""/>
    <n v="0"/>
    <s v=""/>
    <n v="0"/>
    <s v=""/>
    <n v="0"/>
    <n v="0"/>
    <s v=""/>
    <n v="0"/>
    <n v="0"/>
    <s v=""/>
    <n v="0"/>
    <n v="0"/>
    <s v=""/>
    <n v="0"/>
    <n v="0"/>
    <n v="7"/>
    <n v="0"/>
    <n v="0"/>
    <n v="0"/>
    <n v="0"/>
    <n v="30952.5"/>
    <n v="149247"/>
    <n v="0"/>
    <n v="0"/>
    <n v="6"/>
    <n v="123810"/>
    <n v="0"/>
    <n v="0"/>
    <n v="5"/>
    <n v="1.5"/>
    <n v="0"/>
    <n v="0"/>
    <n v="0"/>
    <n v="30952.5"/>
    <n v="106605"/>
    <n v="30952.5"/>
    <n v="0"/>
    <n v="6"/>
    <n v="123810"/>
    <n v="52951.768942871277"/>
    <n v="0"/>
    <n v="4"/>
    <n v="0"/>
    <n v="0"/>
    <n v="0"/>
    <n v="42642"/>
    <n v="82540"/>
    <n v="0"/>
    <n v="0"/>
    <n v="6"/>
    <n v="123810"/>
    <n v="0"/>
    <n v="0"/>
    <n v="3"/>
    <n v="0"/>
    <n v="0"/>
    <n v="0"/>
    <n v="63963"/>
    <n v="0"/>
    <x v="0"/>
    <x v="0"/>
    <n v="6"/>
    <n v="123810"/>
    <n v="0"/>
    <n v="2"/>
    <n v="6"/>
    <n v="2"/>
    <m/>
    <n v="0"/>
    <n v="0"/>
    <n v="123810"/>
    <n v="42642"/>
    <x v="0"/>
    <n v="0"/>
    <n v="6"/>
    <n v="123810"/>
    <n v="84016.806722689085"/>
    <n v="0"/>
    <n v="6"/>
    <n v="0"/>
    <m/>
    <n v="0"/>
    <n v="0"/>
    <n v="123810"/>
    <n v="0"/>
    <n v="0"/>
    <n v="0"/>
    <n v="6"/>
    <n v="123810"/>
    <n v="0"/>
    <n v="0"/>
    <n v="6"/>
    <n v="0"/>
    <n v="0"/>
    <n v="0"/>
    <n v="0"/>
    <n v="123810"/>
    <n v="0"/>
    <n v="0"/>
    <n v="0"/>
    <n v="6"/>
    <n v="123810"/>
    <n v="0"/>
    <n v="0"/>
    <n v="6"/>
    <n v="0"/>
    <n v="0"/>
    <n v="0"/>
    <n v="0"/>
    <n v="123810"/>
    <n v="0"/>
    <n v="0"/>
    <n v="0"/>
    <n v="6"/>
    <n v="123810"/>
    <n v="0"/>
    <n v="0"/>
    <n v="6"/>
    <n v="0"/>
    <n v="0"/>
    <n v="0"/>
    <m/>
    <n v="127926"/>
    <n v="0"/>
    <n v="0"/>
    <n v="0"/>
    <n v="6"/>
    <n v="127926"/>
    <n v="0"/>
    <n v="0"/>
    <n v="6"/>
    <n v="0"/>
    <n v="0"/>
    <n v="0"/>
    <n v="0"/>
    <m/>
    <n v="127926"/>
    <n v="0"/>
    <n v="0"/>
    <n v="0"/>
    <n v="6"/>
    <n v="127926"/>
    <n v="0"/>
    <n v="0"/>
    <n v="6"/>
    <n v="0"/>
    <n v="0"/>
    <n v="0"/>
    <n v="127926"/>
    <n v="0"/>
    <n v="0"/>
    <n v="0"/>
    <n v="6"/>
    <n v="127926"/>
    <n v="0"/>
    <n v="0"/>
    <n v="6"/>
    <n v="0"/>
    <n v="0"/>
    <n v="0"/>
    <n v="127926"/>
    <n v="0"/>
    <n v="0"/>
    <n v="6"/>
    <n v="127926"/>
    <n v="0"/>
    <n v="0"/>
    <n v="6"/>
    <n v="0"/>
    <n v="0"/>
    <m/>
    <n v="127926"/>
    <n v="0"/>
    <n v="0"/>
    <n v="6"/>
    <n v="127926"/>
    <n v="0"/>
  </r>
  <r>
    <s v="Lhotse-Smartwatch"/>
    <x v="1"/>
    <x v="14"/>
    <x v="33"/>
    <n v="1639085706913"/>
    <x v="207"/>
    <x v="203"/>
    <x v="0"/>
    <x v="6"/>
    <n v="1"/>
    <x v="12"/>
    <n v="2"/>
    <m/>
    <n v="0"/>
    <n v="21290"/>
    <n v="42580"/>
    <n v="20.95"/>
    <n v="22887.875"/>
    <n v="50411.764705882357"/>
    <n v="27722.689075630253"/>
    <s v="Shenzhen"/>
    <x v="1"/>
    <n v="45"/>
    <n v="100"/>
    <n v="0"/>
    <n v="0.43442271930290632"/>
    <n v="1"/>
    <s v=""/>
    <n v="4"/>
    <n v="0.55285203206497002"/>
    <n v="0"/>
    <s v=""/>
    <n v="0"/>
    <s v=""/>
    <n v="0"/>
    <s v=""/>
    <n v="5"/>
    <n v="0.5600987684932639"/>
    <n v="3"/>
    <n v="0.56809502556195723"/>
    <n v="3"/>
    <n v="0.53076598683437171"/>
    <n v="3"/>
    <n v="0.57769062921526615"/>
    <n v="3"/>
    <n v="0.54907631372715138"/>
    <n v="2"/>
    <n v="0.57769062921526626"/>
    <n v="0"/>
    <s v=""/>
    <n v="0"/>
    <n v="0.43442271579459402"/>
    <n v="0"/>
    <n v="0.55285200792753841"/>
    <n v="0"/>
    <s v=""/>
    <n v="0"/>
    <n v="0"/>
    <s v=""/>
    <n v="0"/>
    <n v="0"/>
    <s v=""/>
    <n v="0"/>
    <n v="0"/>
    <n v="0.56009875064142445"/>
    <n v="0"/>
    <n v="0"/>
    <n v="2"/>
    <n v="0"/>
    <n v="0"/>
    <n v="0"/>
    <n v="0"/>
    <n v="0"/>
    <n v="43366.5"/>
    <n v="0"/>
    <n v="0"/>
    <n v="2"/>
    <n v="42580"/>
    <n v="0"/>
    <n v="0"/>
    <n v="2"/>
    <n v="0"/>
    <n v="0"/>
    <n v="0"/>
    <n v="0"/>
    <n v="0"/>
    <n v="43366.5"/>
    <n v="0"/>
    <n v="0"/>
    <n v="2"/>
    <n v="42580"/>
    <n v="0"/>
    <n v="0"/>
    <n v="2"/>
    <n v="0"/>
    <n v="0"/>
    <n v="0"/>
    <n v="0"/>
    <n v="42580"/>
    <n v="0"/>
    <n v="0"/>
    <n v="2"/>
    <n v="42580"/>
    <n v="0"/>
    <n v="0"/>
    <n v="2"/>
    <n v="0"/>
    <n v="0"/>
    <n v="0"/>
    <n v="43366.5"/>
    <n v="0"/>
    <x v="0"/>
    <x v="0"/>
    <n v="2"/>
    <n v="42580"/>
    <n v="0"/>
    <n v="0"/>
    <n v="2"/>
    <n v="0"/>
    <m/>
    <n v="0"/>
    <n v="0"/>
    <n v="42580"/>
    <n v="0"/>
    <x v="0"/>
    <n v="0"/>
    <n v="2"/>
    <n v="42580"/>
    <n v="0"/>
    <n v="0"/>
    <n v="2"/>
    <n v="0"/>
    <m/>
    <n v="0"/>
    <n v="0"/>
    <n v="42580"/>
    <n v="0"/>
    <n v="0"/>
    <n v="0"/>
    <n v="2"/>
    <n v="42580"/>
    <n v="0"/>
    <n v="0"/>
    <n v="2"/>
    <n v="0"/>
    <n v="0"/>
    <n v="0"/>
    <n v="0"/>
    <n v="42580"/>
    <n v="0"/>
    <n v="0"/>
    <n v="0"/>
    <n v="2"/>
    <n v="42580"/>
    <n v="0"/>
    <n v="0"/>
    <n v="2"/>
    <n v="0"/>
    <n v="0"/>
    <n v="0"/>
    <n v="0"/>
    <n v="42580"/>
    <n v="0"/>
    <n v="0"/>
    <n v="0"/>
    <n v="2"/>
    <n v="42580"/>
    <n v="0"/>
    <n v="0"/>
    <n v="2"/>
    <n v="0"/>
    <n v="0"/>
    <n v="0"/>
    <m/>
    <n v="43366.5"/>
    <n v="0"/>
    <n v="0"/>
    <n v="0"/>
    <n v="2"/>
    <n v="43366.5"/>
    <n v="0"/>
    <n v="0"/>
    <n v="2"/>
    <n v="0"/>
    <n v="0"/>
    <n v="0"/>
    <n v="0"/>
    <m/>
    <n v="43366.5"/>
    <n v="0"/>
    <n v="0"/>
    <n v="0"/>
    <n v="2"/>
    <n v="43366.5"/>
    <n v="0"/>
    <n v="0"/>
    <n v="2"/>
    <n v="0"/>
    <n v="0"/>
    <n v="0"/>
    <n v="43366.5"/>
    <n v="0"/>
    <n v="0"/>
    <n v="0"/>
    <n v="2"/>
    <n v="43366.5"/>
    <n v="0"/>
    <n v="0"/>
    <n v="2"/>
    <n v="0"/>
    <n v="0"/>
    <n v="0"/>
    <n v="43366.5"/>
    <n v="0"/>
    <n v="0"/>
    <n v="2"/>
    <n v="43366.5"/>
    <n v="0"/>
    <n v="0"/>
    <n v="2"/>
    <n v="0"/>
    <n v="0"/>
    <m/>
    <n v="43366.5"/>
    <n v="0"/>
    <n v="0"/>
    <n v="2"/>
    <n v="43366.5"/>
    <n v="0"/>
  </r>
  <r>
    <s v="Lhotse-Smartwatch"/>
    <x v="1"/>
    <x v="14"/>
    <x v="33"/>
    <n v="1652824942453"/>
    <x v="208"/>
    <x v="204"/>
    <x v="0"/>
    <x v="6"/>
    <n v="1"/>
    <x v="12"/>
    <n v="13"/>
    <m/>
    <n v="0"/>
    <n v="20256"/>
    <n v="263328"/>
    <n v="20.6"/>
    <n v="22505.5"/>
    <n v="42008.403361344543"/>
    <n v="25201.680672268907"/>
    <s v="Shenzhen"/>
    <x v="1"/>
    <n v="45"/>
    <n v="100"/>
    <n v="3"/>
    <n v="0.49983984419201938"/>
    <n v="1"/>
    <n v="0.32573815785093707"/>
    <n v="0"/>
    <n v="-6.6078947368421057E-2"/>
    <n v="3"/>
    <n v="0.56496542145731021"/>
    <n v="0"/>
    <s v=""/>
    <n v="0"/>
    <s v=""/>
    <n v="0"/>
    <s v=""/>
    <n v="0"/>
    <s v=""/>
    <n v="1"/>
    <n v="0.37380591708659228"/>
    <n v="4"/>
    <n v="0.3916104163955107"/>
    <n v="2"/>
    <n v="0.45516078273149074"/>
    <n v="6"/>
    <n v="0.49136893701222389"/>
    <n v="0"/>
    <n v="0.49983984054558794"/>
    <n v="2"/>
    <n v="0.32573816639331099"/>
    <n v="0"/>
    <s v=""/>
    <n v="0"/>
    <n v="0.5649654278301901"/>
    <n v="0"/>
    <n v="0"/>
    <s v=""/>
    <n v="0"/>
    <n v="0"/>
    <s v=""/>
    <n v="0"/>
    <n v="0"/>
    <s v=""/>
    <n v="0"/>
    <n v="0"/>
    <n v="8"/>
    <n v="0"/>
    <n v="0"/>
    <n v="0"/>
    <n v="0"/>
    <n v="60768"/>
    <n v="170568"/>
    <n v="0"/>
    <n v="0"/>
    <n v="13"/>
    <n v="263328"/>
    <n v="0"/>
    <n v="0"/>
    <n v="10"/>
    <n v="3"/>
    <n v="0"/>
    <n v="0"/>
    <n v="0"/>
    <n v="60768"/>
    <n v="213210"/>
    <n v="60768"/>
    <n v="0"/>
    <n v="13"/>
    <n v="263328"/>
    <n v="105903.53788574255"/>
    <n v="0"/>
    <n v="8"/>
    <n v="0"/>
    <n v="0"/>
    <n v="0"/>
    <n v="63963"/>
    <n v="162048"/>
    <n v="0"/>
    <n v="0"/>
    <n v="13"/>
    <n v="263328"/>
    <n v="0"/>
    <n v="0"/>
    <n v="8"/>
    <n v="0"/>
    <n v="0"/>
    <n v="0"/>
    <n v="170568"/>
    <n v="0"/>
    <x v="0"/>
    <x v="0"/>
    <n v="13"/>
    <n v="263328"/>
    <n v="0"/>
    <n v="3"/>
    <n v="13"/>
    <n v="3"/>
    <m/>
    <n v="0"/>
    <n v="0"/>
    <n v="263328"/>
    <n v="63963"/>
    <x v="0"/>
    <n v="0"/>
    <n v="13"/>
    <n v="263328"/>
    <n v="126025.21008403364"/>
    <n v="2"/>
    <n v="13"/>
    <n v="0"/>
    <m/>
    <n v="0"/>
    <n v="0"/>
    <n v="263328"/>
    <n v="0"/>
    <n v="0"/>
    <n v="0"/>
    <n v="13"/>
    <n v="263328"/>
    <n v="0"/>
    <n v="0"/>
    <n v="13"/>
    <n v="0"/>
    <n v="0"/>
    <n v="0"/>
    <n v="0"/>
    <n v="263328"/>
    <n v="0"/>
    <n v="0"/>
    <n v="0"/>
    <n v="13"/>
    <n v="263328"/>
    <n v="0"/>
    <n v="0"/>
    <n v="13"/>
    <n v="0"/>
    <n v="0"/>
    <n v="0"/>
    <n v="0"/>
    <n v="263328"/>
    <n v="0"/>
    <n v="0"/>
    <n v="0"/>
    <n v="13"/>
    <n v="263328"/>
    <n v="0"/>
    <n v="0"/>
    <n v="13"/>
    <n v="0"/>
    <n v="0"/>
    <n v="0"/>
    <m/>
    <n v="277173"/>
    <n v="0"/>
    <n v="0"/>
    <n v="0"/>
    <n v="13"/>
    <n v="277173"/>
    <n v="0"/>
    <n v="0"/>
    <n v="13"/>
    <n v="0"/>
    <n v="0"/>
    <n v="0"/>
    <n v="0"/>
    <m/>
    <n v="277173"/>
    <n v="0"/>
    <n v="0"/>
    <n v="0"/>
    <n v="13"/>
    <n v="277173"/>
    <n v="0"/>
    <n v="0"/>
    <n v="13"/>
    <n v="0"/>
    <n v="0"/>
    <n v="0"/>
    <n v="277173"/>
    <n v="0"/>
    <n v="0"/>
    <n v="0"/>
    <n v="13"/>
    <n v="277173"/>
    <n v="0"/>
    <n v="0"/>
    <n v="13"/>
    <n v="0"/>
    <n v="0"/>
    <n v="0"/>
    <n v="277173"/>
    <n v="0"/>
    <n v="0"/>
    <n v="13"/>
    <n v="277173"/>
    <n v="0"/>
    <n v="0"/>
    <n v="13"/>
    <n v="0"/>
    <n v="0"/>
    <m/>
    <n v="277173"/>
    <n v="0"/>
    <n v="0"/>
    <n v="13"/>
    <n v="277173"/>
    <n v="0"/>
  </r>
  <r>
    <s v="Lhotse-Smartwatch"/>
    <x v="1"/>
    <x v="14"/>
    <x v="33"/>
    <n v="1652824957424"/>
    <x v="209"/>
    <x v="205"/>
    <x v="0"/>
    <x v="6"/>
    <n v="1"/>
    <x v="12"/>
    <n v="6"/>
    <m/>
    <n v="0"/>
    <n v="20647"/>
    <n v="123882"/>
    <n v="20.6"/>
    <n v="22505.5"/>
    <n v="42008.403361344543"/>
    <n v="25201.680672268907"/>
    <s v="Shenzhen"/>
    <x v="1"/>
    <n v="45"/>
    <n v="100"/>
    <n v="0"/>
    <n v="0.53193307791707278"/>
    <n v="0"/>
    <s v=""/>
    <n v="2"/>
    <n v="1.4299198334200935"/>
    <n v="3"/>
    <n v="0.49850865900755381"/>
    <n v="0"/>
    <s v=""/>
    <n v="1"/>
    <s v=""/>
    <n v="1"/>
    <s v=""/>
    <n v="0"/>
    <n v="0.42183360869199965"/>
    <n v="1"/>
    <n v="0.52743356755395843"/>
    <n v="2"/>
    <n v="0.41318194091148086"/>
    <n v="2"/>
    <n v="0.44463990316723823"/>
    <n v="6"/>
    <n v="0.48535217580018497"/>
    <n v="0"/>
    <s v=""/>
    <n v="1"/>
    <s v=""/>
    <n v="0"/>
    <n v="0.60681933988931203"/>
    <n v="0"/>
    <n v="0.49850866700796409"/>
    <n v="0"/>
    <n v="0"/>
    <s v=""/>
    <n v="0"/>
    <n v="0"/>
    <s v=""/>
    <n v="0"/>
    <n v="0"/>
    <n v="0.42183359930449482"/>
    <n v="0"/>
    <n v="0"/>
    <n v="4"/>
    <n v="0"/>
    <n v="0"/>
    <n v="0"/>
    <n v="0"/>
    <n v="30970.5"/>
    <n v="85284"/>
    <n v="0"/>
    <n v="0"/>
    <n v="6"/>
    <n v="123882"/>
    <n v="0"/>
    <n v="0"/>
    <n v="5"/>
    <n v="1.5"/>
    <n v="0"/>
    <n v="0"/>
    <n v="0"/>
    <n v="30970.5"/>
    <n v="106605"/>
    <n v="30970.5"/>
    <n v="0"/>
    <n v="6"/>
    <n v="123882"/>
    <n v="52951.768942871277"/>
    <n v="0"/>
    <n v="4"/>
    <n v="0"/>
    <n v="0"/>
    <n v="0"/>
    <n v="21321"/>
    <n v="82588"/>
    <n v="0"/>
    <n v="0"/>
    <n v="6"/>
    <n v="123882"/>
    <n v="0"/>
    <n v="0"/>
    <n v="4"/>
    <n v="0"/>
    <n v="0"/>
    <n v="0"/>
    <n v="85284"/>
    <n v="0"/>
    <x v="0"/>
    <x v="0"/>
    <n v="6"/>
    <n v="123882"/>
    <n v="0"/>
    <n v="1"/>
    <n v="6"/>
    <n v="1"/>
    <m/>
    <n v="0"/>
    <n v="0"/>
    <n v="123882"/>
    <n v="21321"/>
    <x v="0"/>
    <n v="0"/>
    <n v="6"/>
    <n v="123882"/>
    <n v="42008.403361344543"/>
    <n v="0"/>
    <n v="6"/>
    <n v="0"/>
    <m/>
    <n v="0"/>
    <n v="0"/>
    <n v="123882"/>
    <n v="0"/>
    <n v="0"/>
    <n v="0"/>
    <n v="6"/>
    <n v="123882"/>
    <n v="0"/>
    <n v="0"/>
    <n v="6"/>
    <n v="0"/>
    <n v="0"/>
    <n v="0"/>
    <n v="0"/>
    <n v="123882"/>
    <n v="0"/>
    <n v="0"/>
    <n v="0"/>
    <n v="6"/>
    <n v="123882"/>
    <n v="0"/>
    <n v="0"/>
    <n v="6"/>
    <n v="0"/>
    <n v="0"/>
    <n v="0"/>
    <n v="0"/>
    <n v="123882"/>
    <n v="0"/>
    <n v="0"/>
    <n v="0"/>
    <n v="6"/>
    <n v="123882"/>
    <n v="0"/>
    <n v="0"/>
    <n v="6"/>
    <n v="0"/>
    <n v="0"/>
    <n v="0"/>
    <m/>
    <n v="127926"/>
    <n v="0"/>
    <n v="0"/>
    <n v="0"/>
    <n v="6"/>
    <n v="127926"/>
    <n v="0"/>
    <n v="0"/>
    <n v="6"/>
    <n v="0"/>
    <n v="0"/>
    <n v="0"/>
    <n v="0"/>
    <m/>
    <n v="127926"/>
    <n v="0"/>
    <n v="0"/>
    <n v="0"/>
    <n v="6"/>
    <n v="127926"/>
    <n v="0"/>
    <n v="0"/>
    <n v="6"/>
    <n v="0"/>
    <n v="0"/>
    <n v="0"/>
    <n v="127926"/>
    <n v="0"/>
    <n v="0"/>
    <n v="0"/>
    <n v="6"/>
    <n v="127926"/>
    <n v="0"/>
    <n v="0"/>
    <n v="6"/>
    <n v="0"/>
    <n v="0"/>
    <n v="0"/>
    <n v="127926"/>
    <n v="0"/>
    <n v="0"/>
    <n v="6"/>
    <n v="127926"/>
    <n v="0"/>
    <n v="0"/>
    <n v="6"/>
    <n v="0"/>
    <n v="0"/>
    <m/>
    <n v="127926"/>
    <n v="0"/>
    <n v="0"/>
    <n v="6"/>
    <n v="127926"/>
    <n v="0"/>
  </r>
  <r>
    <s v="Lhotse-Smartwatch"/>
    <x v="1"/>
    <x v="14"/>
    <x v="33"/>
    <s v="LHSWVIBBK"/>
    <x v="210"/>
    <x v="206"/>
    <x v="0"/>
    <x v="3"/>
    <n v="1"/>
    <x v="154"/>
    <n v="105"/>
    <m/>
    <n v="0"/>
    <n v="29150"/>
    <n v="3060750"/>
    <n v="29.65"/>
    <n v="32392.624999999996"/>
    <n v="67218.487394957992"/>
    <n v="67218.487394957992"/>
    <s v="Shenzhen"/>
    <x v="1"/>
    <n v="45"/>
    <n v="100"/>
    <n v="5"/>
    <n v="0.59628835672735991"/>
    <n v="19"/>
    <n v="0.5182875457206999"/>
    <n v="14"/>
    <n v="0.53712654500960699"/>
    <n v="35"/>
    <n v="0.62674349993248801"/>
    <n v="11"/>
    <n v="0.59762352413252651"/>
    <n v="19"/>
    <n v="0.51873676135743552"/>
    <n v="34"/>
    <n v="0.50670687530420977"/>
    <n v="22"/>
    <n v="0.47191949205508527"/>
    <n v="12"/>
    <n v="0.49702809574627066"/>
    <n v="41"/>
    <n v="0.38688852632672449"/>
    <n v="44"/>
    <n v="0.45139172959560125"/>
    <n v="128"/>
    <n v="0.48786551882173873"/>
    <n v="50"/>
    <s v=""/>
    <n v="42"/>
    <s v=""/>
    <n v="20"/>
    <s v=""/>
    <n v="1"/>
    <s v=""/>
    <n v="0.04"/>
    <n v="0"/>
    <s v=""/>
    <n v="0"/>
    <n v="0"/>
    <s v=""/>
    <n v="0"/>
    <n v="3"/>
    <s v=""/>
    <n v="0.06"/>
    <n v="25"/>
    <n v="100"/>
    <n v="35"/>
    <n v="0"/>
    <n v="100"/>
    <n v="0"/>
    <n v="3439700"/>
    <n v="3068774.9999999995"/>
    <n v="1020250"/>
    <n v="0"/>
    <n v="105"/>
    <n v="3060750"/>
    <n v="1977014.3351458234"/>
    <n v="25"/>
    <n v="71"/>
    <n v="63"/>
    <n v="0"/>
    <n v="0"/>
    <n v="0"/>
    <n v="2448600"/>
    <n v="2178830.2499999995"/>
    <n v="1836450"/>
    <n v="0"/>
    <n v="105"/>
    <n v="3060750"/>
    <n v="3558625.8032624824"/>
    <n v="50"/>
    <n v="32"/>
    <n v="20"/>
    <n v="0"/>
    <n v="0"/>
    <n v="1686221.2499999998"/>
    <n v="932800"/>
    <n v="583000"/>
    <n v="0"/>
    <n v="105"/>
    <n v="3060750"/>
    <n v="1344369.7478991598"/>
    <n v="25"/>
    <n v="1"/>
    <n v="1"/>
    <n v="0"/>
    <n v="0"/>
    <n v="30687.749999999996"/>
    <n v="29150"/>
    <x v="0"/>
    <x v="0"/>
    <n v="105"/>
    <n v="3060750"/>
    <n v="67218.487394957992"/>
    <n v="35"/>
    <n v="105"/>
    <n v="35"/>
    <m/>
    <n v="0"/>
    <n v="0"/>
    <n v="3060750"/>
    <n v="1074071.2499999998"/>
    <x v="0"/>
    <n v="0"/>
    <n v="105"/>
    <n v="3060750"/>
    <n v="2352647.0588235296"/>
    <n v="60"/>
    <n v="105"/>
    <n v="0"/>
    <m/>
    <n v="0"/>
    <n v="0"/>
    <n v="3060750"/>
    <n v="0"/>
    <n v="0"/>
    <n v="0"/>
    <n v="105"/>
    <n v="3060750"/>
    <n v="0"/>
    <n v="50"/>
    <n v="108"/>
    <n v="50"/>
    <n v="100"/>
    <n v="100"/>
    <n v="0"/>
    <n v="3148200"/>
    <n v="1534387.4999999998"/>
    <n v="2966482.4999999995"/>
    <n v="0"/>
    <n v="108"/>
    <n v="3060750"/>
    <n v="3360924.3697478995"/>
    <n v="44"/>
    <n v="58"/>
    <n v="44"/>
    <n v="100"/>
    <n v="100"/>
    <n v="0"/>
    <n v="1690700"/>
    <n v="1350260.9999999998"/>
    <n v="3068774.9999999995"/>
    <n v="0"/>
    <n v="158"/>
    <n v="4759475"/>
    <n v="2957613.4453781517"/>
    <n v="35"/>
    <n v="14"/>
    <n v="35"/>
    <n v="100"/>
    <n v="100"/>
    <n v="200"/>
    <n v="429628.49999999994"/>
    <n v="1074071.2499999998"/>
    <n v="3068774.9999999995"/>
    <n v="6137549.9999999991"/>
    <n v="214"/>
    <n v="6567178.4999999991"/>
    <n v="2352647.0588235296"/>
    <n v="60"/>
    <n v="179"/>
    <n v="60"/>
    <n v="0"/>
    <n v="0"/>
    <n v="0"/>
    <m/>
    <n v="5493107.2499999991"/>
    <n v="1841264.9999999998"/>
    <n v="0"/>
    <n v="0"/>
    <n v="179"/>
    <n v="5493107.2499999991"/>
    <n v="4033109.2436974794"/>
    <n v="50"/>
    <n v="119"/>
    <n v="50"/>
    <n v="150"/>
    <n v="150"/>
    <n v="3651842.2499999995"/>
    <n v="1534387.4999999998"/>
    <n v="4603162.4999999991"/>
    <n v="4603162.4999999991"/>
    <n v="269"/>
    <n v="8255004.7499999981"/>
    <n v="3528970.5882352944"/>
    <n v="140"/>
    <n v="219"/>
    <n v="140"/>
    <n v="0"/>
    <n v="0"/>
    <n v="6720617.2499999991"/>
    <n v="4296284.9999999991"/>
    <n v="0"/>
    <n v="219"/>
    <n v="6720617.2499999991"/>
    <n v="9410588.2352941185"/>
    <n v="30"/>
    <n v="79"/>
    <n v="30"/>
    <n v="0"/>
    <m/>
    <n v="2424332.2499999995"/>
    <n v="874500"/>
    <n v="0"/>
    <n v="79"/>
    <n v="2424332.2499999995"/>
    <n v="2016554.6218487397"/>
  </r>
  <r>
    <s v="Lhotse-Smartwatch"/>
    <x v="1"/>
    <x v="14"/>
    <x v="33"/>
    <s v="LHSWVIBCR"/>
    <x v="211"/>
    <x v="207"/>
    <x v="0"/>
    <x v="3"/>
    <n v="1"/>
    <x v="155"/>
    <n v="108"/>
    <m/>
    <n v="0"/>
    <n v="28872"/>
    <n v="3118176"/>
    <n v="29.65"/>
    <n v="32392.624999999996"/>
    <n v="67218.487394957992"/>
    <n v="67218.487394957992"/>
    <s v="Shenzhen"/>
    <x v="1"/>
    <n v="45"/>
    <n v="100"/>
    <n v="3"/>
    <n v="0.59406784153077619"/>
    <n v="12"/>
    <n v="0.56684669031477719"/>
    <n v="16"/>
    <n v="0.49409914533858151"/>
    <n v="14"/>
    <n v="0.58581796426583688"/>
    <n v="18"/>
    <n v="0.61154046250147831"/>
    <n v="34"/>
    <n v="0.46995701928840194"/>
    <n v="33"/>
    <n v="0.52388459788150754"/>
    <n v="25"/>
    <n v="0.56114327737351688"/>
    <n v="16"/>
    <n v="0.5640170350472532"/>
    <n v="28"/>
    <n v="0.46389108371308685"/>
    <n v="26"/>
    <n v="0.47267427995371231"/>
    <n v="69"/>
    <n v="0.45157415458543304"/>
    <n v="44"/>
    <s v=""/>
    <n v="27"/>
    <s v=""/>
    <n v="34"/>
    <s v=""/>
    <n v="1"/>
    <s v=""/>
    <n v="6.6666666666666666E-2"/>
    <n v="1"/>
    <s v=""/>
    <n v="2.8571428571428571E-2"/>
    <n v="0"/>
    <s v=""/>
    <n v="0"/>
    <n v="1"/>
    <s v=""/>
    <n v="2.8571428571428571E-2"/>
    <n v="15"/>
    <n v="98"/>
    <n v="18"/>
    <n v="0"/>
    <n v="199"/>
    <n v="0"/>
    <n v="2670660"/>
    <n v="3007399.4999999995"/>
    <n v="519696"/>
    <n v="0"/>
    <n v="108"/>
    <n v="3118176"/>
    <n v="1016750.2295035664"/>
    <n v="15"/>
    <n v="68"/>
    <n v="40.5"/>
    <n v="0"/>
    <n v="0"/>
    <n v="0"/>
    <n v="2179836"/>
    <n v="2086766.9999999998"/>
    <n v="1169316"/>
    <n v="0"/>
    <n v="108"/>
    <n v="3118176"/>
    <n v="2287688.0163830244"/>
    <n v="30"/>
    <n v="29"/>
    <n v="34"/>
    <n v="0"/>
    <n v="0"/>
    <n v="2084591.2499999998"/>
    <n v="837288"/>
    <n v="981648"/>
    <n v="0"/>
    <n v="108"/>
    <n v="3118176"/>
    <n v="2285428.5714285718"/>
    <n v="15"/>
    <n v="1"/>
    <n v="1"/>
    <n v="0"/>
    <n v="0"/>
    <n v="30687.749999999996"/>
    <n v="28872"/>
    <x v="0"/>
    <x v="0"/>
    <n v="108"/>
    <n v="3118176"/>
    <n v="67218.487394957992"/>
    <n v="35"/>
    <n v="109"/>
    <n v="35"/>
    <m/>
    <n v="0"/>
    <n v="0"/>
    <n v="3147048"/>
    <n v="1074071.2499999998"/>
    <x v="0"/>
    <n v="0"/>
    <n v="108"/>
    <n v="3118176"/>
    <n v="2352647.0588235296"/>
    <n v="50"/>
    <n v="108"/>
    <n v="0"/>
    <m/>
    <n v="0"/>
    <n v="0"/>
    <n v="3118176"/>
    <n v="0"/>
    <n v="0"/>
    <n v="0"/>
    <n v="108"/>
    <n v="3118176"/>
    <n v="0"/>
    <n v="35"/>
    <n v="109"/>
    <n v="35"/>
    <n v="100"/>
    <n v="100"/>
    <n v="0"/>
    <n v="3147048"/>
    <n v="1074071.2499999998"/>
    <n v="2966482.4999999995"/>
    <n v="0"/>
    <n v="109"/>
    <n v="3118176"/>
    <n v="2352647.0588235296"/>
    <n v="35"/>
    <n v="74"/>
    <n v="35"/>
    <n v="100"/>
    <n v="100"/>
    <n v="0"/>
    <n v="2136528"/>
    <n v="1074071.2499999998"/>
    <n v="3068774.9999999995"/>
    <n v="0"/>
    <n v="174"/>
    <n v="5205303"/>
    <n v="2352647.0588235296"/>
    <n v="26"/>
    <n v="39"/>
    <n v="26"/>
    <n v="0"/>
    <n v="0"/>
    <n v="100"/>
    <n v="1196822.2499999998"/>
    <n v="797881.49999999988"/>
    <n v="0"/>
    <n v="3068774.9999999995"/>
    <n v="139"/>
    <n v="4265597.2499999991"/>
    <n v="1747680.6722689078"/>
    <n v="50"/>
    <n v="113"/>
    <n v="50"/>
    <n v="0"/>
    <n v="0"/>
    <n v="0"/>
    <m/>
    <n v="3467715.7499999995"/>
    <n v="1534387.4999999998"/>
    <n v="0"/>
    <n v="0"/>
    <n v="113"/>
    <n v="3467715.7499999995"/>
    <n v="3360924.3697478995"/>
    <n v="40"/>
    <n v="63"/>
    <n v="40"/>
    <n v="100"/>
    <n v="100"/>
    <n v="1933328.2499999998"/>
    <n v="1227509.9999999998"/>
    <n v="3068774.9999999995"/>
    <n v="3068774.9999999995"/>
    <n v="163"/>
    <n v="5002103.2499999991"/>
    <n v="2823176.4705882357"/>
    <n v="100"/>
    <n v="123"/>
    <n v="100"/>
    <n v="0"/>
    <n v="0"/>
    <n v="3774593.2499999995"/>
    <n v="3068774.9999999995"/>
    <n v="0"/>
    <n v="123"/>
    <n v="3774593.2499999995"/>
    <n v="6721848.7394957989"/>
    <n v="24"/>
    <n v="23"/>
    <n v="24"/>
    <n v="0"/>
    <m/>
    <n v="705818.24999999988"/>
    <n v="692928"/>
    <n v="0"/>
    <n v="23"/>
    <n v="705818.24999999988"/>
    <n v="1613243.6974789919"/>
  </r>
  <r>
    <s v="Lhotse-Smartwatch"/>
    <x v="1"/>
    <x v="14"/>
    <x v="33"/>
    <s v="LHSWRHYX10"/>
    <x v="212"/>
    <x v="208"/>
    <x v="0"/>
    <x v="6"/>
    <n v="1"/>
    <x v="12"/>
    <n v="8"/>
    <m/>
    <n v="0"/>
    <n v="22305"/>
    <n v="178440"/>
    <n v="19.5"/>
    <n v="21303.75"/>
    <n v="37806.722689075636"/>
    <n v="27722.689075630253"/>
    <s v="Shenzhen"/>
    <x v="1"/>
    <n v="30"/>
    <n v="100"/>
    <n v="19"/>
    <n v="0.48452238158872135"/>
    <n v="16"/>
    <n v="0.45936064537641147"/>
    <n v="10"/>
    <n v="0.48020652263863256"/>
    <n v="2"/>
    <n v="0.51511968651179763"/>
    <n v="1"/>
    <n v="0.51512201440288063"/>
    <n v="3"/>
    <n v="0.47065186159823935"/>
    <n v="5"/>
    <n v="0.35935054629799185"/>
    <n v="2"/>
    <n v="0.43215548812472071"/>
    <n v="2"/>
    <n v="0.33371887448223325"/>
    <n v="105"/>
    <n v="0.21116488727760607"/>
    <n v="4"/>
    <n v="0.35832533820472806"/>
    <n v="9"/>
    <n v="0.3563848951909333"/>
    <n v="0"/>
    <s v=""/>
    <n v="7"/>
    <s v=""/>
    <n v="13"/>
    <s v=""/>
    <n v="8"/>
    <s v=""/>
    <n v="0"/>
    <n v="18"/>
    <s v=""/>
    <n v="18"/>
    <n v="17"/>
    <s v=""/>
    <n v="5.666666666666667"/>
    <n v="2"/>
    <s v=""/>
    <n v="0.4"/>
    <n v="0"/>
    <n v="2"/>
    <n v="0"/>
    <n v="0"/>
    <n v="0"/>
    <n v="0"/>
    <n v="524167.5"/>
    <n v="40365"/>
    <n v="0"/>
    <n v="0"/>
    <n v="8"/>
    <n v="178440"/>
    <n v="0"/>
    <n v="0"/>
    <n v="74"/>
    <n v="10.5"/>
    <n v="0"/>
    <n v="0"/>
    <n v="0"/>
    <n v="702607.5"/>
    <n v="1493505"/>
    <n v="234202.5"/>
    <n v="0"/>
    <n v="8"/>
    <n v="178440"/>
    <n v="333588.72960949095"/>
    <n v="0"/>
    <n v="65"/>
    <n v="13"/>
    <n v="0"/>
    <n v="0"/>
    <n v="488587.5"/>
    <n v="1449825"/>
    <n v="289965"/>
    <n v="0"/>
    <n v="8"/>
    <n v="178440"/>
    <n v="491487.39495798328"/>
    <n v="0"/>
    <n v="53"/>
    <n v="8"/>
    <n v="0"/>
    <n v="0"/>
    <n v="1069672.5"/>
    <n v="178440"/>
    <x v="0"/>
    <x v="0"/>
    <n v="8"/>
    <n v="178440"/>
    <n v="302453.78151260508"/>
    <n v="1"/>
    <n v="26"/>
    <n v="1"/>
    <m/>
    <n v="0"/>
    <n v="0"/>
    <n v="579930"/>
    <n v="20182.5"/>
    <x v="0"/>
    <n v="0"/>
    <n v="8"/>
    <n v="178440"/>
    <n v="37806.722689075636"/>
    <n v="3"/>
    <n v="25"/>
    <n v="17"/>
    <m/>
    <n v="0"/>
    <n v="0"/>
    <n v="557625"/>
    <n v="343102.5"/>
    <n v="0"/>
    <n v="0"/>
    <n v="25"/>
    <n v="178440"/>
    <n v="642714.2857142858"/>
    <n v="5"/>
    <n v="10"/>
    <n v="5"/>
    <n v="0"/>
    <n v="0"/>
    <n v="0"/>
    <n v="223050"/>
    <n v="100912.5"/>
    <n v="0"/>
    <n v="0"/>
    <n v="10"/>
    <n v="178440"/>
    <n v="189033.61344537817"/>
    <n v="2"/>
    <n v="5"/>
    <n v="2"/>
    <n v="0"/>
    <n v="0"/>
    <n v="0"/>
    <n v="111525"/>
    <n v="40365"/>
    <n v="0"/>
    <n v="0"/>
    <n v="5"/>
    <n v="111525"/>
    <n v="75613.445378151271"/>
    <n v="47"/>
    <n v="3"/>
    <n v="47"/>
    <n v="0"/>
    <n v="0"/>
    <m/>
    <n v="60547.5"/>
    <n v="948577.5"/>
    <n v="0"/>
    <n v="0"/>
    <n v="3"/>
    <n v="60547.5"/>
    <n v="1776915.966386554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Smartwatch"/>
    <x v="1"/>
    <x v="14"/>
    <x v="33"/>
    <s v="LHSWRHYX10"/>
    <x v="213"/>
    <x v="208"/>
    <x v="0"/>
    <x v="6"/>
    <n v="1"/>
    <x v="12"/>
    <n v="3"/>
    <m/>
    <n v="0"/>
    <n v="21769"/>
    <n v="65307"/>
    <n v="19.5"/>
    <n v="21303.75"/>
    <n v="37806.722689075636"/>
    <n v="27722.689075630253"/>
    <s v="Shenzhen"/>
    <x v="1"/>
    <n v="30"/>
    <n v="100"/>
    <n v="16"/>
    <n v="0.46452809898752712"/>
    <n v="20"/>
    <n v="0.48362718826901419"/>
    <n v="9"/>
    <n v="0.40227587564280815"/>
    <n v="2"/>
    <n v="0.55873962534115451"/>
    <n v="2"/>
    <n v="0.55873962534115451"/>
    <n v="2"/>
    <n v="0.4792913112477683"/>
    <n v="8"/>
    <n v="0.4031240629019307"/>
    <n v="2"/>
    <n v="0.46249081717540158"/>
    <n v="2"/>
    <n v="0.41190410843812142"/>
    <n v="42"/>
    <n v="0.24304769142533375"/>
    <n v="11"/>
    <n v="0.35733323492706759"/>
    <n v="41"/>
    <n v="0.37347972937799212"/>
    <n v="7"/>
    <s v=""/>
    <n v="21"/>
    <s v=""/>
    <n v="37"/>
    <s v=""/>
    <n v="24"/>
    <s v=""/>
    <n v="2.4"/>
    <n v="0"/>
    <s v=""/>
    <n v="0"/>
    <n v="1"/>
    <s v=""/>
    <n v="0.33333333333333331"/>
    <n v="0"/>
    <s v=""/>
    <n v="0"/>
    <n v="15"/>
    <n v="98"/>
    <n v="10"/>
    <n v="0"/>
    <n v="0"/>
    <n v="0"/>
    <n v="1708866.5"/>
    <n v="1977885"/>
    <n v="217690"/>
    <n v="0"/>
    <n v="3"/>
    <n v="65307"/>
    <n v="317703.55200903898"/>
    <n v="10"/>
    <n v="89"/>
    <n v="31.5"/>
    <n v="0"/>
    <n v="0"/>
    <n v="0"/>
    <n v="2013632.5"/>
    <n v="1796242.5"/>
    <n v="685723.5"/>
    <n v="0"/>
    <n v="3"/>
    <n v="65307"/>
    <n v="1000766.1888284727"/>
    <n v="15"/>
    <n v="70"/>
    <n v="37"/>
    <n v="0"/>
    <n v="0"/>
    <n v="1388456.5"/>
    <n v="1523830"/>
    <n v="805453"/>
    <n v="0"/>
    <n v="3"/>
    <n v="65307"/>
    <n v="1398848.7394957985"/>
    <n v="10"/>
    <n v="31"/>
    <n v="24"/>
    <n v="0"/>
    <n v="0"/>
    <n v="625657.5"/>
    <n v="522456"/>
    <x v="0"/>
    <x v="0"/>
    <n v="3"/>
    <n v="65307"/>
    <n v="907361.34453781531"/>
    <n v="3"/>
    <n v="3"/>
    <n v="3"/>
    <m/>
    <n v="0"/>
    <n v="0"/>
    <n v="65307"/>
    <n v="60547.5"/>
    <x v="0"/>
    <n v="0"/>
    <n v="3"/>
    <n v="65307"/>
    <n v="113420.16806722691"/>
    <n v="3"/>
    <n v="4"/>
    <n v="1"/>
    <m/>
    <n v="0"/>
    <n v="0"/>
    <n v="87076"/>
    <n v="20182.5"/>
    <n v="0"/>
    <n v="0"/>
    <n v="4"/>
    <n v="65307"/>
    <n v="37806.722689075636"/>
    <n v="12"/>
    <n v="3"/>
    <n v="12"/>
    <n v="0"/>
    <n v="0"/>
    <n v="0"/>
    <n v="65307"/>
    <n v="242190"/>
    <n v="0"/>
    <n v="0"/>
    <n v="3"/>
    <n v="65307"/>
    <n v="453680.67226890766"/>
    <n v="3"/>
    <n v="0"/>
    <n v="3"/>
    <n v="0"/>
    <n v="0"/>
    <n v="0"/>
    <n v="0"/>
    <n v="60547.5"/>
    <n v="0"/>
    <n v="0"/>
    <n v="0"/>
    <n v="0"/>
    <n v="113420.16806722691"/>
    <n v="14"/>
    <n v="0"/>
    <n v="14"/>
    <n v="0"/>
    <n v="0"/>
    <m/>
    <n v="0"/>
    <n v="282555"/>
    <n v="0"/>
    <n v="0"/>
    <n v="0"/>
    <n v="0"/>
    <n v="529294.1176470589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Smartwatch"/>
    <x v="1"/>
    <x v="14"/>
    <x v="33"/>
    <s v="LHSWMOVON7"/>
    <x v="214"/>
    <x v="209"/>
    <x v="0"/>
    <x v="6"/>
    <n v="1"/>
    <x v="12"/>
    <n v="23"/>
    <m/>
    <n v="0"/>
    <n v="22124"/>
    <n v="508852"/>
    <n v="21"/>
    <n v="22942.5"/>
    <n v="42008.403361344543"/>
    <n v="42008.403361344543"/>
    <s v="Shenzhen"/>
    <x v="0"/>
    <n v="30"/>
    <n v="100"/>
    <n v="18"/>
    <n v="0.55520297979106592"/>
    <n v="27"/>
    <n v="0.55158696910431371"/>
    <n v="12"/>
    <n v="0.54176952730097327"/>
    <n v="14"/>
    <n v="0.52713335943424111"/>
    <n v="7"/>
    <n v="0.51603390033998564"/>
    <n v="23"/>
    <n v="0.44678541878184824"/>
    <n v="9"/>
    <n v="0.45832362656537717"/>
    <n v="14"/>
    <n v="0.50003241690500155"/>
    <n v="11"/>
    <n v="0.47048229073397779"/>
    <n v="24"/>
    <n v="0.38529585391881427"/>
    <n v="14"/>
    <n v="0.43292889752691766"/>
    <n v="40"/>
    <n v="0.45377023569824276"/>
    <n v="21"/>
    <s v=""/>
    <n v="15"/>
    <s v=""/>
    <n v="7"/>
    <s v=""/>
    <n v="0"/>
    <s v=""/>
    <n v="0"/>
    <n v="0"/>
    <s v=""/>
    <n v="0"/>
    <n v="-3"/>
    <s v=""/>
    <n v="0"/>
    <n v="0"/>
    <s v=""/>
    <n v="0"/>
    <n v="19"/>
    <n v="71"/>
    <n v="21"/>
    <n v="0"/>
    <n v="0"/>
    <n v="0"/>
    <n v="1117262"/>
    <n v="1543185"/>
    <n v="464604"/>
    <n v="0"/>
    <n v="23"/>
    <n v="508852"/>
    <n v="741324.76520019781"/>
    <n v="20"/>
    <n v="36"/>
    <n v="22.5"/>
    <n v="0"/>
    <n v="0"/>
    <n v="0"/>
    <n v="652658"/>
    <n v="782460"/>
    <n v="497790"/>
    <n v="0"/>
    <n v="23"/>
    <n v="508852"/>
    <n v="794276.53414306906"/>
    <n v="20"/>
    <n v="18"/>
    <n v="7"/>
    <n v="0"/>
    <n v="0"/>
    <n v="154868"/>
    <n v="398232"/>
    <n v="154868"/>
    <n v="0"/>
    <n v="23"/>
    <n v="508852"/>
    <n v="294058.82352941181"/>
    <n v="12"/>
    <n v="9"/>
    <n v="0"/>
    <n v="0"/>
    <n v="0"/>
    <n v="195615"/>
    <n v="0"/>
    <x v="0"/>
    <x v="0"/>
    <n v="23"/>
    <n v="508852"/>
    <n v="0"/>
    <n v="0"/>
    <n v="23"/>
    <n v="0"/>
    <m/>
    <n v="0"/>
    <n v="0"/>
    <n v="508852"/>
    <n v="0"/>
    <x v="0"/>
    <n v="0"/>
    <n v="23"/>
    <n v="508852"/>
    <n v="0"/>
    <n v="0"/>
    <n v="20"/>
    <n v="-3"/>
    <m/>
    <n v="0"/>
    <n v="0"/>
    <n v="442480"/>
    <n v="-65205"/>
    <n v="0"/>
    <n v="0"/>
    <n v="20"/>
    <n v="508852"/>
    <n v="-126025.21008403364"/>
    <n v="0"/>
    <n v="23"/>
    <n v="0"/>
    <n v="0"/>
    <n v="0"/>
    <n v="0"/>
    <n v="508852"/>
    <n v="0"/>
    <n v="0"/>
    <n v="0"/>
    <n v="23"/>
    <n v="508852"/>
    <n v="0"/>
    <n v="0"/>
    <n v="23"/>
    <n v="0"/>
    <n v="0"/>
    <n v="0"/>
    <n v="0"/>
    <n v="508852"/>
    <n v="0"/>
    <n v="0"/>
    <n v="0"/>
    <n v="23"/>
    <n v="508852"/>
    <n v="0"/>
    <n v="0"/>
    <n v="23"/>
    <n v="0"/>
    <n v="0"/>
    <n v="0"/>
    <m/>
    <n v="499905"/>
    <n v="0"/>
    <n v="0"/>
    <n v="0"/>
    <n v="23"/>
    <n v="499905"/>
    <n v="0"/>
    <n v="0"/>
    <n v="23"/>
    <n v="0"/>
    <n v="0"/>
    <n v="0"/>
    <n v="0"/>
    <m/>
    <n v="499905"/>
    <n v="0"/>
    <n v="0"/>
    <n v="0"/>
    <n v="23"/>
    <n v="499905"/>
    <n v="0"/>
    <n v="0"/>
    <n v="23"/>
    <n v="0"/>
    <n v="0"/>
    <n v="0"/>
    <n v="499905"/>
    <n v="0"/>
    <n v="0"/>
    <n v="0"/>
    <n v="23"/>
    <n v="499905"/>
    <n v="0"/>
    <n v="0"/>
    <n v="23"/>
    <n v="0"/>
    <n v="0"/>
    <n v="0"/>
    <n v="499905"/>
    <n v="0"/>
    <n v="0"/>
    <n v="23"/>
    <n v="499905"/>
    <n v="0"/>
    <n v="0"/>
    <n v="23"/>
    <n v="0"/>
    <n v="0"/>
    <m/>
    <n v="499905"/>
    <n v="0"/>
    <n v="0"/>
    <n v="23"/>
    <n v="499905"/>
    <n v="0"/>
  </r>
  <r>
    <s v="Lhotse-Smartwatch"/>
    <x v="1"/>
    <x v="14"/>
    <x v="33"/>
    <n v="1639085745522"/>
    <x v="215"/>
    <x v="210"/>
    <x v="0"/>
    <x v="6"/>
    <n v="1"/>
    <x v="12"/>
    <n v="44"/>
    <m/>
    <n v="0"/>
    <n v="34686.875"/>
    <n v="1526222.5"/>
    <n v="31.75"/>
    <n v="34686.875"/>
    <n v="87445.903361344535"/>
    <n v="74329.017857142855"/>
    <s v="Shenzhen"/>
    <x v="1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1"/>
    <n v="1"/>
    <n v="0.57487041150957363"/>
    <n v="2"/>
    <n v="0.58858858532215752"/>
    <n v="0"/>
    <s v=""/>
    <n v="0"/>
    <s v=""/>
    <n v="0"/>
    <s v=""/>
    <n v="1"/>
    <s v=""/>
    <n v="0"/>
    <n v="0"/>
    <s v=""/>
    <n v="0"/>
    <n v="0"/>
    <s v=""/>
    <n v="0"/>
    <n v="0"/>
    <s v=""/>
    <n v="0"/>
    <n v="0"/>
    <n v="31"/>
    <n v="0"/>
    <n v="0"/>
    <n v="0"/>
    <n v="0"/>
    <n v="0"/>
    <n v="1018698.75"/>
    <n v="0"/>
    <n v="0"/>
    <n v="44"/>
    <n v="1526222.5"/>
    <n v="0"/>
    <n v="0"/>
    <n v="44"/>
    <n v="0"/>
    <n v="0"/>
    <n v="0"/>
    <n v="0"/>
    <n v="34686.875"/>
    <n v="1445895"/>
    <n v="0"/>
    <n v="0"/>
    <n v="44"/>
    <n v="1526222.5"/>
    <n v="0"/>
    <n v="0"/>
    <n v="44"/>
    <n v="0"/>
    <n v="0"/>
    <n v="0"/>
    <n v="67548.125"/>
    <n v="1526222.5"/>
    <n v="0"/>
    <n v="0"/>
    <n v="44"/>
    <n v="1526222.5"/>
    <n v="0"/>
    <n v="0"/>
    <n v="44"/>
    <n v="1"/>
    <n v="0"/>
    <n v="0"/>
    <n v="1445895"/>
    <n v="34686.875"/>
    <x v="0"/>
    <x v="0"/>
    <n v="44"/>
    <n v="1526222.5"/>
    <n v="87445.903361344535"/>
    <n v="1"/>
    <n v="44"/>
    <n v="1"/>
    <m/>
    <n v="0"/>
    <n v="0"/>
    <n v="1526222.5"/>
    <n v="32861.25"/>
    <x v="0"/>
    <n v="0"/>
    <n v="44"/>
    <n v="1526222.5"/>
    <n v="87445.903361344535"/>
    <n v="1"/>
    <n v="44"/>
    <n v="0"/>
    <m/>
    <n v="0"/>
    <n v="0"/>
    <n v="1526222.5"/>
    <n v="0"/>
    <n v="0"/>
    <n v="0"/>
    <n v="44"/>
    <n v="1526222.5"/>
    <n v="0"/>
    <n v="1"/>
    <n v="44"/>
    <n v="1"/>
    <n v="0"/>
    <n v="0"/>
    <n v="0"/>
    <n v="1526222.5"/>
    <n v="32861.25"/>
    <n v="0"/>
    <n v="0"/>
    <n v="44"/>
    <n v="1526222.5"/>
    <n v="87445.903361344535"/>
    <n v="1"/>
    <n v="43"/>
    <n v="1"/>
    <n v="0"/>
    <n v="0"/>
    <n v="0"/>
    <n v="1491535.625"/>
    <n v="32861.25"/>
    <n v="0"/>
    <n v="0"/>
    <n v="43"/>
    <n v="1491535.625"/>
    <n v="87445.903361344535"/>
    <n v="1"/>
    <n v="42"/>
    <n v="1"/>
    <n v="0"/>
    <n v="0"/>
    <m/>
    <n v="1380172.5"/>
    <n v="32861.25"/>
    <n v="0"/>
    <n v="0"/>
    <n v="42"/>
    <n v="1380172.5"/>
    <n v="87445.903361344535"/>
    <n v="0"/>
    <n v="41"/>
    <n v="0"/>
    <n v="0"/>
    <n v="0"/>
    <n v="0"/>
    <m/>
    <n v="1347311.25"/>
    <n v="0"/>
    <n v="0"/>
    <n v="0"/>
    <n v="41"/>
    <n v="1347311.25"/>
    <n v="0"/>
    <n v="0"/>
    <n v="41"/>
    <n v="0"/>
    <n v="0"/>
    <n v="0"/>
    <n v="1347311.25"/>
    <n v="0"/>
    <n v="0"/>
    <n v="0"/>
    <n v="41"/>
    <n v="1347311.25"/>
    <n v="0"/>
    <n v="0"/>
    <n v="41"/>
    <n v="0"/>
    <n v="0"/>
    <n v="0"/>
    <n v="1347311.25"/>
    <n v="0"/>
    <n v="0"/>
    <n v="41"/>
    <n v="1347311.25"/>
    <n v="0"/>
    <n v="0"/>
    <n v="41"/>
    <n v="0"/>
    <n v="0"/>
    <m/>
    <n v="1347311.25"/>
    <n v="0"/>
    <n v="0"/>
    <n v="41"/>
    <n v="1347311.25"/>
    <n v="0"/>
  </r>
  <r>
    <s v="Lhotse-Smartwatch"/>
    <x v="1"/>
    <x v="14"/>
    <x v="33"/>
    <n v="1639085755244"/>
    <x v="216"/>
    <x v="211"/>
    <x v="0"/>
    <x v="6"/>
    <n v="1"/>
    <x v="12"/>
    <n v="23"/>
    <m/>
    <n v="0"/>
    <n v="34686.875"/>
    <n v="797798.125"/>
    <n v="31.75"/>
    <n v="34686.875"/>
    <n v="87445.903361344535"/>
    <n v="74329.017857142855"/>
    <s v="Shenzhen"/>
    <x v="1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7487041150957363"/>
    <n v="2"/>
    <n v="0.60267027000223139"/>
    <n v="1"/>
    <s v=""/>
    <n v="0"/>
    <s v=""/>
    <n v="0"/>
    <s v=""/>
    <n v="0"/>
    <s v=""/>
    <n v="0"/>
    <n v="0"/>
    <s v=""/>
    <n v="0"/>
    <n v="0"/>
    <s v=""/>
    <n v="0"/>
    <n v="0"/>
    <s v=""/>
    <n v="0"/>
    <n v="0"/>
    <n v="23"/>
    <n v="0"/>
    <n v="0"/>
    <n v="0"/>
    <n v="0"/>
    <n v="0"/>
    <n v="755808.75"/>
    <n v="0"/>
    <n v="0"/>
    <n v="23"/>
    <n v="797798.125"/>
    <n v="0"/>
    <n v="0"/>
    <n v="20"/>
    <n v="0"/>
    <n v="0"/>
    <n v="0"/>
    <n v="0"/>
    <n v="0"/>
    <n v="657225"/>
    <n v="0"/>
    <n v="0"/>
    <n v="23"/>
    <n v="797798.125"/>
    <n v="0"/>
    <n v="0"/>
    <n v="20"/>
    <n v="0"/>
    <n v="0"/>
    <n v="0"/>
    <n v="65722.5"/>
    <n v="693737.5"/>
    <n v="0"/>
    <n v="0"/>
    <n v="23"/>
    <n v="797798.125"/>
    <n v="0"/>
    <n v="0"/>
    <n v="20"/>
    <n v="0"/>
    <n v="0"/>
    <n v="0"/>
    <n v="657225"/>
    <n v="0"/>
    <x v="0"/>
    <x v="0"/>
    <n v="23"/>
    <n v="797798.125"/>
    <n v="0"/>
    <n v="2"/>
    <n v="23"/>
    <n v="2"/>
    <m/>
    <n v="0"/>
    <n v="0"/>
    <n v="797798.125"/>
    <n v="65722.5"/>
    <x v="0"/>
    <n v="0"/>
    <n v="23"/>
    <n v="797798.125"/>
    <n v="174891.80672268907"/>
    <n v="2"/>
    <n v="23"/>
    <n v="0"/>
    <m/>
    <n v="0"/>
    <n v="0"/>
    <n v="797798.125"/>
    <n v="0"/>
    <n v="0"/>
    <n v="0"/>
    <n v="23"/>
    <n v="797798.125"/>
    <n v="0"/>
    <n v="2"/>
    <n v="23"/>
    <n v="2"/>
    <n v="0"/>
    <n v="0"/>
    <n v="0"/>
    <n v="797798.125"/>
    <n v="65722.5"/>
    <n v="0"/>
    <n v="0"/>
    <n v="23"/>
    <n v="797798.125"/>
    <n v="174891.80672268907"/>
    <n v="2"/>
    <n v="21"/>
    <n v="2"/>
    <n v="0"/>
    <n v="0"/>
    <n v="0"/>
    <n v="728424.375"/>
    <n v="65722.5"/>
    <n v="0"/>
    <n v="0"/>
    <n v="21"/>
    <n v="728424.375"/>
    <n v="174891.80672268907"/>
    <n v="2"/>
    <n v="19"/>
    <n v="2"/>
    <n v="0"/>
    <n v="0"/>
    <m/>
    <n v="624363.75"/>
    <n v="65722.5"/>
    <n v="0"/>
    <n v="0"/>
    <n v="19"/>
    <n v="624363.75"/>
    <n v="174891.80672268907"/>
    <n v="0"/>
    <n v="17"/>
    <n v="0"/>
    <n v="0"/>
    <n v="0"/>
    <n v="0"/>
    <m/>
    <n v="558641.25"/>
    <n v="0"/>
    <n v="0"/>
    <n v="0"/>
    <n v="17"/>
    <n v="558641.25"/>
    <n v="0"/>
    <n v="0"/>
    <n v="17"/>
    <n v="0"/>
    <n v="0"/>
    <n v="0"/>
    <n v="558641.25"/>
    <n v="0"/>
    <n v="0"/>
    <n v="0"/>
    <n v="17"/>
    <n v="558641.25"/>
    <n v="0"/>
    <n v="0"/>
    <n v="17"/>
    <n v="0"/>
    <n v="0"/>
    <n v="0"/>
    <n v="558641.25"/>
    <n v="0"/>
    <n v="0"/>
    <n v="17"/>
    <n v="558641.25"/>
    <n v="0"/>
    <n v="0"/>
    <n v="17"/>
    <n v="0"/>
    <n v="0"/>
    <m/>
    <n v="558641.25"/>
    <n v="0"/>
    <n v="0"/>
    <n v="17"/>
    <n v="558641.25"/>
    <n v="0"/>
  </r>
  <r>
    <s v="Lhotse-Smartwatch"/>
    <x v="1"/>
    <x v="14"/>
    <x v="33"/>
    <n v="1639085763857"/>
    <x v="217"/>
    <x v="212"/>
    <x v="0"/>
    <x v="6"/>
    <n v="1"/>
    <x v="12"/>
    <n v="2"/>
    <m/>
    <n v="0"/>
    <n v="34686.875"/>
    <n v="69373.75"/>
    <n v="31.75"/>
    <n v="34686.875"/>
    <n v="87445.903361344535"/>
    <n v="74329.017857142855"/>
    <s v="Shenzhen"/>
    <x v="1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15"/>
    <n v="0"/>
    <n v="0"/>
    <n v="0"/>
    <n v="0"/>
    <n v="0"/>
    <n v="492918.75"/>
    <n v="0"/>
    <n v="0"/>
    <n v="2"/>
    <n v="69373.75"/>
    <n v="0"/>
    <n v="0"/>
    <n v="2"/>
    <n v="0"/>
    <n v="0"/>
    <n v="0"/>
    <n v="0"/>
    <n v="0"/>
    <n v="65722.5"/>
    <n v="0"/>
    <n v="0"/>
    <n v="2"/>
    <n v="69373.75"/>
    <n v="0"/>
    <n v="0"/>
    <n v="2"/>
    <n v="0"/>
    <n v="0"/>
    <n v="0"/>
    <n v="32861.25"/>
    <n v="69373.75"/>
    <n v="0"/>
    <n v="0"/>
    <n v="2"/>
    <n v="69373.75"/>
    <n v="0"/>
    <n v="0"/>
    <n v="2"/>
    <n v="0"/>
    <n v="0"/>
    <n v="0"/>
    <n v="65722.5"/>
    <n v="0"/>
    <x v="0"/>
    <x v="0"/>
    <n v="2"/>
    <n v="69373.75"/>
    <n v="0"/>
    <n v="1"/>
    <n v="2"/>
    <n v="1"/>
    <m/>
    <n v="0"/>
    <n v="0"/>
    <n v="69373.75"/>
    <n v="32861.25"/>
    <x v="0"/>
    <n v="0"/>
    <n v="2"/>
    <n v="69373.75"/>
    <n v="87445.903361344535"/>
    <n v="0"/>
    <n v="2"/>
    <n v="0"/>
    <m/>
    <n v="0"/>
    <n v="0"/>
    <n v="69373.75"/>
    <n v="0"/>
    <n v="0"/>
    <n v="0"/>
    <n v="2"/>
    <n v="69373.75"/>
    <n v="0"/>
    <n v="0"/>
    <n v="2"/>
    <n v="0"/>
    <n v="0"/>
    <n v="0"/>
    <n v="0"/>
    <n v="69373.75"/>
    <n v="0"/>
    <n v="0"/>
    <n v="0"/>
    <n v="2"/>
    <n v="69373.75"/>
    <n v="0"/>
    <n v="0"/>
    <n v="2"/>
    <n v="0"/>
    <n v="0"/>
    <n v="0"/>
    <n v="0"/>
    <n v="69373.75"/>
    <n v="0"/>
    <n v="0"/>
    <n v="0"/>
    <n v="2"/>
    <n v="69373.75"/>
    <n v="0"/>
    <n v="0"/>
    <n v="2"/>
    <n v="0"/>
    <n v="0"/>
    <n v="0"/>
    <m/>
    <n v="65722.5"/>
    <n v="0"/>
    <n v="0"/>
    <n v="0"/>
    <n v="2"/>
    <n v="65722.5"/>
    <n v="0"/>
    <n v="0"/>
    <n v="2"/>
    <n v="0"/>
    <n v="0"/>
    <n v="0"/>
    <n v="0"/>
    <m/>
    <n v="65722.5"/>
    <n v="0"/>
    <n v="0"/>
    <n v="0"/>
    <n v="2"/>
    <n v="65722.5"/>
    <n v="0"/>
    <n v="0"/>
    <n v="2"/>
    <n v="0"/>
    <n v="0"/>
    <n v="0"/>
    <n v="65722.5"/>
    <n v="0"/>
    <n v="0"/>
    <n v="0"/>
    <n v="2"/>
    <n v="65722.5"/>
    <n v="0"/>
    <n v="0"/>
    <n v="2"/>
    <n v="0"/>
    <n v="0"/>
    <n v="0"/>
    <n v="65722.5"/>
    <n v="0"/>
    <n v="0"/>
    <n v="2"/>
    <n v="65722.5"/>
    <n v="0"/>
    <n v="0"/>
    <n v="2"/>
    <n v="0"/>
    <n v="0"/>
    <m/>
    <n v="65722.5"/>
    <n v="0"/>
    <n v="0"/>
    <n v="2"/>
    <n v="65722.5"/>
    <n v="0"/>
  </r>
  <r>
    <m/>
    <x v="1"/>
    <x v="14"/>
    <x v="33"/>
    <s v="LHSWAPEX"/>
    <x v="218"/>
    <x v="213"/>
    <x v="0"/>
    <x v="2"/>
    <n v="1"/>
    <x v="12"/>
    <n v="0"/>
    <m/>
    <n v="0"/>
    <n v="23511.75"/>
    <n v="0"/>
    <n v="23.5"/>
    <n v="23511.75"/>
    <n v="59273.319327731093"/>
    <n v="50382.321428571428"/>
    <s v="Shenzhen"/>
    <x v="1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49.9999999995"/>
    <n v="0"/>
    <n v="100"/>
    <n v="2432249.9999999995"/>
    <n v="0"/>
    <n v="25"/>
    <n v="0"/>
    <n v="25"/>
    <n v="0"/>
    <n v="0"/>
    <n v="100"/>
    <n v="0"/>
    <n v="608062.49999999988"/>
    <n v="0"/>
    <n v="2432249.9999999995"/>
    <n v="100"/>
    <n v="2432249.9999999995"/>
    <n v="1481832.9831932774"/>
    <n v="50"/>
    <n v="75"/>
    <n v="50"/>
    <n v="0"/>
    <n v="0"/>
    <n v="0"/>
    <m/>
    <n v="1824187.4999999998"/>
    <n v="1216124.9999999998"/>
    <n v="0"/>
    <n v="0"/>
    <n v="75"/>
    <n v="1824187.4999999998"/>
    <n v="2519116.0714285714"/>
    <n v="35"/>
    <n v="25"/>
    <n v="35"/>
    <n v="0"/>
    <n v="0"/>
    <n v="608062.49999999988"/>
    <n v="851287.49999999988"/>
    <n v="0"/>
    <n v="0"/>
    <n v="25"/>
    <n v="608062.49999999988"/>
    <n v="1851550.3125"/>
    <n v="120"/>
    <n v="0"/>
    <n v="120"/>
    <n v="0"/>
    <n v="0"/>
    <n v="0"/>
    <n v="2918699.9999999995"/>
    <n v="0"/>
    <n v="0"/>
    <n v="0"/>
    <n v="7112798.3193277307"/>
    <n v="21"/>
    <n v="0"/>
    <n v="21"/>
    <n v="0"/>
    <m/>
    <n v="0"/>
    <n v="493746.75"/>
    <n v="0"/>
    <n v="0"/>
    <n v="0"/>
    <n v="1244739.705882353"/>
  </r>
  <r>
    <m/>
    <x v="1"/>
    <x v="14"/>
    <x v="33"/>
    <s v="LHSWAPEX"/>
    <x v="219"/>
    <x v="214"/>
    <x v="0"/>
    <x v="2"/>
    <n v="1"/>
    <x v="12"/>
    <n v="0"/>
    <m/>
    <n v="0"/>
    <n v="23511.75"/>
    <n v="0"/>
    <n v="23.5"/>
    <n v="23511.75"/>
    <n v="59273.319327731093"/>
    <n v="50382.321428571428"/>
    <s v="Shenzhen"/>
    <x v="1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49.9999999995"/>
    <n v="0"/>
    <n v="100"/>
    <n v="2432249.9999999995"/>
    <n v="0"/>
    <n v="20"/>
    <n v="0"/>
    <n v="20"/>
    <n v="0"/>
    <n v="0"/>
    <n v="100"/>
    <n v="0"/>
    <n v="486449.99999999994"/>
    <n v="0"/>
    <n v="2432249.9999999995"/>
    <n v="100"/>
    <n v="2432249.9999999995"/>
    <n v="1185466.3865546219"/>
    <n v="40"/>
    <n v="80"/>
    <n v="40"/>
    <n v="0"/>
    <n v="0"/>
    <n v="0"/>
    <m/>
    <n v="1945799.9999999998"/>
    <n v="972899.99999999988"/>
    <n v="0"/>
    <n v="0"/>
    <n v="80"/>
    <n v="1945799.9999999998"/>
    <n v="2015292.857142857"/>
    <n v="30"/>
    <n v="40"/>
    <n v="30"/>
    <n v="0"/>
    <n v="0"/>
    <n v="972899.99999999988"/>
    <n v="729674.99999999988"/>
    <n v="0"/>
    <n v="0"/>
    <n v="40"/>
    <n v="972899.99999999988"/>
    <n v="1587043.125"/>
    <n v="100"/>
    <n v="10"/>
    <n v="100"/>
    <n v="0"/>
    <n v="0"/>
    <n v="243224.99999999997"/>
    <n v="2432249.9999999995"/>
    <n v="0"/>
    <n v="10"/>
    <n v="243224.99999999997"/>
    <n v="5927331.9327731095"/>
    <n v="18"/>
    <n v="0"/>
    <n v="18"/>
    <n v="0"/>
    <m/>
    <n v="0"/>
    <n v="423211.5"/>
    <n v="0"/>
    <n v="0"/>
    <n v="0"/>
    <n v="1066919.7478991598"/>
  </r>
  <r>
    <m/>
    <x v="1"/>
    <x v="14"/>
    <x v="33"/>
    <s v="LHSWAPEX"/>
    <x v="220"/>
    <x v="215"/>
    <x v="0"/>
    <x v="2"/>
    <n v="1"/>
    <x v="12"/>
    <n v="0"/>
    <m/>
    <n v="0"/>
    <n v="23511.75"/>
    <n v="0"/>
    <n v="23.5"/>
    <n v="23511.75"/>
    <n v="59273.319327731093"/>
    <n v="50382.321428571428"/>
    <s v="Shenzhen"/>
    <x v="1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49.9999999995"/>
    <n v="0"/>
    <n v="100"/>
    <n v="2432249.9999999995"/>
    <n v="0"/>
    <n v="15"/>
    <n v="0"/>
    <n v="15"/>
    <n v="0"/>
    <n v="0"/>
    <n v="100"/>
    <n v="0"/>
    <n v="364837.49999999994"/>
    <n v="0"/>
    <n v="2432249.9999999995"/>
    <n v="100"/>
    <n v="2432249.9999999995"/>
    <n v="889099.78991596634"/>
    <n v="20"/>
    <n v="85"/>
    <n v="20"/>
    <n v="0"/>
    <n v="0"/>
    <n v="0"/>
    <m/>
    <n v="2067412.4999999998"/>
    <n v="486449.99999999994"/>
    <n v="0"/>
    <n v="0"/>
    <n v="85"/>
    <n v="2067412.4999999998"/>
    <n v="1007646.4285714285"/>
    <n v="15"/>
    <n v="65"/>
    <n v="15"/>
    <n v="0"/>
    <n v="0"/>
    <n v="1580962.4999999998"/>
    <n v="364837.49999999994"/>
    <n v="0"/>
    <n v="0"/>
    <n v="65"/>
    <n v="1580962.4999999998"/>
    <n v="793521.5625"/>
    <n v="50"/>
    <n v="50"/>
    <n v="50"/>
    <n v="0"/>
    <n v="0"/>
    <n v="1216124.9999999998"/>
    <n v="1216124.9999999998"/>
    <n v="0"/>
    <n v="50"/>
    <n v="1216124.9999999998"/>
    <n v="2963665.9663865548"/>
    <n v="9"/>
    <n v="0"/>
    <n v="9"/>
    <n v="0"/>
    <m/>
    <n v="0"/>
    <n v="211605.75"/>
    <n v="0"/>
    <n v="0"/>
    <n v="0"/>
    <n v="533459.87394957989"/>
  </r>
  <r>
    <s v="Lhotse-Accesorio Vestuario"/>
    <x v="1"/>
    <x v="15"/>
    <x v="34"/>
    <s v="LHJOKTRE"/>
    <x v="221"/>
    <x v="216"/>
    <x v="0"/>
    <x v="6"/>
    <n v="1.2"/>
    <x v="12"/>
    <n v="3"/>
    <m/>
    <n v="0"/>
    <n v="3101"/>
    <n v="9303"/>
    <n v="2.5"/>
    <n v="2731.25"/>
    <n v="6714.2857142857147"/>
    <n v="6714.2857142857147"/>
    <s v="Shenzhen"/>
    <x v="0"/>
    <n v="30"/>
    <n v="200"/>
    <n v="4"/>
    <n v="0.65404479651892566"/>
    <n v="9"/>
    <n v="0.67090859208460774"/>
    <n v="5"/>
    <n v="0.66424363833243105"/>
    <n v="3"/>
    <n v="0.61284679735297798"/>
    <n v="3"/>
    <n v="0.71594814950531327"/>
    <n v="3"/>
    <n v="0.70847947351927298"/>
    <n v="20"/>
    <n v="0.36572837990936563"/>
    <n v="3"/>
    <n v="0.71594814950531327"/>
    <n v="2"/>
    <n v="0.73627774337173424"/>
    <n v="17"/>
    <n v="0.6533192181033225"/>
    <n v="9"/>
    <n v="0.53050301133878408"/>
    <n v="25"/>
    <n v="0.52554617080193311"/>
    <n v="20"/>
    <s v=""/>
    <n v="16"/>
    <s v=""/>
    <n v="9"/>
    <s v=""/>
    <n v="6"/>
    <s v=""/>
    <n v="1.2"/>
    <n v="0"/>
    <s v=""/>
    <n v="0"/>
    <n v="0"/>
    <s v=""/>
    <n v="0"/>
    <n v="1"/>
    <s v=""/>
    <n v="0"/>
    <n v="10"/>
    <n v="58"/>
    <n v="10"/>
    <n v="0"/>
    <n v="0"/>
    <n v="0"/>
    <n v="133343"/>
    <n v="150075"/>
    <n v="31010"/>
    <n v="0"/>
    <n v="3"/>
    <n v="9303"/>
    <n v="56422.569027611054"/>
    <n v="10"/>
    <n v="40"/>
    <n v="24"/>
    <n v="0"/>
    <n v="0"/>
    <n v="0"/>
    <n v="120939"/>
    <n v="103500"/>
    <n v="74424"/>
    <n v="0"/>
    <n v="3"/>
    <n v="9303"/>
    <n v="135414.16566626652"/>
    <n v="5"/>
    <n v="22"/>
    <n v="9"/>
    <n v="0"/>
    <n v="0"/>
    <n v="62040"/>
    <n v="68222"/>
    <n v="27909"/>
    <n v="0"/>
    <n v="3"/>
    <n v="9303"/>
    <n v="60428.571428571435"/>
    <n v="5"/>
    <n v="11"/>
    <n v="6"/>
    <n v="0"/>
    <n v="0"/>
    <n v="28462.5"/>
    <n v="18606"/>
    <x v="0"/>
    <x v="0"/>
    <n v="3"/>
    <n v="9303"/>
    <n v="40285.71428571429"/>
    <n v="5"/>
    <n v="3"/>
    <n v="6"/>
    <m/>
    <n v="0"/>
    <n v="0"/>
    <n v="9303"/>
    <n v="15525"/>
    <x v="0"/>
    <n v="0"/>
    <n v="3"/>
    <n v="9303"/>
    <n v="40285.71428571429"/>
    <n v="8"/>
    <n v="3"/>
    <n v="0"/>
    <m/>
    <n v="0"/>
    <n v="0"/>
    <n v="9303"/>
    <n v="0"/>
    <n v="0"/>
    <n v="0"/>
    <n v="3"/>
    <n v="9303"/>
    <n v="0"/>
    <n v="0"/>
    <n v="4"/>
    <n v="0"/>
    <n v="0"/>
    <n v="0"/>
    <n v="0"/>
    <n v="12404"/>
    <n v="0"/>
    <n v="0"/>
    <n v="0"/>
    <n v="4"/>
    <n v="9303"/>
    <n v="0"/>
    <n v="0"/>
    <n v="4"/>
    <n v="0"/>
    <n v="0"/>
    <n v="0"/>
    <n v="0"/>
    <n v="12404"/>
    <n v="0"/>
    <n v="0"/>
    <n v="0"/>
    <n v="4"/>
    <n v="12404"/>
    <n v="0"/>
    <n v="0"/>
    <n v="4"/>
    <n v="0"/>
    <n v="0"/>
    <n v="0"/>
    <m/>
    <n v="10350"/>
    <n v="0"/>
    <n v="0"/>
    <n v="0"/>
    <n v="4"/>
    <n v="10350"/>
    <n v="0"/>
    <n v="0"/>
    <n v="4"/>
    <n v="0"/>
    <n v="0"/>
    <n v="0"/>
    <n v="0"/>
    <m/>
    <n v="10350"/>
    <n v="0"/>
    <n v="0"/>
    <n v="0"/>
    <n v="4"/>
    <n v="10350"/>
    <n v="0"/>
    <n v="0"/>
    <n v="4"/>
    <n v="0"/>
    <n v="0"/>
    <n v="0"/>
    <n v="10350"/>
    <n v="0"/>
    <n v="0"/>
    <n v="0"/>
    <n v="4"/>
    <n v="10350"/>
    <n v="0"/>
    <n v="0"/>
    <n v="4"/>
    <n v="0"/>
    <n v="0"/>
    <n v="0"/>
    <n v="10350"/>
    <n v="0"/>
    <n v="0"/>
    <n v="4"/>
    <n v="10350"/>
    <n v="0"/>
    <n v="0"/>
    <n v="4"/>
    <n v="0"/>
    <n v="0"/>
    <m/>
    <n v="10350"/>
    <n v="0"/>
    <n v="0"/>
    <n v="4"/>
    <n v="10350"/>
    <n v="0"/>
  </r>
  <r>
    <s v="Lhotse-Accesorio Vestuario"/>
    <x v="1"/>
    <x v="15"/>
    <x v="34"/>
    <s v="LHJOKTRE"/>
    <x v="222"/>
    <x v="216"/>
    <x v="0"/>
    <x v="6"/>
    <n v="1.2"/>
    <x v="12"/>
    <n v="5"/>
    <m/>
    <n v="0"/>
    <n v="3101"/>
    <n v="15505"/>
    <n v="2.5"/>
    <n v="2731.25"/>
    <n v="6714.2857142857147"/>
    <n v="6714.2857142857147"/>
    <s v="Shenzhen"/>
    <x v="0"/>
    <n v="30"/>
    <n v="200"/>
    <n v="6"/>
    <n v="0.6879192807058746"/>
    <n v="10"/>
    <n v="0.64723448224170987"/>
    <n v="4"/>
    <n v="0.63966257936067128"/>
    <n v="3"/>
    <n v="0.6381597168196671"/>
    <n v="3"/>
    <n v="0.69898747694398611"/>
    <n v="2"/>
    <n v="0.73626493727408038"/>
    <n v="5"/>
    <n v="0.60117176446376663"/>
    <n v="2"/>
    <n v="0.67886330099368797"/>
    <n v="1"/>
    <n v="0.75389078498293516"/>
    <n v="10"/>
    <n v="0.66304418360234307"/>
    <n v="8"/>
    <n v="0.63613536349234301"/>
    <n v="48"/>
    <n v="0.50529264481242242"/>
    <n v="18"/>
    <s v=""/>
    <n v="8"/>
    <s v=""/>
    <n v="21"/>
    <s v=""/>
    <n v="9"/>
    <s v=""/>
    <n v="1.8"/>
    <n v="10"/>
    <s v=""/>
    <n v="2"/>
    <n v="19"/>
    <s v=""/>
    <n v="6.333333333333333"/>
    <n v="1"/>
    <s v=""/>
    <n v="0.125"/>
    <n v="8"/>
    <n v="68"/>
    <n v="5"/>
    <n v="0"/>
    <n v="0"/>
    <n v="0"/>
    <n v="117838"/>
    <n v="175950"/>
    <n v="15505"/>
    <n v="0"/>
    <n v="5"/>
    <n v="15505"/>
    <n v="28211.284513805527"/>
    <n v="10"/>
    <n v="63"/>
    <n v="12"/>
    <n v="0"/>
    <n v="0"/>
    <n v="0"/>
    <n v="130242"/>
    <n v="163012.5"/>
    <n v="37212"/>
    <n v="0"/>
    <n v="5"/>
    <n v="15505"/>
    <n v="67707.08283313326"/>
    <n v="5"/>
    <n v="52"/>
    <n v="21"/>
    <n v="0"/>
    <n v="0"/>
    <n v="108555"/>
    <n v="161252"/>
    <n v="65121"/>
    <n v="0"/>
    <n v="5"/>
    <n v="15505"/>
    <n v="141000"/>
    <n v="5"/>
    <n v="35"/>
    <n v="9"/>
    <n v="0"/>
    <n v="0"/>
    <n v="90562.5"/>
    <n v="27909"/>
    <x v="0"/>
    <x v="0"/>
    <n v="5"/>
    <n v="15505"/>
    <n v="60428.571428571435"/>
    <n v="5"/>
    <n v="15"/>
    <n v="6"/>
    <m/>
    <n v="0"/>
    <n v="0"/>
    <n v="46515"/>
    <n v="15525"/>
    <x v="0"/>
    <n v="0"/>
    <n v="5"/>
    <n v="15505"/>
    <n v="40285.71428571429"/>
    <n v="3"/>
    <n v="24"/>
    <n v="19"/>
    <m/>
    <n v="0"/>
    <n v="0"/>
    <n v="74424"/>
    <n v="49162.5"/>
    <n v="0"/>
    <n v="0"/>
    <n v="24"/>
    <n v="15505"/>
    <n v="127571.42857142858"/>
    <n v="8"/>
    <n v="6"/>
    <n v="9.6"/>
    <n v="0"/>
    <n v="0"/>
    <n v="0"/>
    <n v="18606"/>
    <n v="24840"/>
    <n v="0"/>
    <n v="0"/>
    <n v="6"/>
    <n v="15505"/>
    <n v="64457.142857142855"/>
    <n v="3"/>
    <n v="0"/>
    <n v="3.5999999999999996"/>
    <n v="0"/>
    <n v="0"/>
    <n v="0"/>
    <n v="0"/>
    <n v="9314.9999999999982"/>
    <n v="0"/>
    <n v="0"/>
    <n v="0"/>
    <n v="0"/>
    <n v="24171.428571428569"/>
    <n v="9"/>
    <n v="0"/>
    <n v="10.799999999999999"/>
    <n v="0"/>
    <n v="0"/>
    <m/>
    <n v="0"/>
    <n v="27944.999999999996"/>
    <n v="0"/>
    <n v="0"/>
    <n v="0"/>
    <n v="0"/>
    <n v="72514.28571428571"/>
    <n v="0"/>
    <n v="0"/>
    <n v="0"/>
    <n v="0"/>
    <n v="0"/>
    <n v="0"/>
    <m/>
    <n v="0"/>
    <n v="0"/>
    <n v="0"/>
    <n v="0"/>
    <n v="0"/>
    <n v="0"/>
    <n v="0"/>
    <n v="13"/>
    <n v="0"/>
    <n v="15.6"/>
    <n v="0"/>
    <n v="0"/>
    <n v="0"/>
    <n v="40365"/>
    <n v="0"/>
    <n v="0"/>
    <n v="0"/>
    <n v="0"/>
    <n v="109980"/>
    <n v="13"/>
    <n v="0"/>
    <n v="15.6"/>
    <n v="0"/>
    <n v="0"/>
    <n v="0"/>
    <n v="40365"/>
    <n v="0"/>
    <n v="0"/>
    <n v="0"/>
    <n v="104742.85714285714"/>
    <n v="7.8"/>
    <n v="0"/>
    <n v="9.36"/>
    <n v="0"/>
    <m/>
    <n v="0"/>
    <n v="29025.359999999997"/>
    <n v="0"/>
    <n v="0"/>
    <n v="0"/>
    <n v="62845.714285714283"/>
  </r>
  <r>
    <s v="Lhotse-Accesorio Vestuario"/>
    <x v="1"/>
    <x v="15"/>
    <x v="34"/>
    <s v="LHJOKTRE"/>
    <x v="223"/>
    <x v="216"/>
    <x v="0"/>
    <x v="6"/>
    <n v="1.5"/>
    <x v="12"/>
    <n v="4"/>
    <m/>
    <n v="0"/>
    <n v="3101"/>
    <n v="12404"/>
    <n v="2.5"/>
    <n v="2731.25"/>
    <n v="6714.2857142857147"/>
    <n v="6714.2857142857147"/>
    <s v="Shenzhen"/>
    <x v="0"/>
    <n v="30"/>
    <n v="200"/>
    <n v="3"/>
    <n v="0.68345901248851537"/>
    <n v="3"/>
    <n v="0.61390968705901883"/>
    <n v="7"/>
    <n v="0.65982117388919359"/>
    <n v="2"/>
    <n v="0.63068961410195334"/>
    <n v="2"/>
    <n v="0.71594631733235625"/>
    <n v="1"/>
    <n v="0.71592158299743491"/>
    <n v="15"/>
    <n v="0.47432950408085839"/>
    <n v="3"/>
    <n v="0.55756492576058969"/>
    <n v="4"/>
    <n v="0.66581559519318856"/>
    <n v="17"/>
    <n v="0.61262603749577438"/>
    <n v="5"/>
    <n v="0.64626152231450218"/>
    <n v="50"/>
    <n v="0.52418958401106963"/>
    <n v="23"/>
    <s v=""/>
    <n v="12"/>
    <s v=""/>
    <n v="21"/>
    <s v=""/>
    <n v="16"/>
    <s v=""/>
    <n v="2.2857142857142856"/>
    <n v="0"/>
    <s v=""/>
    <n v="0"/>
    <n v="0"/>
    <s v=""/>
    <n v="0"/>
    <n v="0"/>
    <s v=""/>
    <n v="0"/>
    <n v="20"/>
    <n v="64"/>
    <n v="5"/>
    <n v="0"/>
    <n v="0"/>
    <n v="0"/>
    <n v="136444"/>
    <n v="165600"/>
    <n v="15505"/>
    <n v="0"/>
    <n v="4"/>
    <n v="12404"/>
    <n v="28211.284513805527"/>
    <n v="5"/>
    <n v="53"/>
    <n v="18"/>
    <n v="0"/>
    <n v="0"/>
    <n v="0"/>
    <n v="170555"/>
    <n v="137137.5"/>
    <n v="55818"/>
    <n v="0"/>
    <n v="4"/>
    <n v="12404"/>
    <n v="101560.62424969989"/>
    <n v="7"/>
    <n v="37"/>
    <n v="21"/>
    <n v="0"/>
    <n v="0"/>
    <n v="126380.75"/>
    <n v="114737"/>
    <n v="65121"/>
    <n v="0"/>
    <n v="4"/>
    <n v="12404"/>
    <n v="141000"/>
    <n v="7"/>
    <n v="19"/>
    <n v="16"/>
    <n v="0"/>
    <n v="0"/>
    <n v="49162.5"/>
    <n v="49616"/>
    <x v="0"/>
    <x v="0"/>
    <n v="4"/>
    <n v="12404"/>
    <n v="107428.57142857143"/>
    <n v="3"/>
    <n v="4"/>
    <n v="4.5"/>
    <m/>
    <n v="0"/>
    <n v="0"/>
    <n v="12404"/>
    <n v="11643.75"/>
    <x v="0"/>
    <n v="0"/>
    <n v="4"/>
    <n v="12404"/>
    <n v="30214.285714285717"/>
    <n v="14"/>
    <n v="4"/>
    <n v="0"/>
    <m/>
    <n v="0"/>
    <n v="0"/>
    <n v="12404"/>
    <n v="0"/>
    <n v="0"/>
    <n v="0"/>
    <n v="4"/>
    <n v="12404"/>
    <n v="0"/>
    <n v="0"/>
    <n v="4"/>
    <n v="0"/>
    <n v="0"/>
    <n v="0"/>
    <n v="0"/>
    <n v="12404"/>
    <n v="0"/>
    <n v="0"/>
    <n v="0"/>
    <n v="4"/>
    <n v="12404"/>
    <n v="0"/>
    <n v="0"/>
    <n v="4"/>
    <n v="0"/>
    <n v="0"/>
    <n v="0"/>
    <n v="0"/>
    <n v="12404"/>
    <n v="0"/>
    <n v="0"/>
    <n v="0"/>
    <n v="4"/>
    <n v="12404"/>
    <n v="0"/>
    <n v="0"/>
    <n v="4"/>
    <n v="0"/>
    <n v="0"/>
    <n v="0"/>
    <m/>
    <n v="10350"/>
    <n v="0"/>
    <n v="0"/>
    <n v="0"/>
    <n v="4"/>
    <n v="10350"/>
    <n v="0"/>
    <n v="0"/>
    <n v="4"/>
    <n v="0"/>
    <n v="0"/>
    <n v="0"/>
    <n v="0"/>
    <m/>
    <n v="10350"/>
    <n v="0"/>
    <n v="0"/>
    <n v="0"/>
    <n v="4"/>
    <n v="10350"/>
    <n v="0"/>
    <n v="0"/>
    <n v="4"/>
    <n v="0"/>
    <n v="0"/>
    <n v="0"/>
    <n v="10350"/>
    <n v="0"/>
    <n v="0"/>
    <n v="0"/>
    <n v="4"/>
    <n v="10350"/>
    <n v="0"/>
    <n v="0"/>
    <n v="4"/>
    <n v="0"/>
    <n v="0"/>
    <n v="0"/>
    <n v="10350"/>
    <n v="0"/>
    <n v="0"/>
    <n v="4"/>
    <n v="10350"/>
    <n v="0"/>
    <n v="0"/>
    <n v="4"/>
    <n v="0"/>
    <n v="0"/>
    <m/>
    <n v="10350"/>
    <n v="0"/>
    <n v="0"/>
    <n v="4"/>
    <n v="10350"/>
    <n v="0"/>
  </r>
  <r>
    <s v="Lhotse-Accesorio Vestuario"/>
    <x v="1"/>
    <x v="15"/>
    <x v="34"/>
    <s v="LHJOKHIK"/>
    <x v="224"/>
    <x v="217"/>
    <x v="0"/>
    <x v="6"/>
    <n v="1"/>
    <x v="12"/>
    <n v="5"/>
    <m/>
    <n v="0"/>
    <n v="3101"/>
    <n v="15505"/>
    <n v="2.5"/>
    <n v="2731.25"/>
    <n v="6714.2857142857147"/>
    <n v="6714.2857142857147"/>
    <s v="Shenzhen"/>
    <x v="0"/>
    <n v="30"/>
    <n v="200"/>
    <n v="2"/>
    <n v="0.63064681357951169"/>
    <n v="2"/>
    <n v="0.60497866106121423"/>
    <n v="2"/>
    <n v="0.66424255549539801"/>
    <n v="1"/>
    <n v="0.63064681357951169"/>
    <n v="5"/>
    <n v="0.67388304585612124"/>
    <n v="1"/>
    <n v="0.71592158299743491"/>
    <n v="19"/>
    <n v="0.46122271301453177"/>
    <n v="23"/>
    <n v="0.61663302681400201"/>
    <n v="2"/>
    <n v="0.66581667295360247"/>
    <n v="8"/>
    <n v="0.62595735697698962"/>
    <n v="20"/>
    <n v="0.57802057534768525"/>
    <n v="50"/>
    <n v="0.5290810409289689"/>
    <n v="2"/>
    <s v=""/>
    <n v="12"/>
    <s v=""/>
    <n v="8"/>
    <s v=""/>
    <n v="1"/>
    <s v=""/>
    <n v="0.2"/>
    <n v="0"/>
    <s v=""/>
    <n v="0"/>
    <n v="0"/>
    <s v=""/>
    <n v="0"/>
    <n v="0"/>
    <s v=""/>
    <n v="0"/>
    <n v="0"/>
    <n v="7"/>
    <n v="0"/>
    <n v="0"/>
    <n v="0"/>
    <n v="0"/>
    <n v="80626"/>
    <n v="18112.5"/>
    <n v="0"/>
    <n v="0"/>
    <n v="5"/>
    <n v="15505"/>
    <n v="0"/>
    <n v="0"/>
    <n v="20"/>
    <n v="18"/>
    <n v="0"/>
    <n v="0"/>
    <n v="0"/>
    <n v="83727"/>
    <n v="51750"/>
    <n v="55818"/>
    <n v="0"/>
    <n v="5"/>
    <n v="15505"/>
    <n v="101560.62424969989"/>
    <n v="5"/>
    <n v="7"/>
    <n v="8"/>
    <n v="0"/>
    <n v="0"/>
    <n v="40846.5"/>
    <n v="21707"/>
    <n v="24808"/>
    <n v="0"/>
    <n v="5"/>
    <n v="15505"/>
    <n v="53714.285714285717"/>
    <n v="5"/>
    <n v="3"/>
    <n v="1"/>
    <n v="0"/>
    <n v="0"/>
    <n v="7762.5"/>
    <n v="3101"/>
    <x v="0"/>
    <x v="0"/>
    <n v="5"/>
    <n v="15505"/>
    <n v="6714.2857142857147"/>
    <n v="5"/>
    <n v="5"/>
    <n v="5"/>
    <m/>
    <n v="0"/>
    <n v="0"/>
    <n v="15505"/>
    <n v="12937.5"/>
    <x v="0"/>
    <n v="0"/>
    <n v="5"/>
    <n v="15505"/>
    <n v="33571.428571428572"/>
    <n v="1"/>
    <n v="5"/>
    <n v="0"/>
    <m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m/>
    <n v="12937.5"/>
    <n v="0"/>
    <n v="0"/>
    <n v="0"/>
    <n v="5"/>
    <n v="12937.5"/>
    <n v="0"/>
    <n v="0"/>
    <n v="5"/>
    <n v="0"/>
    <n v="0"/>
    <n v="0"/>
    <n v="0"/>
    <m/>
    <n v="12937.5"/>
    <n v="0"/>
    <n v="0"/>
    <n v="0"/>
    <n v="5"/>
    <n v="12937.5"/>
    <n v="0"/>
    <n v="0"/>
    <n v="5"/>
    <n v="0"/>
    <n v="0"/>
    <n v="0"/>
    <n v="12937.5"/>
    <n v="0"/>
    <n v="0"/>
    <n v="0"/>
    <n v="5"/>
    <n v="12937.5"/>
    <n v="0"/>
    <n v="0"/>
    <n v="5"/>
    <n v="0"/>
    <n v="0"/>
    <n v="0"/>
    <n v="12937.5"/>
    <n v="0"/>
    <n v="0"/>
    <n v="5"/>
    <n v="12937.5"/>
    <n v="0"/>
    <n v="0"/>
    <n v="5"/>
    <n v="0"/>
    <n v="0"/>
    <m/>
    <n v="12937.5"/>
    <n v="0"/>
    <n v="0"/>
    <n v="5"/>
    <n v="12937.5"/>
    <n v="0"/>
  </r>
  <r>
    <s v="Lhotse-Accesorio Vestuario"/>
    <x v="1"/>
    <x v="15"/>
    <x v="34"/>
    <s v="LHJOKHIK"/>
    <x v="225"/>
    <x v="217"/>
    <x v="0"/>
    <x v="6"/>
    <n v="1"/>
    <x v="12"/>
    <n v="5"/>
    <m/>
    <n v="0"/>
    <n v="3101"/>
    <n v="15505"/>
    <n v="2.5"/>
    <n v="2731.25"/>
    <n v="6714.2857142857147"/>
    <n v="6714.2857142857147"/>
    <s v="Shenzhen"/>
    <x v="0"/>
    <n v="30"/>
    <n v="200"/>
    <n v="6"/>
    <n v="0.68791839552817913"/>
    <n v="8"/>
    <n v="0.64400057405281297"/>
    <n v="6"/>
    <n v="0.66424433769473701"/>
    <n v="2"/>
    <n v="0.71594723341883482"/>
    <n v="5"/>
    <n v="0.71594723341883482"/>
    <n v="18"/>
    <n v="0.61466121705030319"/>
    <n v="21"/>
    <n v="0.50554259265959478"/>
    <n v="32"/>
    <n v="0.60478670607260365"/>
    <n v="2"/>
    <n v="0.66581606762551293"/>
    <n v="11"/>
    <n v="0.61524444917152532"/>
    <n v="8"/>
    <n v="0.62593344646238558"/>
    <n v="71"/>
    <n v="0.53975847127366983"/>
    <n v="3"/>
    <s v=""/>
    <n v="7"/>
    <s v=""/>
    <n v="1"/>
    <s v=""/>
    <n v="0"/>
    <s v=""/>
    <n v="0"/>
    <n v="0"/>
    <s v=""/>
    <n v="0"/>
    <n v="0"/>
    <s v=""/>
    <n v="0"/>
    <n v="0"/>
    <s v=""/>
    <n v="0"/>
    <n v="6"/>
    <n v="7"/>
    <n v="3"/>
    <n v="0"/>
    <n v="0"/>
    <n v="0"/>
    <n v="44964.5"/>
    <n v="18112.5"/>
    <n v="9303"/>
    <n v="0"/>
    <n v="5"/>
    <n v="15505"/>
    <n v="16926.770708283315"/>
    <n v="5"/>
    <n v="11"/>
    <n v="10.5"/>
    <n v="0"/>
    <n v="0"/>
    <n v="0"/>
    <n v="35661.5"/>
    <n v="28462.5"/>
    <n v="32560.5"/>
    <n v="0"/>
    <n v="5"/>
    <n v="15505"/>
    <n v="59243.697478991606"/>
    <n v="6"/>
    <n v="4"/>
    <n v="1"/>
    <n v="0"/>
    <n v="0"/>
    <n v="3101"/>
    <n v="12404"/>
    <n v="3101"/>
    <n v="0"/>
    <n v="5"/>
    <n v="15505"/>
    <n v="6714.2857142857147"/>
    <n v="6"/>
    <n v="3"/>
    <n v="0"/>
    <n v="0"/>
    <n v="0"/>
    <n v="7762.5"/>
    <n v="0"/>
    <x v="0"/>
    <x v="0"/>
    <n v="5"/>
    <n v="15505"/>
    <n v="0"/>
    <n v="0"/>
    <n v="5"/>
    <n v="0"/>
    <m/>
    <n v="0"/>
    <n v="0"/>
    <n v="15505"/>
    <n v="0"/>
    <x v="0"/>
    <n v="0"/>
    <n v="5"/>
    <n v="15505"/>
    <n v="0"/>
    <n v="0"/>
    <n v="5"/>
    <n v="0"/>
    <m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m/>
    <n v="12937.5"/>
    <n v="0"/>
    <n v="0"/>
    <n v="0"/>
    <n v="5"/>
    <n v="12937.5"/>
    <n v="0"/>
    <n v="0"/>
    <n v="5"/>
    <n v="0"/>
    <n v="0"/>
    <n v="0"/>
    <n v="0"/>
    <m/>
    <n v="12937.5"/>
    <n v="0"/>
    <n v="0"/>
    <n v="0"/>
    <n v="5"/>
    <n v="12937.5"/>
    <n v="0"/>
    <n v="0"/>
    <n v="5"/>
    <n v="0"/>
    <n v="0"/>
    <n v="0"/>
    <n v="12937.5"/>
    <n v="0"/>
    <n v="0"/>
    <n v="0"/>
    <n v="5"/>
    <n v="12937.5"/>
    <n v="0"/>
    <n v="0"/>
    <n v="5"/>
    <n v="0"/>
    <n v="0"/>
    <n v="0"/>
    <n v="12937.5"/>
    <n v="0"/>
    <n v="0"/>
    <n v="5"/>
    <n v="12937.5"/>
    <n v="0"/>
    <n v="0"/>
    <n v="5"/>
    <n v="0"/>
    <n v="0"/>
    <m/>
    <n v="12937.5"/>
    <n v="0"/>
    <n v="0"/>
    <n v="5"/>
    <n v="12937.5"/>
    <n v="0"/>
  </r>
  <r>
    <s v="Lhotse-Accesorio Vestuario"/>
    <x v="1"/>
    <x v="15"/>
    <x v="34"/>
    <s v="LHJOKFLF"/>
    <x v="226"/>
    <x v="218"/>
    <x v="0"/>
    <x v="6"/>
    <n v="1"/>
    <x v="12"/>
    <n v="4"/>
    <m/>
    <n v="0"/>
    <n v="3557"/>
    <n v="14228"/>
    <n v="3.28"/>
    <n v="3583.3999999999996"/>
    <n v="6714.2857142857147"/>
    <n v="6714.2857142857147"/>
    <s v="Shenzhen"/>
    <x v="0"/>
    <n v="30"/>
    <n v="200"/>
    <n v="0"/>
    <s v=""/>
    <n v="0"/>
    <s v=""/>
    <n v="0"/>
    <s v=""/>
    <n v="4"/>
    <n v="0.52303817555454224"/>
    <n v="7"/>
    <n v="0.46236938362168861"/>
    <n v="4"/>
    <n v="0.70584985495515229"/>
    <n v="5"/>
    <n v="0.39445011916922029"/>
    <n v="45"/>
    <n v="0.54759020994788155"/>
    <n v="1"/>
    <n v="0.71767600603222481"/>
    <n v="7"/>
    <n v="0.65328004678818596"/>
    <n v="5"/>
    <n v="0.57628531948348982"/>
    <n v="105"/>
    <n v="0.45196056093259807"/>
    <n v="0"/>
    <s v=""/>
    <n v="3"/>
    <s v=""/>
    <n v="0"/>
    <s v=""/>
    <n v="1"/>
    <s v=""/>
    <n v="0.1"/>
    <n v="0"/>
    <s v=""/>
    <n v="0"/>
    <n v="0"/>
    <s v=""/>
    <n v="0"/>
    <n v="0"/>
    <s v=""/>
    <n v="0"/>
    <n v="11"/>
    <n v="2"/>
    <n v="0"/>
    <n v="0"/>
    <n v="0"/>
    <n v="0"/>
    <n v="16006.5"/>
    <n v="6789.5999999999995"/>
    <n v="0"/>
    <n v="0"/>
    <n v="4"/>
    <n v="14228"/>
    <n v="0"/>
    <n v="10"/>
    <n v="5"/>
    <n v="4.5"/>
    <n v="0"/>
    <n v="0"/>
    <n v="0"/>
    <n v="19563.5"/>
    <n v="16974"/>
    <n v="16006.5"/>
    <n v="0"/>
    <n v="4"/>
    <n v="14228"/>
    <n v="25390.156062424972"/>
    <n v="10"/>
    <n v="2"/>
    <n v="0"/>
    <n v="0"/>
    <n v="0"/>
    <n v="3557"/>
    <n v="7114"/>
    <n v="0"/>
    <n v="0"/>
    <n v="4"/>
    <n v="14228"/>
    <n v="0"/>
    <n v="10"/>
    <n v="3"/>
    <n v="1"/>
    <n v="0"/>
    <n v="0"/>
    <n v="10184.4"/>
    <n v="3557"/>
    <x v="0"/>
    <x v="0"/>
    <n v="4"/>
    <n v="14228"/>
    <n v="6714.2857142857147"/>
    <n v="0"/>
    <n v="4"/>
    <n v="0"/>
    <m/>
    <n v="0"/>
    <n v="0"/>
    <n v="14228"/>
    <n v="0"/>
    <x v="0"/>
    <n v="0"/>
    <n v="4"/>
    <n v="14228"/>
    <n v="0"/>
    <n v="0"/>
    <n v="4"/>
    <n v="0"/>
    <m/>
    <n v="0"/>
    <n v="0"/>
    <n v="14228"/>
    <n v="0"/>
    <n v="0"/>
    <n v="0"/>
    <n v="4"/>
    <n v="14228"/>
    <n v="0"/>
    <n v="0"/>
    <n v="4"/>
    <n v="0"/>
    <n v="0"/>
    <n v="0"/>
    <n v="0"/>
    <n v="14228"/>
    <n v="0"/>
    <n v="0"/>
    <n v="0"/>
    <n v="4"/>
    <n v="14228"/>
    <n v="0"/>
    <n v="0"/>
    <n v="4"/>
    <n v="0"/>
    <n v="0"/>
    <n v="0"/>
    <n v="0"/>
    <n v="14228"/>
    <n v="0"/>
    <n v="0"/>
    <n v="0"/>
    <n v="4"/>
    <n v="14228"/>
    <n v="0"/>
    <n v="0"/>
    <n v="4"/>
    <n v="0"/>
    <n v="0"/>
    <n v="0"/>
    <m/>
    <n v="13579.199999999999"/>
    <n v="0"/>
    <n v="0"/>
    <n v="0"/>
    <n v="4"/>
    <n v="13579.199999999999"/>
    <n v="0"/>
    <n v="0"/>
    <n v="4"/>
    <n v="0"/>
    <n v="0"/>
    <n v="0"/>
    <n v="0"/>
    <m/>
    <n v="13579.199999999999"/>
    <n v="0"/>
    <n v="0"/>
    <n v="0"/>
    <n v="4"/>
    <n v="13579.199999999999"/>
    <n v="0"/>
    <n v="0"/>
    <n v="4"/>
    <n v="0"/>
    <n v="0"/>
    <n v="0"/>
    <n v="13579.199999999999"/>
    <n v="0"/>
    <n v="0"/>
    <n v="0"/>
    <n v="4"/>
    <n v="13579.199999999999"/>
    <n v="0"/>
    <n v="0"/>
    <n v="4"/>
    <n v="0"/>
    <n v="0"/>
    <n v="0"/>
    <n v="13579.199999999999"/>
    <n v="0"/>
    <n v="0"/>
    <n v="4"/>
    <n v="13579.199999999999"/>
    <n v="0"/>
    <n v="0"/>
    <n v="4"/>
    <n v="0"/>
    <n v="0"/>
    <m/>
    <n v="13579.199999999999"/>
    <n v="0"/>
    <n v="0"/>
    <n v="4"/>
    <n v="13579.199999999999"/>
    <n v="0"/>
  </r>
  <r>
    <s v="Lhotse-Accesorio Vestuario"/>
    <x v="1"/>
    <x v="15"/>
    <x v="34"/>
    <s v="LHJOKFLF"/>
    <x v="227"/>
    <x v="218"/>
    <x v="0"/>
    <x v="6"/>
    <n v="1"/>
    <x v="12"/>
    <n v="3"/>
    <m/>
    <n v="0"/>
    <n v="3557"/>
    <n v="10671"/>
    <n v="3.28"/>
    <n v="3583.3999999999996"/>
    <n v="6714.2857142857147"/>
    <n v="6714.2857142857147"/>
    <s v="Shenzhen"/>
    <x v="0"/>
    <n v="30"/>
    <n v="200"/>
    <n v="0"/>
    <s v=""/>
    <n v="0"/>
    <s v=""/>
    <n v="0"/>
    <s v=""/>
    <n v="1"/>
    <n v="0.69748256506208539"/>
    <n v="12"/>
    <n v="0.55383573327981539"/>
    <n v="4"/>
    <n v="0.53899400615583992"/>
    <n v="8"/>
    <n v="0.5036888462544693"/>
    <n v="24"/>
    <n v="0.5568462703823307"/>
    <n v="5"/>
    <n v="0.67469042088127162"/>
    <n v="16"/>
    <n v="0.51287735485693253"/>
    <n v="8"/>
    <n v="0.54188936827870438"/>
    <n v="102"/>
    <n v="0.45863685603698079"/>
    <n v="0"/>
    <s v=""/>
    <n v="8"/>
    <s v=""/>
    <n v="0"/>
    <s v=""/>
    <n v="0"/>
    <s v=""/>
    <n v="0"/>
    <n v="0"/>
    <s v=""/>
    <n v="0"/>
    <n v="0"/>
    <s v=""/>
    <n v="0"/>
    <n v="0"/>
    <s v=""/>
    <n v="0"/>
    <n v="15"/>
    <n v="2"/>
    <n v="0"/>
    <n v="0"/>
    <n v="0"/>
    <n v="0"/>
    <n v="42684"/>
    <n v="6789.5999999999995"/>
    <n v="0"/>
    <n v="0"/>
    <n v="3"/>
    <n v="10671"/>
    <n v="0"/>
    <n v="10"/>
    <n v="10"/>
    <n v="12"/>
    <n v="0"/>
    <n v="0"/>
    <n v="0"/>
    <n v="42684"/>
    <n v="33948"/>
    <n v="42684"/>
    <n v="0"/>
    <n v="3"/>
    <n v="10671"/>
    <n v="67707.08283313326"/>
    <n v="10"/>
    <n v="2"/>
    <n v="0"/>
    <n v="0"/>
    <n v="0"/>
    <n v="0"/>
    <n v="7114"/>
    <n v="0"/>
    <n v="0"/>
    <n v="3"/>
    <n v="10671"/>
    <n v="0"/>
    <n v="10"/>
    <n v="2"/>
    <n v="0"/>
    <n v="0"/>
    <n v="0"/>
    <n v="6789.5999999999995"/>
    <n v="0"/>
    <x v="0"/>
    <x v="0"/>
    <n v="3"/>
    <n v="10671"/>
    <n v="0"/>
    <n v="0"/>
    <n v="3"/>
    <n v="0"/>
    <m/>
    <n v="0"/>
    <n v="0"/>
    <n v="10671"/>
    <n v="0"/>
    <x v="0"/>
    <n v="0"/>
    <n v="3"/>
    <n v="10671"/>
    <n v="0"/>
    <n v="0"/>
    <n v="3"/>
    <n v="0"/>
    <m/>
    <n v="0"/>
    <n v="0"/>
    <n v="10671"/>
    <n v="0"/>
    <n v="0"/>
    <n v="0"/>
    <n v="3"/>
    <n v="10671"/>
    <n v="0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m/>
    <n v="10184.4"/>
    <n v="0"/>
    <n v="0"/>
    <n v="0"/>
    <n v="3"/>
    <n v="10184.4"/>
    <n v="0"/>
    <n v="0"/>
    <n v="3"/>
    <n v="0"/>
    <n v="0"/>
    <n v="0"/>
    <n v="0"/>
    <m/>
    <n v="10184.4"/>
    <n v="0"/>
    <n v="0"/>
    <n v="0"/>
    <n v="3"/>
    <n v="10184.4"/>
    <n v="0"/>
    <n v="0"/>
    <n v="3"/>
    <n v="0"/>
    <n v="0"/>
    <n v="0"/>
    <n v="10184.4"/>
    <n v="0"/>
    <n v="0"/>
    <n v="0"/>
    <n v="3"/>
    <n v="10184.4"/>
    <n v="0"/>
    <n v="0"/>
    <n v="3"/>
    <n v="0"/>
    <n v="0"/>
    <n v="0"/>
    <n v="10184.4"/>
    <n v="0"/>
    <n v="0"/>
    <n v="3"/>
    <n v="10184.4"/>
    <n v="0"/>
    <n v="0"/>
    <n v="3"/>
    <n v="0"/>
    <n v="0"/>
    <m/>
    <n v="10184.4"/>
    <n v="0"/>
    <n v="0"/>
    <n v="3"/>
    <n v="10184.4"/>
    <n v="0"/>
  </r>
  <r>
    <s v="Lhotse-Accesorio Vestuario"/>
    <x v="1"/>
    <x v="15"/>
    <x v="34"/>
    <s v="LHJOKRD"/>
    <x v="228"/>
    <x v="219"/>
    <x v="0"/>
    <x v="6"/>
    <n v="1.2"/>
    <x v="12"/>
    <n v="8"/>
    <m/>
    <n v="0"/>
    <n v="3218"/>
    <n v="25744"/>
    <n v="2.6"/>
    <n v="2840.5"/>
    <n v="6714.2857142857147"/>
    <n v="6714.2857142857147"/>
    <s v="Shenzhen"/>
    <x v="0"/>
    <n v="30"/>
    <n v="200"/>
    <n v="0"/>
    <s v=""/>
    <n v="2"/>
    <n v="0.65153221440173248"/>
    <n v="4"/>
    <n v="0.62601133052491253"/>
    <n v="1"/>
    <n v="0.70518504946866989"/>
    <n v="1"/>
    <n v="0.70518504946866989"/>
    <n v="0"/>
    <s v=""/>
    <n v="5"/>
    <n v="0.6515361621296808"/>
    <n v="2"/>
    <n v="0.68219458565012225"/>
    <n v="4"/>
    <n v="0.68127902580850941"/>
    <n v="20"/>
    <n v="0.61664568957409904"/>
    <n v="10"/>
    <n v="0.60109809467272324"/>
    <n v="54"/>
    <n v="0.487167639220838"/>
    <n v="30"/>
    <s v=""/>
    <n v="24"/>
    <s v=""/>
    <n v="12"/>
    <s v=""/>
    <n v="19"/>
    <s v=""/>
    <n v="1.5833333333333333"/>
    <n v="3"/>
    <s v=""/>
    <n v="1.5"/>
    <n v="0"/>
    <s v=""/>
    <n v="0"/>
    <n v="0"/>
    <s v=""/>
    <n v="0"/>
    <n v="10"/>
    <n v="72"/>
    <n v="15"/>
    <n v="0"/>
    <n v="0"/>
    <n v="0"/>
    <n v="202734"/>
    <n v="193752"/>
    <n v="48270"/>
    <n v="0"/>
    <n v="8"/>
    <n v="25744"/>
    <n v="84633.853541416582"/>
    <n v="7"/>
    <n v="56"/>
    <n v="36"/>
    <n v="0"/>
    <n v="0"/>
    <n v="0"/>
    <n v="215606"/>
    <n v="150696"/>
    <n v="115848"/>
    <n v="0"/>
    <n v="8"/>
    <n v="25744"/>
    <n v="203121.24849939978"/>
    <n v="12"/>
    <n v="31"/>
    <n v="12"/>
    <n v="0"/>
    <n v="0"/>
    <n v="106216.4"/>
    <n v="99758"/>
    <n v="38616"/>
    <n v="0"/>
    <n v="8"/>
    <n v="25744"/>
    <n v="80571.42857142858"/>
    <n v="12"/>
    <n v="20"/>
    <n v="19"/>
    <n v="0"/>
    <n v="0"/>
    <n v="53820"/>
    <n v="61142"/>
    <x v="0"/>
    <x v="0"/>
    <n v="8"/>
    <n v="25744"/>
    <n v="127571.42857142858"/>
    <n v="2"/>
    <n v="11"/>
    <n v="2.4"/>
    <m/>
    <n v="0"/>
    <n v="0"/>
    <n v="35398"/>
    <n v="6458.4"/>
    <x v="0"/>
    <n v="0"/>
    <n v="8"/>
    <n v="25744"/>
    <n v="16114.285714285714"/>
    <n v="19"/>
    <n v="8"/>
    <n v="0"/>
    <m/>
    <n v="0"/>
    <n v="0"/>
    <n v="25744"/>
    <n v="0"/>
    <n v="0"/>
    <n v="0"/>
    <n v="8"/>
    <n v="25744"/>
    <n v="0"/>
    <n v="0"/>
    <n v="8"/>
    <n v="0"/>
    <n v="0"/>
    <n v="0"/>
    <n v="0"/>
    <n v="25744"/>
    <n v="0"/>
    <n v="0"/>
    <n v="0"/>
    <n v="8"/>
    <n v="25744"/>
    <n v="0"/>
    <n v="0"/>
    <n v="8"/>
    <n v="0"/>
    <n v="0"/>
    <n v="0"/>
    <n v="0"/>
    <n v="25744"/>
    <n v="0"/>
    <n v="0"/>
    <n v="0"/>
    <n v="8"/>
    <n v="25744"/>
    <n v="0"/>
    <n v="0"/>
    <n v="8"/>
    <n v="0"/>
    <n v="0"/>
    <n v="0"/>
    <m/>
    <n v="21528"/>
    <n v="0"/>
    <n v="0"/>
    <n v="0"/>
    <n v="8"/>
    <n v="21528"/>
    <n v="0"/>
    <n v="0"/>
    <n v="8"/>
    <n v="0"/>
    <n v="0"/>
    <n v="0"/>
    <n v="0"/>
    <m/>
    <n v="21528"/>
    <n v="0"/>
    <n v="0"/>
    <n v="0"/>
    <n v="8"/>
    <n v="21528"/>
    <n v="0"/>
    <n v="0"/>
    <n v="8"/>
    <n v="0"/>
    <n v="0"/>
    <n v="0"/>
    <n v="21528"/>
    <n v="0"/>
    <n v="0"/>
    <n v="0"/>
    <n v="8"/>
    <n v="21528"/>
    <n v="0"/>
    <n v="0"/>
    <n v="8"/>
    <n v="0"/>
    <n v="0"/>
    <n v="0"/>
    <n v="21528"/>
    <n v="0"/>
    <n v="0"/>
    <n v="8"/>
    <n v="21528"/>
    <n v="0"/>
    <n v="0"/>
    <n v="8"/>
    <n v="0"/>
    <n v="0"/>
    <m/>
    <n v="21528"/>
    <n v="0"/>
    <n v="0"/>
    <n v="8"/>
    <n v="21528"/>
    <n v="0"/>
  </r>
  <r>
    <s v="Lhotse-Accesorio Vestuario"/>
    <x v="1"/>
    <x v="15"/>
    <x v="34"/>
    <s v="LHJOKRD"/>
    <x v="229"/>
    <x v="219"/>
    <x v="0"/>
    <x v="6"/>
    <n v="1"/>
    <x v="12"/>
    <n v="9"/>
    <m/>
    <n v="0"/>
    <n v="3219"/>
    <n v="28971"/>
    <n v="2.6"/>
    <n v="2840.5"/>
    <n v="6714.2857142857147"/>
    <n v="6714.2857142857147"/>
    <s v="Shenzhen"/>
    <x v="0"/>
    <n v="30"/>
    <n v="200"/>
    <n v="5"/>
    <n v="0.56295240035309291"/>
    <n v="12"/>
    <n v="0.63077212854554621"/>
    <n v="7"/>
    <n v="0.64222345747637577"/>
    <n v="4"/>
    <n v="0.54623708978109908"/>
    <n v="0"/>
    <s v=""/>
    <n v="2"/>
    <n v="0.70518504946866989"/>
    <n v="10"/>
    <n v="0.4649456946953639"/>
    <n v="4"/>
    <n v="0.6350414379317294"/>
    <n v="3"/>
    <n v="0.70518414164742116"/>
    <n v="14"/>
    <n v="0.60824248988880192"/>
    <n v="17"/>
    <n v="0.63998123074132496"/>
    <n v="52"/>
    <n v="0.50171412430772477"/>
    <n v="30"/>
    <s v=""/>
    <n v="26"/>
    <s v=""/>
    <n v="1"/>
    <s v=""/>
    <n v="1"/>
    <s v=""/>
    <n v="0.1111111111111111"/>
    <n v="0"/>
    <s v=""/>
    <n v="0"/>
    <n v="0"/>
    <s v=""/>
    <n v="0"/>
    <n v="0"/>
    <s v=""/>
    <n v="0"/>
    <n v="10"/>
    <n v="50"/>
    <n v="20"/>
    <n v="0"/>
    <n v="0"/>
    <n v="0"/>
    <n v="193140"/>
    <n v="134550"/>
    <n v="64380"/>
    <n v="0"/>
    <n v="9"/>
    <n v="28971"/>
    <n v="112845.13805522211"/>
    <n v="7"/>
    <n v="30"/>
    <n v="39"/>
    <n v="0"/>
    <n v="0"/>
    <n v="0"/>
    <n v="131979"/>
    <n v="80730"/>
    <n v="125541"/>
    <n v="0"/>
    <n v="9"/>
    <n v="28971"/>
    <n v="220048.0192076831"/>
    <n v="9"/>
    <n v="3"/>
    <n v="1"/>
    <n v="0"/>
    <n v="0"/>
    <n v="6438"/>
    <n v="9657"/>
    <n v="3219"/>
    <n v="0"/>
    <n v="9"/>
    <n v="28971"/>
    <n v="6714.2857142857147"/>
    <n v="9"/>
    <n v="3"/>
    <n v="1"/>
    <n v="0"/>
    <n v="0"/>
    <n v="8073"/>
    <n v="3219"/>
    <x v="0"/>
    <x v="0"/>
    <n v="9"/>
    <n v="28971"/>
    <n v="6714.2857142857147"/>
    <n v="0"/>
    <n v="9"/>
    <n v="0"/>
    <m/>
    <n v="0"/>
    <n v="0"/>
    <n v="28971"/>
    <n v="0"/>
    <x v="0"/>
    <n v="0"/>
    <n v="9"/>
    <n v="28971"/>
    <n v="0"/>
    <n v="0"/>
    <n v="9"/>
    <n v="0"/>
    <m/>
    <n v="0"/>
    <n v="0"/>
    <n v="28971"/>
    <n v="0"/>
    <n v="0"/>
    <n v="0"/>
    <n v="9"/>
    <n v="28971"/>
    <n v="0"/>
    <n v="0"/>
    <n v="9"/>
    <n v="0"/>
    <n v="0"/>
    <n v="0"/>
    <n v="0"/>
    <n v="28971"/>
    <n v="0"/>
    <n v="0"/>
    <n v="0"/>
    <n v="9"/>
    <n v="28971"/>
    <n v="0"/>
    <n v="0"/>
    <n v="9"/>
    <n v="0"/>
    <n v="0"/>
    <n v="0"/>
    <n v="0"/>
    <n v="28971"/>
    <n v="0"/>
    <n v="0"/>
    <n v="0"/>
    <n v="9"/>
    <n v="28971"/>
    <n v="0"/>
    <n v="0"/>
    <n v="9"/>
    <n v="0"/>
    <n v="0"/>
    <n v="0"/>
    <m/>
    <n v="24219"/>
    <n v="0"/>
    <n v="0"/>
    <n v="0"/>
    <n v="9"/>
    <n v="24219"/>
    <n v="0"/>
    <n v="0"/>
    <n v="9"/>
    <n v="0"/>
    <n v="0"/>
    <n v="0"/>
    <n v="0"/>
    <m/>
    <n v="24219"/>
    <n v="0"/>
    <n v="0"/>
    <n v="0"/>
    <n v="9"/>
    <n v="24219"/>
    <n v="0"/>
    <n v="0"/>
    <n v="9"/>
    <n v="0"/>
    <n v="0"/>
    <n v="0"/>
    <n v="24219"/>
    <n v="0"/>
    <n v="0"/>
    <n v="0"/>
    <n v="9"/>
    <n v="24219"/>
    <n v="0"/>
    <n v="0"/>
    <n v="9"/>
    <n v="0"/>
    <n v="0"/>
    <n v="0"/>
    <n v="24219"/>
    <n v="0"/>
    <n v="0"/>
    <n v="9"/>
    <n v="24219"/>
    <n v="0"/>
    <n v="0"/>
    <n v="9"/>
    <n v="0"/>
    <n v="0"/>
    <m/>
    <n v="24219"/>
    <n v="0"/>
    <n v="0"/>
    <n v="9"/>
    <n v="24219"/>
    <n v="0"/>
  </r>
  <r>
    <s v="Lhotse-Accesorio Vestuario"/>
    <x v="1"/>
    <x v="15"/>
    <x v="34"/>
    <s v="LHJOKWV"/>
    <x v="230"/>
    <x v="220"/>
    <x v="0"/>
    <x v="6"/>
    <n v="1.5"/>
    <x v="12"/>
    <n v="62"/>
    <m/>
    <n v="0"/>
    <n v="3218"/>
    <n v="199516"/>
    <n v="2.6"/>
    <n v="2840.5"/>
    <n v="6714.2857142857147"/>
    <n v="6714.2857142857147"/>
    <s v="Shenzhen"/>
    <x v="0"/>
    <n v="30"/>
    <n v="200"/>
    <n v="3"/>
    <n v="0.55484138694208784"/>
    <n v="2"/>
    <n v="0.63491775382870097"/>
    <n v="1"/>
    <n v="0.61665276950565817"/>
    <n v="1"/>
    <n v="0.61665276950565817"/>
    <n v="1"/>
    <n v="0.70518504946866989"/>
    <n v="0"/>
    <s v=""/>
    <n v="15"/>
    <n v="0.44687994133418879"/>
    <n v="3"/>
    <n v="0.61346038355286869"/>
    <n v="2"/>
    <n v="0.70518414164742116"/>
    <n v="4"/>
    <n v="0.52068851796295712"/>
    <n v="2"/>
    <n v="0.52070300863866548"/>
    <n v="12"/>
    <n v="0.42613059779124229"/>
    <n v="17"/>
    <s v=""/>
    <n v="5"/>
    <s v=""/>
    <n v="3"/>
    <s v=""/>
    <n v="16"/>
    <s v=""/>
    <n v="2"/>
    <n v="12"/>
    <s v=""/>
    <n v="12"/>
    <n v="20"/>
    <s v=""/>
    <n v="2.5"/>
    <n v="11"/>
    <s v=""/>
    <n v="0.73333333333333328"/>
    <n v="6"/>
    <n v="137"/>
    <n v="6"/>
    <n v="0"/>
    <n v="0"/>
    <n v="0"/>
    <n v="53097"/>
    <n v="368667"/>
    <n v="19308"/>
    <n v="0"/>
    <n v="62"/>
    <n v="199516"/>
    <n v="33853.54141656663"/>
    <n v="8"/>
    <n v="124"/>
    <n v="7.5"/>
    <n v="0"/>
    <n v="0"/>
    <n v="0"/>
    <n v="85277"/>
    <n v="333684"/>
    <n v="24135"/>
    <n v="0"/>
    <n v="62"/>
    <n v="199516"/>
    <n v="42316.926770708291"/>
    <n v="8"/>
    <n v="119"/>
    <n v="3"/>
    <n v="0"/>
    <n v="0"/>
    <n v="65178.5"/>
    <n v="382942"/>
    <n v="9654"/>
    <n v="0"/>
    <n v="62"/>
    <n v="199516"/>
    <n v="20142.857142857145"/>
    <n v="8"/>
    <n v="116"/>
    <n v="16"/>
    <n v="0"/>
    <n v="0"/>
    <n v="312156"/>
    <n v="51488"/>
    <x v="0"/>
    <x v="0"/>
    <n v="62"/>
    <n v="199516"/>
    <n v="107428.57142857143"/>
    <n v="1"/>
    <n v="74"/>
    <n v="1.5"/>
    <m/>
    <n v="0"/>
    <n v="0"/>
    <n v="238132"/>
    <n v="4036.5"/>
    <x v="0"/>
    <n v="0"/>
    <n v="62"/>
    <n v="199516"/>
    <n v="10071.428571428572"/>
    <n v="8"/>
    <n v="82"/>
    <n v="20"/>
    <m/>
    <n v="0"/>
    <n v="0"/>
    <n v="263876"/>
    <n v="53820"/>
    <n v="0"/>
    <n v="0"/>
    <n v="82"/>
    <n v="199516"/>
    <n v="134285.71428571429"/>
    <n v="15"/>
    <n v="73"/>
    <n v="22.5"/>
    <n v="0"/>
    <n v="0"/>
    <n v="0"/>
    <n v="234914"/>
    <n v="60547.5"/>
    <n v="0"/>
    <n v="0"/>
    <n v="73"/>
    <n v="199516"/>
    <n v="151071.42857142858"/>
    <n v="9"/>
    <n v="50.5"/>
    <n v="13.5"/>
    <n v="0"/>
    <n v="0"/>
    <n v="0"/>
    <n v="162509"/>
    <n v="36328.5"/>
    <n v="0"/>
    <n v="0"/>
    <n v="50.5"/>
    <n v="162509"/>
    <n v="90642.857142857145"/>
    <n v="7"/>
    <n v="37"/>
    <n v="10.5"/>
    <n v="0"/>
    <n v="0"/>
    <m/>
    <n v="99567"/>
    <n v="28255.5"/>
    <n v="0"/>
    <n v="0"/>
    <n v="37"/>
    <n v="99567"/>
    <n v="70500"/>
    <n v="4"/>
    <n v="26.5"/>
    <n v="6"/>
    <n v="0"/>
    <n v="0"/>
    <n v="0"/>
    <m/>
    <n v="71311.5"/>
    <n v="16146"/>
    <n v="0"/>
    <n v="0"/>
    <n v="26.5"/>
    <n v="71311.5"/>
    <n v="40285.71428571429"/>
    <n v="4"/>
    <n v="20.5"/>
    <n v="6"/>
    <n v="0"/>
    <n v="0"/>
    <n v="55165.5"/>
    <n v="16146"/>
    <n v="0"/>
    <n v="0"/>
    <n v="20.5"/>
    <n v="55165.5"/>
    <n v="42300.000000000007"/>
    <n v="4"/>
    <n v="14.5"/>
    <n v="6"/>
    <n v="0"/>
    <n v="0"/>
    <n v="39019.5"/>
    <n v="16146"/>
    <n v="0"/>
    <n v="14.5"/>
    <n v="39019.5"/>
    <n v="40285.71428571429"/>
    <n v="2.4"/>
    <n v="8.5"/>
    <n v="3.5999999999999996"/>
    <n v="0"/>
    <m/>
    <n v="22873.5"/>
    <n v="11584.8"/>
    <n v="0"/>
    <n v="8.5"/>
    <n v="22873.5"/>
    <n v="24171.428571428569"/>
  </r>
  <r>
    <s v="Lhotse-Accesorio Vestuario"/>
    <x v="1"/>
    <x v="15"/>
    <x v="34"/>
    <s v="LHJOKWV"/>
    <x v="231"/>
    <x v="220"/>
    <x v="0"/>
    <x v="6"/>
    <n v="0.8"/>
    <x v="12"/>
    <n v="15"/>
    <m/>
    <n v="0"/>
    <n v="3218"/>
    <n v="48270"/>
    <n v="2.6"/>
    <n v="2840.5"/>
    <n v="6714.2857142857147"/>
    <n v="6714.2857142857147"/>
    <s v="Shenzhen"/>
    <x v="0"/>
    <n v="30"/>
    <n v="200"/>
    <n v="2"/>
    <n v="0.70518504946866978"/>
    <n v="8"/>
    <n v="0.64751642935377884"/>
    <n v="9"/>
    <n v="0.64434975871511191"/>
    <n v="2"/>
    <n v="0.7262853497767382"/>
    <n v="2"/>
    <n v="0.70518504946866989"/>
    <n v="3"/>
    <n v="0.71078658248893478"/>
    <n v="13"/>
    <n v="0.45442115040516046"/>
    <n v="2"/>
    <n v="0.61664931591317684"/>
    <n v="6"/>
    <n v="0.70518444425512505"/>
    <n v="12"/>
    <n v="0.62601279140709643"/>
    <n v="16"/>
    <n v="0.61022422746748628"/>
    <n v="57"/>
    <n v="0.49435293793331586"/>
    <n v="10"/>
    <s v=""/>
    <n v="13"/>
    <s v=""/>
    <n v="12"/>
    <s v=""/>
    <n v="4"/>
    <s v=""/>
    <n v="0.5"/>
    <n v="0"/>
    <s v=""/>
    <n v="0"/>
    <n v="0"/>
    <s v=""/>
    <n v="0"/>
    <n v="0"/>
    <s v=""/>
    <n v="0"/>
    <n v="10"/>
    <n v="21"/>
    <n v="12"/>
    <n v="0"/>
    <n v="0"/>
    <n v="0"/>
    <n v="139983"/>
    <n v="56511"/>
    <n v="38616"/>
    <n v="0"/>
    <n v="15"/>
    <n v="48270"/>
    <n v="67707.08283313326"/>
    <n v="10"/>
    <n v="40"/>
    <n v="19.5"/>
    <n v="0"/>
    <n v="0"/>
    <n v="0"/>
    <n v="114239"/>
    <n v="107640"/>
    <n v="62751"/>
    <n v="0"/>
    <n v="15"/>
    <n v="48270"/>
    <n v="110024.00960384155"/>
    <n v="8"/>
    <n v="25"/>
    <n v="12"/>
    <n v="0"/>
    <n v="0"/>
    <n v="55793.599999999999"/>
    <n v="80450"/>
    <n v="38616"/>
    <n v="0"/>
    <n v="15"/>
    <n v="48270"/>
    <n v="80571.42857142858"/>
    <n v="8"/>
    <n v="7"/>
    <n v="4"/>
    <n v="0"/>
    <n v="0"/>
    <n v="18837"/>
    <n v="12872"/>
    <x v="0"/>
    <x v="0"/>
    <n v="15"/>
    <n v="48270"/>
    <n v="26857.142857142859"/>
    <n v="2"/>
    <n v="15"/>
    <n v="1.6"/>
    <m/>
    <n v="0"/>
    <n v="0"/>
    <n v="48270"/>
    <n v="4305.6000000000004"/>
    <x v="0"/>
    <n v="0"/>
    <n v="15"/>
    <n v="48270"/>
    <n v="10742.857142857145"/>
    <n v="4"/>
    <n v="15"/>
    <n v="0"/>
    <m/>
    <n v="0"/>
    <n v="0"/>
    <n v="48270"/>
    <n v="0"/>
    <n v="0"/>
    <n v="0"/>
    <n v="15"/>
    <n v="48270"/>
    <n v="0"/>
    <n v="0"/>
    <n v="15"/>
    <n v="0"/>
    <n v="0"/>
    <n v="0"/>
    <n v="0"/>
    <n v="48270"/>
    <n v="0"/>
    <n v="0"/>
    <n v="0"/>
    <n v="15"/>
    <n v="48270"/>
    <n v="0"/>
    <n v="0"/>
    <n v="15"/>
    <n v="0"/>
    <n v="0"/>
    <n v="0"/>
    <n v="0"/>
    <n v="48270"/>
    <n v="0"/>
    <n v="0"/>
    <n v="0"/>
    <n v="15"/>
    <n v="48270"/>
    <n v="0"/>
    <n v="0"/>
    <n v="15"/>
    <n v="0"/>
    <n v="0"/>
    <n v="0"/>
    <m/>
    <n v="40365"/>
    <n v="0"/>
    <n v="0"/>
    <n v="0"/>
    <n v="15"/>
    <n v="40365"/>
    <n v="0"/>
    <n v="0"/>
    <n v="15"/>
    <n v="0"/>
    <n v="0"/>
    <n v="0"/>
    <n v="0"/>
    <m/>
    <n v="40365"/>
    <n v="0"/>
    <n v="0"/>
    <n v="0"/>
    <n v="15"/>
    <n v="40365"/>
    <n v="0"/>
    <n v="0"/>
    <n v="15"/>
    <n v="0"/>
    <n v="0"/>
    <n v="0"/>
    <n v="40365"/>
    <n v="0"/>
    <n v="0"/>
    <n v="0"/>
    <n v="15"/>
    <n v="40365"/>
    <n v="0"/>
    <n v="0"/>
    <n v="15"/>
    <n v="0"/>
    <n v="0"/>
    <n v="0"/>
    <n v="40365"/>
    <n v="0"/>
    <n v="0"/>
    <n v="15"/>
    <n v="40365"/>
    <n v="0"/>
    <n v="0"/>
    <n v="15"/>
    <n v="0"/>
    <n v="0"/>
    <m/>
    <n v="40365"/>
    <n v="0"/>
    <n v="0"/>
    <n v="15"/>
    <n v="40365"/>
    <n v="0"/>
  </r>
  <r>
    <s v="Lhotse-Accesorio Vestuario"/>
    <x v="1"/>
    <x v="15"/>
    <x v="35"/>
    <s v="LHTOAMIC"/>
    <x v="232"/>
    <x v="221"/>
    <x v="0"/>
    <x v="6"/>
    <n v="1"/>
    <x v="12"/>
    <n v="7"/>
    <m/>
    <n v="0"/>
    <n v="3310"/>
    <n v="23170"/>
    <n v="2.4"/>
    <n v="2622"/>
    <n v="8394.957983193277"/>
    <n v="6714.2857142857147"/>
    <s v="Shenzhen"/>
    <x v="0"/>
    <n v="30"/>
    <n v="200"/>
    <n v="13"/>
    <n v="0.5942259952802722"/>
    <n v="30"/>
    <n v="0.60453372415331186"/>
    <n v="31"/>
    <n v="0.48986107135780177"/>
    <n v="3"/>
    <n v="0.45979762811445979"/>
    <n v="3"/>
    <n v="0.54682365826944135"/>
    <n v="2"/>
    <n v="0.56185055265073802"/>
    <n v="28"/>
    <n v="0.45326694825267233"/>
    <n v="8"/>
    <n v="0.55064024552846313"/>
    <n v="9"/>
    <n v="0.48560137745260068"/>
    <n v="36"/>
    <n v="0.51063646586655842"/>
    <n v="8"/>
    <n v="0.50317045901927282"/>
    <n v="50"/>
    <n v="0.40678573623087477"/>
    <n v="26"/>
    <s v=""/>
    <n v="8"/>
    <s v=""/>
    <n v="1"/>
    <s v=""/>
    <n v="0"/>
    <s v=""/>
    <n v="0"/>
    <n v="1"/>
    <s v=""/>
    <n v="0"/>
    <n v="0"/>
    <s v=""/>
    <n v="0"/>
    <n v="0"/>
    <s v=""/>
    <n v="0"/>
    <n v="20"/>
    <n v="35"/>
    <n v="35"/>
    <n v="0"/>
    <n v="0"/>
    <n v="0"/>
    <n v="158880"/>
    <n v="86940"/>
    <n v="115850"/>
    <n v="0"/>
    <n v="7"/>
    <n v="23170"/>
    <n v="246910.52891744935"/>
    <n v="0"/>
    <n v="13"/>
    <n v="12"/>
    <n v="0"/>
    <n v="0"/>
    <n v="0"/>
    <n v="43030"/>
    <n v="32292"/>
    <n v="39720"/>
    <n v="0"/>
    <n v="7"/>
    <n v="23170"/>
    <n v="84655.03848598263"/>
    <n v="20"/>
    <n v="5"/>
    <n v="1"/>
    <n v="0"/>
    <n v="0"/>
    <n v="3310"/>
    <n v="16550"/>
    <n v="3310"/>
    <n v="0"/>
    <n v="7"/>
    <n v="23170"/>
    <n v="8394.957983193277"/>
    <n v="0"/>
    <n v="4"/>
    <n v="0"/>
    <n v="0"/>
    <n v="0"/>
    <n v="9936"/>
    <n v="0"/>
    <x v="0"/>
    <x v="0"/>
    <n v="7"/>
    <n v="23170"/>
    <n v="0"/>
    <n v="0"/>
    <n v="8"/>
    <n v="0"/>
    <m/>
    <n v="0"/>
    <n v="0"/>
    <n v="26480"/>
    <n v="0"/>
    <x v="0"/>
    <n v="0"/>
    <n v="7"/>
    <n v="23170"/>
    <n v="0"/>
    <n v="0"/>
    <n v="7"/>
    <n v="0"/>
    <m/>
    <n v="0"/>
    <n v="0"/>
    <n v="23170"/>
    <n v="0"/>
    <n v="0"/>
    <n v="0"/>
    <n v="7"/>
    <n v="23170"/>
    <n v="0"/>
    <n v="0"/>
    <n v="7"/>
    <n v="0"/>
    <n v="0"/>
    <n v="0"/>
    <n v="0"/>
    <n v="23170"/>
    <n v="0"/>
    <n v="0"/>
    <n v="0"/>
    <n v="7"/>
    <n v="23170"/>
    <n v="0"/>
    <n v="0"/>
    <n v="7"/>
    <n v="0"/>
    <n v="0"/>
    <n v="0"/>
    <n v="0"/>
    <n v="23170"/>
    <n v="0"/>
    <n v="0"/>
    <n v="0"/>
    <n v="7"/>
    <n v="23170"/>
    <n v="0"/>
    <n v="0"/>
    <n v="7"/>
    <n v="0"/>
    <n v="0"/>
    <n v="0"/>
    <m/>
    <n v="17388"/>
    <n v="0"/>
    <n v="0"/>
    <n v="0"/>
    <n v="7"/>
    <n v="17388"/>
    <n v="0"/>
    <n v="0"/>
    <n v="7"/>
    <n v="0"/>
    <n v="0"/>
    <n v="0"/>
    <n v="0"/>
    <m/>
    <n v="17388"/>
    <n v="0"/>
    <n v="0"/>
    <n v="0"/>
    <n v="7"/>
    <n v="17388"/>
    <n v="0"/>
    <n v="0"/>
    <n v="7"/>
    <n v="0"/>
    <n v="0"/>
    <n v="0"/>
    <n v="17388"/>
    <n v="0"/>
    <n v="0"/>
    <n v="0"/>
    <n v="7"/>
    <n v="17388"/>
    <n v="0"/>
    <n v="0"/>
    <n v="7"/>
    <n v="0"/>
    <n v="0"/>
    <n v="0"/>
    <n v="17388"/>
    <n v="0"/>
    <n v="0"/>
    <n v="7"/>
    <n v="17388"/>
    <n v="0"/>
    <n v="0"/>
    <n v="7"/>
    <n v="0"/>
    <n v="0"/>
    <m/>
    <n v="17388"/>
    <n v="0"/>
    <n v="0"/>
    <n v="7"/>
    <n v="17388"/>
    <n v="0"/>
  </r>
  <r>
    <s v="Lhotse-Accesorio Vestuario"/>
    <x v="1"/>
    <x v="15"/>
    <x v="35"/>
    <s v="LHTOAMIC"/>
    <x v="233"/>
    <x v="221"/>
    <x v="0"/>
    <x v="6"/>
    <n v="1"/>
    <x v="12"/>
    <n v="3"/>
    <m/>
    <n v="0"/>
    <n v="3310"/>
    <n v="9930"/>
    <n v="2.4"/>
    <n v="2622"/>
    <n v="8394.957983193277"/>
    <n v="6714.2857142857147"/>
    <s v="Shenzhen"/>
    <x v="0"/>
    <n v="30"/>
    <n v="200"/>
    <n v="30"/>
    <n v="0.60254562920268973"/>
    <n v="24"/>
    <n v="0.5443374186678327"/>
    <n v="19"/>
    <n v="0.51587326025372582"/>
    <n v="11"/>
    <n v="0.46963595163648436"/>
    <n v="7"/>
    <n v="0.6005929909844685"/>
    <n v="16"/>
    <n v="0.56107587243353152"/>
    <n v="48"/>
    <n v="0.45596493631009449"/>
    <n v="11"/>
    <n v="0.56713507858382672"/>
    <n v="12"/>
    <n v="0.5070142838905517"/>
    <n v="24"/>
    <n v="0.51783912016564526"/>
    <n v="24"/>
    <n v="0.46236049730300427"/>
    <n v="8"/>
    <n v="0.50318949343339592"/>
    <n v="4"/>
    <s v=""/>
    <n v="1"/>
    <s v=""/>
    <n v="0"/>
    <s v=""/>
    <n v="0"/>
    <s v=""/>
    <n v="0"/>
    <n v="0"/>
    <s v=""/>
    <n v="0"/>
    <n v="0"/>
    <s v=""/>
    <n v="0"/>
    <n v="0"/>
    <s v=""/>
    <n v="0"/>
    <n v="0"/>
    <n v="11"/>
    <n v="0"/>
    <n v="0"/>
    <n v="0"/>
    <n v="0"/>
    <n v="4965"/>
    <n v="27324"/>
    <n v="0"/>
    <n v="0"/>
    <n v="3"/>
    <n v="9930"/>
    <n v="0"/>
    <n v="0"/>
    <n v="4"/>
    <n v="1.5"/>
    <n v="0"/>
    <n v="0"/>
    <n v="0"/>
    <n v="4965"/>
    <n v="9936"/>
    <n v="4965"/>
    <n v="0"/>
    <n v="3"/>
    <n v="9930"/>
    <n v="10581.879810747829"/>
    <n v="0"/>
    <n v="2"/>
    <n v="0"/>
    <n v="0"/>
    <n v="0"/>
    <n v="0"/>
    <n v="6620"/>
    <n v="0"/>
    <n v="0"/>
    <n v="3"/>
    <n v="9930"/>
    <n v="0"/>
    <n v="0"/>
    <n v="2"/>
    <n v="0"/>
    <n v="0"/>
    <n v="0"/>
    <n v="4968"/>
    <n v="0"/>
    <x v="0"/>
    <x v="0"/>
    <n v="3"/>
    <n v="9930"/>
    <n v="0"/>
    <n v="0"/>
    <n v="3"/>
    <n v="0"/>
    <m/>
    <n v="0"/>
    <n v="0"/>
    <n v="9930"/>
    <n v="0"/>
    <x v="0"/>
    <n v="0"/>
    <n v="3"/>
    <n v="9930"/>
    <n v="0"/>
    <n v="0"/>
    <n v="3"/>
    <n v="0"/>
    <m/>
    <n v="0"/>
    <n v="0"/>
    <n v="9930"/>
    <n v="0"/>
    <n v="0"/>
    <n v="0"/>
    <n v="3"/>
    <n v="9930"/>
    <n v="0"/>
    <n v="0"/>
    <n v="3"/>
    <n v="0"/>
    <n v="0"/>
    <n v="0"/>
    <n v="0"/>
    <n v="9930"/>
    <n v="0"/>
    <n v="0"/>
    <n v="0"/>
    <n v="3"/>
    <n v="9930"/>
    <n v="0"/>
    <n v="0"/>
    <n v="3"/>
    <n v="0"/>
    <n v="0"/>
    <n v="0"/>
    <n v="0"/>
    <n v="9930"/>
    <n v="0"/>
    <n v="0"/>
    <n v="0"/>
    <n v="3"/>
    <n v="9930"/>
    <n v="0"/>
    <n v="0"/>
    <n v="3"/>
    <n v="0"/>
    <n v="0"/>
    <n v="0"/>
    <m/>
    <n v="7452"/>
    <n v="0"/>
    <n v="0"/>
    <n v="0"/>
    <n v="3"/>
    <n v="7452"/>
    <n v="0"/>
    <n v="0"/>
    <n v="3"/>
    <n v="0"/>
    <n v="0"/>
    <n v="0"/>
    <n v="0"/>
    <m/>
    <n v="7452"/>
    <n v="0"/>
    <n v="0"/>
    <n v="0"/>
    <n v="3"/>
    <n v="7452"/>
    <n v="0"/>
    <n v="0"/>
    <n v="3"/>
    <n v="0"/>
    <n v="0"/>
    <n v="0"/>
    <n v="7452"/>
    <n v="0"/>
    <n v="0"/>
    <n v="0"/>
    <n v="3"/>
    <n v="7452"/>
    <n v="0"/>
    <n v="0"/>
    <n v="3"/>
    <n v="0"/>
    <n v="0"/>
    <n v="0"/>
    <n v="7452"/>
    <n v="0"/>
    <n v="0"/>
    <n v="3"/>
    <n v="7452"/>
    <n v="0"/>
    <n v="0"/>
    <n v="3"/>
    <n v="0"/>
    <n v="0"/>
    <m/>
    <n v="7452"/>
    <n v="0"/>
    <n v="0"/>
    <n v="3"/>
    <n v="7452"/>
    <n v="0"/>
  </r>
  <r>
    <m/>
    <x v="1"/>
    <x v="15"/>
    <x v="36"/>
    <s v="LHCALMED"/>
    <x v="234"/>
    <x v="222"/>
    <x v="0"/>
    <x v="2"/>
    <n v="1"/>
    <x v="156"/>
    <n v="84"/>
    <m/>
    <n v="0"/>
    <n v="2303"/>
    <n v="193452"/>
    <n v="1.56"/>
    <n v="1704.3"/>
    <n v="7554.6218487394963"/>
    <n v="6714.2857142857147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2"/>
    <s v=""/>
    <n v="5"/>
    <s v=""/>
    <n v="0.625"/>
    <n v="2"/>
    <s v=""/>
    <n v="0.22222222222222221"/>
    <n v="6"/>
    <s v=""/>
    <n v="0.5"/>
    <n v="0"/>
    <s v=""/>
    <n v="0"/>
    <n v="5"/>
    <n v="100"/>
    <n v="5"/>
    <n v="0"/>
    <n v="0"/>
    <n v="0"/>
    <n v="19575.5"/>
    <n v="161460"/>
    <n v="11515"/>
    <n v="0"/>
    <n v="84"/>
    <n v="193452"/>
    <n v="31742.108608149145"/>
    <n v="6"/>
    <n v="100"/>
    <n v="1.5"/>
    <n v="0"/>
    <n v="0"/>
    <n v="0"/>
    <n v="19575.5"/>
    <n v="161460"/>
    <n v="3454.5"/>
    <n v="0"/>
    <n v="84"/>
    <n v="193452"/>
    <n v="9522.6325824447449"/>
    <n v="9"/>
    <n v="99"/>
    <n v="2"/>
    <n v="0"/>
    <n v="0"/>
    <n v="30652.400000000001"/>
    <n v="227997"/>
    <n v="4606"/>
    <n v="0"/>
    <n v="84"/>
    <n v="193452"/>
    <n v="15109.243697478993"/>
    <n v="8"/>
    <n v="96"/>
    <n v="5"/>
    <n v="0"/>
    <n v="0"/>
    <n v="155001.59999999998"/>
    <n v="11515"/>
    <x v="0"/>
    <x v="0"/>
    <n v="84"/>
    <n v="193452"/>
    <n v="37773.10924369748"/>
    <n v="9"/>
    <n v="86"/>
    <n v="9"/>
    <m/>
    <n v="0"/>
    <n v="0"/>
    <n v="198058"/>
    <n v="14531.4"/>
    <x v="0"/>
    <n v="0"/>
    <n v="84"/>
    <n v="193452"/>
    <n v="67991.596638655465"/>
    <n v="12"/>
    <n v="90"/>
    <n v="6"/>
    <m/>
    <n v="0"/>
    <n v="0"/>
    <n v="207270"/>
    <n v="9687.5999999999985"/>
    <n v="0"/>
    <n v="0"/>
    <n v="90"/>
    <n v="193452"/>
    <n v="45327.731092436981"/>
    <n v="6"/>
    <n v="84"/>
    <n v="6"/>
    <n v="0"/>
    <n v="0"/>
    <n v="0"/>
    <n v="193452"/>
    <n v="9687.5999999999985"/>
    <n v="0"/>
    <n v="0"/>
    <n v="84"/>
    <n v="193452"/>
    <n v="45327.731092436981"/>
    <n v="6"/>
    <n v="78"/>
    <n v="6"/>
    <n v="0"/>
    <n v="0"/>
    <n v="0"/>
    <n v="179634"/>
    <n v="9687.5999999999985"/>
    <n v="0"/>
    <n v="0"/>
    <n v="78"/>
    <n v="179634"/>
    <n v="45327.731092436981"/>
    <n v="6"/>
    <n v="72"/>
    <n v="6"/>
    <n v="0"/>
    <n v="0"/>
    <m/>
    <n v="116251.2"/>
    <n v="9687.5999999999985"/>
    <n v="0"/>
    <n v="0"/>
    <n v="72"/>
    <n v="116251.2"/>
    <n v="45327.731092436981"/>
    <n v="12"/>
    <n v="66"/>
    <n v="12"/>
    <n v="0"/>
    <n v="0"/>
    <n v="0"/>
    <m/>
    <n v="106563.59999999999"/>
    <n v="19375.199999999997"/>
    <n v="0"/>
    <n v="0"/>
    <n v="66"/>
    <n v="106563.59999999999"/>
    <n v="80571.42857142858"/>
    <n v="15"/>
    <n v="54"/>
    <n v="15"/>
    <n v="0"/>
    <n v="0"/>
    <n v="87188.4"/>
    <n v="24219"/>
    <n v="0"/>
    <n v="0"/>
    <n v="54"/>
    <n v="87188.4"/>
    <n v="105750.00000000001"/>
    <n v="20"/>
    <n v="39"/>
    <n v="20"/>
    <n v="0"/>
    <n v="0"/>
    <n v="62969.399999999994"/>
    <n v="32292"/>
    <n v="0"/>
    <n v="39"/>
    <n v="62969.399999999994"/>
    <n v="151092.43697478992"/>
    <n v="9"/>
    <n v="19"/>
    <n v="9"/>
    <n v="0"/>
    <m/>
    <n v="30677.399999999998"/>
    <n v="20727"/>
    <n v="0"/>
    <n v="19"/>
    <n v="30677.399999999998"/>
    <n v="67991.596638655465"/>
  </r>
  <r>
    <m/>
    <x v="1"/>
    <x v="15"/>
    <x v="36"/>
    <s v="LHCALMED"/>
    <x v="235"/>
    <x v="223"/>
    <x v="0"/>
    <x v="2"/>
    <n v="1"/>
    <x v="157"/>
    <n v="76"/>
    <m/>
    <n v="0"/>
    <n v="2303"/>
    <n v="175028"/>
    <n v="1.56"/>
    <n v="1704.3"/>
    <n v="7554.6218487394963"/>
    <n v="6714.2857142857147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4"/>
    <s v=""/>
    <n v="5"/>
    <s v=""/>
    <n v="0.625"/>
    <n v="3"/>
    <s v=""/>
    <n v="0.33333333333333331"/>
    <n v="9"/>
    <s v=""/>
    <n v="0.75"/>
    <n v="0"/>
    <s v=""/>
    <n v="0"/>
    <n v="5"/>
    <n v="100"/>
    <n v="5"/>
    <n v="0"/>
    <n v="0"/>
    <n v="0"/>
    <n v="24181.5"/>
    <n v="161460"/>
    <n v="11515"/>
    <n v="0"/>
    <n v="76"/>
    <n v="175028"/>
    <n v="31742.108608149145"/>
    <n v="6"/>
    <n v="99"/>
    <n v="1.5"/>
    <n v="0"/>
    <n v="0"/>
    <n v="0"/>
    <n v="24181.5"/>
    <n v="159845.4"/>
    <n v="3454.5"/>
    <n v="0"/>
    <n v="76"/>
    <n v="175028"/>
    <n v="9522.6325824447449"/>
    <n v="9"/>
    <n v="98"/>
    <n v="4"/>
    <n v="0"/>
    <n v="0"/>
    <n v="35258.400000000001"/>
    <n v="225694"/>
    <n v="9212"/>
    <n v="0"/>
    <n v="76"/>
    <n v="175028"/>
    <n v="30218.487394957985"/>
    <n v="8"/>
    <n v="90"/>
    <n v="5"/>
    <n v="0"/>
    <n v="0"/>
    <n v="145314"/>
    <n v="11515"/>
    <x v="0"/>
    <x v="0"/>
    <n v="76"/>
    <n v="175028"/>
    <n v="37773.10924369748"/>
    <n v="9"/>
    <n v="79"/>
    <n v="9"/>
    <m/>
    <n v="0"/>
    <n v="0"/>
    <n v="181937"/>
    <n v="14531.4"/>
    <x v="0"/>
    <n v="0"/>
    <n v="76"/>
    <n v="175028"/>
    <n v="67991.596638655465"/>
    <n v="12"/>
    <n v="85"/>
    <n v="9"/>
    <m/>
    <n v="0"/>
    <n v="0"/>
    <n v="195755"/>
    <n v="14531.4"/>
    <n v="0"/>
    <n v="0"/>
    <n v="85"/>
    <n v="175028"/>
    <n v="67991.596638655465"/>
    <n v="6"/>
    <n v="76"/>
    <n v="6"/>
    <n v="0"/>
    <n v="0"/>
    <n v="0"/>
    <n v="175028"/>
    <n v="9687.5999999999985"/>
    <n v="0"/>
    <n v="0"/>
    <n v="76"/>
    <n v="175028"/>
    <n v="45327.731092436981"/>
    <n v="6"/>
    <n v="70"/>
    <n v="6"/>
    <n v="0"/>
    <n v="0"/>
    <n v="0"/>
    <n v="161210"/>
    <n v="9687.5999999999985"/>
    <n v="0"/>
    <n v="0"/>
    <n v="70"/>
    <n v="161210"/>
    <n v="45327.731092436981"/>
    <n v="6"/>
    <n v="64"/>
    <n v="6"/>
    <n v="0"/>
    <n v="0"/>
    <m/>
    <n v="103334.39999999999"/>
    <n v="9687.5999999999985"/>
    <n v="0"/>
    <n v="0"/>
    <n v="64"/>
    <n v="103334.39999999999"/>
    <n v="45327.731092436981"/>
    <n v="12"/>
    <n v="58"/>
    <n v="12"/>
    <n v="0"/>
    <n v="0"/>
    <n v="0"/>
    <m/>
    <n v="93646.799999999988"/>
    <n v="19375.199999999997"/>
    <n v="0"/>
    <n v="0"/>
    <n v="58"/>
    <n v="93646.799999999988"/>
    <n v="80571.42857142858"/>
    <n v="15"/>
    <n v="46"/>
    <n v="15"/>
    <n v="0"/>
    <n v="0"/>
    <n v="74271.599999999991"/>
    <n v="24219"/>
    <n v="0"/>
    <n v="0"/>
    <n v="46"/>
    <n v="74271.599999999991"/>
    <n v="105750.00000000001"/>
    <n v="20"/>
    <n v="31"/>
    <n v="20"/>
    <n v="0"/>
    <n v="0"/>
    <n v="50052.6"/>
    <n v="32292"/>
    <n v="0"/>
    <n v="31"/>
    <n v="50052.6"/>
    <n v="151092.43697478992"/>
    <n v="9"/>
    <n v="11"/>
    <n v="9"/>
    <n v="0"/>
    <m/>
    <n v="17760.599999999999"/>
    <n v="20727"/>
    <n v="0"/>
    <n v="11"/>
    <n v="17760.599999999999"/>
    <n v="67991.596638655465"/>
  </r>
  <r>
    <m/>
    <x v="1"/>
    <x v="15"/>
    <x v="36"/>
    <s v="LHCALMED"/>
    <x v="236"/>
    <x v="224"/>
    <x v="0"/>
    <x v="2"/>
    <n v="1"/>
    <x v="158"/>
    <n v="94"/>
    <m/>
    <n v="0"/>
    <n v="2303"/>
    <n v="216482"/>
    <n v="1.56"/>
    <n v="1704.3"/>
    <n v="7554.6218487394963"/>
    <n v="6714.2857142857147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2"/>
    <s v=""/>
    <n v="0.25"/>
    <n v="2"/>
    <s v=""/>
    <n v="0.22222222222222221"/>
    <n v="2"/>
    <s v=""/>
    <n v="0.16666666666666666"/>
    <n v="0"/>
    <s v=""/>
    <n v="0"/>
    <n v="5"/>
    <n v="100"/>
    <n v="5"/>
    <n v="0"/>
    <n v="0"/>
    <n v="0"/>
    <n v="17272.5"/>
    <n v="161460"/>
    <n v="11515"/>
    <n v="0"/>
    <n v="94"/>
    <n v="216482"/>
    <n v="31742.108608149145"/>
    <n v="6"/>
    <n v="100"/>
    <n v="1.5"/>
    <n v="0"/>
    <n v="0"/>
    <n v="0"/>
    <n v="10363.5"/>
    <n v="161460"/>
    <n v="3454.5"/>
    <n v="0"/>
    <n v="94"/>
    <n v="216482"/>
    <n v="9522.6325824447449"/>
    <n v="9"/>
    <n v="99"/>
    <n v="1"/>
    <n v="0"/>
    <n v="0"/>
    <n v="21440.400000000001"/>
    <n v="227997"/>
    <n v="2303"/>
    <n v="0"/>
    <n v="94"/>
    <n v="216482"/>
    <n v="7554.6218487394963"/>
    <n v="8"/>
    <n v="97"/>
    <n v="2"/>
    <n v="0"/>
    <n v="0"/>
    <n v="156616.19999999998"/>
    <n v="4606"/>
    <x v="0"/>
    <x v="0"/>
    <n v="94"/>
    <n v="216482"/>
    <n v="15109.243697478993"/>
    <n v="9"/>
    <n v="96"/>
    <n v="9"/>
    <m/>
    <n v="0"/>
    <n v="0"/>
    <n v="221088"/>
    <n v="14531.4"/>
    <x v="0"/>
    <n v="0"/>
    <n v="94"/>
    <n v="216482"/>
    <n v="67991.596638655465"/>
    <n v="12"/>
    <n v="96"/>
    <n v="2"/>
    <m/>
    <n v="0"/>
    <n v="0"/>
    <n v="221088"/>
    <n v="3229.2"/>
    <n v="0"/>
    <n v="0"/>
    <n v="96"/>
    <n v="216482"/>
    <n v="15109.243697478993"/>
    <n v="6"/>
    <n v="94"/>
    <n v="6"/>
    <n v="0"/>
    <n v="0"/>
    <n v="0"/>
    <n v="216482"/>
    <n v="9687.5999999999985"/>
    <n v="0"/>
    <n v="0"/>
    <n v="94"/>
    <n v="216482"/>
    <n v="45327.731092436981"/>
    <n v="6"/>
    <n v="88"/>
    <n v="6"/>
    <n v="0"/>
    <n v="0"/>
    <n v="0"/>
    <n v="202664"/>
    <n v="9687.5999999999985"/>
    <n v="0"/>
    <n v="0"/>
    <n v="88"/>
    <n v="202664"/>
    <n v="45327.731092436981"/>
    <n v="6"/>
    <n v="82"/>
    <n v="6"/>
    <n v="0"/>
    <n v="0"/>
    <m/>
    <n v="132397.19999999998"/>
    <n v="9687.5999999999985"/>
    <n v="0"/>
    <n v="0"/>
    <n v="82"/>
    <n v="132397.19999999998"/>
    <n v="45327.731092436981"/>
    <n v="12"/>
    <n v="76"/>
    <n v="12"/>
    <n v="0"/>
    <n v="0"/>
    <n v="0"/>
    <m/>
    <n v="122709.59999999999"/>
    <n v="19375.199999999997"/>
    <n v="0"/>
    <n v="0"/>
    <n v="76"/>
    <n v="122709.59999999999"/>
    <n v="80571.42857142858"/>
    <n v="15"/>
    <n v="64"/>
    <n v="15"/>
    <n v="0"/>
    <n v="0"/>
    <n v="103334.39999999999"/>
    <n v="24219"/>
    <n v="0"/>
    <n v="0"/>
    <n v="64"/>
    <n v="103334.39999999999"/>
    <n v="105750.00000000001"/>
    <n v="20"/>
    <n v="49"/>
    <n v="20"/>
    <n v="0"/>
    <n v="0"/>
    <n v="79115.399999999994"/>
    <n v="32292"/>
    <n v="0"/>
    <n v="49"/>
    <n v="79115.399999999994"/>
    <n v="151092.43697478992"/>
    <n v="9"/>
    <n v="29"/>
    <n v="9"/>
    <n v="0"/>
    <m/>
    <n v="46823.399999999994"/>
    <n v="20727"/>
    <n v="0"/>
    <n v="29"/>
    <n v="46823.399999999994"/>
    <n v="67991.596638655465"/>
  </r>
  <r>
    <m/>
    <x v="1"/>
    <x v="15"/>
    <x v="36"/>
    <s v="LHCALMED"/>
    <x v="237"/>
    <x v="225"/>
    <x v="0"/>
    <x v="2"/>
    <n v="1"/>
    <x v="159"/>
    <n v="88"/>
    <m/>
    <n v="0"/>
    <n v="2303"/>
    <n v="202664"/>
    <n v="1.56"/>
    <n v="1704.3"/>
    <n v="7554.6218487394963"/>
    <n v="6714.2857142857147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1"/>
    <s v=""/>
    <n v="1"/>
    <s v=""/>
    <n v="4"/>
    <s v=""/>
    <n v="0.5"/>
    <n v="4"/>
    <s v=""/>
    <n v="0.44444444444444442"/>
    <n v="3"/>
    <s v=""/>
    <n v="0.25"/>
    <n v="0"/>
    <s v=""/>
    <n v="0"/>
    <n v="5"/>
    <n v="100"/>
    <n v="5"/>
    <n v="0"/>
    <n v="0"/>
    <n v="0"/>
    <n v="17272.5"/>
    <n v="161460"/>
    <n v="11515"/>
    <n v="0"/>
    <n v="88"/>
    <n v="202664"/>
    <n v="31742.108608149145"/>
    <n v="6"/>
    <n v="97"/>
    <n v="1.5"/>
    <n v="0"/>
    <n v="0"/>
    <n v="0"/>
    <n v="14969.5"/>
    <n v="156616.19999999998"/>
    <n v="3454.5"/>
    <n v="0"/>
    <n v="88"/>
    <n v="202664"/>
    <n v="9522.6325824447449"/>
    <n v="9"/>
    <n v="96"/>
    <n v="1"/>
    <n v="0"/>
    <n v="0"/>
    <n v="26046.400000000001"/>
    <n v="221088"/>
    <n v="2303"/>
    <n v="0"/>
    <n v="88"/>
    <n v="202664"/>
    <n v="7554.6218487394963"/>
    <n v="8"/>
    <n v="91"/>
    <n v="4"/>
    <n v="0"/>
    <n v="0"/>
    <n v="146928.6"/>
    <n v="9212"/>
    <x v="0"/>
    <x v="0"/>
    <n v="88"/>
    <n v="202664"/>
    <n v="30218.487394957985"/>
    <n v="9"/>
    <n v="92"/>
    <n v="9"/>
    <m/>
    <n v="0"/>
    <n v="0"/>
    <n v="211876"/>
    <n v="14531.4"/>
    <x v="0"/>
    <n v="0"/>
    <n v="88"/>
    <n v="202664"/>
    <n v="67991.596638655465"/>
    <n v="12"/>
    <n v="91"/>
    <n v="3"/>
    <m/>
    <n v="0"/>
    <n v="0"/>
    <n v="209573"/>
    <n v="4843.7999999999993"/>
    <n v="0"/>
    <n v="0"/>
    <n v="91"/>
    <n v="202664"/>
    <n v="22663.865546218491"/>
    <n v="6"/>
    <n v="88"/>
    <n v="6"/>
    <n v="0"/>
    <n v="0"/>
    <n v="0"/>
    <n v="202664"/>
    <n v="9687.5999999999985"/>
    <n v="0"/>
    <n v="0"/>
    <n v="88"/>
    <n v="202664"/>
    <n v="45327.731092436981"/>
    <n v="6"/>
    <n v="82"/>
    <n v="6"/>
    <n v="0"/>
    <n v="0"/>
    <n v="0"/>
    <n v="188846"/>
    <n v="9687.5999999999985"/>
    <n v="0"/>
    <n v="0"/>
    <n v="82"/>
    <n v="188846"/>
    <n v="45327.731092436981"/>
    <n v="6"/>
    <n v="76"/>
    <n v="6"/>
    <n v="0"/>
    <n v="0"/>
    <m/>
    <n v="122709.59999999999"/>
    <n v="9687.5999999999985"/>
    <n v="0"/>
    <n v="0"/>
    <n v="76"/>
    <n v="122709.59999999999"/>
    <n v="45327.731092436981"/>
    <n v="12"/>
    <n v="70"/>
    <n v="12"/>
    <n v="0"/>
    <n v="0"/>
    <n v="0"/>
    <m/>
    <n v="113022"/>
    <n v="19375.199999999997"/>
    <n v="0"/>
    <n v="0"/>
    <n v="70"/>
    <n v="113022"/>
    <n v="80571.42857142858"/>
    <n v="15"/>
    <n v="58"/>
    <n v="15"/>
    <n v="0"/>
    <n v="0"/>
    <n v="93646.799999999988"/>
    <n v="24219"/>
    <n v="0"/>
    <n v="0"/>
    <n v="58"/>
    <n v="93646.799999999988"/>
    <n v="105750.00000000001"/>
    <n v="20"/>
    <n v="43"/>
    <n v="20"/>
    <n v="0"/>
    <n v="0"/>
    <n v="69427.8"/>
    <n v="32292"/>
    <n v="0"/>
    <n v="43"/>
    <n v="69427.8"/>
    <n v="151092.43697478992"/>
    <n v="9"/>
    <n v="23"/>
    <n v="9"/>
    <n v="0"/>
    <m/>
    <n v="37135.799999999996"/>
    <n v="20727"/>
    <n v="0"/>
    <n v="23"/>
    <n v="37135.799999999996"/>
    <n v="67991.596638655465"/>
  </r>
  <r>
    <m/>
    <x v="1"/>
    <x v="15"/>
    <x v="36"/>
    <s v="LHCALMED"/>
    <x v="238"/>
    <x v="226"/>
    <x v="0"/>
    <x v="2"/>
    <n v="1"/>
    <x v="160"/>
    <n v="88"/>
    <m/>
    <n v="0"/>
    <n v="2303"/>
    <n v="202664"/>
    <n v="1.56"/>
    <n v="1704.3"/>
    <n v="7554.6218487394963"/>
    <n v="6714.2857142857147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3"/>
    <s v=""/>
    <n v="0.375"/>
    <n v="6"/>
    <s v=""/>
    <n v="0.66666666666666663"/>
    <n v="2"/>
    <s v=""/>
    <n v="0.16666666666666666"/>
    <n v="0"/>
    <s v=""/>
    <n v="0"/>
    <n v="5"/>
    <n v="100"/>
    <n v="5"/>
    <n v="0"/>
    <n v="0"/>
    <n v="0"/>
    <n v="13818"/>
    <n v="161460"/>
    <n v="11515"/>
    <n v="0"/>
    <n v="88"/>
    <n v="202664"/>
    <n v="31742.108608149145"/>
    <n v="6"/>
    <n v="100"/>
    <n v="0"/>
    <n v="0"/>
    <n v="0"/>
    <n v="0"/>
    <n v="9212"/>
    <n v="161460"/>
    <n v="0"/>
    <n v="0"/>
    <n v="88"/>
    <n v="202664"/>
    <n v="0"/>
    <n v="9"/>
    <n v="100"/>
    <n v="1"/>
    <n v="0"/>
    <n v="0"/>
    <n v="23743.4"/>
    <n v="230300"/>
    <n v="2303"/>
    <n v="0"/>
    <n v="88"/>
    <n v="202664"/>
    <n v="7554.6218487394963"/>
    <n v="8"/>
    <n v="98"/>
    <n v="3"/>
    <n v="0"/>
    <n v="0"/>
    <n v="158230.79999999999"/>
    <n v="6909"/>
    <x v="0"/>
    <x v="0"/>
    <n v="88"/>
    <n v="202664"/>
    <n v="22663.865546218491"/>
    <n v="9"/>
    <n v="94"/>
    <n v="9"/>
    <m/>
    <n v="0"/>
    <n v="0"/>
    <n v="216482"/>
    <n v="14531.4"/>
    <x v="0"/>
    <n v="0"/>
    <n v="88"/>
    <n v="202664"/>
    <n v="67991.596638655465"/>
    <n v="12"/>
    <n v="90"/>
    <n v="2"/>
    <m/>
    <n v="0"/>
    <n v="0"/>
    <n v="207270"/>
    <n v="3229.2"/>
    <n v="0"/>
    <n v="0"/>
    <n v="90"/>
    <n v="202664"/>
    <n v="15109.243697478993"/>
    <n v="6"/>
    <n v="88"/>
    <n v="6"/>
    <n v="0"/>
    <n v="0"/>
    <n v="0"/>
    <n v="202664"/>
    <n v="9687.5999999999985"/>
    <n v="0"/>
    <n v="0"/>
    <n v="88"/>
    <n v="202664"/>
    <n v="45327.731092436981"/>
    <n v="6"/>
    <n v="82"/>
    <n v="6"/>
    <n v="0"/>
    <n v="0"/>
    <n v="0"/>
    <n v="188846"/>
    <n v="9687.5999999999985"/>
    <n v="0"/>
    <n v="0"/>
    <n v="82"/>
    <n v="188846"/>
    <n v="45327.731092436981"/>
    <n v="6"/>
    <n v="76"/>
    <n v="6"/>
    <n v="0"/>
    <n v="0"/>
    <m/>
    <n v="122709.59999999999"/>
    <n v="9687.5999999999985"/>
    <n v="0"/>
    <n v="0"/>
    <n v="76"/>
    <n v="122709.59999999999"/>
    <n v="45327.731092436981"/>
    <n v="12"/>
    <n v="70"/>
    <n v="12"/>
    <n v="0"/>
    <n v="0"/>
    <n v="0"/>
    <m/>
    <n v="113022"/>
    <n v="19375.199999999997"/>
    <n v="0"/>
    <n v="0"/>
    <n v="70"/>
    <n v="113022"/>
    <n v="80571.42857142858"/>
    <n v="15"/>
    <n v="58"/>
    <n v="15"/>
    <n v="0"/>
    <n v="0"/>
    <n v="93646.799999999988"/>
    <n v="24219"/>
    <n v="0"/>
    <n v="0"/>
    <n v="58"/>
    <n v="93646.799999999988"/>
    <n v="105750.00000000001"/>
    <n v="20"/>
    <n v="43"/>
    <n v="20"/>
    <n v="0"/>
    <n v="0"/>
    <n v="69427.8"/>
    <n v="32292"/>
    <n v="0"/>
    <n v="43"/>
    <n v="69427.8"/>
    <n v="151092.43697478992"/>
    <n v="9"/>
    <n v="23"/>
    <n v="9"/>
    <n v="0"/>
    <m/>
    <n v="37135.799999999996"/>
    <n v="20727"/>
    <n v="0"/>
    <n v="23"/>
    <n v="37135.799999999996"/>
    <n v="67991.596638655465"/>
  </r>
  <r>
    <m/>
    <x v="1"/>
    <x v="15"/>
    <x v="36"/>
    <s v="LHCALMED"/>
    <x v="239"/>
    <x v="227"/>
    <x v="0"/>
    <x v="1"/>
    <n v="1"/>
    <x v="161"/>
    <n v="61"/>
    <m/>
    <n v="0"/>
    <n v="2303"/>
    <n v="140483"/>
    <n v="1.56"/>
    <n v="1704.3"/>
    <n v="7554.6218487394963"/>
    <n v="6714.2857142857147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5"/>
    <s v=""/>
    <n v="10"/>
    <s v=""/>
    <n v="7"/>
    <s v=""/>
    <n v="0.875"/>
    <n v="2"/>
    <s v=""/>
    <n v="0.2"/>
    <n v="12"/>
    <s v=""/>
    <n v="0.8571428571428571"/>
    <n v="2"/>
    <s v=""/>
    <n v="0.33333333333333331"/>
    <n v="5"/>
    <n v="100"/>
    <n v="5"/>
    <n v="0"/>
    <n v="0"/>
    <n v="0"/>
    <n v="51817.5"/>
    <n v="161460"/>
    <n v="11515"/>
    <n v="0"/>
    <n v="61"/>
    <n v="140483"/>
    <n v="31742.108608149145"/>
    <n v="6"/>
    <n v="100"/>
    <n v="7.5"/>
    <n v="0"/>
    <n v="0"/>
    <n v="0"/>
    <n v="56423.5"/>
    <n v="161460"/>
    <n v="17272.5"/>
    <n v="0"/>
    <n v="61"/>
    <n v="140483"/>
    <n v="47613.162912223721"/>
    <n v="9"/>
    <n v="93"/>
    <n v="10"/>
    <n v="0"/>
    <n v="0"/>
    <n v="55297"/>
    <n v="214179"/>
    <n v="23030"/>
    <n v="0"/>
    <n v="61"/>
    <n v="140483"/>
    <n v="75546.218487394959"/>
    <n v="8"/>
    <n v="79"/>
    <n v="7"/>
    <n v="0"/>
    <n v="0"/>
    <n v="127553.4"/>
    <n v="16121"/>
    <x v="0"/>
    <x v="0"/>
    <n v="61"/>
    <n v="140483"/>
    <n v="52882.352941176476"/>
    <n v="10"/>
    <n v="63"/>
    <n v="10"/>
    <m/>
    <n v="0"/>
    <n v="0"/>
    <n v="145089"/>
    <n v="16146"/>
    <x v="0"/>
    <n v="0"/>
    <n v="61"/>
    <n v="140483"/>
    <n v="75546.218487394959"/>
    <n v="14"/>
    <n v="73"/>
    <n v="12"/>
    <m/>
    <n v="0"/>
    <n v="0"/>
    <n v="168119"/>
    <n v="19375.199999999997"/>
    <n v="0"/>
    <n v="0"/>
    <n v="73"/>
    <n v="140483"/>
    <n v="90655.462184873963"/>
    <n v="6"/>
    <n v="63"/>
    <n v="6"/>
    <n v="0"/>
    <n v="0"/>
    <n v="0"/>
    <n v="145089"/>
    <n v="9687.5999999999985"/>
    <n v="0"/>
    <n v="0"/>
    <n v="63"/>
    <n v="140483"/>
    <n v="45327.731092436981"/>
    <n v="6"/>
    <n v="57"/>
    <n v="6"/>
    <n v="0"/>
    <n v="0"/>
    <n v="0"/>
    <n v="131271"/>
    <n v="9687.5999999999985"/>
    <n v="0"/>
    <n v="0"/>
    <n v="57"/>
    <n v="131271"/>
    <n v="45327.731092436981"/>
    <n v="6"/>
    <n v="51"/>
    <n v="6"/>
    <n v="0"/>
    <n v="0"/>
    <m/>
    <n v="82344.599999999991"/>
    <n v="9687.5999999999985"/>
    <n v="0"/>
    <n v="0"/>
    <n v="51"/>
    <n v="82344.599999999991"/>
    <n v="45327.731092436981"/>
    <n v="12"/>
    <n v="45"/>
    <n v="12"/>
    <n v="0"/>
    <n v="0"/>
    <n v="0"/>
    <m/>
    <n v="72657"/>
    <n v="19375.199999999997"/>
    <n v="0"/>
    <n v="0"/>
    <n v="45"/>
    <n v="72657"/>
    <n v="80571.42857142858"/>
    <n v="15"/>
    <n v="33"/>
    <n v="15"/>
    <n v="0"/>
    <n v="0"/>
    <n v="53281.799999999996"/>
    <n v="24219"/>
    <n v="0"/>
    <n v="0"/>
    <n v="33"/>
    <n v="53281.799999999996"/>
    <n v="105750.00000000001"/>
    <n v="20"/>
    <n v="18"/>
    <n v="20"/>
    <n v="0"/>
    <n v="0"/>
    <n v="29062.799999999999"/>
    <n v="32292"/>
    <n v="0"/>
    <n v="18"/>
    <n v="29062.799999999999"/>
    <n v="151092.43697478992"/>
    <n v="9"/>
    <n v="0"/>
    <n v="9"/>
    <n v="0"/>
    <m/>
    <n v="0"/>
    <n v="20727"/>
    <n v="0"/>
    <n v="0"/>
    <n v="0"/>
    <n v="67991.596638655465"/>
  </r>
  <r>
    <m/>
    <x v="1"/>
    <x v="15"/>
    <x v="36"/>
    <s v="LHCALBAJ"/>
    <x v="240"/>
    <x v="228"/>
    <x v="0"/>
    <x v="2"/>
    <n v="1"/>
    <x v="162"/>
    <n v="78"/>
    <m/>
    <n v="0"/>
    <n v="1319"/>
    <n v="102882"/>
    <n v="1.34"/>
    <n v="1463.9499999999998"/>
    <n v="5873.9495798319331"/>
    <n v="5033.6134453781515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4"/>
    <s v=""/>
    <n v="5"/>
    <s v=""/>
    <n v="6"/>
    <s v=""/>
    <n v="0.75"/>
    <n v="0"/>
    <s v=""/>
    <n v="0"/>
    <n v="4"/>
    <s v=""/>
    <n v="0.30769230769230771"/>
    <n v="3"/>
    <s v=""/>
    <n v="0.5"/>
    <n v="5"/>
    <n v="100"/>
    <n v="5"/>
    <n v="0"/>
    <n v="0"/>
    <n v="0"/>
    <n v="21104"/>
    <n v="138690"/>
    <n v="6595"/>
    <n v="0"/>
    <n v="78"/>
    <n v="102882"/>
    <n v="24680.460419461906"/>
    <n v="6"/>
    <n v="99"/>
    <n v="6"/>
    <n v="0"/>
    <n v="0"/>
    <n v="0"/>
    <n v="22423"/>
    <n v="137303.09999999998"/>
    <n v="7914"/>
    <n v="0"/>
    <n v="78"/>
    <n v="102882"/>
    <n v="29616.552503354287"/>
    <n v="9"/>
    <n v="95"/>
    <n v="5"/>
    <n v="0"/>
    <n v="0"/>
    <n v="28378"/>
    <n v="125305"/>
    <n v="6595"/>
    <n v="0"/>
    <n v="78"/>
    <n v="102882"/>
    <n v="29369.747899159665"/>
    <n v="8"/>
    <n v="88"/>
    <n v="6"/>
    <n v="0"/>
    <n v="0"/>
    <n v="122047.19999999998"/>
    <n v="7914"/>
    <x v="0"/>
    <x v="0"/>
    <n v="78"/>
    <n v="102882"/>
    <n v="35243.697478991598"/>
    <n v="10"/>
    <n v="78"/>
    <n v="10"/>
    <m/>
    <n v="0"/>
    <n v="0"/>
    <n v="102882"/>
    <n v="13868.999999999998"/>
    <x v="0"/>
    <n v="0"/>
    <n v="78"/>
    <n v="102882"/>
    <n v="58739.495798319331"/>
    <n v="13"/>
    <n v="82"/>
    <n v="4"/>
    <m/>
    <n v="0"/>
    <n v="0"/>
    <n v="108158"/>
    <n v="5547.5999999999995"/>
    <n v="0"/>
    <n v="0"/>
    <n v="82"/>
    <n v="102882"/>
    <n v="23495.798319327732"/>
    <n v="6"/>
    <n v="81"/>
    <n v="6"/>
    <n v="0"/>
    <n v="0"/>
    <n v="0"/>
    <n v="106839"/>
    <n v="8321.4"/>
    <n v="0"/>
    <n v="0"/>
    <n v="81"/>
    <n v="102882"/>
    <n v="35243.697478991598"/>
    <n v="6"/>
    <n v="75"/>
    <n v="6"/>
    <n v="0"/>
    <n v="0"/>
    <n v="0"/>
    <n v="98925"/>
    <n v="8321.4"/>
    <n v="0"/>
    <n v="0"/>
    <n v="75"/>
    <n v="98925"/>
    <n v="35243.697478991598"/>
    <n v="6"/>
    <n v="69"/>
    <n v="6"/>
    <n v="0"/>
    <n v="0"/>
    <m/>
    <n v="95696.099999999991"/>
    <n v="8321.4"/>
    <n v="0"/>
    <n v="0"/>
    <n v="69"/>
    <n v="95696.099999999991"/>
    <n v="35243.697478991598"/>
    <n v="12"/>
    <n v="63"/>
    <n v="12"/>
    <n v="0"/>
    <n v="0"/>
    <n v="0"/>
    <m/>
    <n v="87374.7"/>
    <n v="16642.8"/>
    <n v="0"/>
    <n v="0"/>
    <n v="63"/>
    <n v="87374.7"/>
    <n v="60403.361344537814"/>
    <n v="15"/>
    <n v="51"/>
    <n v="15"/>
    <n v="0"/>
    <n v="0"/>
    <n v="70731.899999999994"/>
    <n v="20803.499999999996"/>
    <n v="0"/>
    <n v="0"/>
    <n v="51"/>
    <n v="70731.899999999994"/>
    <n v="79279.411764705888"/>
    <n v="20"/>
    <n v="36"/>
    <n v="20"/>
    <n v="0"/>
    <n v="0"/>
    <n v="49928.399999999994"/>
    <n v="27737.999999999996"/>
    <n v="0"/>
    <n v="36"/>
    <n v="49928.399999999994"/>
    <n v="117478.99159663866"/>
    <n v="9"/>
    <n v="16"/>
    <n v="9"/>
    <n v="0"/>
    <m/>
    <n v="22190.399999999998"/>
    <n v="11871"/>
    <n v="0"/>
    <n v="16"/>
    <n v="22190.399999999998"/>
    <n v="52865.546218487398"/>
  </r>
  <r>
    <m/>
    <x v="1"/>
    <x v="15"/>
    <x v="36"/>
    <s v="LHCALBAJ"/>
    <x v="241"/>
    <x v="229"/>
    <x v="0"/>
    <x v="2"/>
    <n v="1"/>
    <x v="163"/>
    <n v="87"/>
    <m/>
    <n v="0"/>
    <n v="1319"/>
    <n v="114753"/>
    <n v="1.34"/>
    <n v="1463.9499999999998"/>
    <n v="5873.9495798319331"/>
    <n v="5033.6134453781515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1"/>
    <s v=""/>
    <n v="2"/>
    <s v=""/>
    <n v="4"/>
    <s v=""/>
    <n v="0.5"/>
    <n v="1"/>
    <s v=""/>
    <n v="0.1111111111111111"/>
    <n v="2"/>
    <s v=""/>
    <n v="0.16666666666666666"/>
    <n v="3"/>
    <s v=""/>
    <n v="0.5"/>
    <n v="5"/>
    <n v="100"/>
    <n v="5"/>
    <n v="0"/>
    <n v="0"/>
    <n v="0"/>
    <n v="11211.5"/>
    <n v="138690"/>
    <n v="6595"/>
    <n v="0"/>
    <n v="87"/>
    <n v="114753"/>
    <n v="24680.460419461906"/>
    <n v="6"/>
    <n v="97"/>
    <n v="1.5"/>
    <n v="0"/>
    <n v="0"/>
    <n v="0"/>
    <n v="9892.5"/>
    <n v="134529.29999999999"/>
    <n v="1978.5"/>
    <n v="0"/>
    <n v="87"/>
    <n v="114753"/>
    <n v="7404.1381258385718"/>
    <n v="9"/>
    <n v="96"/>
    <n v="2"/>
    <n v="0"/>
    <n v="0"/>
    <n v="20396.099999999999"/>
    <n v="126624"/>
    <n v="2638"/>
    <n v="0"/>
    <n v="87"/>
    <n v="114753"/>
    <n v="11747.899159663866"/>
    <n v="8"/>
    <n v="92"/>
    <n v="4"/>
    <n v="0"/>
    <n v="0"/>
    <n v="127594.79999999999"/>
    <n v="5276"/>
    <x v="0"/>
    <x v="0"/>
    <n v="87"/>
    <n v="114753"/>
    <n v="23495.798319327732"/>
    <n v="9"/>
    <n v="88"/>
    <n v="9"/>
    <m/>
    <n v="0"/>
    <n v="0"/>
    <n v="116072"/>
    <n v="12482.099999999999"/>
    <x v="0"/>
    <n v="0"/>
    <n v="87"/>
    <n v="114753"/>
    <n v="52865.546218487398"/>
    <n v="12"/>
    <n v="89"/>
    <n v="2"/>
    <m/>
    <n v="0"/>
    <n v="0"/>
    <n v="117391"/>
    <n v="2773.7999999999997"/>
    <n v="0"/>
    <n v="0"/>
    <n v="89"/>
    <n v="114753"/>
    <n v="11747.899159663866"/>
    <n v="6"/>
    <n v="90"/>
    <n v="6"/>
    <n v="0"/>
    <n v="0"/>
    <n v="0"/>
    <n v="118710"/>
    <n v="8321.4"/>
    <n v="0"/>
    <n v="0"/>
    <n v="90"/>
    <n v="114753"/>
    <n v="35243.697478991598"/>
    <n v="6"/>
    <n v="84"/>
    <n v="6"/>
    <n v="0"/>
    <n v="0"/>
    <n v="0"/>
    <n v="110796"/>
    <n v="8321.4"/>
    <n v="0"/>
    <n v="0"/>
    <n v="84"/>
    <n v="110796"/>
    <n v="35243.697478991598"/>
    <n v="6"/>
    <n v="78"/>
    <n v="6"/>
    <n v="0"/>
    <n v="0"/>
    <m/>
    <n v="108178.19999999998"/>
    <n v="8321.4"/>
    <n v="0"/>
    <n v="0"/>
    <n v="78"/>
    <n v="108178.19999999998"/>
    <n v="35243.697478991598"/>
    <n v="12"/>
    <n v="72"/>
    <n v="12"/>
    <n v="0"/>
    <n v="0"/>
    <n v="0"/>
    <m/>
    <n v="99856.799999999988"/>
    <n v="16642.8"/>
    <n v="0"/>
    <n v="0"/>
    <n v="72"/>
    <n v="99856.799999999988"/>
    <n v="60403.361344537814"/>
    <n v="15"/>
    <n v="60"/>
    <n v="15"/>
    <n v="0"/>
    <n v="0"/>
    <n v="83213.999999999985"/>
    <n v="20803.499999999996"/>
    <n v="0"/>
    <n v="0"/>
    <n v="60"/>
    <n v="83213.999999999985"/>
    <n v="79279.411764705888"/>
    <n v="20"/>
    <n v="45"/>
    <n v="20"/>
    <n v="0"/>
    <n v="0"/>
    <n v="62410.499999999993"/>
    <n v="27737.999999999996"/>
    <n v="0"/>
    <n v="45"/>
    <n v="62410.499999999993"/>
    <n v="117478.99159663866"/>
    <n v="9"/>
    <n v="25"/>
    <n v="9"/>
    <n v="0"/>
    <m/>
    <n v="34672.5"/>
    <n v="11871"/>
    <n v="0"/>
    <n v="25"/>
    <n v="34672.5"/>
    <n v="52865.546218487398"/>
  </r>
  <r>
    <m/>
    <x v="1"/>
    <x v="15"/>
    <x v="36"/>
    <s v="LHCALBAJ"/>
    <x v="242"/>
    <x v="230"/>
    <x v="0"/>
    <x v="2"/>
    <n v="1"/>
    <x v="164"/>
    <n v="89"/>
    <m/>
    <n v="0"/>
    <n v="1319"/>
    <n v="117391"/>
    <n v="1.34"/>
    <n v="1463.9499999999998"/>
    <n v="5873.9495798319331"/>
    <n v="5033.6134453781515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7"/>
    <s v=""/>
    <n v="3"/>
    <s v=""/>
    <n v="0.375"/>
    <n v="0"/>
    <s v=""/>
    <n v="0"/>
    <n v="0"/>
    <s v=""/>
    <n v="0"/>
    <n v="0"/>
    <s v=""/>
    <n v="0"/>
    <n v="5"/>
    <n v="100"/>
    <n v="5"/>
    <n v="0"/>
    <n v="0"/>
    <n v="0"/>
    <n v="17806.5"/>
    <n v="138690"/>
    <n v="6595"/>
    <n v="0"/>
    <n v="89"/>
    <n v="117391"/>
    <n v="24680.460419461906"/>
    <n v="6"/>
    <n v="99"/>
    <n v="1.5"/>
    <n v="0"/>
    <n v="0"/>
    <n v="0"/>
    <n v="15168.5"/>
    <n v="137303.09999999998"/>
    <n v="1978.5"/>
    <n v="0"/>
    <n v="89"/>
    <n v="117391"/>
    <n v="7404.1381258385718"/>
    <n v="9"/>
    <n v="98"/>
    <n v="7"/>
    <n v="0"/>
    <n v="0"/>
    <n v="25672.1"/>
    <n v="129262"/>
    <n v="9233"/>
    <n v="0"/>
    <n v="89"/>
    <n v="117391"/>
    <n v="41117.647058823532"/>
    <n v="8"/>
    <n v="89"/>
    <n v="3"/>
    <n v="0"/>
    <n v="0"/>
    <n v="123434.09999999999"/>
    <n v="3957"/>
    <x v="0"/>
    <x v="0"/>
    <n v="89"/>
    <n v="117391"/>
    <n v="17621.848739495799"/>
    <n v="9"/>
    <n v="89"/>
    <n v="9"/>
    <m/>
    <n v="0"/>
    <n v="0"/>
    <n v="117391"/>
    <n v="12482.099999999999"/>
    <x v="0"/>
    <n v="0"/>
    <n v="89"/>
    <n v="117391"/>
    <n v="52865.546218487398"/>
    <n v="12"/>
    <n v="89"/>
    <n v="0"/>
    <m/>
    <n v="0"/>
    <n v="0"/>
    <n v="117391"/>
    <n v="0"/>
    <n v="0"/>
    <n v="0"/>
    <n v="89"/>
    <n v="117391"/>
    <n v="0"/>
    <n v="6"/>
    <n v="89"/>
    <n v="6"/>
    <n v="0"/>
    <n v="0"/>
    <n v="0"/>
    <n v="117391"/>
    <n v="8321.4"/>
    <n v="0"/>
    <n v="0"/>
    <n v="89"/>
    <n v="117391"/>
    <n v="35243.697478991598"/>
    <n v="6"/>
    <n v="83"/>
    <n v="6"/>
    <n v="0"/>
    <n v="0"/>
    <n v="0"/>
    <n v="109477"/>
    <n v="8321.4"/>
    <n v="0"/>
    <n v="0"/>
    <n v="83"/>
    <n v="109477"/>
    <n v="35243.697478991598"/>
    <n v="6"/>
    <n v="77"/>
    <n v="6"/>
    <n v="0"/>
    <n v="0"/>
    <m/>
    <n v="106791.29999999999"/>
    <n v="8321.4"/>
    <n v="0"/>
    <n v="0"/>
    <n v="77"/>
    <n v="106791.29999999999"/>
    <n v="35243.697478991598"/>
    <n v="12"/>
    <n v="71"/>
    <n v="12"/>
    <n v="0"/>
    <n v="0"/>
    <n v="0"/>
    <m/>
    <n v="98469.9"/>
    <n v="16642.8"/>
    <n v="0"/>
    <n v="0"/>
    <n v="71"/>
    <n v="98469.9"/>
    <n v="60403.361344537814"/>
    <n v="15"/>
    <n v="59"/>
    <n v="15"/>
    <n v="0"/>
    <n v="0"/>
    <n v="81827.099999999991"/>
    <n v="20803.499999999996"/>
    <n v="0"/>
    <n v="0"/>
    <n v="59"/>
    <n v="81827.099999999991"/>
    <n v="79279.411764705888"/>
    <n v="20"/>
    <n v="44"/>
    <n v="20"/>
    <n v="0"/>
    <n v="0"/>
    <n v="61023.599999999991"/>
    <n v="27737.999999999996"/>
    <n v="0"/>
    <n v="44"/>
    <n v="61023.599999999991"/>
    <n v="117478.99159663866"/>
    <n v="9"/>
    <n v="24"/>
    <n v="9"/>
    <n v="0"/>
    <m/>
    <n v="33285.599999999999"/>
    <n v="11871"/>
    <n v="0"/>
    <n v="24"/>
    <n v="33285.599999999999"/>
    <n v="52865.546218487398"/>
  </r>
  <r>
    <m/>
    <x v="1"/>
    <x v="15"/>
    <x v="36"/>
    <s v="LHCALBAJ"/>
    <x v="243"/>
    <x v="231"/>
    <x v="0"/>
    <x v="2"/>
    <n v="1"/>
    <x v="165"/>
    <n v="61"/>
    <m/>
    <n v="0"/>
    <n v="1319"/>
    <n v="80459"/>
    <n v="1.34"/>
    <n v="1463.9499999999998"/>
    <n v="5873.9495798319331"/>
    <n v="5033.6134453781515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7"/>
    <s v=""/>
    <n v="6"/>
    <s v=""/>
    <n v="6"/>
    <s v=""/>
    <n v="8"/>
    <s v=""/>
    <n v="1"/>
    <n v="2"/>
    <s v=""/>
    <n v="0.18181818181818182"/>
    <n v="6"/>
    <s v=""/>
    <n v="0.4"/>
    <n v="6"/>
    <s v=""/>
    <n v="1"/>
    <n v="5"/>
    <n v="100"/>
    <n v="5"/>
    <n v="0"/>
    <n v="0"/>
    <n v="0"/>
    <n v="26380"/>
    <n v="138690"/>
    <n v="6595"/>
    <n v="0"/>
    <n v="61"/>
    <n v="80459"/>
    <n v="24680.460419461906"/>
    <n v="6"/>
    <n v="93"/>
    <n v="9"/>
    <n v="0"/>
    <n v="0"/>
    <n v="0"/>
    <n v="30337"/>
    <n v="128981.69999999998"/>
    <n v="11871"/>
    <n v="0"/>
    <n v="61"/>
    <n v="80459"/>
    <n v="44424.828755031427"/>
    <n v="9"/>
    <n v="82"/>
    <n v="6"/>
    <n v="0"/>
    <n v="0"/>
    <n v="33721.899999999994"/>
    <n v="108158"/>
    <n v="7914"/>
    <n v="0"/>
    <n v="61"/>
    <n v="80459"/>
    <n v="35243.697478991598"/>
    <n v="8"/>
    <n v="80"/>
    <n v="8"/>
    <n v="0"/>
    <n v="0"/>
    <n v="110951.99999999999"/>
    <n v="10552"/>
    <x v="0"/>
    <x v="0"/>
    <n v="61"/>
    <n v="80459"/>
    <n v="46991.596638655465"/>
    <n v="11"/>
    <n v="63"/>
    <n v="11"/>
    <m/>
    <n v="0"/>
    <n v="0"/>
    <n v="83097"/>
    <n v="15255.899999999998"/>
    <x v="0"/>
    <n v="0"/>
    <n v="61"/>
    <n v="80459"/>
    <n v="64613.445378151264"/>
    <n v="15"/>
    <n v="67"/>
    <n v="6"/>
    <m/>
    <n v="0"/>
    <n v="0"/>
    <n v="88373"/>
    <n v="8321.4"/>
    <n v="0"/>
    <n v="0"/>
    <n v="67"/>
    <n v="80459"/>
    <n v="35243.697478991598"/>
    <n v="6"/>
    <n v="67"/>
    <n v="6"/>
    <n v="0"/>
    <n v="0"/>
    <n v="0"/>
    <n v="88373"/>
    <n v="8321.4"/>
    <n v="0"/>
    <n v="0"/>
    <n v="67"/>
    <n v="80459"/>
    <n v="35243.697478991598"/>
    <n v="6"/>
    <n v="61"/>
    <n v="6"/>
    <n v="0"/>
    <n v="0"/>
    <n v="0"/>
    <n v="80459"/>
    <n v="8321.4"/>
    <n v="0"/>
    <n v="0"/>
    <n v="61"/>
    <n v="80459"/>
    <n v="35243.697478991598"/>
    <n v="6"/>
    <n v="55"/>
    <n v="6"/>
    <n v="0"/>
    <n v="0"/>
    <m/>
    <n v="76279.499999999985"/>
    <n v="8321.4"/>
    <n v="0"/>
    <n v="0"/>
    <n v="55"/>
    <n v="76279.499999999985"/>
    <n v="35243.697478991598"/>
    <n v="12"/>
    <n v="49"/>
    <n v="12"/>
    <n v="0"/>
    <n v="0"/>
    <n v="0"/>
    <m/>
    <n v="67958.099999999991"/>
    <n v="16642.8"/>
    <n v="0"/>
    <n v="0"/>
    <n v="49"/>
    <n v="67958.099999999991"/>
    <n v="60403.361344537814"/>
    <n v="15"/>
    <n v="37"/>
    <n v="15"/>
    <n v="0"/>
    <n v="0"/>
    <n v="51315.299999999996"/>
    <n v="20803.499999999996"/>
    <n v="0"/>
    <n v="0"/>
    <n v="37"/>
    <n v="51315.299999999996"/>
    <n v="79279.411764705888"/>
    <n v="20"/>
    <n v="22"/>
    <n v="20"/>
    <n v="0"/>
    <n v="0"/>
    <n v="30511.799999999996"/>
    <n v="27737.999999999996"/>
    <n v="0"/>
    <n v="22"/>
    <n v="30511.799999999996"/>
    <n v="117478.99159663866"/>
    <n v="9"/>
    <n v="2"/>
    <n v="9"/>
    <n v="0"/>
    <m/>
    <n v="2773.7999999999997"/>
    <n v="11871"/>
    <n v="0"/>
    <n v="2"/>
    <n v="2773.7999999999997"/>
    <n v="52865.546218487398"/>
  </r>
  <r>
    <m/>
    <x v="1"/>
    <x v="15"/>
    <x v="36"/>
    <s v="LHCALBAJ"/>
    <x v="244"/>
    <x v="232"/>
    <x v="0"/>
    <x v="2"/>
    <n v="1"/>
    <x v="166"/>
    <n v="87"/>
    <m/>
    <n v="0"/>
    <n v="1319"/>
    <n v="114753"/>
    <n v="1.34"/>
    <n v="1463.9499999999998"/>
    <n v="5873.9495798319331"/>
    <n v="5033.6134453781515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7"/>
    <s v=""/>
    <n v="3"/>
    <s v=""/>
    <n v="0.375"/>
    <n v="2"/>
    <s v=""/>
    <n v="0.14285714285714285"/>
    <n v="1"/>
    <s v=""/>
    <n v="5.5555555555555552E-2"/>
    <n v="0"/>
    <s v=""/>
    <n v="0"/>
    <n v="5"/>
    <n v="100"/>
    <n v="5"/>
    <n v="0"/>
    <n v="0"/>
    <n v="0"/>
    <n v="15828"/>
    <n v="138690"/>
    <n v="6595"/>
    <n v="0"/>
    <n v="87"/>
    <n v="114753"/>
    <n v="24680.460419461906"/>
    <n v="6"/>
    <n v="100"/>
    <n v="0"/>
    <n v="0"/>
    <n v="0"/>
    <n v="0"/>
    <n v="13190"/>
    <n v="138690"/>
    <n v="0"/>
    <n v="0"/>
    <n v="87"/>
    <n v="114753"/>
    <n v="0"/>
    <n v="9"/>
    <n v="100"/>
    <n v="7"/>
    <n v="0"/>
    <n v="0"/>
    <n v="32606.6"/>
    <n v="131900"/>
    <n v="9233"/>
    <n v="0"/>
    <n v="87"/>
    <n v="114753"/>
    <n v="41117.647058823532"/>
    <n v="8"/>
    <n v="91"/>
    <n v="3"/>
    <n v="0"/>
    <n v="0"/>
    <n v="126207.9"/>
    <n v="3957"/>
    <x v="0"/>
    <x v="0"/>
    <n v="87"/>
    <n v="114753"/>
    <n v="17621.848739495799"/>
    <n v="14"/>
    <n v="89"/>
    <n v="14"/>
    <m/>
    <n v="0"/>
    <n v="0"/>
    <n v="117391"/>
    <n v="19416.599999999999"/>
    <x v="0"/>
    <n v="0"/>
    <n v="87"/>
    <n v="114753"/>
    <n v="82235.294117647063"/>
    <n v="18"/>
    <n v="88"/>
    <n v="1"/>
    <m/>
    <n v="0"/>
    <n v="0"/>
    <n v="116072"/>
    <n v="1386.8999999999999"/>
    <n v="0"/>
    <n v="0"/>
    <n v="88"/>
    <n v="114753"/>
    <n v="5873.9495798319331"/>
    <n v="6"/>
    <n v="87"/>
    <n v="6"/>
    <n v="0"/>
    <n v="0"/>
    <n v="0"/>
    <n v="114753"/>
    <n v="8321.4"/>
    <n v="0"/>
    <n v="0"/>
    <n v="87"/>
    <n v="114753"/>
    <n v="35243.697478991598"/>
    <n v="6"/>
    <n v="81"/>
    <n v="6"/>
    <n v="0"/>
    <n v="0"/>
    <n v="0"/>
    <n v="106839"/>
    <n v="8321.4"/>
    <n v="0"/>
    <n v="0"/>
    <n v="81"/>
    <n v="106839"/>
    <n v="35243.697478991598"/>
    <n v="6"/>
    <n v="75"/>
    <n v="6"/>
    <n v="0"/>
    <n v="0"/>
    <m/>
    <n v="104017.49999999999"/>
    <n v="8321.4"/>
    <n v="0"/>
    <n v="0"/>
    <n v="75"/>
    <n v="104017.49999999999"/>
    <n v="35243.697478991598"/>
    <n v="12"/>
    <n v="69"/>
    <n v="12"/>
    <n v="0"/>
    <n v="0"/>
    <n v="0"/>
    <m/>
    <n v="95696.099999999991"/>
    <n v="16642.8"/>
    <n v="0"/>
    <n v="0"/>
    <n v="69"/>
    <n v="95696.099999999991"/>
    <n v="60403.361344537814"/>
    <n v="15"/>
    <n v="57"/>
    <n v="15"/>
    <n v="0"/>
    <n v="0"/>
    <n v="79053.299999999988"/>
    <n v="20803.499999999996"/>
    <n v="0"/>
    <n v="0"/>
    <n v="57"/>
    <n v="79053.299999999988"/>
    <n v="79279.411764705888"/>
    <n v="20"/>
    <n v="42"/>
    <n v="20"/>
    <n v="0"/>
    <n v="0"/>
    <n v="58249.799999999996"/>
    <n v="27737.999999999996"/>
    <n v="0"/>
    <n v="42"/>
    <n v="58249.799999999996"/>
    <n v="117478.99159663866"/>
    <n v="9"/>
    <n v="22"/>
    <n v="9"/>
    <n v="0"/>
    <m/>
    <n v="30511.799999999996"/>
    <n v="11871"/>
    <n v="0"/>
    <n v="22"/>
    <n v="30511.799999999996"/>
    <n v="52865.546218487398"/>
  </r>
  <r>
    <m/>
    <x v="1"/>
    <x v="15"/>
    <x v="36"/>
    <s v="LHCALBAJ"/>
    <x v="245"/>
    <x v="233"/>
    <x v="0"/>
    <x v="2"/>
    <n v="1"/>
    <x v="167"/>
    <n v="87"/>
    <m/>
    <n v="0"/>
    <n v="1319"/>
    <n v="114753"/>
    <n v="1.34"/>
    <n v="1463.9499999999998"/>
    <n v="5873.9495798319331"/>
    <n v="5033.6134453781515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2"/>
    <s v=""/>
    <n v="2"/>
    <s v=""/>
    <n v="3"/>
    <s v=""/>
    <n v="0.375"/>
    <n v="1"/>
    <s v=""/>
    <n v="0.1"/>
    <n v="0"/>
    <s v=""/>
    <n v="0"/>
    <n v="0"/>
    <s v=""/>
    <n v="0"/>
    <n v="5"/>
    <n v="100"/>
    <n v="5"/>
    <n v="0"/>
    <n v="0"/>
    <n v="0"/>
    <n v="13190"/>
    <n v="138690"/>
    <n v="6595"/>
    <n v="0"/>
    <n v="87"/>
    <n v="114753"/>
    <n v="24680.460419461906"/>
    <n v="6"/>
    <n v="93"/>
    <n v="3"/>
    <n v="0"/>
    <n v="0"/>
    <n v="0"/>
    <n v="10552"/>
    <n v="128981.69999999998"/>
    <n v="3957"/>
    <n v="0"/>
    <n v="87"/>
    <n v="114753"/>
    <n v="14808.276251677144"/>
    <n v="9"/>
    <n v="91"/>
    <n v="2"/>
    <n v="0"/>
    <n v="0"/>
    <n v="20464"/>
    <n v="120029"/>
    <n v="2638"/>
    <n v="0"/>
    <n v="87"/>
    <n v="114753"/>
    <n v="11747.899159663866"/>
    <n v="8"/>
    <n v="87"/>
    <n v="3"/>
    <n v="0"/>
    <n v="0"/>
    <n v="120660.29999999999"/>
    <n v="3957"/>
    <x v="0"/>
    <x v="0"/>
    <n v="87"/>
    <n v="114753"/>
    <n v="17621.848739495799"/>
    <n v="10"/>
    <n v="88"/>
    <n v="10"/>
    <m/>
    <n v="0"/>
    <n v="0"/>
    <n v="116072"/>
    <n v="13868.999999999998"/>
    <x v="0"/>
    <n v="0"/>
    <n v="87"/>
    <n v="114753"/>
    <n v="58739.495798319331"/>
    <n v="14"/>
    <n v="87"/>
    <n v="0"/>
    <m/>
    <n v="0"/>
    <n v="0"/>
    <n v="114753"/>
    <n v="0"/>
    <n v="0"/>
    <n v="0"/>
    <n v="87"/>
    <n v="114753"/>
    <n v="0"/>
    <n v="6"/>
    <n v="87"/>
    <n v="6"/>
    <n v="0"/>
    <n v="0"/>
    <n v="0"/>
    <n v="114753"/>
    <n v="8321.4"/>
    <n v="0"/>
    <n v="0"/>
    <n v="87"/>
    <n v="114753"/>
    <n v="35243.697478991598"/>
    <n v="6"/>
    <n v="81"/>
    <n v="6"/>
    <n v="0"/>
    <n v="0"/>
    <n v="0"/>
    <n v="106839"/>
    <n v="8321.4"/>
    <n v="0"/>
    <n v="0"/>
    <n v="81"/>
    <n v="106839"/>
    <n v="35243.697478991598"/>
    <n v="6"/>
    <n v="75"/>
    <n v="6"/>
    <n v="0"/>
    <n v="0"/>
    <m/>
    <n v="104017.49999999999"/>
    <n v="8321.4"/>
    <n v="0"/>
    <n v="0"/>
    <n v="75"/>
    <n v="104017.49999999999"/>
    <n v="35243.697478991598"/>
    <n v="12"/>
    <n v="69"/>
    <n v="12"/>
    <n v="0"/>
    <n v="0"/>
    <n v="0"/>
    <m/>
    <n v="95696.099999999991"/>
    <n v="16642.8"/>
    <n v="0"/>
    <n v="0"/>
    <n v="69"/>
    <n v="95696.099999999991"/>
    <n v="60403.361344537814"/>
    <n v="15"/>
    <n v="57"/>
    <n v="15"/>
    <n v="0"/>
    <n v="0"/>
    <n v="79053.299999999988"/>
    <n v="20803.499999999996"/>
    <n v="0"/>
    <n v="0"/>
    <n v="57"/>
    <n v="79053.299999999988"/>
    <n v="79279.411764705888"/>
    <n v="20"/>
    <n v="42"/>
    <n v="20"/>
    <n v="0"/>
    <n v="0"/>
    <n v="58249.799999999996"/>
    <n v="27737.999999999996"/>
    <n v="0"/>
    <n v="42"/>
    <n v="58249.799999999996"/>
    <n v="117478.99159663866"/>
    <n v="9"/>
    <n v="22"/>
    <n v="9"/>
    <n v="0"/>
    <m/>
    <n v="30511.799999999996"/>
    <n v="11871"/>
    <n v="0"/>
    <n v="22"/>
    <n v="30511.799999999996"/>
    <n v="52865.546218487398"/>
  </r>
  <r>
    <m/>
    <x v="1"/>
    <x v="15"/>
    <x v="36"/>
    <s v="LHCALLAR"/>
    <x v="246"/>
    <x v="234"/>
    <x v="0"/>
    <x v="2"/>
    <n v="1"/>
    <x v="168"/>
    <n v="85"/>
    <m/>
    <n v="0"/>
    <n v="2807"/>
    <n v="238595"/>
    <n v="1.91"/>
    <n v="2086.6749999999997"/>
    <n v="8394.957983193277"/>
    <n v="7554.6218487394963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s v=""/>
    <n v="4"/>
    <s v=""/>
    <n v="0.5"/>
    <n v="1"/>
    <s v=""/>
    <n v="0.1"/>
    <n v="8"/>
    <s v=""/>
    <n v="0.5714285714285714"/>
    <n v="3"/>
    <s v=""/>
    <n v="0.5"/>
    <n v="5"/>
    <n v="100"/>
    <n v="5"/>
    <n v="0"/>
    <n v="0"/>
    <n v="0"/>
    <n v="30877"/>
    <n v="197685"/>
    <n v="14035"/>
    <n v="0"/>
    <n v="85"/>
    <n v="238595"/>
    <n v="35272.932702492762"/>
    <n v="6"/>
    <n v="100"/>
    <n v="0"/>
    <n v="0"/>
    <n v="0"/>
    <n v="0"/>
    <n v="28070"/>
    <n v="197685"/>
    <n v="0"/>
    <n v="0"/>
    <n v="85"/>
    <n v="238595"/>
    <n v="0"/>
    <n v="9"/>
    <n v="100"/>
    <n v="6"/>
    <n v="0"/>
    <n v="0"/>
    <n v="47838.5"/>
    <n v="280700"/>
    <n v="16842"/>
    <n v="0"/>
    <n v="85"/>
    <n v="238595"/>
    <n v="50369.747899159658"/>
    <n v="8"/>
    <n v="94"/>
    <n v="4"/>
    <n v="0"/>
    <n v="0"/>
    <n v="185823.9"/>
    <n v="11228"/>
    <x v="0"/>
    <x v="0"/>
    <n v="85"/>
    <n v="238595"/>
    <n v="33579.831932773108"/>
    <n v="10"/>
    <n v="86"/>
    <n v="10"/>
    <m/>
    <n v="0"/>
    <n v="0"/>
    <n v="241402"/>
    <n v="19768.5"/>
    <x v="0"/>
    <n v="0"/>
    <n v="85"/>
    <n v="238595"/>
    <n v="83949.579831932773"/>
    <n v="14"/>
    <n v="93"/>
    <n v="8"/>
    <m/>
    <n v="0"/>
    <n v="0"/>
    <n v="261051"/>
    <n v="15814.8"/>
    <n v="0"/>
    <n v="0"/>
    <n v="93"/>
    <n v="238595"/>
    <n v="67159.663865546216"/>
    <n v="6"/>
    <n v="88"/>
    <n v="6"/>
    <n v="0"/>
    <n v="0"/>
    <n v="0"/>
    <n v="247016"/>
    <n v="11861.099999999999"/>
    <n v="0"/>
    <n v="0"/>
    <n v="88"/>
    <n v="238595"/>
    <n v="50369.747899159658"/>
    <n v="6"/>
    <n v="82"/>
    <n v="6"/>
    <n v="0"/>
    <n v="0"/>
    <n v="0"/>
    <n v="230174"/>
    <n v="11861.099999999999"/>
    <n v="0"/>
    <n v="0"/>
    <n v="82"/>
    <n v="230174"/>
    <n v="50369.747899159658"/>
    <n v="6"/>
    <n v="76"/>
    <n v="6"/>
    <n v="0"/>
    <n v="0"/>
    <m/>
    <n v="150240.6"/>
    <n v="11861.099999999999"/>
    <n v="0"/>
    <n v="0"/>
    <n v="76"/>
    <n v="150240.6"/>
    <n v="50369.747899159658"/>
    <n v="12"/>
    <n v="70"/>
    <n v="12"/>
    <n v="0"/>
    <n v="0"/>
    <n v="0"/>
    <m/>
    <n v="138379.5"/>
    <n v="23722.199999999997"/>
    <n v="0"/>
    <n v="0"/>
    <n v="70"/>
    <n v="138379.5"/>
    <n v="90655.462184873963"/>
    <n v="15"/>
    <n v="58"/>
    <n v="15"/>
    <n v="0"/>
    <n v="0"/>
    <n v="114657.29999999999"/>
    <n v="29652.75"/>
    <n v="0"/>
    <n v="0"/>
    <n v="58"/>
    <n v="114657.29999999999"/>
    <n v="118985.29411764708"/>
    <n v="20"/>
    <n v="43"/>
    <n v="20"/>
    <n v="0"/>
    <n v="0"/>
    <n v="85004.55"/>
    <n v="39537"/>
    <n v="0"/>
    <n v="43"/>
    <n v="85004.55"/>
    <n v="167899.15966386555"/>
    <n v="9"/>
    <n v="23"/>
    <n v="9"/>
    <n v="0"/>
    <m/>
    <n v="45467.549999999996"/>
    <n v="25263"/>
    <n v="0"/>
    <n v="23"/>
    <n v="45467.549999999996"/>
    <n v="75554.621848739494"/>
  </r>
  <r>
    <m/>
    <x v="1"/>
    <x v="15"/>
    <x v="36"/>
    <s v="LHCALLAR"/>
    <x v="247"/>
    <x v="235"/>
    <x v="0"/>
    <x v="2"/>
    <n v="1"/>
    <x v="12"/>
    <n v="95"/>
    <m/>
    <n v="0"/>
    <n v="2807"/>
    <n v="266665"/>
    <n v="1.91"/>
    <n v="2086.6749999999997"/>
    <n v="8394.957983193277"/>
    <n v="7554.6218487394963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0"/>
    <s v=""/>
    <n v="4"/>
    <s v=""/>
    <n v="0.5"/>
    <n v="0"/>
    <s v=""/>
    <n v="0"/>
    <n v="4"/>
    <s v=""/>
    <n v="0.33333333333333331"/>
    <n v="0"/>
    <s v=""/>
    <n v="0"/>
    <n v="5"/>
    <n v="100"/>
    <n v="5"/>
    <n v="0"/>
    <n v="0"/>
    <n v="0"/>
    <n v="14035"/>
    <n v="197685"/>
    <n v="14035"/>
    <n v="0"/>
    <n v="95"/>
    <n v="266665"/>
    <n v="35272.932702492762"/>
    <n v="6"/>
    <n v="99"/>
    <n v="0"/>
    <n v="0"/>
    <n v="0"/>
    <n v="0"/>
    <n v="11228"/>
    <n v="195708.15"/>
    <n v="0"/>
    <n v="0"/>
    <n v="95"/>
    <n v="266665"/>
    <n v="0"/>
    <n v="9"/>
    <n v="99"/>
    <n v="0"/>
    <n v="0"/>
    <n v="0"/>
    <n v="29019.649999999998"/>
    <n v="277893"/>
    <n v="0"/>
    <n v="0"/>
    <n v="95"/>
    <n v="266665"/>
    <n v="0"/>
    <n v="8"/>
    <n v="98"/>
    <n v="4"/>
    <n v="0"/>
    <n v="0"/>
    <n v="193731.3"/>
    <n v="11228"/>
    <x v="0"/>
    <x v="0"/>
    <n v="95"/>
    <n v="266665"/>
    <n v="33579.831932773108"/>
    <n v="9"/>
    <n v="95"/>
    <n v="9"/>
    <m/>
    <n v="0"/>
    <n v="0"/>
    <n v="266665"/>
    <n v="17791.649999999998"/>
    <x v="0"/>
    <n v="0"/>
    <n v="95"/>
    <n v="266665"/>
    <n v="75554.621848739494"/>
    <n v="12"/>
    <n v="99"/>
    <n v="4"/>
    <m/>
    <n v="0"/>
    <n v="0"/>
    <n v="277893"/>
    <n v="7907.4"/>
    <n v="0"/>
    <n v="0"/>
    <n v="99"/>
    <n v="266665"/>
    <n v="33579.831932773108"/>
    <n v="6"/>
    <n v="95"/>
    <n v="6"/>
    <n v="0"/>
    <n v="0"/>
    <n v="0"/>
    <n v="266665"/>
    <n v="11861.099999999999"/>
    <n v="0"/>
    <n v="0"/>
    <n v="95"/>
    <n v="266665"/>
    <n v="50369.747899159658"/>
    <n v="6"/>
    <n v="89"/>
    <n v="6"/>
    <n v="0"/>
    <n v="0"/>
    <n v="0"/>
    <n v="249823"/>
    <n v="11861.099999999999"/>
    <n v="0"/>
    <n v="0"/>
    <n v="89"/>
    <n v="249823"/>
    <n v="50369.747899159658"/>
    <n v="6"/>
    <n v="83"/>
    <n v="6"/>
    <n v="0"/>
    <n v="0"/>
    <m/>
    <n v="164078.54999999999"/>
    <n v="11861.099999999999"/>
    <n v="0"/>
    <n v="0"/>
    <n v="83"/>
    <n v="164078.54999999999"/>
    <n v="50369.747899159658"/>
    <n v="12"/>
    <n v="77"/>
    <n v="12"/>
    <n v="0"/>
    <n v="0"/>
    <n v="0"/>
    <m/>
    <n v="152217.44999999998"/>
    <n v="23722.199999999997"/>
    <n v="0"/>
    <n v="0"/>
    <n v="77"/>
    <n v="152217.44999999998"/>
    <n v="90655.462184873963"/>
    <n v="15"/>
    <n v="65"/>
    <n v="15"/>
    <n v="0"/>
    <n v="0"/>
    <n v="128495.25"/>
    <n v="29652.75"/>
    <n v="0"/>
    <n v="0"/>
    <n v="65"/>
    <n v="128495.25"/>
    <n v="118985.29411764708"/>
    <n v="20"/>
    <n v="50"/>
    <n v="20"/>
    <n v="0"/>
    <n v="0"/>
    <n v="98842.5"/>
    <n v="39537"/>
    <n v="0"/>
    <n v="50"/>
    <n v="98842.5"/>
    <n v="167899.15966386555"/>
    <n v="9"/>
    <n v="30"/>
    <n v="9"/>
    <n v="0"/>
    <m/>
    <n v="59305.5"/>
    <n v="25263"/>
    <n v="0"/>
    <n v="30"/>
    <n v="59305.5"/>
    <n v="75554.621848739494"/>
  </r>
  <r>
    <m/>
    <x v="1"/>
    <x v="15"/>
    <x v="36"/>
    <s v="LHCALLAR"/>
    <x v="248"/>
    <x v="236"/>
    <x v="0"/>
    <x v="2"/>
    <n v="1"/>
    <x v="169"/>
    <n v="75"/>
    <m/>
    <n v="0"/>
    <n v="2807"/>
    <n v="210525"/>
    <n v="1.91"/>
    <n v="2086.6749999999997"/>
    <n v="8394.957983193277"/>
    <n v="7554.6218487394963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5"/>
    <s v=""/>
    <n v="4"/>
    <s v=""/>
    <n v="0.5"/>
    <n v="2"/>
    <s v=""/>
    <n v="0.22222222222222221"/>
    <n v="11"/>
    <s v=""/>
    <n v="0.84615384615384615"/>
    <n v="2"/>
    <s v=""/>
    <n v="0.33333333333333331"/>
    <n v="5"/>
    <n v="100"/>
    <n v="5"/>
    <n v="0"/>
    <n v="0"/>
    <n v="0"/>
    <n v="32280.5"/>
    <n v="197685"/>
    <n v="14035"/>
    <n v="0"/>
    <n v="75"/>
    <n v="210525"/>
    <n v="35272.932702492762"/>
    <n v="6"/>
    <n v="99"/>
    <n v="1.5"/>
    <n v="0"/>
    <n v="0"/>
    <n v="0"/>
    <n v="29473.5"/>
    <n v="195708.15"/>
    <n v="4210.5"/>
    <n v="0"/>
    <n v="75"/>
    <n v="210525"/>
    <n v="10581.879810747829"/>
    <n v="9"/>
    <n v="98"/>
    <n v="5"/>
    <n v="0"/>
    <n v="0"/>
    <n v="43054.649999999994"/>
    <n v="275086"/>
    <n v="14035"/>
    <n v="0"/>
    <n v="75"/>
    <n v="210525"/>
    <n v="41974.789915966387"/>
    <n v="8"/>
    <n v="93"/>
    <n v="4"/>
    <n v="0"/>
    <n v="0"/>
    <n v="183847.05"/>
    <n v="11228"/>
    <x v="0"/>
    <x v="0"/>
    <n v="75"/>
    <n v="210525"/>
    <n v="33579.831932773108"/>
    <n v="9"/>
    <n v="77"/>
    <n v="9"/>
    <m/>
    <n v="0"/>
    <n v="0"/>
    <n v="216139"/>
    <n v="17791.649999999998"/>
    <x v="0"/>
    <n v="0"/>
    <n v="75"/>
    <n v="210525"/>
    <n v="75554.621848739494"/>
    <n v="13"/>
    <n v="86"/>
    <n v="11"/>
    <m/>
    <n v="0"/>
    <n v="0"/>
    <n v="241402"/>
    <n v="21745.35"/>
    <n v="0"/>
    <n v="0"/>
    <n v="86"/>
    <n v="210525"/>
    <n v="92344.537815126052"/>
    <n v="6"/>
    <n v="77"/>
    <n v="6"/>
    <n v="0"/>
    <n v="0"/>
    <n v="0"/>
    <n v="216139"/>
    <n v="11861.099999999999"/>
    <n v="0"/>
    <n v="0"/>
    <n v="77"/>
    <n v="210525"/>
    <n v="50369.747899159658"/>
    <n v="6"/>
    <n v="71"/>
    <n v="6"/>
    <n v="0"/>
    <n v="0"/>
    <n v="0"/>
    <n v="199297"/>
    <n v="11861.099999999999"/>
    <n v="0"/>
    <n v="0"/>
    <n v="71"/>
    <n v="199297"/>
    <n v="50369.747899159658"/>
    <n v="6"/>
    <n v="65"/>
    <n v="6"/>
    <n v="0"/>
    <n v="0"/>
    <m/>
    <n v="128495.25"/>
    <n v="11861.099999999999"/>
    <n v="0"/>
    <n v="0"/>
    <n v="65"/>
    <n v="128495.25"/>
    <n v="50369.747899159658"/>
    <n v="12"/>
    <n v="59"/>
    <n v="12"/>
    <n v="0"/>
    <n v="0"/>
    <n v="0"/>
    <m/>
    <n v="116634.15"/>
    <n v="23722.199999999997"/>
    <n v="0"/>
    <n v="0"/>
    <n v="59"/>
    <n v="116634.15"/>
    <n v="90655.462184873963"/>
    <n v="15"/>
    <n v="47"/>
    <n v="15"/>
    <n v="0"/>
    <n v="0"/>
    <n v="92911.95"/>
    <n v="29652.75"/>
    <n v="0"/>
    <n v="0"/>
    <n v="47"/>
    <n v="92911.95"/>
    <n v="118985.29411764708"/>
    <n v="20"/>
    <n v="32"/>
    <n v="20"/>
    <n v="0"/>
    <n v="0"/>
    <n v="63259.199999999997"/>
    <n v="39537"/>
    <n v="0"/>
    <n v="32"/>
    <n v="63259.199999999997"/>
    <n v="167899.15966386555"/>
    <n v="9"/>
    <n v="12"/>
    <n v="9"/>
    <n v="0"/>
    <m/>
    <n v="23722.199999999997"/>
    <n v="25263"/>
    <n v="0"/>
    <n v="12"/>
    <n v="23722.199999999997"/>
    <n v="75554.621848739494"/>
  </r>
  <r>
    <m/>
    <x v="1"/>
    <x v="15"/>
    <x v="36"/>
    <s v="LHCALLAR"/>
    <x v="249"/>
    <x v="237"/>
    <x v="0"/>
    <x v="2"/>
    <n v="1"/>
    <x v="170"/>
    <n v="82"/>
    <m/>
    <n v="0"/>
    <n v="2807"/>
    <n v="230174"/>
    <n v="1.91"/>
    <n v="2086.6749999999997"/>
    <n v="8394.957983193277"/>
    <n v="7554.6218487394963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2"/>
    <s v=""/>
    <n v="2"/>
    <s v=""/>
    <n v="0.25"/>
    <n v="3"/>
    <s v=""/>
    <n v="0.33333333333333331"/>
    <n v="7"/>
    <s v=""/>
    <n v="0.58333333333333337"/>
    <n v="2"/>
    <s v=""/>
    <n v="0.33333333333333331"/>
    <n v="5"/>
    <n v="100"/>
    <n v="5"/>
    <n v="0"/>
    <n v="0"/>
    <n v="0"/>
    <n v="23859.5"/>
    <n v="197685"/>
    <n v="14035"/>
    <n v="0"/>
    <n v="82"/>
    <n v="230174"/>
    <n v="35272.932702492762"/>
    <n v="6"/>
    <n v="99"/>
    <n v="1.5"/>
    <n v="0"/>
    <n v="0"/>
    <n v="0"/>
    <n v="15438.5"/>
    <n v="195708.15"/>
    <n v="4210.5"/>
    <n v="0"/>
    <n v="82"/>
    <n v="230174"/>
    <n v="10581.879810747829"/>
    <n v="9"/>
    <n v="98"/>
    <n v="2"/>
    <n v="0"/>
    <n v="0"/>
    <n v="29019.649999999998"/>
    <n v="275086"/>
    <n v="5614"/>
    <n v="0"/>
    <n v="82"/>
    <n v="230174"/>
    <n v="16789.915966386554"/>
    <n v="8"/>
    <n v="95"/>
    <n v="2"/>
    <n v="0"/>
    <n v="0"/>
    <n v="187800.75"/>
    <n v="5614"/>
    <x v="0"/>
    <x v="0"/>
    <n v="82"/>
    <n v="230174"/>
    <n v="16789.915966386554"/>
    <n v="9"/>
    <n v="85"/>
    <n v="9"/>
    <m/>
    <n v="0"/>
    <n v="0"/>
    <n v="238595"/>
    <n v="17791.649999999998"/>
    <x v="0"/>
    <n v="0"/>
    <n v="82"/>
    <n v="230174"/>
    <n v="75554.621848739494"/>
    <n v="12"/>
    <n v="89"/>
    <n v="7"/>
    <m/>
    <n v="0"/>
    <n v="0"/>
    <n v="249823"/>
    <n v="13837.949999999999"/>
    <n v="0"/>
    <n v="0"/>
    <n v="89"/>
    <n v="230174"/>
    <n v="58764.705882352937"/>
    <n v="6"/>
    <n v="84"/>
    <n v="6"/>
    <n v="0"/>
    <n v="0"/>
    <n v="0"/>
    <n v="235788"/>
    <n v="11861.099999999999"/>
    <n v="0"/>
    <n v="0"/>
    <n v="84"/>
    <n v="230174"/>
    <n v="50369.747899159658"/>
    <n v="6"/>
    <n v="78"/>
    <n v="6"/>
    <n v="0"/>
    <n v="0"/>
    <n v="0"/>
    <n v="218946"/>
    <n v="11861.099999999999"/>
    <n v="0"/>
    <n v="0"/>
    <n v="78"/>
    <n v="218946"/>
    <n v="50369.747899159658"/>
    <n v="6"/>
    <n v="72"/>
    <n v="6"/>
    <n v="0"/>
    <n v="0"/>
    <m/>
    <n v="142333.19999999998"/>
    <n v="11861.099999999999"/>
    <n v="0"/>
    <n v="0"/>
    <n v="72"/>
    <n v="142333.19999999998"/>
    <n v="50369.747899159658"/>
    <n v="12"/>
    <n v="66"/>
    <n v="12"/>
    <n v="0"/>
    <n v="0"/>
    <n v="0"/>
    <m/>
    <n v="130472.09999999999"/>
    <n v="23722.199999999997"/>
    <n v="0"/>
    <n v="0"/>
    <n v="66"/>
    <n v="130472.09999999999"/>
    <n v="90655.462184873963"/>
    <n v="15"/>
    <n v="54"/>
    <n v="15"/>
    <n v="0"/>
    <n v="0"/>
    <n v="106749.9"/>
    <n v="29652.75"/>
    <n v="0"/>
    <n v="0"/>
    <n v="54"/>
    <n v="106749.9"/>
    <n v="118985.29411764708"/>
    <n v="20"/>
    <n v="39"/>
    <n v="20"/>
    <n v="0"/>
    <n v="0"/>
    <n v="77097.149999999994"/>
    <n v="39537"/>
    <n v="0"/>
    <n v="39"/>
    <n v="77097.149999999994"/>
    <n v="167899.15966386555"/>
    <n v="9"/>
    <n v="19"/>
    <n v="9"/>
    <n v="0"/>
    <m/>
    <n v="37560.15"/>
    <n v="25263"/>
    <n v="0"/>
    <n v="19"/>
    <n v="37560.15"/>
    <n v="75554.621848739494"/>
  </r>
  <r>
    <m/>
    <x v="1"/>
    <x v="15"/>
    <x v="36"/>
    <s v="LHCALLAR"/>
    <x v="250"/>
    <x v="238"/>
    <x v="0"/>
    <x v="2"/>
    <n v="1"/>
    <x v="171"/>
    <n v="89"/>
    <m/>
    <n v="0"/>
    <n v="2807"/>
    <n v="249823"/>
    <n v="1.91"/>
    <n v="2086.6749999999997"/>
    <n v="8394.957983193277"/>
    <n v="7554.6218487394963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2"/>
    <s v=""/>
    <n v="0.25"/>
    <n v="2"/>
    <s v=""/>
    <n v="0.2"/>
    <n v="4"/>
    <s v=""/>
    <n v="0.30769230769230771"/>
    <n v="2"/>
    <s v=""/>
    <n v="0.33333333333333331"/>
    <n v="5"/>
    <n v="100"/>
    <n v="5"/>
    <n v="0"/>
    <n v="0"/>
    <n v="0"/>
    <n v="22456"/>
    <n v="197685"/>
    <n v="14035"/>
    <n v="0"/>
    <n v="89"/>
    <n v="249823"/>
    <n v="35272.932702492762"/>
    <n v="6"/>
    <n v="100"/>
    <n v="0"/>
    <n v="0"/>
    <n v="0"/>
    <n v="0"/>
    <n v="14035"/>
    <n v="197685"/>
    <n v="0"/>
    <n v="0"/>
    <n v="89"/>
    <n v="249823"/>
    <n v="0"/>
    <n v="9"/>
    <n v="100"/>
    <n v="3"/>
    <n v="0"/>
    <n v="0"/>
    <n v="33803.5"/>
    <n v="280700"/>
    <n v="8421"/>
    <n v="0"/>
    <n v="89"/>
    <n v="249823"/>
    <n v="25184.873949579829"/>
    <n v="8"/>
    <n v="96"/>
    <n v="2"/>
    <n v="0"/>
    <n v="0"/>
    <n v="189777.59999999998"/>
    <n v="5614"/>
    <x v="0"/>
    <x v="0"/>
    <n v="89"/>
    <n v="249823"/>
    <n v="16789.915966386554"/>
    <n v="10"/>
    <n v="91"/>
    <n v="10"/>
    <m/>
    <n v="0"/>
    <n v="0"/>
    <n v="255437"/>
    <n v="19768.5"/>
    <x v="0"/>
    <n v="0"/>
    <n v="89"/>
    <n v="249823"/>
    <n v="83949.579831932773"/>
    <n v="13"/>
    <n v="93"/>
    <n v="4"/>
    <m/>
    <n v="0"/>
    <n v="0"/>
    <n v="261051"/>
    <n v="7907.4"/>
    <n v="0"/>
    <n v="0"/>
    <n v="93"/>
    <n v="249823"/>
    <n v="33579.831932773108"/>
    <n v="6"/>
    <n v="91"/>
    <n v="6"/>
    <n v="0"/>
    <n v="0"/>
    <n v="0"/>
    <n v="255437"/>
    <n v="11861.099999999999"/>
    <n v="0"/>
    <n v="0"/>
    <n v="91"/>
    <n v="249823"/>
    <n v="50369.747899159658"/>
    <n v="6"/>
    <n v="85"/>
    <n v="6"/>
    <n v="0"/>
    <n v="0"/>
    <n v="0"/>
    <n v="238595"/>
    <n v="11861.099999999999"/>
    <n v="0"/>
    <n v="0"/>
    <n v="85"/>
    <n v="238595"/>
    <n v="50369.747899159658"/>
    <n v="6"/>
    <n v="79"/>
    <n v="6"/>
    <n v="0"/>
    <n v="0"/>
    <m/>
    <n v="156171.15"/>
    <n v="11861.099999999999"/>
    <n v="0"/>
    <n v="0"/>
    <n v="79"/>
    <n v="156171.15"/>
    <n v="50369.747899159658"/>
    <n v="12"/>
    <n v="73"/>
    <n v="12"/>
    <n v="0"/>
    <n v="0"/>
    <n v="0"/>
    <m/>
    <n v="144310.04999999999"/>
    <n v="23722.199999999997"/>
    <n v="0"/>
    <n v="0"/>
    <n v="73"/>
    <n v="144310.04999999999"/>
    <n v="90655.462184873963"/>
    <n v="15"/>
    <n v="61"/>
    <n v="15"/>
    <n v="0"/>
    <n v="0"/>
    <n v="120587.84999999999"/>
    <n v="29652.75"/>
    <n v="0"/>
    <n v="0"/>
    <n v="61"/>
    <n v="120587.84999999999"/>
    <n v="118985.29411764708"/>
    <n v="20"/>
    <n v="46"/>
    <n v="20"/>
    <n v="0"/>
    <n v="0"/>
    <n v="90935.099999999991"/>
    <n v="39537"/>
    <n v="0"/>
    <n v="46"/>
    <n v="90935.099999999991"/>
    <n v="167899.15966386555"/>
    <n v="9"/>
    <n v="26"/>
    <n v="9"/>
    <n v="0"/>
    <m/>
    <n v="51398.1"/>
    <n v="25263"/>
    <n v="0"/>
    <n v="26"/>
    <n v="51398.1"/>
    <n v="75554.621848739494"/>
  </r>
  <r>
    <m/>
    <x v="1"/>
    <x v="15"/>
    <x v="36"/>
    <s v="LHCALLAR"/>
    <x v="251"/>
    <x v="239"/>
    <x v="0"/>
    <x v="2"/>
    <n v="1"/>
    <x v="172"/>
    <n v="89"/>
    <m/>
    <n v="0"/>
    <n v="2807"/>
    <n v="249823"/>
    <n v="1.91"/>
    <n v="2086.6749999999997"/>
    <n v="8394.957983193277"/>
    <n v="7554.6218487394963"/>
    <s v="Shenzhen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1"/>
    <s v=""/>
    <n v="3"/>
    <s v=""/>
    <n v="0.375"/>
    <n v="1"/>
    <s v=""/>
    <n v="0.1111111111111111"/>
    <n v="6"/>
    <s v=""/>
    <n v="0.5"/>
    <n v="0"/>
    <s v=""/>
    <n v="0"/>
    <n v="5"/>
    <n v="100"/>
    <n v="5"/>
    <n v="0"/>
    <n v="0"/>
    <n v="0"/>
    <n v="21052.5"/>
    <n v="197685"/>
    <n v="14035"/>
    <n v="0"/>
    <n v="89"/>
    <n v="249823"/>
    <n v="35272.932702492762"/>
    <n v="6"/>
    <n v="99"/>
    <n v="1.5"/>
    <n v="0"/>
    <n v="0"/>
    <n v="0"/>
    <n v="15438.5"/>
    <n v="195708.15"/>
    <n v="4210.5"/>
    <n v="0"/>
    <n v="89"/>
    <n v="249823"/>
    <n v="10581.879810747829"/>
    <n v="9"/>
    <n v="98"/>
    <n v="1"/>
    <n v="0"/>
    <n v="0"/>
    <n v="29019.649999999998"/>
    <n v="275086"/>
    <n v="2807"/>
    <n v="0"/>
    <n v="89"/>
    <n v="249823"/>
    <n v="8394.957983193277"/>
    <n v="8"/>
    <n v="96"/>
    <n v="3"/>
    <n v="0"/>
    <n v="0"/>
    <n v="189777.59999999998"/>
    <n v="8421"/>
    <x v="0"/>
    <x v="0"/>
    <n v="89"/>
    <n v="249823"/>
    <n v="25184.873949579829"/>
    <n v="9"/>
    <n v="90"/>
    <n v="9"/>
    <m/>
    <n v="0"/>
    <n v="0"/>
    <n v="252630"/>
    <n v="17791.649999999998"/>
    <x v="0"/>
    <n v="0"/>
    <n v="89"/>
    <n v="249823"/>
    <n v="75554.621848739494"/>
    <n v="12"/>
    <n v="95"/>
    <n v="6"/>
    <m/>
    <n v="0"/>
    <n v="0"/>
    <n v="266665"/>
    <n v="11861.099999999999"/>
    <n v="0"/>
    <n v="0"/>
    <n v="95"/>
    <n v="249823"/>
    <n v="50369.747899159658"/>
    <n v="6"/>
    <n v="89"/>
    <n v="6"/>
    <n v="0"/>
    <n v="0"/>
    <n v="0"/>
    <n v="249823"/>
    <n v="11861.099999999999"/>
    <n v="0"/>
    <n v="0"/>
    <n v="89"/>
    <n v="249823"/>
    <n v="50369.747899159658"/>
    <n v="6"/>
    <n v="83"/>
    <n v="6"/>
    <n v="0"/>
    <n v="0"/>
    <n v="0"/>
    <n v="232981"/>
    <n v="11861.099999999999"/>
    <n v="0"/>
    <n v="0"/>
    <n v="83"/>
    <n v="232981"/>
    <n v="50369.747899159658"/>
    <n v="6"/>
    <n v="77"/>
    <n v="6"/>
    <n v="0"/>
    <n v="0"/>
    <m/>
    <n v="152217.44999999998"/>
    <n v="11861.099999999999"/>
    <n v="0"/>
    <n v="0"/>
    <n v="77"/>
    <n v="152217.44999999998"/>
    <n v="50369.747899159658"/>
    <n v="12"/>
    <n v="71"/>
    <n v="12"/>
    <n v="0"/>
    <n v="0"/>
    <n v="0"/>
    <m/>
    <n v="140356.35"/>
    <n v="23722.199999999997"/>
    <n v="0"/>
    <n v="0"/>
    <n v="71"/>
    <n v="140356.35"/>
    <n v="90655.462184873963"/>
    <n v="15"/>
    <n v="59"/>
    <n v="15"/>
    <n v="0"/>
    <n v="0"/>
    <n v="116634.15"/>
    <n v="29652.75"/>
    <n v="0"/>
    <n v="0"/>
    <n v="59"/>
    <n v="116634.15"/>
    <n v="118985.29411764708"/>
    <n v="20"/>
    <n v="44"/>
    <n v="20"/>
    <n v="0"/>
    <n v="0"/>
    <n v="86981.4"/>
    <n v="39537"/>
    <n v="0"/>
    <n v="44"/>
    <n v="86981.4"/>
    <n v="167899.15966386555"/>
    <n v="9"/>
    <n v="24"/>
    <n v="9"/>
    <n v="0"/>
    <m/>
    <n v="47444.399999999994"/>
    <n v="25263"/>
    <n v="0"/>
    <n v="24"/>
    <n v="47444.399999999994"/>
    <n v="75554.621848739494"/>
  </r>
  <r>
    <s v="Lhotse-Accesorio Vestuario"/>
    <x v="1"/>
    <x v="15"/>
    <x v="37"/>
    <s v="LHPANCLOGR"/>
    <x v="252"/>
    <x v="240"/>
    <x v="0"/>
    <x v="6"/>
    <n v="1"/>
    <x v="12"/>
    <n v="2"/>
    <m/>
    <n v="0"/>
    <n v="5924"/>
    <n v="11848"/>
    <n v="5.44"/>
    <n v="5943.2"/>
    <n v="9235.2941176470595"/>
    <n v="8394.957983193277"/>
    <s v="Shenzhen"/>
    <x v="0"/>
    <n v="30"/>
    <n v="200"/>
    <n v="0"/>
    <s v=""/>
    <n v="0"/>
    <s v=""/>
    <n v="0"/>
    <s v=""/>
    <n v="0"/>
    <s v=""/>
    <n v="0"/>
    <s v=""/>
    <n v="3"/>
    <n v="0.52979148719859925"/>
    <n v="19"/>
    <n v="0.39212442865274139"/>
    <n v="8"/>
    <n v="0.5297909251960542"/>
    <n v="4"/>
    <n v="0.44679088682424317"/>
    <n v="6"/>
    <n v="0.40384942225906079"/>
    <n v="3"/>
    <n v="0.4121467721062384"/>
    <n v="52"/>
    <n v="0.32324095404158742"/>
    <n v="6"/>
    <s v=""/>
    <n v="3"/>
    <s v=""/>
    <n v="0"/>
    <s v=""/>
    <n v="0"/>
    <s v=""/>
    <n v="0"/>
    <n v="0"/>
    <s v=""/>
    <n v="0"/>
    <n v="0"/>
    <s v=""/>
    <n v="0"/>
    <n v="0"/>
    <s v=""/>
    <n v="0"/>
    <n v="20"/>
    <n v="12"/>
    <n v="12"/>
    <n v="0"/>
    <n v="0"/>
    <n v="0"/>
    <n v="97746"/>
    <n v="67564.799999999988"/>
    <n v="71088"/>
    <n v="0"/>
    <n v="2"/>
    <n v="11848"/>
    <n v="93129.01631240733"/>
    <n v="10"/>
    <n v="5"/>
    <n v="4.5"/>
    <n v="0"/>
    <n v="0"/>
    <n v="0"/>
    <n v="26658"/>
    <n v="28152"/>
    <n v="26658"/>
    <n v="0"/>
    <n v="2"/>
    <n v="11848"/>
    <n v="34923.381117152749"/>
    <n v="7"/>
    <n v="2"/>
    <n v="0"/>
    <n v="0"/>
    <n v="0"/>
    <n v="0"/>
    <n v="11848"/>
    <n v="0"/>
    <n v="0"/>
    <n v="2"/>
    <n v="11848"/>
    <n v="0"/>
    <n v="0"/>
    <n v="2"/>
    <n v="0"/>
    <n v="0"/>
    <n v="0"/>
    <n v="11260.8"/>
    <n v="0"/>
    <x v="0"/>
    <x v="0"/>
    <n v="2"/>
    <n v="11848"/>
    <n v="0"/>
    <n v="0"/>
    <n v="2"/>
    <n v="0"/>
    <m/>
    <n v="0"/>
    <n v="0"/>
    <n v="11848"/>
    <n v="0"/>
    <x v="0"/>
    <n v="0"/>
    <n v="2"/>
    <n v="11848"/>
    <n v="0"/>
    <n v="0"/>
    <n v="2"/>
    <n v="0"/>
    <m/>
    <n v="0"/>
    <n v="0"/>
    <n v="11848"/>
    <n v="0"/>
    <n v="0"/>
    <n v="0"/>
    <n v="2"/>
    <n v="11848"/>
    <n v="0"/>
    <n v="0"/>
    <n v="2"/>
    <n v="0"/>
    <n v="0"/>
    <n v="0"/>
    <n v="0"/>
    <n v="11848"/>
    <n v="0"/>
    <n v="0"/>
    <n v="0"/>
    <n v="2"/>
    <n v="11848"/>
    <n v="0"/>
    <n v="0"/>
    <n v="2"/>
    <n v="0"/>
    <n v="0"/>
    <n v="0"/>
    <n v="0"/>
    <n v="11848"/>
    <n v="0"/>
    <n v="0"/>
    <n v="0"/>
    <n v="2"/>
    <n v="11848"/>
    <n v="0"/>
    <n v="0"/>
    <n v="2"/>
    <n v="0"/>
    <n v="0"/>
    <n v="0"/>
    <m/>
    <n v="11260.8"/>
    <n v="0"/>
    <n v="0"/>
    <n v="0"/>
    <n v="2"/>
    <n v="11260.8"/>
    <n v="0"/>
    <n v="0"/>
    <n v="2"/>
    <n v="0"/>
    <n v="0"/>
    <n v="0"/>
    <n v="0"/>
    <m/>
    <n v="11260.8"/>
    <n v="0"/>
    <n v="0"/>
    <n v="0"/>
    <n v="2"/>
    <n v="11260.8"/>
    <n v="0"/>
    <n v="0"/>
    <n v="2"/>
    <n v="0"/>
    <n v="0"/>
    <n v="0"/>
    <n v="11260.8"/>
    <n v="0"/>
    <n v="0"/>
    <n v="0"/>
    <n v="2"/>
    <n v="11260.8"/>
    <n v="0"/>
    <n v="0"/>
    <n v="2"/>
    <n v="0"/>
    <n v="0"/>
    <n v="0"/>
    <n v="11260.8"/>
    <n v="0"/>
    <n v="0"/>
    <n v="2"/>
    <n v="11260.8"/>
    <n v="0"/>
    <n v="0"/>
    <n v="2"/>
    <n v="0"/>
    <n v="0"/>
    <m/>
    <n v="11260.8"/>
    <n v="0"/>
    <n v="0"/>
    <n v="2"/>
    <n v="11260.8"/>
    <n v="0"/>
  </r>
  <r>
    <m/>
    <x v="1"/>
    <x v="15"/>
    <x v="37"/>
    <s v="LHPANIMBKCM-36/37"/>
    <x v="253"/>
    <x v="241"/>
    <x v="0"/>
    <x v="2"/>
    <n v="1"/>
    <x v="12"/>
    <n v="0"/>
    <m/>
    <n v="0"/>
    <n v="7503.7499999999991"/>
    <n v="0"/>
    <n v="7.5"/>
    <n v="8193.75"/>
    <n v="19319.327731092439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87.499999999996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3"/>
    <n v="0"/>
    <n v="3"/>
    <m/>
    <n v="0"/>
    <n v="0"/>
    <n v="0"/>
    <n v="23287.499999999996"/>
    <x v="0"/>
    <n v="0"/>
    <n v="0"/>
    <n v="0"/>
    <n v="57957.983193277316"/>
    <n v="14"/>
    <n v="0"/>
    <n v="0"/>
    <m/>
    <n v="0"/>
    <n v="0"/>
    <n v="0"/>
    <n v="0"/>
    <n v="0"/>
    <n v="0"/>
    <n v="0"/>
    <n v="0"/>
    <n v="0"/>
    <n v="11"/>
    <n v="0"/>
    <n v="11"/>
    <n v="0"/>
    <n v="0"/>
    <n v="0"/>
    <n v="0"/>
    <n v="85387.499999999985"/>
    <n v="0"/>
    <n v="0"/>
    <n v="0"/>
    <n v="0"/>
    <n v="212512.60504201683"/>
    <n v="7"/>
    <n v="0"/>
    <n v="7"/>
    <n v="0"/>
    <n v="0"/>
    <n v="0"/>
    <n v="0"/>
    <n v="54337.499999999993"/>
    <n v="0"/>
    <n v="0"/>
    <n v="0"/>
    <n v="0"/>
    <n v="135235.29411764708"/>
    <n v="2"/>
    <n v="0"/>
    <n v="2"/>
    <n v="0"/>
    <n v="0"/>
    <m/>
    <n v="0"/>
    <n v="15524.999999999998"/>
    <n v="0"/>
    <n v="0"/>
    <n v="0"/>
    <n v="0"/>
    <n v="38638.6554621848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BKCM-38/39"/>
    <x v="254"/>
    <x v="242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337.499999999993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7"/>
    <n v="0"/>
    <n v="7"/>
    <m/>
    <n v="0"/>
    <n v="0"/>
    <n v="0"/>
    <n v="54337.499999999993"/>
    <x v="0"/>
    <n v="0"/>
    <n v="0"/>
    <n v="0"/>
    <n v="129352.9411764706"/>
    <n v="32"/>
    <n v="0"/>
    <n v="0"/>
    <m/>
    <n v="0"/>
    <n v="0"/>
    <n v="0"/>
    <n v="0"/>
    <n v="0"/>
    <n v="0"/>
    <n v="0"/>
    <n v="0"/>
    <n v="0"/>
    <n v="25"/>
    <n v="0"/>
    <n v="25"/>
    <n v="0"/>
    <n v="0"/>
    <n v="0"/>
    <n v="0"/>
    <n v="194062.49999999997"/>
    <n v="0"/>
    <n v="0"/>
    <n v="0"/>
    <n v="0"/>
    <n v="461974.78991596645"/>
    <n v="17"/>
    <n v="0"/>
    <n v="17"/>
    <n v="0"/>
    <n v="0"/>
    <n v="0"/>
    <n v="0"/>
    <n v="131962.49999999997"/>
    <n v="0"/>
    <n v="0"/>
    <n v="0"/>
    <n v="0"/>
    <n v="314142.85714285716"/>
    <n v="5"/>
    <n v="0"/>
    <n v="5"/>
    <n v="0"/>
    <n v="0"/>
    <m/>
    <n v="0"/>
    <n v="38812.499999999993"/>
    <n v="0"/>
    <n v="0"/>
    <n v="0"/>
    <n v="0"/>
    <n v="92394.95798319329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BKCM-40/41"/>
    <x v="255"/>
    <x v="243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199.99999999999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16"/>
    <n v="0"/>
    <n v="16"/>
    <m/>
    <n v="0"/>
    <n v="0"/>
    <n v="0"/>
    <n v="124199.99999999999"/>
    <x v="0"/>
    <n v="0"/>
    <n v="0"/>
    <n v="0"/>
    <n v="295663.86554621853"/>
    <n v="68"/>
    <n v="0"/>
    <n v="0"/>
    <m/>
    <n v="0"/>
    <n v="0"/>
    <n v="0"/>
    <n v="0"/>
    <n v="0"/>
    <n v="0"/>
    <n v="0"/>
    <n v="0"/>
    <n v="0"/>
    <n v="53"/>
    <n v="0"/>
    <n v="53"/>
    <n v="0"/>
    <n v="0"/>
    <n v="0"/>
    <n v="0"/>
    <n v="411412.49999999994"/>
    <n v="0"/>
    <n v="0"/>
    <n v="0"/>
    <n v="0"/>
    <n v="979386.55462184886"/>
    <n v="37"/>
    <n v="0"/>
    <n v="37"/>
    <n v="0"/>
    <n v="0"/>
    <n v="0"/>
    <n v="0"/>
    <n v="287212.49999999994"/>
    <n v="0"/>
    <n v="0"/>
    <n v="0"/>
    <n v="0"/>
    <n v="683722.68907563039"/>
    <n v="11"/>
    <n v="0"/>
    <n v="11"/>
    <n v="0"/>
    <n v="0"/>
    <m/>
    <n v="0"/>
    <n v="85387.499999999985"/>
    <n v="0"/>
    <n v="0"/>
    <n v="0"/>
    <n v="0"/>
    <n v="203268.9075630252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BKCM-42/43"/>
    <x v="256"/>
    <x v="244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724.99999999997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18"/>
    <n v="0"/>
    <n v="18"/>
    <m/>
    <n v="0"/>
    <n v="0"/>
    <n v="0"/>
    <n v="139724.99999999997"/>
    <x v="0"/>
    <n v="0"/>
    <n v="0"/>
    <n v="0"/>
    <n v="332621.84873949585"/>
    <n v="77"/>
    <n v="0"/>
    <n v="0"/>
    <m/>
    <n v="0"/>
    <n v="0"/>
    <n v="0"/>
    <n v="0"/>
    <n v="0"/>
    <n v="0"/>
    <n v="0"/>
    <n v="0"/>
    <n v="0"/>
    <n v="60"/>
    <n v="0"/>
    <n v="60"/>
    <n v="0"/>
    <n v="0"/>
    <n v="0"/>
    <n v="0"/>
    <n v="465749.99999999994"/>
    <n v="0"/>
    <n v="0"/>
    <n v="0"/>
    <n v="0"/>
    <n v="1108739.4957983196"/>
    <n v="42"/>
    <n v="0"/>
    <n v="42"/>
    <n v="0"/>
    <n v="0"/>
    <n v="0"/>
    <n v="0"/>
    <n v="326024.99999999994"/>
    <n v="0"/>
    <n v="0"/>
    <n v="0"/>
    <n v="0"/>
    <n v="776117.64705882361"/>
    <n v="12"/>
    <n v="0"/>
    <n v="12"/>
    <n v="0"/>
    <n v="0"/>
    <m/>
    <n v="0"/>
    <n v="93149.999999999985"/>
    <n v="0"/>
    <n v="0"/>
    <n v="0"/>
    <n v="0"/>
    <n v="221747.8991596638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BKCM-44/45"/>
    <x v="257"/>
    <x v="245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099.999999999993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8"/>
    <n v="0"/>
    <n v="8"/>
    <m/>
    <n v="0"/>
    <n v="0"/>
    <n v="0"/>
    <n v="62099.999999999993"/>
    <x v="0"/>
    <n v="0"/>
    <n v="0"/>
    <n v="0"/>
    <n v="147831.93277310926"/>
    <n v="36"/>
    <n v="0"/>
    <n v="0"/>
    <m/>
    <n v="0"/>
    <n v="0"/>
    <n v="0"/>
    <n v="0"/>
    <n v="0"/>
    <n v="0"/>
    <n v="0"/>
    <n v="0"/>
    <n v="0"/>
    <n v="28"/>
    <n v="0"/>
    <n v="28"/>
    <n v="0"/>
    <n v="0"/>
    <n v="0"/>
    <n v="0"/>
    <n v="217349.99999999997"/>
    <n v="0"/>
    <n v="0"/>
    <n v="0"/>
    <n v="0"/>
    <n v="517411.76470588241"/>
    <n v="20"/>
    <n v="0"/>
    <n v="20"/>
    <n v="0"/>
    <n v="0"/>
    <n v="0"/>
    <n v="0"/>
    <n v="155249.99999999997"/>
    <n v="0"/>
    <n v="0"/>
    <n v="0"/>
    <n v="0"/>
    <n v="369579.83193277317"/>
    <n v="6"/>
    <n v="0"/>
    <n v="6"/>
    <n v="0"/>
    <n v="0"/>
    <m/>
    <n v="0"/>
    <n v="46574.999999999993"/>
    <n v="0"/>
    <n v="0"/>
    <n v="0"/>
    <n v="0"/>
    <n v="110873.9495798319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BKBK-36/37"/>
    <x v="258"/>
    <x v="246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87.499999999996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3"/>
    <n v="0"/>
    <n v="3"/>
    <m/>
    <n v="0"/>
    <n v="0"/>
    <n v="0"/>
    <n v="23287.499999999996"/>
    <x v="0"/>
    <n v="0"/>
    <n v="0"/>
    <n v="0"/>
    <n v="55436.97478991597"/>
    <n v="14"/>
    <n v="0"/>
    <n v="0"/>
    <m/>
    <n v="0"/>
    <n v="0"/>
    <n v="0"/>
    <n v="0"/>
    <n v="0"/>
    <n v="0"/>
    <n v="0"/>
    <n v="0"/>
    <n v="0"/>
    <n v="11"/>
    <n v="0"/>
    <n v="11"/>
    <n v="0"/>
    <n v="0"/>
    <n v="0"/>
    <n v="0"/>
    <n v="85387.499999999985"/>
    <n v="0"/>
    <n v="0"/>
    <n v="0"/>
    <n v="0"/>
    <n v="203268.90756302525"/>
    <n v="7"/>
    <n v="0"/>
    <n v="7"/>
    <n v="0"/>
    <n v="0"/>
    <n v="0"/>
    <n v="0"/>
    <n v="54337.499999999993"/>
    <n v="0"/>
    <n v="0"/>
    <n v="0"/>
    <n v="0"/>
    <n v="129352.9411764706"/>
    <n v="2"/>
    <n v="0"/>
    <n v="2"/>
    <n v="0"/>
    <n v="0"/>
    <m/>
    <n v="0"/>
    <n v="15524.999999999998"/>
    <n v="0"/>
    <n v="0"/>
    <n v="0"/>
    <n v="0"/>
    <n v="36957.98319327731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BKBK-38/39"/>
    <x v="259"/>
    <x v="247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337.499999999993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7"/>
    <n v="0"/>
    <n v="7"/>
    <m/>
    <n v="0"/>
    <n v="0"/>
    <n v="0"/>
    <n v="54337.499999999993"/>
    <x v="0"/>
    <n v="0"/>
    <n v="0"/>
    <n v="0"/>
    <n v="129352.9411764706"/>
    <n v="32"/>
    <n v="0"/>
    <n v="0"/>
    <m/>
    <n v="0"/>
    <n v="0"/>
    <n v="0"/>
    <n v="0"/>
    <n v="0"/>
    <n v="0"/>
    <n v="0"/>
    <n v="0"/>
    <n v="0"/>
    <n v="25"/>
    <n v="0"/>
    <n v="25"/>
    <n v="0"/>
    <n v="0"/>
    <n v="0"/>
    <n v="0"/>
    <n v="194062.49999999997"/>
    <n v="0"/>
    <n v="0"/>
    <n v="0"/>
    <n v="0"/>
    <n v="461974.78991596645"/>
    <n v="17"/>
    <n v="0"/>
    <n v="17"/>
    <n v="0"/>
    <n v="0"/>
    <n v="0"/>
    <n v="0"/>
    <n v="131962.49999999997"/>
    <n v="0"/>
    <n v="0"/>
    <n v="0"/>
    <n v="0"/>
    <n v="314142.85714285716"/>
    <n v="5"/>
    <n v="0"/>
    <n v="5"/>
    <n v="0"/>
    <n v="0"/>
    <m/>
    <n v="0"/>
    <n v="38812.499999999993"/>
    <n v="0"/>
    <n v="0"/>
    <n v="0"/>
    <n v="0"/>
    <n v="92394.95798319329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BKBK-40/41"/>
    <x v="260"/>
    <x v="248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199.99999999999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16"/>
    <n v="0"/>
    <n v="16"/>
    <m/>
    <n v="0"/>
    <n v="0"/>
    <n v="0"/>
    <n v="124199.99999999999"/>
    <x v="0"/>
    <n v="0"/>
    <n v="0"/>
    <n v="0"/>
    <n v="295663.86554621853"/>
    <n v="68"/>
    <n v="0"/>
    <n v="0"/>
    <m/>
    <n v="0"/>
    <n v="0"/>
    <n v="0"/>
    <n v="0"/>
    <n v="0"/>
    <n v="0"/>
    <n v="0"/>
    <n v="0"/>
    <n v="0"/>
    <n v="53"/>
    <n v="0"/>
    <n v="53"/>
    <n v="0"/>
    <n v="0"/>
    <n v="0"/>
    <n v="0"/>
    <n v="411412.49999999994"/>
    <n v="0"/>
    <n v="0"/>
    <n v="0"/>
    <n v="0"/>
    <n v="979386.55462184886"/>
    <n v="37"/>
    <n v="0"/>
    <n v="37"/>
    <n v="0"/>
    <n v="0"/>
    <n v="0"/>
    <n v="0"/>
    <n v="287212.49999999994"/>
    <n v="0"/>
    <n v="0"/>
    <n v="0"/>
    <n v="0"/>
    <n v="683722.68907563039"/>
    <n v="11"/>
    <n v="0"/>
    <n v="11"/>
    <n v="0"/>
    <n v="0"/>
    <m/>
    <n v="0"/>
    <n v="85387.499999999985"/>
    <n v="0"/>
    <n v="0"/>
    <n v="0"/>
    <n v="0"/>
    <n v="203268.9075630252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BKBK-42/43"/>
    <x v="261"/>
    <x v="249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724.99999999997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18"/>
    <n v="0"/>
    <n v="18"/>
    <m/>
    <n v="0"/>
    <n v="0"/>
    <n v="0"/>
    <n v="139724.99999999997"/>
    <x v="0"/>
    <n v="0"/>
    <n v="0"/>
    <n v="0"/>
    <n v="332621.84873949585"/>
    <n v="77"/>
    <n v="0"/>
    <n v="0"/>
    <m/>
    <n v="0"/>
    <n v="0"/>
    <n v="0"/>
    <n v="0"/>
    <n v="0"/>
    <n v="0"/>
    <n v="0"/>
    <n v="0"/>
    <n v="0"/>
    <n v="60"/>
    <n v="0"/>
    <n v="60"/>
    <n v="0"/>
    <n v="0"/>
    <n v="0"/>
    <n v="0"/>
    <n v="465749.99999999994"/>
    <n v="0"/>
    <n v="0"/>
    <n v="0"/>
    <n v="0"/>
    <n v="1108739.4957983196"/>
    <n v="42"/>
    <n v="0"/>
    <n v="42"/>
    <n v="0"/>
    <n v="0"/>
    <n v="0"/>
    <n v="0"/>
    <n v="326024.99999999994"/>
    <n v="0"/>
    <n v="0"/>
    <n v="0"/>
    <n v="0"/>
    <n v="776117.64705882361"/>
    <n v="12"/>
    <n v="0"/>
    <n v="12"/>
    <n v="0"/>
    <n v="0"/>
    <m/>
    <n v="0"/>
    <n v="93149.999999999985"/>
    <n v="0"/>
    <n v="0"/>
    <n v="0"/>
    <n v="0"/>
    <n v="221747.8991596638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BKBK-44/45"/>
    <x v="262"/>
    <x v="250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099.999999999993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8"/>
    <n v="0"/>
    <n v="8"/>
    <m/>
    <n v="0"/>
    <n v="0"/>
    <n v="0"/>
    <n v="62099.999999999993"/>
    <x v="0"/>
    <n v="0"/>
    <n v="0"/>
    <n v="0"/>
    <n v="147831.93277310926"/>
    <n v="36"/>
    <n v="0"/>
    <n v="0"/>
    <m/>
    <n v="0"/>
    <n v="0"/>
    <n v="0"/>
    <n v="0"/>
    <n v="0"/>
    <n v="0"/>
    <n v="0"/>
    <n v="0"/>
    <n v="0"/>
    <n v="28"/>
    <n v="0"/>
    <n v="28"/>
    <n v="0"/>
    <n v="0"/>
    <n v="0"/>
    <n v="0"/>
    <n v="217349.99999999997"/>
    <n v="0"/>
    <n v="0"/>
    <n v="0"/>
    <n v="0"/>
    <n v="517411.76470588241"/>
    <n v="20"/>
    <n v="0"/>
    <n v="20"/>
    <n v="0"/>
    <n v="0"/>
    <n v="0"/>
    <n v="0"/>
    <n v="155249.99999999997"/>
    <n v="0"/>
    <n v="0"/>
    <n v="0"/>
    <n v="0"/>
    <n v="369579.83193277317"/>
    <n v="6"/>
    <n v="0"/>
    <n v="6"/>
    <n v="0"/>
    <n v="0"/>
    <m/>
    <n v="0"/>
    <n v="46574.999999999993"/>
    <n v="0"/>
    <n v="0"/>
    <n v="0"/>
    <n v="0"/>
    <n v="110873.9495798319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PK-34/35"/>
    <x v="263"/>
    <x v="251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49.999999999996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4"/>
    <n v="0"/>
    <n v="4"/>
    <m/>
    <n v="0"/>
    <n v="0"/>
    <n v="0"/>
    <n v="31049.999999999996"/>
    <x v="0"/>
    <n v="0"/>
    <n v="0"/>
    <n v="0"/>
    <n v="73915.966386554632"/>
    <n v="18"/>
    <n v="0"/>
    <n v="0"/>
    <m/>
    <n v="0"/>
    <n v="0"/>
    <n v="0"/>
    <n v="0"/>
    <n v="0"/>
    <n v="0"/>
    <n v="0"/>
    <n v="0"/>
    <n v="0"/>
    <n v="14"/>
    <n v="0"/>
    <n v="14"/>
    <n v="0"/>
    <n v="0"/>
    <n v="0"/>
    <n v="0"/>
    <n v="108674.99999999999"/>
    <n v="0"/>
    <n v="0"/>
    <n v="0"/>
    <n v="0"/>
    <n v="258705.8823529412"/>
    <n v="10"/>
    <n v="0"/>
    <n v="10"/>
    <n v="0"/>
    <n v="0"/>
    <n v="0"/>
    <n v="0"/>
    <n v="77624.999999999985"/>
    <n v="0"/>
    <n v="0"/>
    <n v="0"/>
    <n v="0"/>
    <n v="184789.91596638659"/>
    <n v="3"/>
    <n v="0"/>
    <n v="3"/>
    <n v="0"/>
    <n v="0"/>
    <m/>
    <n v="0"/>
    <n v="23287.499999999996"/>
    <n v="0"/>
    <n v="0"/>
    <n v="0"/>
    <n v="0"/>
    <n v="55436.9747899159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PK-36/37"/>
    <x v="264"/>
    <x v="252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437.49999999999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15"/>
    <n v="0"/>
    <n v="15"/>
    <m/>
    <n v="0"/>
    <n v="0"/>
    <n v="0"/>
    <n v="116437.49999999999"/>
    <x v="0"/>
    <n v="0"/>
    <n v="0"/>
    <n v="0"/>
    <n v="277184.87394957989"/>
    <n v="64"/>
    <n v="0"/>
    <n v="0"/>
    <m/>
    <n v="0"/>
    <n v="0"/>
    <n v="0"/>
    <n v="0"/>
    <n v="0"/>
    <n v="0"/>
    <n v="0"/>
    <n v="0"/>
    <n v="0"/>
    <n v="49"/>
    <n v="0"/>
    <n v="49"/>
    <n v="0"/>
    <n v="0"/>
    <n v="0"/>
    <n v="0"/>
    <n v="380362.49999999994"/>
    <n v="0"/>
    <n v="0"/>
    <n v="0"/>
    <n v="0"/>
    <n v="905470.58823529421"/>
    <n v="34"/>
    <n v="0"/>
    <n v="34"/>
    <n v="0"/>
    <n v="0"/>
    <n v="0"/>
    <n v="0"/>
    <n v="263924.99999999994"/>
    <n v="0"/>
    <n v="0"/>
    <n v="0"/>
    <n v="0"/>
    <n v="628285.71428571432"/>
    <n v="10"/>
    <n v="0"/>
    <n v="10"/>
    <n v="0"/>
    <n v="0"/>
    <m/>
    <n v="0"/>
    <n v="77624.999999999985"/>
    <n v="0"/>
    <n v="0"/>
    <n v="0"/>
    <n v="0"/>
    <n v="184789.9159663865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PK-38/39"/>
    <x v="265"/>
    <x v="253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962.49999999997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17"/>
    <n v="0"/>
    <n v="17"/>
    <m/>
    <n v="0"/>
    <n v="0"/>
    <n v="0"/>
    <n v="131962.49999999997"/>
    <x v="0"/>
    <n v="0"/>
    <n v="0"/>
    <n v="0"/>
    <n v="314142.85714285716"/>
    <n v="73"/>
    <n v="0"/>
    <n v="0"/>
    <m/>
    <n v="0"/>
    <n v="0"/>
    <n v="0"/>
    <n v="0"/>
    <n v="0"/>
    <n v="0"/>
    <n v="0"/>
    <n v="0"/>
    <n v="0"/>
    <n v="56"/>
    <n v="0"/>
    <n v="56"/>
    <n v="0"/>
    <n v="0"/>
    <n v="0"/>
    <n v="0"/>
    <n v="434699.99999999994"/>
    <n v="0"/>
    <n v="0"/>
    <n v="0"/>
    <n v="0"/>
    <n v="1034823.5294117648"/>
    <n v="39"/>
    <n v="0"/>
    <n v="39"/>
    <n v="0"/>
    <n v="0"/>
    <n v="0"/>
    <n v="0"/>
    <n v="302737.49999999994"/>
    <n v="0"/>
    <n v="0"/>
    <n v="0"/>
    <n v="0"/>
    <n v="720680.67226890766"/>
    <n v="11"/>
    <n v="0"/>
    <n v="11"/>
    <n v="0"/>
    <n v="0"/>
    <m/>
    <n v="0"/>
    <n v="85387.499999999985"/>
    <n v="0"/>
    <n v="0"/>
    <n v="0"/>
    <n v="0"/>
    <n v="203268.9075630252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PK-40/41"/>
    <x v="266"/>
    <x v="254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574.999999999993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6"/>
    <n v="0"/>
    <n v="6"/>
    <m/>
    <n v="0"/>
    <n v="0"/>
    <n v="0"/>
    <n v="46574.999999999993"/>
    <x v="0"/>
    <n v="0"/>
    <n v="0"/>
    <n v="0"/>
    <n v="110873.94957983194"/>
    <n v="27"/>
    <n v="0"/>
    <n v="0"/>
    <m/>
    <n v="0"/>
    <n v="0"/>
    <n v="0"/>
    <n v="0"/>
    <n v="0"/>
    <n v="0"/>
    <n v="0"/>
    <n v="0"/>
    <n v="0"/>
    <n v="21"/>
    <n v="0"/>
    <n v="21"/>
    <n v="0"/>
    <n v="0"/>
    <n v="0"/>
    <n v="0"/>
    <n v="163012.49999999997"/>
    <n v="0"/>
    <n v="0"/>
    <n v="0"/>
    <n v="0"/>
    <n v="388058.82352941181"/>
    <n v="15"/>
    <n v="0"/>
    <n v="15"/>
    <n v="0"/>
    <n v="0"/>
    <n v="0"/>
    <n v="0"/>
    <n v="116437.49999999999"/>
    <n v="0"/>
    <n v="0"/>
    <n v="0"/>
    <n v="0"/>
    <n v="277184.87394957989"/>
    <n v="4"/>
    <n v="0"/>
    <n v="4"/>
    <n v="0"/>
    <n v="0"/>
    <m/>
    <n v="0"/>
    <n v="31049.999999999996"/>
    <n v="0"/>
    <n v="0"/>
    <n v="0"/>
    <n v="0"/>
    <n v="73915.96638655463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SLIL-34/35"/>
    <x v="267"/>
    <x v="255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87.499999999996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3"/>
    <n v="0"/>
    <n v="3"/>
    <m/>
    <n v="0"/>
    <n v="0"/>
    <n v="0"/>
    <n v="23287.499999999996"/>
    <x v="0"/>
    <n v="0"/>
    <n v="0"/>
    <n v="0"/>
    <n v="55436.97478991597"/>
    <n v="14"/>
    <n v="0"/>
    <n v="0"/>
    <m/>
    <n v="0"/>
    <n v="0"/>
    <n v="0"/>
    <n v="0"/>
    <n v="0"/>
    <n v="0"/>
    <n v="0"/>
    <n v="0"/>
    <n v="0"/>
    <n v="11"/>
    <n v="0"/>
    <n v="11"/>
    <n v="0"/>
    <n v="0"/>
    <n v="0"/>
    <n v="0"/>
    <n v="85387.499999999985"/>
    <n v="0"/>
    <n v="0"/>
    <n v="0"/>
    <n v="0"/>
    <n v="203268.90756302525"/>
    <n v="7"/>
    <n v="0"/>
    <n v="7"/>
    <n v="0"/>
    <n v="0"/>
    <n v="0"/>
    <n v="0"/>
    <n v="54337.499999999993"/>
    <n v="0"/>
    <n v="0"/>
    <n v="0"/>
    <n v="0"/>
    <n v="129352.9411764706"/>
    <n v="2"/>
    <n v="0"/>
    <n v="2"/>
    <n v="0"/>
    <n v="0"/>
    <m/>
    <n v="0"/>
    <n v="15524.999999999998"/>
    <n v="0"/>
    <n v="0"/>
    <n v="0"/>
    <n v="0"/>
    <n v="36957.98319327731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SLIL-36/37"/>
    <x v="268"/>
    <x v="256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387.499999999985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11"/>
    <n v="0"/>
    <n v="11"/>
    <m/>
    <n v="0"/>
    <n v="0"/>
    <n v="0"/>
    <n v="85387.499999999985"/>
    <x v="0"/>
    <n v="0"/>
    <n v="0"/>
    <n v="0"/>
    <n v="203268.90756302525"/>
    <n v="46"/>
    <n v="0"/>
    <n v="0"/>
    <m/>
    <n v="0"/>
    <n v="0"/>
    <n v="0"/>
    <n v="0"/>
    <n v="0"/>
    <n v="0"/>
    <n v="0"/>
    <n v="0"/>
    <n v="0"/>
    <n v="35"/>
    <n v="0"/>
    <n v="35"/>
    <n v="0"/>
    <n v="0"/>
    <n v="0"/>
    <n v="0"/>
    <n v="271687.49999999994"/>
    <n v="0"/>
    <n v="0"/>
    <n v="0"/>
    <n v="0"/>
    <n v="646764.70588235301"/>
    <n v="25"/>
    <n v="0"/>
    <n v="25"/>
    <n v="0"/>
    <n v="0"/>
    <n v="0"/>
    <n v="0"/>
    <n v="194062.49999999997"/>
    <n v="0"/>
    <n v="0"/>
    <n v="0"/>
    <n v="0"/>
    <n v="461974.78991596645"/>
    <n v="7"/>
    <n v="0"/>
    <n v="7"/>
    <n v="0"/>
    <n v="0"/>
    <m/>
    <n v="0"/>
    <n v="54337.499999999993"/>
    <n v="0"/>
    <n v="0"/>
    <n v="0"/>
    <n v="0"/>
    <n v="129352.941176470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SLIL-38/39"/>
    <x v="269"/>
    <x v="257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912.49999999999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13"/>
    <n v="0"/>
    <n v="13"/>
    <m/>
    <n v="0"/>
    <n v="0"/>
    <n v="0"/>
    <n v="100912.49999999999"/>
    <x v="0"/>
    <n v="0"/>
    <n v="0"/>
    <n v="0"/>
    <n v="240226.89075630254"/>
    <n v="55"/>
    <n v="0"/>
    <n v="0"/>
    <m/>
    <n v="0"/>
    <n v="0"/>
    <n v="0"/>
    <n v="0"/>
    <n v="0"/>
    <n v="0"/>
    <n v="0"/>
    <n v="0"/>
    <n v="0"/>
    <n v="42"/>
    <n v="0"/>
    <n v="42"/>
    <n v="0"/>
    <n v="0"/>
    <n v="0"/>
    <n v="0"/>
    <n v="326024.99999999994"/>
    <n v="0"/>
    <n v="0"/>
    <n v="0"/>
    <n v="0"/>
    <n v="776117.64705882361"/>
    <n v="29"/>
    <n v="0"/>
    <n v="29"/>
    <n v="0"/>
    <n v="0"/>
    <n v="0"/>
    <n v="0"/>
    <n v="225112.49999999997"/>
    <n v="0"/>
    <n v="0"/>
    <n v="0"/>
    <n v="0"/>
    <n v="535890.7563025211"/>
    <n v="8"/>
    <n v="0"/>
    <n v="8"/>
    <n v="0"/>
    <n v="0"/>
    <m/>
    <n v="0"/>
    <n v="62099.999999999993"/>
    <n v="0"/>
    <n v="0"/>
    <n v="0"/>
    <n v="0"/>
    <n v="147831.932773109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SLIL-40/41"/>
    <x v="270"/>
    <x v="258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812.499999999993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5"/>
    <n v="0"/>
    <n v="5"/>
    <m/>
    <n v="0"/>
    <n v="0"/>
    <n v="0"/>
    <n v="38812.499999999993"/>
    <x v="0"/>
    <n v="0"/>
    <n v="0"/>
    <n v="0"/>
    <n v="92394.957983193293"/>
    <n v="23"/>
    <n v="0"/>
    <n v="0"/>
    <m/>
    <n v="0"/>
    <n v="0"/>
    <n v="0"/>
    <n v="0"/>
    <n v="0"/>
    <n v="0"/>
    <n v="0"/>
    <n v="0"/>
    <n v="0"/>
    <n v="18"/>
    <n v="0"/>
    <n v="18"/>
    <n v="0"/>
    <n v="0"/>
    <n v="0"/>
    <n v="0"/>
    <n v="139724.99999999997"/>
    <n v="0"/>
    <n v="0"/>
    <n v="0"/>
    <n v="0"/>
    <n v="332621.84873949585"/>
    <n v="12"/>
    <n v="0"/>
    <n v="12"/>
    <n v="0"/>
    <n v="0"/>
    <n v="0"/>
    <n v="0"/>
    <n v="93149.999999999985"/>
    <n v="0"/>
    <n v="0"/>
    <n v="0"/>
    <n v="0"/>
    <n v="221747.89915966388"/>
    <n v="4"/>
    <n v="0"/>
    <n v="4"/>
    <n v="0"/>
    <n v="0"/>
    <m/>
    <n v="0"/>
    <n v="31049.999999999996"/>
    <n v="0"/>
    <n v="0"/>
    <n v="0"/>
    <n v="0"/>
    <n v="73915.96638655463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SGR-36/37"/>
    <x v="271"/>
    <x v="259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24.999999999998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2"/>
    <n v="0"/>
    <n v="2"/>
    <m/>
    <n v="0"/>
    <n v="0"/>
    <n v="0"/>
    <n v="15524.999999999998"/>
    <x v="0"/>
    <n v="0"/>
    <n v="0"/>
    <n v="0"/>
    <n v="36957.983193277316"/>
    <n v="9"/>
    <n v="0"/>
    <n v="0"/>
    <m/>
    <n v="0"/>
    <n v="0"/>
    <n v="0"/>
    <n v="0"/>
    <n v="0"/>
    <n v="0"/>
    <n v="0"/>
    <n v="0"/>
    <n v="0"/>
    <n v="7"/>
    <n v="0"/>
    <n v="7"/>
    <n v="0"/>
    <n v="0"/>
    <n v="0"/>
    <n v="0"/>
    <n v="54337.499999999993"/>
    <n v="0"/>
    <n v="0"/>
    <n v="0"/>
    <n v="0"/>
    <n v="129352.9411764706"/>
    <n v="5"/>
    <n v="0"/>
    <n v="5"/>
    <n v="0"/>
    <n v="0"/>
    <n v="0"/>
    <n v="0"/>
    <n v="38812.499999999993"/>
    <n v="0"/>
    <n v="0"/>
    <n v="0"/>
    <n v="0"/>
    <n v="92394.957983193293"/>
    <n v="1"/>
    <n v="0"/>
    <n v="1"/>
    <n v="0"/>
    <n v="0"/>
    <m/>
    <n v="0"/>
    <n v="7762.4999999999991"/>
    <n v="0"/>
    <n v="0"/>
    <n v="0"/>
    <n v="0"/>
    <n v="18478.99159663865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SGR-38/39"/>
    <x v="272"/>
    <x v="260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49.999999999996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4"/>
    <n v="0"/>
    <n v="4"/>
    <m/>
    <n v="0"/>
    <n v="0"/>
    <n v="0"/>
    <n v="31049.999999999996"/>
    <x v="0"/>
    <n v="0"/>
    <n v="0"/>
    <n v="0"/>
    <n v="73915.966386554632"/>
    <n v="18"/>
    <n v="0"/>
    <n v="0"/>
    <m/>
    <n v="0"/>
    <n v="0"/>
    <n v="0"/>
    <n v="0"/>
    <n v="0"/>
    <n v="0"/>
    <n v="0"/>
    <n v="0"/>
    <n v="0"/>
    <n v="14"/>
    <n v="0"/>
    <n v="14"/>
    <n v="0"/>
    <n v="0"/>
    <n v="0"/>
    <n v="0"/>
    <n v="108674.99999999999"/>
    <n v="0"/>
    <n v="0"/>
    <n v="0"/>
    <n v="0"/>
    <n v="258705.8823529412"/>
    <n v="10"/>
    <n v="0"/>
    <n v="10"/>
    <n v="0"/>
    <n v="0"/>
    <n v="0"/>
    <n v="0"/>
    <n v="77624.999999999985"/>
    <n v="0"/>
    <n v="0"/>
    <n v="0"/>
    <n v="0"/>
    <n v="184789.91596638659"/>
    <n v="3"/>
    <n v="0"/>
    <n v="3"/>
    <n v="0"/>
    <n v="0"/>
    <m/>
    <n v="0"/>
    <n v="23287.499999999996"/>
    <n v="0"/>
    <n v="0"/>
    <n v="0"/>
    <n v="0"/>
    <n v="55436.9747899159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SGR-40/41"/>
    <x v="273"/>
    <x v="261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862.499999999985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9"/>
    <n v="0"/>
    <n v="9"/>
    <m/>
    <n v="0"/>
    <n v="0"/>
    <n v="0"/>
    <n v="69862.499999999985"/>
    <x v="0"/>
    <n v="0"/>
    <n v="0"/>
    <n v="0"/>
    <n v="166310.92436974793"/>
    <n v="41"/>
    <n v="0"/>
    <n v="0"/>
    <m/>
    <n v="0"/>
    <n v="0"/>
    <n v="0"/>
    <n v="0"/>
    <n v="0"/>
    <n v="0"/>
    <n v="0"/>
    <n v="0"/>
    <n v="0"/>
    <n v="32"/>
    <n v="0"/>
    <n v="32"/>
    <n v="0"/>
    <n v="0"/>
    <n v="0"/>
    <n v="0"/>
    <n v="248399.99999999997"/>
    <n v="0"/>
    <n v="0"/>
    <n v="0"/>
    <n v="0"/>
    <n v="591327.73109243705"/>
    <n v="22"/>
    <n v="0"/>
    <n v="22"/>
    <n v="0"/>
    <n v="0"/>
    <n v="0"/>
    <n v="0"/>
    <n v="170774.99999999997"/>
    <n v="0"/>
    <n v="0"/>
    <n v="0"/>
    <n v="0"/>
    <n v="406537.8151260505"/>
    <n v="6"/>
    <n v="0"/>
    <n v="6"/>
    <n v="0"/>
    <n v="0"/>
    <m/>
    <n v="0"/>
    <n v="46574.999999999993"/>
    <n v="0"/>
    <n v="0"/>
    <n v="0"/>
    <n v="0"/>
    <n v="110873.9495798319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SGR-42/43"/>
    <x v="274"/>
    <x v="262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149.999999999985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12"/>
    <n v="0"/>
    <n v="12"/>
    <m/>
    <n v="0"/>
    <n v="0"/>
    <n v="0"/>
    <n v="93149.999999999985"/>
    <x v="0"/>
    <n v="0"/>
    <n v="0"/>
    <n v="0"/>
    <n v="221747.89915966388"/>
    <n v="52"/>
    <n v="0"/>
    <n v="0"/>
    <m/>
    <n v="0"/>
    <n v="0"/>
    <n v="0"/>
    <n v="0"/>
    <n v="0"/>
    <n v="0"/>
    <n v="0"/>
    <n v="0"/>
    <n v="0"/>
    <n v="40"/>
    <n v="0"/>
    <n v="40"/>
    <n v="0"/>
    <n v="0"/>
    <n v="0"/>
    <n v="0"/>
    <n v="310499.99999999994"/>
    <n v="0"/>
    <n v="0"/>
    <n v="0"/>
    <n v="0"/>
    <n v="739159.66386554635"/>
    <n v="28"/>
    <n v="0"/>
    <n v="28"/>
    <n v="0"/>
    <n v="0"/>
    <n v="0"/>
    <n v="0"/>
    <n v="217349.99999999997"/>
    <n v="0"/>
    <n v="0"/>
    <n v="0"/>
    <n v="0"/>
    <n v="517411.76470588241"/>
    <n v="8"/>
    <n v="0"/>
    <n v="8"/>
    <n v="0"/>
    <n v="0"/>
    <m/>
    <n v="0"/>
    <n v="62099.999999999993"/>
    <n v="0"/>
    <n v="0"/>
    <n v="0"/>
    <n v="0"/>
    <n v="147831.932773109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5"/>
    <x v="37"/>
    <s v="LHPANIMSGR-44/45"/>
    <x v="275"/>
    <x v="263"/>
    <x v="0"/>
    <x v="2"/>
    <n v="1"/>
    <x v="12"/>
    <n v="0"/>
    <m/>
    <n v="0"/>
    <n v="7503.7499999999991"/>
    <n v="0"/>
    <n v="7.5"/>
    <n v="8193.75"/>
    <n v="18478.991596638658"/>
    <n v="15117.64705882353"/>
    <s v="Shenzhen"/>
    <x v="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49.999999999996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4"/>
    <n v="0"/>
    <n v="4"/>
    <m/>
    <n v="0"/>
    <n v="0"/>
    <n v="0"/>
    <n v="31049.999999999996"/>
    <x v="0"/>
    <n v="0"/>
    <n v="0"/>
    <n v="0"/>
    <n v="73915.966386554632"/>
    <n v="18"/>
    <n v="0"/>
    <n v="0"/>
    <m/>
    <n v="0"/>
    <n v="0"/>
    <n v="0"/>
    <n v="0"/>
    <n v="0"/>
    <n v="0"/>
    <n v="0"/>
    <n v="0"/>
    <n v="0"/>
    <n v="14"/>
    <n v="0"/>
    <n v="14"/>
    <n v="0"/>
    <n v="0"/>
    <n v="0"/>
    <n v="0"/>
    <n v="108674.99999999999"/>
    <n v="0"/>
    <n v="0"/>
    <n v="0"/>
    <n v="0"/>
    <n v="258705.8823529412"/>
    <n v="10"/>
    <n v="0"/>
    <n v="10"/>
    <n v="0"/>
    <n v="0"/>
    <n v="0"/>
    <n v="0"/>
    <n v="77624.999999999985"/>
    <n v="0"/>
    <n v="0"/>
    <n v="0"/>
    <n v="0"/>
    <n v="184789.91596638659"/>
    <n v="3"/>
    <n v="0"/>
    <n v="3"/>
    <n v="0"/>
    <n v="0"/>
    <m/>
    <n v="0"/>
    <n v="23287.499999999996"/>
    <n v="0"/>
    <n v="0"/>
    <n v="0"/>
    <n v="0"/>
    <n v="55436.9747899159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FL01"/>
    <x v="276"/>
    <x v="264"/>
    <x v="0"/>
    <x v="0"/>
    <n v="1"/>
    <x v="173"/>
    <n v="373"/>
    <m/>
    <n v="0"/>
    <n v="7834"/>
    <n v="2922082"/>
    <n v="8"/>
    <n v="8740"/>
    <n v="16798.319327731093"/>
    <n v="12596.638655462186"/>
    <s v="Shenzhen"/>
    <x v="0"/>
    <n v="30"/>
    <n v="1"/>
    <n v="0"/>
    <s v=""/>
    <n v="0"/>
    <s v=""/>
    <n v="0"/>
    <s v=""/>
    <n v="0"/>
    <s v=""/>
    <n v="1"/>
    <n v="0.62695857142857148"/>
    <n v="6"/>
    <n v="0.34260420607102576"/>
    <n v="26"/>
    <n v="0.35305708620176623"/>
    <n v="1"/>
    <n v="0.37809837891927955"/>
    <n v="7"/>
    <n v="0.37809897160109451"/>
    <n v="19"/>
    <n v="0.46595868504796328"/>
    <n v="0"/>
    <s v=""/>
    <n v="2"/>
    <n v="0.57607078113585319"/>
    <n v="0"/>
    <s v=""/>
    <n v="2"/>
    <s v=""/>
    <n v="10"/>
    <s v=""/>
    <n v="3"/>
    <s v=""/>
    <n v="1"/>
    <n v="12"/>
    <s v=""/>
    <n v="1.2"/>
    <n v="13"/>
    <s v=""/>
    <n v="0.26"/>
    <n v="14"/>
    <s v=""/>
    <n v="0.11965811965811966"/>
    <n v="5"/>
    <n v="415"/>
    <n v="2"/>
    <n v="0"/>
    <n v="0"/>
    <n v="0"/>
    <n v="117510"/>
    <n v="3436200"/>
    <n v="15668"/>
    <n v="0"/>
    <n v="373"/>
    <n v="2922082"/>
    <n v="28232.469458371586"/>
    <n v="2"/>
    <n v="416"/>
    <n v="3"/>
    <n v="0"/>
    <n v="0"/>
    <n v="0"/>
    <n v="125344"/>
    <n v="3444480"/>
    <n v="23502"/>
    <n v="0"/>
    <n v="373"/>
    <n v="2922082"/>
    <n v="42348.704187557378"/>
    <n v="3"/>
    <n v="415"/>
    <n v="10"/>
    <n v="0"/>
    <n v="0"/>
    <n v="184642"/>
    <n v="3251110"/>
    <n v="78340"/>
    <n v="0"/>
    <n v="373"/>
    <n v="2922082"/>
    <n v="167983.19327731093"/>
    <n v="3"/>
    <n v="408"/>
    <n v="3"/>
    <n v="0"/>
    <n v="0"/>
    <n v="3378240"/>
    <n v="23502"/>
    <x v="0"/>
    <x v="0"/>
    <n v="373"/>
    <n v="2922082"/>
    <n v="50394.957983193279"/>
    <n v="10"/>
    <n v="385"/>
    <n v="10"/>
    <m/>
    <n v="0"/>
    <n v="0"/>
    <n v="3016090"/>
    <n v="82800"/>
    <x v="0"/>
    <n v="0"/>
    <n v="373"/>
    <n v="2922082"/>
    <n v="167983.19327731093"/>
    <n v="50"/>
    <n v="386"/>
    <n v="13"/>
    <m/>
    <n v="0"/>
    <n v="0"/>
    <n v="3023924"/>
    <n v="107640"/>
    <n v="0"/>
    <n v="0"/>
    <n v="386"/>
    <n v="2922082"/>
    <n v="218378.15126050421"/>
    <n v="117"/>
    <n v="387"/>
    <n v="117"/>
    <n v="0"/>
    <n v="0"/>
    <n v="0"/>
    <n v="3031758"/>
    <n v="968760"/>
    <n v="0"/>
    <n v="0"/>
    <n v="387"/>
    <n v="2922082"/>
    <n v="1965403.3613445379"/>
    <n v="117"/>
    <n v="270"/>
    <n v="117"/>
    <n v="0"/>
    <n v="0"/>
    <n v="0"/>
    <n v="2115180"/>
    <n v="968760"/>
    <n v="0"/>
    <n v="0"/>
    <n v="270"/>
    <n v="2115180"/>
    <n v="1965403.3613445379"/>
    <n v="39"/>
    <n v="153"/>
    <n v="39"/>
    <n v="0"/>
    <n v="0"/>
    <m/>
    <n v="1266840"/>
    <n v="322920"/>
    <n v="0"/>
    <n v="0"/>
    <n v="153"/>
    <n v="1266840"/>
    <n v="655134.45378151257"/>
    <n v="5"/>
    <n v="114"/>
    <n v="5"/>
    <n v="0"/>
    <n v="0"/>
    <n v="0"/>
    <m/>
    <n v="943920"/>
    <n v="41400"/>
    <n v="0"/>
    <n v="0"/>
    <n v="114"/>
    <n v="943920"/>
    <n v="62983.193277310929"/>
    <n v="0"/>
    <n v="109"/>
    <n v="0"/>
    <n v="0"/>
    <n v="0"/>
    <n v="902520"/>
    <n v="0"/>
    <n v="0"/>
    <n v="0"/>
    <n v="109"/>
    <n v="902520"/>
    <n v="0"/>
    <n v="0"/>
    <n v="109"/>
    <n v="0"/>
    <n v="0"/>
    <n v="0"/>
    <n v="902520"/>
    <n v="0"/>
    <n v="0"/>
    <n v="109"/>
    <n v="902520"/>
    <n v="0"/>
    <n v="0"/>
    <n v="109"/>
    <n v="0"/>
    <n v="0"/>
    <m/>
    <n v="902520"/>
    <n v="0"/>
    <n v="0"/>
    <n v="109"/>
    <n v="902520"/>
    <n v="0"/>
  </r>
  <r>
    <s v="Lhotse-Vestuario"/>
    <x v="1"/>
    <x v="16"/>
    <x v="38"/>
    <s v="LTW25-MFL01"/>
    <x v="277"/>
    <x v="264"/>
    <x v="0"/>
    <x v="0"/>
    <n v="1"/>
    <x v="174"/>
    <n v="227"/>
    <m/>
    <n v="0"/>
    <n v="7834"/>
    <n v="1778318"/>
    <n v="8"/>
    <n v="8740"/>
    <n v="16798.319327731093"/>
    <n v="12596.638655462186"/>
    <s v="Shenzhen"/>
    <x v="0"/>
    <n v="30"/>
    <n v="1"/>
    <n v="0"/>
    <s v=""/>
    <n v="0"/>
    <s v=""/>
    <n v="0"/>
    <s v=""/>
    <n v="0"/>
    <s v=""/>
    <n v="4"/>
    <n v="0.56624290578887637"/>
    <n v="29"/>
    <n v="0.45683517078312696"/>
    <n v="37"/>
    <n v="0.36321112200964722"/>
    <n v="8"/>
    <n v="0.33144742335041311"/>
    <n v="4"/>
    <n v="0.37809941611171433"/>
    <n v="21"/>
    <n v="0.46508331838257733"/>
    <n v="5"/>
    <n v="0.57609148466206783"/>
    <n v="3"/>
    <n v="0.62191727932304819"/>
    <n v="2"/>
    <s v=""/>
    <n v="4"/>
    <s v=""/>
    <n v="11"/>
    <s v=""/>
    <n v="5"/>
    <s v=""/>
    <n v="0.83333333333333337"/>
    <n v="16"/>
    <s v=""/>
    <n v="0.8"/>
    <n v="35"/>
    <s v=""/>
    <n v="0.7"/>
    <n v="26"/>
    <s v=""/>
    <n v="0.2988505747126437"/>
    <n v="5"/>
    <n v="318"/>
    <n v="2"/>
    <n v="0"/>
    <n v="0"/>
    <n v="0"/>
    <n v="148846"/>
    <n v="2633040"/>
    <n v="15668"/>
    <n v="0"/>
    <n v="227"/>
    <n v="1778318"/>
    <n v="28232.469458371586"/>
    <n v="2"/>
    <n v="316"/>
    <n v="6"/>
    <n v="0"/>
    <n v="0"/>
    <n v="0"/>
    <n v="172348"/>
    <n v="2616480"/>
    <n v="47004"/>
    <n v="0"/>
    <n v="227"/>
    <n v="1778318"/>
    <n v="84697.408375114755"/>
    <n v="8"/>
    <n v="313"/>
    <n v="11"/>
    <n v="0"/>
    <n v="0"/>
    <n v="290944"/>
    <n v="2452042"/>
    <n v="86174"/>
    <n v="0"/>
    <n v="227"/>
    <n v="1778318"/>
    <n v="184781.51260504202"/>
    <n v="6"/>
    <n v="308"/>
    <n v="5"/>
    <n v="0"/>
    <n v="0"/>
    <n v="2550240"/>
    <n v="39170"/>
    <x v="0"/>
    <x v="0"/>
    <n v="227"/>
    <n v="1778318"/>
    <n v="83991.596638655465"/>
    <n v="20"/>
    <n v="243"/>
    <n v="20"/>
    <m/>
    <n v="0"/>
    <n v="0"/>
    <n v="1903662"/>
    <n v="165600"/>
    <x v="0"/>
    <n v="0"/>
    <n v="227"/>
    <n v="1778318"/>
    <n v="335966.38655462186"/>
    <n v="50"/>
    <n v="262"/>
    <n v="35"/>
    <m/>
    <n v="0"/>
    <n v="0"/>
    <n v="2052508"/>
    <n v="289800"/>
    <n v="0"/>
    <n v="0"/>
    <n v="262"/>
    <n v="1778318"/>
    <n v="587941.17647058819"/>
    <n v="87"/>
    <n v="253"/>
    <n v="87"/>
    <n v="0"/>
    <n v="0"/>
    <n v="0"/>
    <n v="1982002"/>
    <n v="720360"/>
    <n v="0"/>
    <n v="0"/>
    <n v="253"/>
    <n v="1778318"/>
    <n v="1461453.781512605"/>
    <n v="87"/>
    <n v="166"/>
    <n v="87"/>
    <n v="0"/>
    <n v="0"/>
    <n v="0"/>
    <n v="1300444"/>
    <n v="720360"/>
    <n v="0"/>
    <n v="0"/>
    <n v="166"/>
    <n v="1300444"/>
    <n v="1461453.781512605"/>
    <n v="29"/>
    <n v="79"/>
    <n v="29"/>
    <n v="0"/>
    <n v="0"/>
    <m/>
    <n v="654120"/>
    <n v="240120"/>
    <n v="0"/>
    <n v="0"/>
    <n v="79"/>
    <n v="654120"/>
    <n v="487151.26050420169"/>
    <n v="5"/>
    <n v="50"/>
    <n v="5"/>
    <n v="0"/>
    <n v="0"/>
    <n v="0"/>
    <m/>
    <n v="414000"/>
    <n v="41400"/>
    <n v="0"/>
    <n v="0"/>
    <n v="50"/>
    <n v="414000"/>
    <n v="62983.193277310929"/>
    <n v="0"/>
    <n v="45"/>
    <n v="0"/>
    <n v="0"/>
    <n v="0"/>
    <n v="372600"/>
    <n v="0"/>
    <n v="0"/>
    <n v="0"/>
    <n v="45"/>
    <n v="372600"/>
    <n v="0"/>
    <n v="0"/>
    <n v="45"/>
    <n v="0"/>
    <n v="0"/>
    <n v="0"/>
    <n v="372600"/>
    <n v="0"/>
    <n v="0"/>
    <n v="45"/>
    <n v="372600"/>
    <n v="0"/>
    <n v="0"/>
    <n v="45"/>
    <n v="0"/>
    <n v="0"/>
    <m/>
    <n v="372600"/>
    <n v="0"/>
    <n v="0"/>
    <n v="45"/>
    <n v="372600"/>
    <n v="0"/>
  </r>
  <r>
    <s v="Lhotse-Vestuario"/>
    <x v="1"/>
    <x v="16"/>
    <x v="38"/>
    <s v="LTW25-MFL01"/>
    <x v="278"/>
    <x v="264"/>
    <x v="0"/>
    <x v="0"/>
    <n v="1"/>
    <x v="175"/>
    <n v="200"/>
    <m/>
    <n v="0"/>
    <n v="7834"/>
    <n v="1566800"/>
    <n v="8"/>
    <n v="8740"/>
    <n v="16798.319327731093"/>
    <n v="12596.638655462186"/>
    <s v="Shenzhen"/>
    <x v="0"/>
    <n v="30"/>
    <n v="1"/>
    <n v="0"/>
    <s v=""/>
    <n v="0"/>
    <s v=""/>
    <n v="0"/>
    <s v=""/>
    <n v="0"/>
    <s v=""/>
    <n v="4"/>
    <n v="0.59888531892832919"/>
    <n v="26"/>
    <n v="0.38743772497225987"/>
    <n v="64"/>
    <n v="0.32732124424851428"/>
    <n v="6"/>
    <n v="0.34870429194945468"/>
    <n v="5"/>
    <n v="0.40776579625955556"/>
    <n v="32"/>
    <n v="0.40142857615821709"/>
    <n v="0"/>
    <s v=""/>
    <n v="7"/>
    <n v="0.55886914268385823"/>
    <n v="1"/>
    <s v=""/>
    <n v="8"/>
    <s v=""/>
    <n v="11"/>
    <s v=""/>
    <n v="7"/>
    <s v=""/>
    <n v="1.1666666666666667"/>
    <n v="15"/>
    <s v=""/>
    <n v="0.5"/>
    <n v="37"/>
    <s v=""/>
    <n v="0.56923076923076921"/>
    <n v="16"/>
    <s v=""/>
    <n v="0.21621621621621623"/>
    <n v="5"/>
    <n v="282"/>
    <n v="2"/>
    <n v="0"/>
    <n v="0"/>
    <n v="0"/>
    <n v="195850"/>
    <n v="2334960"/>
    <n v="15668"/>
    <n v="0"/>
    <n v="200"/>
    <n v="1566800"/>
    <n v="28232.469458371586"/>
    <n v="2"/>
    <n v="281"/>
    <n v="12"/>
    <n v="0"/>
    <n v="0"/>
    <n v="0"/>
    <n v="235020"/>
    <n v="2326680"/>
    <n v="94008"/>
    <n v="0"/>
    <n v="200"/>
    <n v="1566800"/>
    <n v="169394.81675022951"/>
    <n v="3"/>
    <n v="274"/>
    <n v="11"/>
    <n v="0"/>
    <n v="0"/>
    <n v="389412"/>
    <n v="2146516"/>
    <n v="86174"/>
    <n v="0"/>
    <n v="200"/>
    <n v="1566800"/>
    <n v="184781.51260504202"/>
    <n v="6"/>
    <n v="263"/>
    <n v="7"/>
    <n v="0"/>
    <n v="0"/>
    <n v="2177640"/>
    <n v="54838"/>
    <x v="0"/>
    <x v="0"/>
    <n v="200"/>
    <n v="1566800"/>
    <n v="117588.23529411765"/>
    <n v="30"/>
    <n v="215"/>
    <n v="30"/>
    <m/>
    <n v="0"/>
    <n v="0"/>
    <n v="1684310"/>
    <n v="248400"/>
    <x v="0"/>
    <n v="0"/>
    <n v="200"/>
    <n v="1566800"/>
    <n v="503949.57983193279"/>
    <n v="65"/>
    <n v="237"/>
    <n v="37"/>
    <m/>
    <n v="0"/>
    <n v="0"/>
    <n v="1856658"/>
    <n v="306360"/>
    <n v="0"/>
    <n v="0"/>
    <n v="237"/>
    <n v="1566800"/>
    <n v="621537.8151260505"/>
    <n v="74"/>
    <n v="216"/>
    <n v="74"/>
    <n v="0"/>
    <n v="0"/>
    <n v="0"/>
    <n v="1692144"/>
    <n v="612720"/>
    <n v="0"/>
    <n v="0"/>
    <n v="216"/>
    <n v="1566800"/>
    <n v="1243075.630252101"/>
    <n v="74"/>
    <n v="142"/>
    <n v="74"/>
    <n v="0"/>
    <n v="0"/>
    <n v="0"/>
    <n v="1112428"/>
    <n v="612720"/>
    <n v="0"/>
    <n v="0"/>
    <n v="142"/>
    <n v="1112428"/>
    <n v="1243075.630252101"/>
    <n v="25"/>
    <n v="68"/>
    <n v="25"/>
    <n v="0"/>
    <n v="0"/>
    <m/>
    <n v="563040"/>
    <n v="207000"/>
    <n v="0"/>
    <n v="0"/>
    <n v="68"/>
    <n v="563040"/>
    <n v="419957.98319327732"/>
    <n v="0"/>
    <n v="43"/>
    <n v="0"/>
    <n v="0"/>
    <n v="0"/>
    <n v="0"/>
    <m/>
    <n v="356040"/>
    <n v="0"/>
    <n v="0"/>
    <n v="0"/>
    <n v="43"/>
    <n v="356040"/>
    <n v="0"/>
    <n v="0"/>
    <n v="43"/>
    <n v="0"/>
    <n v="0"/>
    <n v="0"/>
    <n v="356040"/>
    <n v="0"/>
    <n v="0"/>
    <n v="0"/>
    <n v="43"/>
    <n v="356040"/>
    <n v="0"/>
    <n v="0"/>
    <n v="43"/>
    <n v="0"/>
    <n v="0"/>
    <n v="0"/>
    <n v="356040"/>
    <n v="0"/>
    <n v="0"/>
    <n v="43"/>
    <n v="356040"/>
    <n v="0"/>
    <n v="0"/>
    <n v="43"/>
    <n v="0"/>
    <n v="0"/>
    <m/>
    <n v="356040"/>
    <n v="0"/>
    <n v="0"/>
    <n v="43"/>
    <n v="356040"/>
    <n v="0"/>
  </r>
  <r>
    <s v="Lhotse-Vestuario"/>
    <x v="1"/>
    <x v="16"/>
    <x v="38"/>
    <s v="LTW25-MFL01"/>
    <x v="279"/>
    <x v="264"/>
    <x v="0"/>
    <x v="1"/>
    <n v="1"/>
    <x v="176"/>
    <n v="330"/>
    <m/>
    <n v="0"/>
    <n v="7834"/>
    <n v="2585220"/>
    <n v="8"/>
    <n v="8740"/>
    <n v="16798.319327731093"/>
    <n v="12596.638655462186"/>
    <s v="Shenzhen"/>
    <x v="0"/>
    <n v="30"/>
    <n v="1"/>
    <n v="0"/>
    <s v=""/>
    <n v="0"/>
    <s v=""/>
    <n v="0"/>
    <s v=""/>
    <n v="0"/>
    <s v=""/>
    <n v="2"/>
    <n v="0.58548759193608135"/>
    <n v="13"/>
    <n v="0.45202013539001057"/>
    <n v="44"/>
    <n v="0.30391605142127598"/>
    <n v="6"/>
    <n v="0.37810432544229627"/>
    <n v="4"/>
    <n v="0.50257699312517445"/>
    <n v="32"/>
    <n v="0.4751593466181504"/>
    <n v="3"/>
    <n v="0.52579911624059239"/>
    <n v="3"/>
    <n v="0.61142800456326574"/>
    <n v="0"/>
    <s v=""/>
    <n v="2"/>
    <s v=""/>
    <n v="2"/>
    <s v=""/>
    <n v="1"/>
    <s v=""/>
    <n v="0.25"/>
    <n v="11"/>
    <s v=""/>
    <n v="1.1000000000000001"/>
    <n v="11"/>
    <s v=""/>
    <n v="0.22"/>
    <n v="10"/>
    <s v=""/>
    <n v="9.6153846153846159E-2"/>
    <n v="5"/>
    <n v="360"/>
    <n v="2"/>
    <n v="0"/>
    <n v="0"/>
    <n v="0"/>
    <n v="54838"/>
    <n v="2980800"/>
    <n v="15668"/>
    <n v="0"/>
    <n v="330"/>
    <n v="2585220"/>
    <n v="28232.469458371586"/>
    <n v="2"/>
    <n v="360"/>
    <n v="3"/>
    <n v="0"/>
    <n v="0"/>
    <n v="0"/>
    <n v="47004"/>
    <n v="2980800"/>
    <n v="23502"/>
    <n v="0"/>
    <n v="330"/>
    <n v="2585220"/>
    <n v="42348.704187557378"/>
    <n v="3"/>
    <n v="359"/>
    <n v="2"/>
    <n v="0"/>
    <n v="0"/>
    <n v="106302"/>
    <n v="2812406"/>
    <n v="15668"/>
    <n v="0"/>
    <n v="330"/>
    <n v="2585220"/>
    <n v="33596.638655462186"/>
    <n v="4"/>
    <n v="362"/>
    <n v="1"/>
    <n v="0"/>
    <n v="0"/>
    <n v="2997360"/>
    <n v="7834"/>
    <x v="0"/>
    <x v="0"/>
    <n v="330"/>
    <n v="2585220"/>
    <n v="16798.319327731093"/>
    <n v="10"/>
    <n v="341"/>
    <n v="10"/>
    <m/>
    <n v="0"/>
    <n v="0"/>
    <n v="2671394"/>
    <n v="82800"/>
    <x v="0"/>
    <n v="0"/>
    <n v="330"/>
    <n v="2585220"/>
    <n v="167983.19327731093"/>
    <n v="50"/>
    <n v="341"/>
    <n v="11"/>
    <m/>
    <n v="0"/>
    <n v="0"/>
    <n v="2671394"/>
    <n v="91080"/>
    <n v="0"/>
    <n v="0"/>
    <n v="341"/>
    <n v="2585220"/>
    <n v="184781.51260504202"/>
    <n v="104"/>
    <n v="340"/>
    <n v="104"/>
    <n v="0"/>
    <n v="0"/>
    <n v="0"/>
    <n v="2663560"/>
    <n v="861120"/>
    <n v="0"/>
    <n v="0"/>
    <n v="340"/>
    <n v="2585220"/>
    <n v="1747025.2100840337"/>
    <n v="104"/>
    <n v="236"/>
    <n v="104"/>
    <n v="0"/>
    <n v="0"/>
    <n v="0"/>
    <n v="1848824"/>
    <n v="861120"/>
    <n v="0"/>
    <n v="0"/>
    <n v="236"/>
    <n v="1848824"/>
    <n v="1747025.2100840337"/>
    <n v="35"/>
    <n v="132"/>
    <n v="35"/>
    <n v="0"/>
    <n v="0"/>
    <m/>
    <n v="1092960"/>
    <n v="289800"/>
    <n v="0"/>
    <n v="0"/>
    <n v="132"/>
    <n v="1092960"/>
    <n v="587941.17647058819"/>
    <n v="5"/>
    <n v="97"/>
    <n v="5"/>
    <n v="0"/>
    <n v="0"/>
    <n v="0"/>
    <m/>
    <n v="803160"/>
    <n v="41400"/>
    <n v="0"/>
    <n v="0"/>
    <n v="97"/>
    <n v="803160"/>
    <n v="62983.193277310929"/>
    <n v="0"/>
    <n v="92"/>
    <n v="0"/>
    <n v="0"/>
    <n v="0"/>
    <n v="761760"/>
    <n v="0"/>
    <n v="0"/>
    <n v="0"/>
    <n v="92"/>
    <n v="761760"/>
    <n v="0"/>
    <n v="0"/>
    <n v="92"/>
    <n v="0"/>
    <n v="0"/>
    <n v="0"/>
    <n v="761760"/>
    <n v="0"/>
    <n v="0"/>
    <n v="92"/>
    <n v="761760"/>
    <n v="0"/>
    <n v="0"/>
    <n v="92"/>
    <n v="0"/>
    <n v="0"/>
    <m/>
    <n v="761760"/>
    <n v="0"/>
    <n v="0"/>
    <n v="92"/>
    <n v="761760"/>
    <n v="0"/>
  </r>
  <r>
    <s v="Lhotse-Vestuario"/>
    <x v="1"/>
    <x v="16"/>
    <x v="38"/>
    <s v="LTW25-MTS02"/>
    <x v="280"/>
    <x v="265"/>
    <x v="0"/>
    <x v="6"/>
    <n v="1"/>
    <x v="12"/>
    <n v="29"/>
    <m/>
    <n v="0"/>
    <n v="5875"/>
    <n v="170375"/>
    <n v="6"/>
    <n v="6554.9999999999991"/>
    <n v="8394.957983193277"/>
    <n v="7554.621848739496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59451998067499479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5"/>
    <n v="28"/>
    <n v="2"/>
    <n v="0"/>
    <n v="0"/>
    <n v="0"/>
    <n v="11750"/>
    <n v="173879.99999999997"/>
    <n v="11750"/>
    <n v="0"/>
    <n v="29"/>
    <n v="170375"/>
    <n v="14109.173080997105"/>
    <n v="4"/>
    <n v="29"/>
    <n v="0"/>
    <n v="0"/>
    <n v="0"/>
    <n v="0"/>
    <n v="0"/>
    <n v="180089.99999999997"/>
    <n v="0"/>
    <n v="0"/>
    <n v="29"/>
    <n v="170375"/>
    <n v="0"/>
    <n v="3"/>
    <n v="29"/>
    <n v="0"/>
    <n v="0"/>
    <n v="0"/>
    <n v="31049.999999999996"/>
    <n v="170375"/>
    <n v="0"/>
    <n v="0"/>
    <n v="29"/>
    <n v="170375"/>
    <n v="0"/>
    <n v="3"/>
    <n v="27"/>
    <n v="0"/>
    <n v="0"/>
    <n v="0"/>
    <n v="167669.99999999997"/>
    <n v="0"/>
    <x v="0"/>
    <x v="0"/>
    <n v="29"/>
    <n v="170375"/>
    <n v="0"/>
    <n v="5"/>
    <n v="29"/>
    <n v="5"/>
    <m/>
    <n v="0"/>
    <n v="0"/>
    <n v="170375"/>
    <n v="31049.999999999996"/>
    <x v="0"/>
    <n v="0"/>
    <n v="29"/>
    <n v="170375"/>
    <n v="41974.789915966387"/>
    <n v="10.5"/>
    <n v="29"/>
    <n v="0"/>
    <m/>
    <n v="0"/>
    <n v="0"/>
    <n v="170375"/>
    <n v="0"/>
    <n v="0"/>
    <n v="0"/>
    <n v="29"/>
    <n v="170375"/>
    <n v="0"/>
    <n v="10"/>
    <n v="29"/>
    <n v="10"/>
    <n v="0"/>
    <n v="0"/>
    <n v="0"/>
    <n v="170375"/>
    <n v="62099.999999999993"/>
    <n v="0"/>
    <n v="0"/>
    <n v="29"/>
    <n v="170375"/>
    <n v="83949.579831932773"/>
    <n v="10"/>
    <n v="19"/>
    <n v="10"/>
    <n v="0"/>
    <n v="0"/>
    <n v="0"/>
    <n v="111625"/>
    <n v="62099.999999999993"/>
    <n v="0"/>
    <n v="0"/>
    <n v="19"/>
    <n v="111625"/>
    <n v="83949.579831932773"/>
    <n v="10"/>
    <n v="9"/>
    <n v="10"/>
    <n v="0"/>
    <n v="0"/>
    <m/>
    <n v="55889.999999999993"/>
    <n v="62099.999999999993"/>
    <n v="0"/>
    <n v="0"/>
    <n v="9"/>
    <n v="55889.999999999993"/>
    <n v="83949.57983193277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1"/>
    <x v="265"/>
    <x v="0"/>
    <x v="6"/>
    <n v="1"/>
    <x v="12"/>
    <n v="29"/>
    <m/>
    <n v="0"/>
    <n v="5875"/>
    <n v="170375"/>
    <n v="6"/>
    <n v="6554.9999999999991"/>
    <n v="8394.957983193277"/>
    <n v="7554.6218487394963"/>
    <s v="Shenzhen"/>
    <x v="0"/>
    <n v="30"/>
    <n v="1"/>
    <n v="0"/>
    <s v=""/>
    <n v="0"/>
    <s v=""/>
    <n v="0"/>
    <s v=""/>
    <n v="0"/>
    <s v=""/>
    <n v="0"/>
    <n v="0"/>
    <n v="1"/>
    <n v="0.4169352121509326"/>
    <n v="6"/>
    <n v="0.22236929185969556"/>
    <n v="0"/>
    <n v="0.46179919384389884"/>
    <n v="1"/>
    <n v="0.36385350318471343"/>
    <n v="8"/>
    <n v="0.47694670420779683"/>
    <n v="1"/>
    <n v="0.46179919384389884"/>
    <n v="6"/>
    <n v="0.44509161891568538"/>
    <n v="5"/>
    <s v=""/>
    <n v="0"/>
    <s v=""/>
    <n v="2"/>
    <s v=""/>
    <n v="0"/>
    <s v=""/>
    <n v="0"/>
    <n v="0"/>
    <s v=""/>
    <n v="0"/>
    <n v="2"/>
    <s v=""/>
    <n v="9.5238095238095233E-2"/>
    <n v="1"/>
    <s v=""/>
    <n v="9.0909090909090912E-2"/>
    <n v="6"/>
    <n v="33"/>
    <n v="2"/>
    <n v="0"/>
    <n v="0"/>
    <n v="0"/>
    <n v="23500"/>
    <n v="204929.99999999997"/>
    <n v="11750"/>
    <n v="0"/>
    <n v="29"/>
    <n v="170375"/>
    <n v="14109.173080997105"/>
    <n v="4"/>
    <n v="32"/>
    <n v="0"/>
    <n v="0"/>
    <n v="0"/>
    <n v="0"/>
    <n v="11750"/>
    <n v="198719.99999999997"/>
    <n v="0"/>
    <n v="0"/>
    <n v="29"/>
    <n v="170375"/>
    <n v="0"/>
    <n v="3"/>
    <n v="34"/>
    <n v="2"/>
    <n v="0"/>
    <n v="0"/>
    <n v="42800"/>
    <n v="199750"/>
    <n v="11750"/>
    <n v="0"/>
    <n v="29"/>
    <n v="170375"/>
    <n v="16789.915966386554"/>
    <n v="3"/>
    <n v="32"/>
    <n v="0"/>
    <n v="0"/>
    <n v="0"/>
    <n v="198719.99999999997"/>
    <n v="0"/>
    <x v="0"/>
    <x v="0"/>
    <n v="29"/>
    <n v="170375"/>
    <n v="0"/>
    <n v="5"/>
    <n v="29"/>
    <n v="5"/>
    <m/>
    <n v="0"/>
    <n v="0"/>
    <n v="170375"/>
    <n v="31049.999999999996"/>
    <x v="0"/>
    <n v="0"/>
    <n v="29"/>
    <n v="170375"/>
    <n v="41974.789915966387"/>
    <n v="21"/>
    <n v="31"/>
    <n v="2"/>
    <m/>
    <n v="0"/>
    <n v="0"/>
    <n v="182125"/>
    <n v="12419.999999999998"/>
    <n v="0"/>
    <n v="0"/>
    <n v="31"/>
    <n v="170375"/>
    <n v="16789.915966386554"/>
    <n v="11"/>
    <n v="30"/>
    <n v="11"/>
    <n v="0"/>
    <n v="0"/>
    <n v="0"/>
    <n v="176250"/>
    <n v="68309.999999999985"/>
    <n v="0"/>
    <n v="0"/>
    <n v="30"/>
    <n v="170375"/>
    <n v="92344.537815126052"/>
    <n v="11"/>
    <n v="19"/>
    <n v="11"/>
    <n v="0"/>
    <n v="0"/>
    <n v="0"/>
    <n v="111625"/>
    <n v="68309.999999999985"/>
    <n v="0"/>
    <n v="0"/>
    <n v="19"/>
    <n v="111625"/>
    <n v="92344.537815126052"/>
    <n v="11"/>
    <n v="8"/>
    <n v="11"/>
    <n v="0"/>
    <n v="0"/>
    <m/>
    <n v="49679.999999999993"/>
    <n v="68309.999999999985"/>
    <n v="0"/>
    <n v="0"/>
    <n v="8"/>
    <n v="49679.999999999993"/>
    <n v="92344.53781512605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2"/>
    <x v="265"/>
    <x v="0"/>
    <x v="6"/>
    <n v="1"/>
    <x v="12"/>
    <n v="41"/>
    <m/>
    <n v="0"/>
    <n v="5875"/>
    <n v="240875"/>
    <n v="6"/>
    <n v="6554.9999999999991"/>
    <n v="8394.957983193277"/>
    <n v="7554.6218487394963"/>
    <s v="Shenzhen"/>
    <x v="0"/>
    <n v="30"/>
    <n v="1"/>
    <n v="0"/>
    <s v=""/>
    <n v="0"/>
    <s v=""/>
    <n v="0"/>
    <s v=""/>
    <n v="0"/>
    <n v="0"/>
    <n v="2"/>
    <n v="0.55346963593524356"/>
    <n v="2"/>
    <n v="0.22240360010588547"/>
    <n v="8"/>
    <n v="0.24631173829377806"/>
    <n v="3"/>
    <n v="0.46179864141926319"/>
    <n v="2"/>
    <n v="0.31226221832016388"/>
    <n v="12"/>
    <n v="0.43492862467237881"/>
    <n v="0"/>
    <s v=""/>
    <n v="9"/>
    <n v="0.53363556982456761"/>
    <n v="13"/>
    <s v=""/>
    <n v="0"/>
    <s v=""/>
    <n v="2"/>
    <s v=""/>
    <n v="2"/>
    <s v=""/>
    <n v="0.66666666666666663"/>
    <n v="1"/>
    <s v=""/>
    <n v="0.2"/>
    <n v="1"/>
    <s v=""/>
    <n v="3.1746031746031744E-2"/>
    <n v="0"/>
    <s v=""/>
    <n v="0"/>
    <n v="6"/>
    <n v="47"/>
    <n v="3"/>
    <n v="0"/>
    <n v="0"/>
    <n v="0"/>
    <n v="29375"/>
    <n v="291869.99999999994"/>
    <n v="17625"/>
    <n v="0"/>
    <n v="41"/>
    <n v="240875"/>
    <n v="21163.759621495657"/>
    <n v="4"/>
    <n v="47"/>
    <n v="0"/>
    <n v="0"/>
    <n v="0"/>
    <n v="0"/>
    <n v="23500"/>
    <n v="291869.99999999994"/>
    <n v="0"/>
    <n v="0"/>
    <n v="41"/>
    <n v="240875"/>
    <n v="0"/>
    <n v="3"/>
    <n v="48"/>
    <n v="2"/>
    <n v="0"/>
    <n v="0"/>
    <n v="54550"/>
    <n v="282000"/>
    <n v="11750"/>
    <n v="0"/>
    <n v="41"/>
    <n v="240875"/>
    <n v="16789.915966386554"/>
    <n v="3"/>
    <n v="46"/>
    <n v="2"/>
    <n v="0"/>
    <n v="0"/>
    <n v="285659.99999999994"/>
    <n v="11750"/>
    <x v="0"/>
    <x v="0"/>
    <n v="41"/>
    <n v="240875"/>
    <n v="16789.915966386554"/>
    <n v="5"/>
    <n v="42"/>
    <n v="5"/>
    <m/>
    <n v="0"/>
    <n v="0"/>
    <n v="246750"/>
    <n v="31049.999999999996"/>
    <x v="0"/>
    <n v="0"/>
    <n v="41"/>
    <n v="240875"/>
    <n v="41974.789915966387"/>
    <n v="31.5"/>
    <n v="42"/>
    <n v="1"/>
    <m/>
    <n v="0"/>
    <n v="0"/>
    <n v="246750"/>
    <n v="6209.9999999999991"/>
    <n v="0"/>
    <n v="0"/>
    <n v="42"/>
    <n v="240875"/>
    <n v="8394.957983193277"/>
    <n v="15"/>
    <n v="41"/>
    <n v="15"/>
    <n v="0"/>
    <n v="0"/>
    <n v="0"/>
    <n v="240875"/>
    <n v="93149.999999999985"/>
    <n v="0"/>
    <n v="0"/>
    <n v="41"/>
    <n v="240875"/>
    <n v="125924.36974789915"/>
    <n v="15"/>
    <n v="26"/>
    <n v="15"/>
    <n v="0"/>
    <n v="0"/>
    <n v="0"/>
    <n v="152750"/>
    <n v="93149.999999999985"/>
    <n v="0"/>
    <n v="0"/>
    <n v="26"/>
    <n v="152750"/>
    <n v="125924.36974789915"/>
    <n v="15"/>
    <n v="11"/>
    <n v="15"/>
    <n v="0"/>
    <n v="0"/>
    <m/>
    <n v="68309.999999999985"/>
    <n v="93149.999999999985"/>
    <n v="0"/>
    <n v="0"/>
    <n v="11"/>
    <n v="68309.999999999985"/>
    <n v="125924.3697478991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3"/>
    <x v="265"/>
    <x v="0"/>
    <x v="6"/>
    <n v="1"/>
    <x v="12"/>
    <n v="5"/>
    <m/>
    <n v="0"/>
    <n v="5875"/>
    <n v="29375"/>
    <n v="6"/>
    <n v="6554.9999999999991"/>
    <n v="8394.957983193277"/>
    <n v="7554.6218487394963"/>
    <s v="Shenzhen"/>
    <x v="0"/>
    <n v="30"/>
    <n v="1"/>
    <n v="0"/>
    <s v=""/>
    <n v="0"/>
    <s v=""/>
    <n v="0"/>
    <s v=""/>
    <n v="0"/>
    <s v=""/>
    <n v="1"/>
    <n v="0.46179919384389884"/>
    <n v="0"/>
    <s v=""/>
    <n v="0"/>
    <s v=""/>
    <n v="0"/>
    <s v=""/>
    <n v="1"/>
    <n v="0.36385350318471343"/>
    <n v="6"/>
    <n v="0.39596970423935024"/>
    <n v="1"/>
    <n v="0.46179919384389884"/>
    <n v="3"/>
    <n v="0.57861139004446993"/>
    <n v="5"/>
    <s v=""/>
    <n v="3"/>
    <s v=""/>
    <n v="3"/>
    <s v=""/>
    <n v="1"/>
    <s v=""/>
    <n v="0.33333333333333331"/>
    <n v="0"/>
    <s v=""/>
    <n v="0"/>
    <n v="1"/>
    <s v=""/>
    <n v="9.5238095238095233E-2"/>
    <n v="1"/>
    <s v=""/>
    <n v="0.5"/>
    <n v="5"/>
    <n v="13"/>
    <n v="2"/>
    <n v="0"/>
    <n v="0"/>
    <n v="0"/>
    <n v="55812.5"/>
    <n v="80729.999999999985"/>
    <n v="11750"/>
    <n v="0"/>
    <n v="5"/>
    <n v="29375"/>
    <n v="14109.173080997105"/>
    <n v="2"/>
    <n v="13"/>
    <n v="4.5"/>
    <n v="0"/>
    <n v="0"/>
    <n v="0"/>
    <n v="49937.5"/>
    <n v="80729.999999999985"/>
    <n v="26437.5"/>
    <n v="0"/>
    <n v="5"/>
    <n v="29375"/>
    <n v="31745.639432243486"/>
    <n v="3"/>
    <n v="10"/>
    <n v="3"/>
    <n v="0"/>
    <n v="0"/>
    <n v="54550"/>
    <n v="58750"/>
    <n v="17625"/>
    <n v="0"/>
    <n v="5"/>
    <n v="29375"/>
    <n v="25184.873949579829"/>
    <n v="3"/>
    <n v="8"/>
    <n v="1"/>
    <n v="0"/>
    <n v="0"/>
    <n v="49679.999999999993"/>
    <n v="5875"/>
    <x v="0"/>
    <x v="0"/>
    <n v="5"/>
    <n v="29375"/>
    <n v="8394.957983193277"/>
    <n v="5"/>
    <n v="5"/>
    <n v="5"/>
    <m/>
    <n v="0"/>
    <n v="0"/>
    <n v="29375"/>
    <n v="31049.999999999996"/>
    <x v="0"/>
    <n v="0"/>
    <n v="5"/>
    <n v="29375"/>
    <n v="41974.789915966387"/>
    <n v="10.5"/>
    <n v="6"/>
    <n v="1"/>
    <m/>
    <n v="0"/>
    <n v="0"/>
    <n v="35250"/>
    <n v="6209.9999999999991"/>
    <n v="0"/>
    <n v="0"/>
    <n v="6"/>
    <n v="29375"/>
    <n v="8394.957983193277"/>
    <n v="2"/>
    <n v="6"/>
    <n v="2"/>
    <n v="0"/>
    <n v="0"/>
    <n v="0"/>
    <n v="35250"/>
    <n v="12419.999999999998"/>
    <n v="0"/>
    <n v="0"/>
    <n v="6"/>
    <n v="29375"/>
    <n v="16789.915966386554"/>
    <n v="2"/>
    <n v="4"/>
    <n v="2"/>
    <n v="0"/>
    <n v="0"/>
    <n v="0"/>
    <n v="23500"/>
    <n v="12419.999999999998"/>
    <n v="0"/>
    <n v="0"/>
    <n v="4"/>
    <n v="23500"/>
    <n v="16789.915966386554"/>
    <n v="2"/>
    <n v="2"/>
    <n v="2"/>
    <n v="0"/>
    <n v="0"/>
    <m/>
    <n v="12419.999999999998"/>
    <n v="12419.999999999998"/>
    <n v="0"/>
    <n v="0"/>
    <n v="2"/>
    <n v="12419.999999999998"/>
    <n v="16789.9159663865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4"/>
    <x v="265"/>
    <x v="0"/>
    <x v="6"/>
    <n v="1"/>
    <x v="12"/>
    <n v="18"/>
    <m/>
    <n v="0"/>
    <n v="5875"/>
    <n v="105750"/>
    <n v="6"/>
    <n v="6554.9999999999991"/>
    <n v="8394.957983193277"/>
    <n v="7554.621848739496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59451998067499479"/>
    <n v="5"/>
    <n v="0"/>
    <n v="1"/>
    <n v="0.23112158094490251"/>
    <n v="1"/>
    <n v="0.61986412164348104"/>
    <n v="6"/>
    <s v=""/>
    <n v="0"/>
    <s v=""/>
    <n v="0"/>
    <s v=""/>
    <n v="1"/>
    <s v=""/>
    <n v="0.33333333333333331"/>
    <n v="0"/>
    <s v=""/>
    <n v="0"/>
    <n v="0"/>
    <s v=""/>
    <n v="0"/>
    <n v="0"/>
    <s v=""/>
    <n v="0"/>
    <n v="5"/>
    <n v="18"/>
    <n v="2"/>
    <n v="0"/>
    <n v="0"/>
    <n v="0"/>
    <n v="11750"/>
    <n v="111779.99999999999"/>
    <n v="11750"/>
    <n v="0"/>
    <n v="18"/>
    <n v="105750"/>
    <n v="14109.173080997105"/>
    <n v="3"/>
    <n v="19"/>
    <n v="0"/>
    <n v="0"/>
    <n v="0"/>
    <n v="0"/>
    <n v="5875"/>
    <n v="117989.99999999999"/>
    <n v="0"/>
    <n v="0"/>
    <n v="18"/>
    <n v="105750"/>
    <n v="0"/>
    <n v="3"/>
    <n v="19"/>
    <n v="0"/>
    <n v="0"/>
    <n v="0"/>
    <n v="36925"/>
    <n v="111625"/>
    <n v="0"/>
    <n v="0"/>
    <n v="18"/>
    <n v="105750"/>
    <n v="0"/>
    <n v="3"/>
    <n v="19"/>
    <n v="1"/>
    <n v="0"/>
    <n v="0"/>
    <n v="117989.99999999999"/>
    <n v="5875"/>
    <x v="0"/>
    <x v="0"/>
    <n v="18"/>
    <n v="105750"/>
    <n v="8394.957983193277"/>
    <n v="5"/>
    <n v="18"/>
    <n v="5"/>
    <m/>
    <n v="0"/>
    <n v="0"/>
    <n v="105750"/>
    <n v="31049.999999999996"/>
    <x v="0"/>
    <n v="0"/>
    <n v="18"/>
    <n v="105750"/>
    <n v="41974.789915966387"/>
    <n v="10.5"/>
    <n v="18"/>
    <n v="0"/>
    <m/>
    <n v="0"/>
    <n v="0"/>
    <n v="105750"/>
    <n v="0"/>
    <n v="0"/>
    <n v="0"/>
    <n v="18"/>
    <n v="105750"/>
    <n v="0"/>
    <n v="6"/>
    <n v="18"/>
    <n v="6"/>
    <n v="0"/>
    <n v="0"/>
    <n v="0"/>
    <n v="105750"/>
    <n v="37259.999999999993"/>
    <n v="0"/>
    <n v="0"/>
    <n v="18"/>
    <n v="105750"/>
    <n v="50369.747899159658"/>
    <n v="6"/>
    <n v="12"/>
    <n v="6"/>
    <n v="0"/>
    <n v="0"/>
    <n v="0"/>
    <n v="70500"/>
    <n v="37259.999999999993"/>
    <n v="0"/>
    <n v="0"/>
    <n v="12"/>
    <n v="70500"/>
    <n v="50369.747899159658"/>
    <n v="6"/>
    <n v="6"/>
    <n v="6"/>
    <n v="0"/>
    <n v="0"/>
    <m/>
    <n v="37259.999999999993"/>
    <n v="37259.999999999993"/>
    <n v="0"/>
    <n v="0"/>
    <n v="6"/>
    <n v="37259.999999999993"/>
    <n v="50369.74789915965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5"/>
    <x v="265"/>
    <x v="0"/>
    <x v="6"/>
    <n v="1"/>
    <x v="12"/>
    <n v="32"/>
    <m/>
    <n v="0"/>
    <n v="5875"/>
    <n v="188000"/>
    <n v="6"/>
    <n v="6554.9999999999991"/>
    <n v="8394.957983193277"/>
    <n v="7554.6218487394963"/>
    <s v="Shenzhen"/>
    <x v="0"/>
    <n v="30"/>
    <n v="1"/>
    <n v="0"/>
    <s v=""/>
    <n v="0"/>
    <s v=""/>
    <n v="0"/>
    <s v=""/>
    <n v="0"/>
    <n v="0"/>
    <n v="1"/>
    <n v="0.31731691020538594"/>
    <n v="0"/>
    <n v="0.46179919384389884"/>
    <n v="0"/>
    <n v="0.46179919384389884"/>
    <n v="2"/>
    <n v="0.36383324309691389"/>
    <n v="2"/>
    <n v="0.56955440530627899"/>
    <n v="6"/>
    <n v="0.36870948099860312"/>
    <n v="1"/>
    <n v="0.20002723311546841"/>
    <n v="5"/>
    <n v="0.58164209926653854"/>
    <n v="11"/>
    <s v=""/>
    <n v="3"/>
    <s v=""/>
    <n v="3"/>
    <s v=""/>
    <n v="0"/>
    <s v=""/>
    <n v="0"/>
    <n v="0"/>
    <s v=""/>
    <n v="0"/>
    <n v="3"/>
    <s v=""/>
    <n v="0.14285714285714285"/>
    <n v="1"/>
    <s v=""/>
    <n v="8.3333333333333329E-2"/>
    <n v="5"/>
    <n v="42"/>
    <n v="3"/>
    <n v="0"/>
    <n v="0"/>
    <n v="0"/>
    <n v="61687.5"/>
    <n v="260819.99999999997"/>
    <n v="17625"/>
    <n v="0"/>
    <n v="32"/>
    <n v="188000"/>
    <n v="21163.759621495657"/>
    <n v="3"/>
    <n v="41"/>
    <n v="4.5"/>
    <n v="0"/>
    <n v="0"/>
    <n v="0"/>
    <n v="44062.5"/>
    <n v="254609.99999999997"/>
    <n v="26437.5"/>
    <n v="0"/>
    <n v="32"/>
    <n v="188000"/>
    <n v="31745.639432243486"/>
    <n v="3"/>
    <n v="38"/>
    <n v="3"/>
    <n v="0"/>
    <n v="0"/>
    <n v="48675"/>
    <n v="223250"/>
    <n v="17625"/>
    <n v="0"/>
    <n v="32"/>
    <n v="188000"/>
    <n v="25184.873949579829"/>
    <n v="3"/>
    <n v="36"/>
    <n v="0"/>
    <n v="0"/>
    <n v="0"/>
    <n v="223559.99999999997"/>
    <n v="0"/>
    <x v="0"/>
    <x v="0"/>
    <n v="32"/>
    <n v="188000"/>
    <n v="0"/>
    <n v="5"/>
    <n v="32"/>
    <n v="5"/>
    <m/>
    <n v="0"/>
    <n v="0"/>
    <n v="188000"/>
    <n v="31049.999999999996"/>
    <x v="0"/>
    <n v="0"/>
    <n v="32"/>
    <n v="188000"/>
    <n v="41974.789915966387"/>
    <n v="21"/>
    <n v="35"/>
    <n v="3"/>
    <m/>
    <n v="0"/>
    <n v="0"/>
    <n v="205625"/>
    <n v="18629.999999999996"/>
    <n v="0"/>
    <n v="0"/>
    <n v="35"/>
    <n v="188000"/>
    <n v="25184.873949579829"/>
    <n v="12"/>
    <n v="33"/>
    <n v="12"/>
    <n v="0"/>
    <n v="0"/>
    <n v="0"/>
    <n v="193875"/>
    <n v="74519.999999999985"/>
    <n v="0"/>
    <n v="0"/>
    <n v="33"/>
    <n v="188000"/>
    <n v="100739.49579831932"/>
    <n v="12"/>
    <n v="21"/>
    <n v="12"/>
    <n v="0"/>
    <n v="0"/>
    <n v="0"/>
    <n v="123375"/>
    <n v="74519.999999999985"/>
    <n v="0"/>
    <n v="0"/>
    <n v="21"/>
    <n v="123375"/>
    <n v="100739.49579831932"/>
    <n v="12"/>
    <n v="9"/>
    <n v="12"/>
    <n v="0"/>
    <n v="0"/>
    <m/>
    <n v="55889.999999999993"/>
    <n v="74519.999999999985"/>
    <n v="0"/>
    <n v="0"/>
    <n v="9"/>
    <n v="55889.999999999993"/>
    <n v="100739.4957983193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6"/>
    <x v="265"/>
    <x v="0"/>
    <x v="6"/>
    <n v="1"/>
    <x v="12"/>
    <n v="27"/>
    <m/>
    <n v="0"/>
    <n v="5875"/>
    <n v="158625"/>
    <n v="6"/>
    <n v="6554.9999999999991"/>
    <n v="8394.957983193277"/>
    <n v="7554.6218487394963"/>
    <s v="Shenzhen"/>
    <x v="0"/>
    <n v="30"/>
    <n v="1"/>
    <n v="0"/>
    <s v=""/>
    <n v="0"/>
    <s v=""/>
    <n v="0"/>
    <s v=""/>
    <n v="0"/>
    <n v="0"/>
    <n v="0"/>
    <n v="0"/>
    <n v="1"/>
    <n v="0"/>
    <n v="10"/>
    <n v="0.30788261165506048"/>
    <n v="1"/>
    <n v="0.22236929185969556"/>
    <n v="5"/>
    <n v="0.46878729791312523"/>
    <n v="12"/>
    <n v="0.41287184782970787"/>
    <n v="0"/>
    <s v=""/>
    <n v="4"/>
    <n v="0.3398876404494382"/>
    <n v="23"/>
    <s v=""/>
    <n v="2"/>
    <s v=""/>
    <n v="5"/>
    <s v=""/>
    <n v="3"/>
    <s v=""/>
    <n v="1"/>
    <n v="1"/>
    <s v=""/>
    <n v="0.2"/>
    <n v="2"/>
    <s v=""/>
    <n v="6.3492063492063489E-2"/>
    <n v="0"/>
    <s v=""/>
    <n v="0"/>
    <n v="5"/>
    <n v="39"/>
    <n v="3"/>
    <n v="0"/>
    <n v="0"/>
    <n v="0"/>
    <n v="64625"/>
    <n v="242189.99999999997"/>
    <n v="17625"/>
    <n v="0"/>
    <n v="27"/>
    <n v="158625"/>
    <n v="21163.759621495657"/>
    <n v="2"/>
    <n v="38"/>
    <n v="3"/>
    <n v="0"/>
    <n v="0"/>
    <n v="0"/>
    <n v="64625"/>
    <n v="235979.99999999997"/>
    <n v="17625"/>
    <n v="0"/>
    <n v="27"/>
    <n v="158625"/>
    <n v="21163.759621495657"/>
    <n v="3"/>
    <n v="36"/>
    <n v="5"/>
    <n v="0"/>
    <n v="0"/>
    <n v="78050"/>
    <n v="211500"/>
    <n v="29375"/>
    <n v="0"/>
    <n v="27"/>
    <n v="158625"/>
    <n v="41974.789915966387"/>
    <n v="3"/>
    <n v="32"/>
    <n v="3"/>
    <n v="0"/>
    <n v="0"/>
    <n v="198719.99999999997"/>
    <n v="17625"/>
    <x v="0"/>
    <x v="0"/>
    <n v="27"/>
    <n v="158625"/>
    <n v="25184.873949579829"/>
    <n v="5"/>
    <n v="28"/>
    <n v="5"/>
    <m/>
    <n v="0"/>
    <n v="0"/>
    <n v="164500"/>
    <n v="31049.999999999996"/>
    <x v="0"/>
    <n v="0"/>
    <n v="27"/>
    <n v="158625"/>
    <n v="41974.789915966387"/>
    <n v="31.5"/>
    <n v="29"/>
    <n v="2"/>
    <m/>
    <n v="0"/>
    <n v="0"/>
    <n v="170375"/>
    <n v="12419.999999999998"/>
    <n v="0"/>
    <n v="0"/>
    <n v="29"/>
    <n v="158625"/>
    <n v="16789.915966386554"/>
    <n v="10"/>
    <n v="27"/>
    <n v="10"/>
    <n v="0"/>
    <n v="0"/>
    <n v="0"/>
    <n v="158625"/>
    <n v="62099.999999999993"/>
    <n v="0"/>
    <n v="0"/>
    <n v="27"/>
    <n v="158625"/>
    <n v="83949.579831932773"/>
    <n v="10"/>
    <n v="17"/>
    <n v="10"/>
    <n v="0"/>
    <n v="0"/>
    <n v="0"/>
    <n v="99875"/>
    <n v="62099.999999999993"/>
    <n v="0"/>
    <n v="0"/>
    <n v="17"/>
    <n v="99875"/>
    <n v="83949.579831932773"/>
    <n v="10"/>
    <n v="7"/>
    <n v="10"/>
    <n v="0"/>
    <n v="0"/>
    <m/>
    <n v="43469.999999999993"/>
    <n v="62099.999999999993"/>
    <n v="0"/>
    <n v="0"/>
    <n v="7"/>
    <n v="43469.999999999993"/>
    <n v="83949.57983193277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7"/>
    <x v="265"/>
    <x v="0"/>
    <x v="6"/>
    <n v="1"/>
    <x v="12"/>
    <n v="22"/>
    <m/>
    <n v="0"/>
    <n v="5875"/>
    <n v="129250"/>
    <n v="6"/>
    <n v="6554.9999999999991"/>
    <n v="8394.957983193277"/>
    <n v="7554.6218487394963"/>
    <s v="Shenzhen"/>
    <x v="0"/>
    <n v="30"/>
    <n v="1"/>
    <n v="0"/>
    <s v=""/>
    <n v="0"/>
    <s v=""/>
    <n v="0"/>
    <s v=""/>
    <n v="0"/>
    <s v=""/>
    <n v="0"/>
    <s v=""/>
    <n v="0"/>
    <s v=""/>
    <n v="1"/>
    <n v="0.46179919384389884"/>
    <n v="0"/>
    <n v="0"/>
    <n v="1"/>
    <n v="0.59451998067499479"/>
    <n v="1"/>
    <n v="0.59451998067499479"/>
    <n v="0"/>
    <s v=""/>
    <n v="2"/>
    <n v="0.61986412164348104"/>
    <n v="1"/>
    <s v=""/>
    <n v="0"/>
    <s v=""/>
    <n v="1"/>
    <s v=""/>
    <n v="0"/>
    <s v=""/>
    <n v="0"/>
    <n v="0"/>
    <s v=""/>
    <n v="0"/>
    <n v="0"/>
    <s v=""/>
    <n v="0"/>
    <n v="0"/>
    <s v=""/>
    <n v="0"/>
    <n v="5"/>
    <n v="22"/>
    <n v="2"/>
    <n v="0"/>
    <n v="0"/>
    <n v="0"/>
    <n v="17625"/>
    <n v="136619.99999999997"/>
    <n v="11750"/>
    <n v="0"/>
    <n v="22"/>
    <n v="129250"/>
    <n v="14109.173080997105"/>
    <n v="2"/>
    <n v="23"/>
    <n v="0"/>
    <n v="0"/>
    <n v="0"/>
    <n v="0"/>
    <n v="5875"/>
    <n v="142829.99999999997"/>
    <n v="0"/>
    <n v="0"/>
    <n v="22"/>
    <n v="129250"/>
    <n v="0"/>
    <n v="2"/>
    <n v="23"/>
    <n v="1"/>
    <n v="0"/>
    <n v="0"/>
    <n v="36925"/>
    <n v="135125"/>
    <n v="5875"/>
    <n v="0"/>
    <n v="22"/>
    <n v="129250"/>
    <n v="8394.957983193277"/>
    <n v="3"/>
    <n v="20"/>
    <n v="0"/>
    <n v="0"/>
    <n v="0"/>
    <n v="124199.99999999999"/>
    <n v="0"/>
    <x v="0"/>
    <x v="0"/>
    <n v="22"/>
    <n v="129250"/>
    <n v="0"/>
    <n v="5"/>
    <n v="22"/>
    <n v="5"/>
    <m/>
    <n v="0"/>
    <n v="0"/>
    <n v="129250"/>
    <n v="31049.999999999996"/>
    <x v="0"/>
    <n v="0"/>
    <n v="22"/>
    <n v="129250"/>
    <n v="41974.789915966387"/>
    <n v="10.199999999999999"/>
    <n v="22"/>
    <n v="0"/>
    <m/>
    <n v="0"/>
    <n v="0"/>
    <n v="129250"/>
    <n v="0"/>
    <n v="0"/>
    <n v="0"/>
    <n v="22"/>
    <n v="129250"/>
    <n v="0"/>
    <n v="7"/>
    <n v="22"/>
    <n v="7"/>
    <n v="0"/>
    <n v="0"/>
    <n v="0"/>
    <n v="129250"/>
    <n v="43469.999999999993"/>
    <n v="0"/>
    <n v="0"/>
    <n v="22"/>
    <n v="129250"/>
    <n v="58764.705882352937"/>
    <n v="7"/>
    <n v="15"/>
    <n v="7"/>
    <n v="0"/>
    <n v="0"/>
    <n v="0"/>
    <n v="88125"/>
    <n v="43469.999999999993"/>
    <n v="0"/>
    <n v="0"/>
    <n v="15"/>
    <n v="88125"/>
    <n v="58764.705882352937"/>
    <n v="7"/>
    <n v="8"/>
    <n v="7"/>
    <n v="0"/>
    <n v="0"/>
    <m/>
    <n v="49679.999999999993"/>
    <n v="43469.999999999993"/>
    <n v="0"/>
    <n v="0"/>
    <n v="8"/>
    <n v="49679.999999999993"/>
    <n v="58764.705882352937"/>
    <n v="0"/>
    <n v="1"/>
    <n v="0"/>
    <n v="0"/>
    <n v="0"/>
    <n v="0"/>
    <m/>
    <n v="6209.9999999999991"/>
    <n v="0"/>
    <n v="0"/>
    <n v="0"/>
    <n v="1"/>
    <n v="6209.9999999999991"/>
    <n v="0"/>
    <n v="0"/>
    <n v="1"/>
    <n v="0"/>
    <n v="0"/>
    <n v="0"/>
    <n v="6209.9999999999991"/>
    <n v="0"/>
    <n v="0"/>
    <n v="0"/>
    <n v="1"/>
    <n v="6209.9999999999991"/>
    <n v="0"/>
    <n v="0"/>
    <n v="1"/>
    <n v="0"/>
    <n v="0"/>
    <n v="0"/>
    <n v="6209.9999999999991"/>
    <n v="0"/>
    <n v="0"/>
    <n v="1"/>
    <n v="6209.9999999999991"/>
    <n v="0"/>
    <n v="0"/>
    <n v="1"/>
    <n v="0"/>
    <n v="0"/>
    <m/>
    <n v="6209.9999999999991"/>
    <n v="0"/>
    <n v="0"/>
    <n v="1"/>
    <n v="6209.9999999999991"/>
    <n v="0"/>
  </r>
  <r>
    <s v="Lhotse-Vestuario"/>
    <x v="1"/>
    <x v="16"/>
    <x v="38"/>
    <s v="LTW25-MTS02"/>
    <x v="288"/>
    <x v="265"/>
    <x v="0"/>
    <x v="6"/>
    <n v="1"/>
    <x v="12"/>
    <n v="21"/>
    <m/>
    <n v="0"/>
    <n v="5875"/>
    <n v="123375"/>
    <n v="6"/>
    <n v="6554.9999999999991"/>
    <n v="8394.957983193277"/>
    <n v="7554.6218487394963"/>
    <s v="Shenzhen"/>
    <x v="0"/>
    <n v="30"/>
    <n v="1"/>
    <n v="0"/>
    <s v=""/>
    <n v="0"/>
    <s v=""/>
    <n v="0"/>
    <s v=""/>
    <n v="0"/>
    <s v=""/>
    <n v="1"/>
    <n v="0.24492331419758376"/>
    <n v="2"/>
    <n v="0.5760265569748142"/>
    <n v="6"/>
    <n v="0.27604690805282289"/>
    <n v="1"/>
    <n v="0.30022035614317194"/>
    <n v="2"/>
    <n v="0.50472709781236902"/>
    <n v="4"/>
    <n v="0.55409661872414706"/>
    <n v="0"/>
    <s v=""/>
    <n v="4"/>
    <n v="0.5073375262054507"/>
    <n v="6"/>
    <s v=""/>
    <n v="2"/>
    <s v=""/>
    <n v="2"/>
    <s v=""/>
    <n v="0"/>
    <s v=""/>
    <n v="0"/>
    <n v="2"/>
    <s v=""/>
    <n v="0.4"/>
    <n v="1"/>
    <s v=""/>
    <n v="4.9019607843137261E-2"/>
    <n v="2"/>
    <s v=""/>
    <n v="0.25"/>
    <n v="5"/>
    <n v="34"/>
    <n v="2"/>
    <n v="0"/>
    <n v="0"/>
    <n v="0"/>
    <n v="41125"/>
    <n v="211139.99999999997"/>
    <n v="11750"/>
    <n v="0"/>
    <n v="21"/>
    <n v="123375"/>
    <n v="14109.173080997105"/>
    <n v="2"/>
    <n v="30"/>
    <n v="3"/>
    <n v="0"/>
    <n v="0"/>
    <n v="0"/>
    <n v="29375"/>
    <n v="186299.99999999997"/>
    <n v="17625"/>
    <n v="0"/>
    <n v="21"/>
    <n v="123375"/>
    <n v="21163.759621495657"/>
    <n v="2"/>
    <n v="28"/>
    <n v="2"/>
    <n v="0"/>
    <n v="0"/>
    <n v="42800"/>
    <n v="164500"/>
    <n v="11750"/>
    <n v="0"/>
    <n v="21"/>
    <n v="123375"/>
    <n v="16789.915966386554"/>
    <n v="3"/>
    <n v="24"/>
    <n v="0"/>
    <n v="0"/>
    <n v="0"/>
    <n v="149039.99999999997"/>
    <n v="0"/>
    <x v="0"/>
    <x v="0"/>
    <n v="21"/>
    <n v="123375"/>
    <n v="0"/>
    <n v="5"/>
    <n v="23"/>
    <n v="5"/>
    <m/>
    <n v="0"/>
    <n v="0"/>
    <n v="135125"/>
    <n v="31049.999999999996"/>
    <x v="0"/>
    <n v="0"/>
    <n v="21"/>
    <n v="123375"/>
    <n v="41974.789915966387"/>
    <n v="20.399999999999999"/>
    <n v="22"/>
    <n v="1"/>
    <m/>
    <n v="0"/>
    <n v="0"/>
    <n v="129250"/>
    <n v="6209.9999999999991"/>
    <n v="0"/>
    <n v="0"/>
    <n v="22"/>
    <n v="123375"/>
    <n v="8394.957983193277"/>
    <n v="8"/>
    <n v="23"/>
    <n v="8"/>
    <n v="0"/>
    <n v="0"/>
    <n v="0"/>
    <n v="135125"/>
    <n v="49679.999999999993"/>
    <n v="0"/>
    <n v="0"/>
    <n v="23"/>
    <n v="123375"/>
    <n v="67159.663865546216"/>
    <n v="8"/>
    <n v="15"/>
    <n v="8"/>
    <n v="0"/>
    <n v="0"/>
    <n v="0"/>
    <n v="88125"/>
    <n v="49679.999999999993"/>
    <n v="0"/>
    <n v="0"/>
    <n v="15"/>
    <n v="88125"/>
    <n v="67159.663865546216"/>
    <n v="8"/>
    <n v="7"/>
    <n v="8"/>
    <n v="0"/>
    <n v="0"/>
    <m/>
    <n v="43469.999999999993"/>
    <n v="49679.999999999993"/>
    <n v="0"/>
    <n v="0"/>
    <n v="7"/>
    <n v="43469.999999999993"/>
    <n v="67159.66386554621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9"/>
    <x v="265"/>
    <x v="0"/>
    <x v="6"/>
    <n v="1"/>
    <x v="12"/>
    <n v="36"/>
    <m/>
    <n v="0"/>
    <n v="5875"/>
    <n v="211500"/>
    <n v="6"/>
    <n v="6554.9999999999991"/>
    <n v="8394.957983193277"/>
    <n v="7554.6218487394963"/>
    <s v="Shenzhen"/>
    <x v="0"/>
    <n v="30"/>
    <n v="1"/>
    <n v="0"/>
    <s v=""/>
    <n v="0"/>
    <s v=""/>
    <n v="0"/>
    <s v=""/>
    <n v="1"/>
    <n v="0.48176244872756141"/>
    <n v="0"/>
    <n v="1"/>
    <n v="1"/>
    <n v="0.46179919384389884"/>
    <n v="11"/>
    <n v="0.22903021843646731"/>
    <n v="2"/>
    <n v="0.41690238697831372"/>
    <n v="4"/>
    <n v="0.59451998067499479"/>
    <n v="10"/>
    <n v="0.53519098705655244"/>
    <n v="1"/>
    <n v="0.46179919384389884"/>
    <n v="5"/>
    <n v="0.46594793105955928"/>
    <n v="11"/>
    <s v=""/>
    <n v="1"/>
    <s v=""/>
    <n v="3"/>
    <s v=""/>
    <n v="3"/>
    <s v=""/>
    <n v="1"/>
    <n v="0"/>
    <s v=""/>
    <n v="0"/>
    <n v="2"/>
    <s v=""/>
    <n v="6.535947712418301E-2"/>
    <n v="0"/>
    <s v=""/>
    <n v="0"/>
    <n v="5"/>
    <n v="49"/>
    <n v="2"/>
    <n v="0"/>
    <n v="0"/>
    <n v="0"/>
    <n v="38187.5"/>
    <n v="304289.99999999994"/>
    <n v="11750"/>
    <n v="0"/>
    <n v="36"/>
    <n v="211500"/>
    <n v="14109.173080997105"/>
    <n v="2"/>
    <n v="45"/>
    <n v="1.5"/>
    <n v="0"/>
    <n v="0"/>
    <n v="0"/>
    <n v="44062.5"/>
    <n v="279449.99999999994"/>
    <n v="8812.5"/>
    <n v="0"/>
    <n v="36"/>
    <n v="211500"/>
    <n v="10581.879810747829"/>
    <n v="2"/>
    <n v="44"/>
    <n v="3"/>
    <n v="0"/>
    <n v="0"/>
    <n v="66300"/>
    <n v="258500"/>
    <n v="17625"/>
    <n v="0"/>
    <n v="36"/>
    <n v="211500"/>
    <n v="25184.873949579829"/>
    <n v="3"/>
    <n v="41"/>
    <n v="3"/>
    <n v="0"/>
    <n v="0"/>
    <n v="254609.99999999997"/>
    <n v="17625"/>
    <x v="0"/>
    <x v="0"/>
    <n v="36"/>
    <n v="211500"/>
    <n v="25184.873949579829"/>
    <n v="5"/>
    <n v="36"/>
    <n v="5"/>
    <m/>
    <n v="0"/>
    <n v="0"/>
    <n v="211500"/>
    <n v="31049.999999999996"/>
    <x v="0"/>
    <n v="0"/>
    <n v="36"/>
    <n v="211500"/>
    <n v="41974.789915966387"/>
    <n v="30.6"/>
    <n v="38"/>
    <n v="2"/>
    <m/>
    <n v="0"/>
    <n v="0"/>
    <n v="223250"/>
    <n v="12419.999999999998"/>
    <n v="0"/>
    <n v="0"/>
    <n v="38"/>
    <n v="211500"/>
    <n v="16789.915966386554"/>
    <n v="13"/>
    <n v="36"/>
    <n v="13"/>
    <n v="0"/>
    <n v="0"/>
    <n v="0"/>
    <n v="211500"/>
    <n v="80729.999999999985"/>
    <n v="0"/>
    <n v="0"/>
    <n v="36"/>
    <n v="211500"/>
    <n v="109134.4537815126"/>
    <n v="13"/>
    <n v="23"/>
    <n v="13"/>
    <n v="0"/>
    <n v="0"/>
    <n v="0"/>
    <n v="135125"/>
    <n v="80729.999999999985"/>
    <n v="0"/>
    <n v="0"/>
    <n v="23"/>
    <n v="135125"/>
    <n v="109134.4537815126"/>
    <n v="13"/>
    <n v="10"/>
    <n v="13"/>
    <n v="0"/>
    <n v="0"/>
    <m/>
    <n v="62099.999999999993"/>
    <n v="80729.999999999985"/>
    <n v="0"/>
    <n v="0"/>
    <n v="10"/>
    <n v="62099.999999999993"/>
    <n v="109134.45378151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90"/>
    <x v="265"/>
    <x v="0"/>
    <x v="6"/>
    <n v="1"/>
    <x v="12"/>
    <n v="5"/>
    <m/>
    <n v="0"/>
    <n v="5875"/>
    <n v="29375"/>
    <n v="6"/>
    <n v="6554.9999999999991"/>
    <n v="8394.957983193277"/>
    <n v="7554.6218487394963"/>
    <s v="Shenzhen"/>
    <x v="0"/>
    <n v="30"/>
    <n v="1"/>
    <n v="0"/>
    <s v=""/>
    <n v="0"/>
    <s v=""/>
    <n v="0"/>
    <s v=""/>
    <n v="0"/>
    <s v=""/>
    <n v="1"/>
    <n v="0.36390212213079254"/>
    <n v="1"/>
    <n v="0.46179919384389884"/>
    <n v="0"/>
    <s v=""/>
    <n v="2"/>
    <n v="0.46179836520652007"/>
    <n v="2"/>
    <n v="0.50472095767998648"/>
    <n v="8"/>
    <n v="0.40296232311170954"/>
    <n v="1"/>
    <n v="0.46179753656658973"/>
    <n v="3"/>
    <n v="0.57861139004446993"/>
    <n v="1"/>
    <s v=""/>
    <n v="3"/>
    <s v=""/>
    <n v="2"/>
    <s v=""/>
    <n v="0"/>
    <s v=""/>
    <n v="0"/>
    <n v="0"/>
    <s v=""/>
    <n v="0"/>
    <n v="2"/>
    <s v=""/>
    <n v="0.19607843137254904"/>
    <n v="0"/>
    <s v=""/>
    <n v="0"/>
    <n v="5"/>
    <n v="5"/>
    <n v="2"/>
    <n v="0"/>
    <n v="0"/>
    <n v="0"/>
    <n v="49937.5"/>
    <n v="31049.999999999996"/>
    <n v="11750"/>
    <n v="0"/>
    <n v="5"/>
    <n v="29375"/>
    <n v="14109.173080997105"/>
    <n v="2"/>
    <n v="12"/>
    <n v="4.5"/>
    <n v="0"/>
    <n v="0"/>
    <n v="0"/>
    <n v="38187.5"/>
    <n v="74519.999999999985"/>
    <n v="26437.5"/>
    <n v="0"/>
    <n v="5"/>
    <n v="29375"/>
    <n v="31745.639432243486"/>
    <n v="2"/>
    <n v="9"/>
    <n v="2"/>
    <n v="0"/>
    <n v="0"/>
    <n v="42800"/>
    <n v="52875"/>
    <n v="11750"/>
    <n v="0"/>
    <n v="5"/>
    <n v="29375"/>
    <n v="16789.915966386554"/>
    <n v="3"/>
    <n v="7"/>
    <n v="0"/>
    <n v="0"/>
    <n v="0"/>
    <n v="43469.999999999993"/>
    <n v="0"/>
    <x v="0"/>
    <x v="0"/>
    <n v="5"/>
    <n v="29375"/>
    <n v="0"/>
    <n v="5"/>
    <n v="5"/>
    <n v="5"/>
    <m/>
    <n v="0"/>
    <n v="0"/>
    <n v="29375"/>
    <n v="31049.999999999996"/>
    <x v="0"/>
    <n v="0"/>
    <n v="5"/>
    <n v="29375"/>
    <n v="41974.789915966387"/>
    <n v="10.199999999999999"/>
    <n v="7"/>
    <n v="2"/>
    <m/>
    <n v="0"/>
    <n v="0"/>
    <n v="41125"/>
    <n v="12419.999999999998"/>
    <n v="0"/>
    <n v="0"/>
    <n v="7"/>
    <n v="29375"/>
    <n v="16789.915966386554"/>
    <n v="2"/>
    <n v="5"/>
    <n v="2"/>
    <n v="0"/>
    <n v="0"/>
    <n v="0"/>
    <n v="29375"/>
    <n v="12419.999999999998"/>
    <n v="0"/>
    <n v="0"/>
    <n v="5"/>
    <n v="29375"/>
    <n v="16789.915966386554"/>
    <n v="2"/>
    <n v="3"/>
    <n v="2"/>
    <n v="0"/>
    <n v="0"/>
    <n v="0"/>
    <n v="17625"/>
    <n v="12419.999999999998"/>
    <n v="0"/>
    <n v="0"/>
    <n v="3"/>
    <n v="17625"/>
    <n v="16789.915966386554"/>
    <n v="2"/>
    <n v="1"/>
    <n v="2"/>
    <n v="0"/>
    <n v="0"/>
    <m/>
    <n v="6209.9999999999991"/>
    <n v="12419.999999999998"/>
    <n v="0"/>
    <n v="0"/>
    <n v="1"/>
    <n v="6209.9999999999991"/>
    <n v="16789.9159663865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3"/>
    <x v="291"/>
    <x v="266"/>
    <x v="0"/>
    <x v="6"/>
    <n v="0.6"/>
    <x v="12"/>
    <n v="7"/>
    <m/>
    <n v="0"/>
    <n v="8554"/>
    <n v="59878"/>
    <n v="8.1"/>
    <n v="8849.25"/>
    <n v="25201.680672268907"/>
    <n v="21000"/>
    <s v="Shenzhen"/>
    <x v="0"/>
    <n v="30"/>
    <n v="1"/>
    <n v="0"/>
    <s v=""/>
    <n v="0"/>
    <s v=""/>
    <n v="0"/>
    <s v=""/>
    <n v="0"/>
    <s v=""/>
    <n v="2"/>
    <n v="0.49322510405711656"/>
    <n v="2"/>
    <n v="0.57126716791979948"/>
    <n v="8"/>
    <n v="0.45325875735106108"/>
    <n v="3"/>
    <n v="0.59270380952380963"/>
    <n v="1"/>
    <n v="0.72852091665079666"/>
    <n v="1"/>
    <n v="0.72852123405065705"/>
    <n v="1"/>
    <n v="0.66062217284342517"/>
    <n v="0"/>
    <s v=""/>
    <n v="0"/>
    <s v=""/>
    <n v="0"/>
    <s v=""/>
    <n v="1"/>
    <s v=""/>
    <n v="1"/>
    <s v=""/>
    <n v="0.33333333333333331"/>
    <n v="1"/>
    <s v=""/>
    <n v="0.33333333333333331"/>
    <n v="4"/>
    <s v=""/>
    <n v="0.31746031746031744"/>
    <n v="6"/>
    <s v=""/>
    <n v="1.5"/>
    <n v="3"/>
    <n v="12"/>
    <n v="3"/>
    <n v="0"/>
    <n v="0"/>
    <n v="0"/>
    <n v="34216"/>
    <n v="100602"/>
    <n v="25662"/>
    <n v="0"/>
    <n v="7"/>
    <n v="59878"/>
    <n v="63533.648753619098"/>
    <n v="2"/>
    <n v="12"/>
    <n v="0"/>
    <n v="0"/>
    <n v="0"/>
    <n v="0"/>
    <n v="17108"/>
    <n v="100602"/>
    <n v="0"/>
    <n v="0"/>
    <n v="7"/>
    <n v="59878"/>
    <n v="0"/>
    <n v="2"/>
    <n v="12"/>
    <n v="1"/>
    <n v="0"/>
    <n v="0"/>
    <n v="32198.3"/>
    <n v="102648"/>
    <n v="8554"/>
    <n v="0"/>
    <n v="7"/>
    <n v="59878"/>
    <n v="25201.680672268907"/>
    <n v="3"/>
    <n v="11"/>
    <n v="1"/>
    <n v="0"/>
    <n v="0"/>
    <n v="92218.5"/>
    <n v="8554"/>
    <x v="0"/>
    <x v="0"/>
    <n v="7"/>
    <n v="59878"/>
    <n v="25201.680672268907"/>
    <n v="3"/>
    <n v="8"/>
    <n v="1.7999999999999998"/>
    <m/>
    <n v="0"/>
    <n v="0"/>
    <n v="68432"/>
    <n v="15090.3"/>
    <x v="0"/>
    <n v="0"/>
    <n v="7"/>
    <n v="59878"/>
    <n v="45363.02521008403"/>
    <n v="12.6"/>
    <n v="11"/>
    <n v="4"/>
    <m/>
    <n v="0"/>
    <n v="0"/>
    <n v="94094"/>
    <n v="33534"/>
    <n v="0"/>
    <n v="0"/>
    <n v="11"/>
    <n v="59878"/>
    <n v="100806.72268907563"/>
    <n v="4"/>
    <n v="13"/>
    <n v="2.4"/>
    <n v="0"/>
    <n v="0"/>
    <n v="0"/>
    <n v="111202"/>
    <n v="20120.399999999998"/>
    <n v="0"/>
    <n v="0"/>
    <n v="13"/>
    <n v="59878"/>
    <n v="60484.033613445376"/>
    <n v="4"/>
    <n v="10.6"/>
    <n v="2.4"/>
    <n v="0"/>
    <n v="0"/>
    <n v="0"/>
    <n v="90672.4"/>
    <n v="20120.399999999998"/>
    <n v="0"/>
    <n v="0"/>
    <n v="10.6"/>
    <n v="90672.4"/>
    <n v="60484.033613445376"/>
    <n v="4"/>
    <n v="8.1999999999999993"/>
    <n v="2.4"/>
    <n v="0"/>
    <n v="0"/>
    <m/>
    <n v="68744.7"/>
    <n v="20120.399999999998"/>
    <n v="0"/>
    <n v="0"/>
    <n v="8.1999999999999993"/>
    <n v="68744.7"/>
    <n v="60484.033613445376"/>
    <n v="0"/>
    <n v="5.7999999999999989"/>
    <n v="0"/>
    <n v="0"/>
    <n v="0"/>
    <n v="0"/>
    <m/>
    <n v="48624.299999999988"/>
    <n v="0"/>
    <n v="0"/>
    <n v="0"/>
    <n v="5.7999999999999989"/>
    <n v="48624.299999999988"/>
    <n v="0"/>
    <n v="0"/>
    <n v="5.7999999999999989"/>
    <n v="0"/>
    <n v="0"/>
    <n v="0"/>
    <n v="48624.299999999988"/>
    <n v="0"/>
    <n v="0"/>
    <n v="0"/>
    <n v="5.7999999999999989"/>
    <n v="48624.299999999988"/>
    <n v="0"/>
    <n v="0"/>
    <n v="5.7999999999999989"/>
    <n v="0"/>
    <n v="0"/>
    <n v="0"/>
    <n v="48624.299999999988"/>
    <n v="0"/>
    <n v="0"/>
    <n v="5.7999999999999989"/>
    <n v="48624.299999999988"/>
    <n v="0"/>
    <n v="0"/>
    <n v="5.7999999999999989"/>
    <n v="0"/>
    <n v="0"/>
    <m/>
    <n v="48624.299999999988"/>
    <n v="0"/>
    <n v="0"/>
    <n v="5.7999999999999989"/>
    <n v="48624.299999999988"/>
    <n v="0"/>
  </r>
  <r>
    <s v="Lhotse-Vestuario"/>
    <x v="1"/>
    <x v="16"/>
    <x v="39"/>
    <s v="LTW25-MKF03"/>
    <x v="292"/>
    <x v="266"/>
    <x v="0"/>
    <x v="6"/>
    <n v="0.6"/>
    <x v="12"/>
    <n v="4"/>
    <m/>
    <n v="0"/>
    <n v="8553"/>
    <n v="34212"/>
    <n v="8.1"/>
    <n v="8849.25"/>
    <n v="25201.680672268907"/>
    <n v="21000"/>
    <s v="Shenzhen"/>
    <x v="0"/>
    <n v="30"/>
    <n v="1"/>
    <n v="0"/>
    <s v=""/>
    <n v="0"/>
    <s v=""/>
    <n v="0"/>
    <s v=""/>
    <n v="0"/>
    <n v="-2.8060329708848557E-5"/>
    <n v="3"/>
    <n v="0.63733177296664711"/>
    <n v="9"/>
    <n v="0.62532606076472697"/>
    <n v="13"/>
    <n v="0.4590391621129325"/>
    <n v="6"/>
    <n v="0.59271185366373669"/>
    <n v="4"/>
    <n v="0.70383005245935693"/>
    <n v="10"/>
    <n v="0.59514595275173132"/>
    <n v="0"/>
    <s v=""/>
    <n v="2"/>
    <n v="0.66621136434592565"/>
    <n v="1"/>
    <s v=""/>
    <n v="3"/>
    <s v=""/>
    <n v="0"/>
    <s v=""/>
    <n v="1"/>
    <s v=""/>
    <n v="0.25"/>
    <n v="3"/>
    <s v=""/>
    <n v="0.75"/>
    <n v="18"/>
    <s v=""/>
    <n v="0.64516129032258063"/>
    <n v="2"/>
    <s v=""/>
    <n v="0.2857142857142857"/>
    <n v="4"/>
    <n v="24"/>
    <n v="4"/>
    <n v="0"/>
    <n v="0"/>
    <n v="0"/>
    <n v="72700.5"/>
    <n v="201204"/>
    <n v="34212"/>
    <n v="0"/>
    <n v="4"/>
    <n v="34212"/>
    <n v="84711.531671492136"/>
    <n v="4"/>
    <n v="26"/>
    <n v="4.5"/>
    <n v="0"/>
    <n v="0"/>
    <n v="0"/>
    <n v="47041.5"/>
    <n v="217971"/>
    <n v="38488.5"/>
    <n v="0"/>
    <n v="4"/>
    <n v="34212"/>
    <n v="95300.473130428654"/>
    <n v="4"/>
    <n v="21"/>
    <n v="0"/>
    <n v="0"/>
    <n v="0"/>
    <n v="28673.399999999998"/>
    <n v="179613"/>
    <n v="0"/>
    <n v="0"/>
    <n v="4"/>
    <n v="34212"/>
    <n v="0"/>
    <n v="4"/>
    <n v="23"/>
    <n v="1"/>
    <n v="0"/>
    <n v="0"/>
    <n v="192820.5"/>
    <n v="8553"/>
    <x v="0"/>
    <x v="0"/>
    <n v="4"/>
    <n v="34212"/>
    <n v="25201.680672268907"/>
    <n v="4"/>
    <n v="7"/>
    <n v="2.4"/>
    <m/>
    <n v="0"/>
    <n v="0"/>
    <n v="59871"/>
    <n v="20120.399999999998"/>
    <x v="0"/>
    <n v="0"/>
    <n v="4"/>
    <n v="34212"/>
    <n v="60484.033613445376"/>
    <n v="27.9"/>
    <n v="22"/>
    <n v="18"/>
    <m/>
    <n v="0"/>
    <n v="0"/>
    <n v="188166"/>
    <n v="150903"/>
    <n v="0"/>
    <n v="0"/>
    <n v="22"/>
    <n v="34212"/>
    <n v="453630.25210084033"/>
    <n v="7"/>
    <n v="6"/>
    <n v="4.2"/>
    <n v="0"/>
    <n v="0"/>
    <n v="0"/>
    <n v="51318"/>
    <n v="35210.700000000004"/>
    <n v="0"/>
    <n v="0"/>
    <n v="6"/>
    <n v="34212"/>
    <n v="105847.05882352941"/>
    <n v="7"/>
    <n v="1.7999999999999998"/>
    <n v="4.2"/>
    <n v="0"/>
    <n v="0"/>
    <n v="0"/>
    <n v="15395.399999999998"/>
    <n v="35210.700000000004"/>
    <n v="0"/>
    <n v="0"/>
    <n v="1.7999999999999998"/>
    <n v="15395.399999999998"/>
    <n v="105847.05882352941"/>
    <n v="7"/>
    <n v="0"/>
    <n v="4.2"/>
    <n v="0"/>
    <n v="0"/>
    <m/>
    <n v="0"/>
    <n v="35210.700000000004"/>
    <n v="0"/>
    <n v="0"/>
    <n v="0"/>
    <n v="0"/>
    <n v="105847.0588235294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3"/>
    <x v="293"/>
    <x v="266"/>
    <x v="0"/>
    <x v="6"/>
    <n v="0.6"/>
    <x v="12"/>
    <n v="4"/>
    <m/>
    <n v="0"/>
    <n v="8554"/>
    <n v="34216"/>
    <n v="8.1"/>
    <n v="8849.25"/>
    <n v="25201.680672268907"/>
    <n v="21000"/>
    <s v="Shenzhen"/>
    <x v="0"/>
    <n v="30"/>
    <n v="1"/>
    <n v="0"/>
    <s v=""/>
    <n v="0"/>
    <s v=""/>
    <n v="0"/>
    <s v=""/>
    <n v="1"/>
    <n v="0.42270323056436937"/>
    <n v="2"/>
    <n v="0.53424772657143382"/>
    <n v="11"/>
    <n v="0.58089976079432326"/>
    <n v="37"/>
    <n v="0.48297686338292506"/>
    <n v="8"/>
    <n v="0.55335955477299237"/>
    <n v="4"/>
    <n v="0.62975434495595528"/>
    <n v="10"/>
    <n v="0.69834377270386738"/>
    <n v="2"/>
    <n v="0.5234239705800412"/>
    <n v="3"/>
    <n v="0.76508340505007966"/>
    <n v="1"/>
    <s v=""/>
    <n v="2"/>
    <s v=""/>
    <n v="6"/>
    <s v=""/>
    <n v="2"/>
    <s v=""/>
    <n v="0.25"/>
    <n v="3"/>
    <s v=""/>
    <n v="0.2"/>
    <n v="7"/>
    <s v=""/>
    <n v="0.17543859649122809"/>
    <n v="3"/>
    <s v=""/>
    <n v="0.75"/>
    <n v="5"/>
    <n v="22"/>
    <n v="5"/>
    <n v="0"/>
    <n v="0"/>
    <n v="0"/>
    <n v="119756"/>
    <n v="184437"/>
    <n v="42770"/>
    <n v="0"/>
    <n v="4"/>
    <n v="34216"/>
    <n v="105889.41458936517"/>
    <n v="3"/>
    <n v="22"/>
    <n v="3"/>
    <n v="0"/>
    <n v="0"/>
    <n v="0"/>
    <n v="94094"/>
    <n v="184437"/>
    <n v="25662"/>
    <n v="0"/>
    <n v="4"/>
    <n v="34216"/>
    <n v="63533.648753619098"/>
    <n v="4"/>
    <n v="17"/>
    <n v="6"/>
    <n v="0"/>
    <n v="0"/>
    <n v="143883.5"/>
    <n v="145418"/>
    <n v="51324"/>
    <n v="0"/>
    <n v="4"/>
    <n v="34216"/>
    <n v="151210.08403361344"/>
    <n v="8"/>
    <n v="11"/>
    <n v="2"/>
    <n v="0"/>
    <n v="0"/>
    <n v="92218.5"/>
    <n v="17108"/>
    <x v="0"/>
    <x v="0"/>
    <n v="4"/>
    <n v="34216"/>
    <n v="50403.361344537814"/>
    <n v="15"/>
    <n v="7"/>
    <n v="9"/>
    <m/>
    <n v="0"/>
    <n v="0"/>
    <n v="59878"/>
    <n v="75451.5"/>
    <x v="0"/>
    <n v="0"/>
    <n v="4"/>
    <n v="34216"/>
    <n v="226815.12605042016"/>
    <n v="39.9"/>
    <n v="11"/>
    <n v="7"/>
    <m/>
    <n v="0"/>
    <n v="0"/>
    <n v="94094"/>
    <n v="58684.5"/>
    <n v="0"/>
    <n v="0"/>
    <n v="11"/>
    <n v="34216"/>
    <n v="176411.76470588235"/>
    <n v="4"/>
    <n v="7"/>
    <n v="2.4"/>
    <n v="0"/>
    <n v="0"/>
    <n v="0"/>
    <n v="59878"/>
    <n v="20120.399999999998"/>
    <n v="0"/>
    <n v="0"/>
    <n v="7"/>
    <n v="34216"/>
    <n v="60484.033613445376"/>
    <n v="4"/>
    <n v="4.5999999999999996"/>
    <n v="2.4"/>
    <n v="0"/>
    <n v="0"/>
    <n v="0"/>
    <n v="39348.399999999994"/>
    <n v="20120.399999999998"/>
    <n v="0"/>
    <n v="0"/>
    <n v="4.5999999999999996"/>
    <n v="39348.399999999994"/>
    <n v="60484.033613445376"/>
    <n v="4"/>
    <n v="2.1999999999999997"/>
    <n v="2.4"/>
    <n v="0"/>
    <n v="0"/>
    <m/>
    <n v="18443.699999999997"/>
    <n v="20120.399999999998"/>
    <n v="0"/>
    <n v="0"/>
    <n v="2.1999999999999997"/>
    <n v="18443.699999999997"/>
    <n v="60484.03361344537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3"/>
    <x v="294"/>
    <x v="266"/>
    <x v="0"/>
    <x v="6"/>
    <n v="0.6"/>
    <x v="12"/>
    <n v="8"/>
    <m/>
    <n v="0"/>
    <n v="8553"/>
    <n v="68424"/>
    <n v="8.1"/>
    <n v="8849.25"/>
    <n v="25201.680672268907"/>
    <n v="21000"/>
    <s v="Shenzhen"/>
    <x v="0"/>
    <n v="30"/>
    <n v="1"/>
    <n v="0"/>
    <s v=""/>
    <n v="0"/>
    <s v=""/>
    <n v="0"/>
    <s v=""/>
    <n v="0"/>
    <s v=""/>
    <n v="1"/>
    <n v="0.24321182091665197"/>
    <n v="0"/>
    <s v=""/>
    <n v="5"/>
    <n v="0.45544541217816481"/>
    <n v="4"/>
    <n v="0.52078830153794431"/>
    <n v="0"/>
    <s v=""/>
    <n v="3"/>
    <n v="0.67849104122290438"/>
    <n v="0"/>
    <s v=""/>
    <n v="2"/>
    <n v="0.74549320082125747"/>
    <n v="0"/>
    <s v=""/>
    <n v="0"/>
    <s v=""/>
    <n v="0"/>
    <s v=""/>
    <n v="1"/>
    <s v=""/>
    <n v="0.25"/>
    <n v="0"/>
    <s v=""/>
    <n v="0"/>
    <n v="3"/>
    <s v=""/>
    <n v="0.23255813953488372"/>
    <n v="6"/>
    <s v=""/>
    <n v="1.5"/>
    <n v="4"/>
    <n v="11"/>
    <n v="4"/>
    <n v="0"/>
    <n v="0"/>
    <n v="0"/>
    <n v="34212"/>
    <n v="92218.5"/>
    <n v="34212"/>
    <n v="0"/>
    <n v="8"/>
    <n v="68424"/>
    <n v="84711.531671492136"/>
    <n v="3"/>
    <n v="12"/>
    <n v="0"/>
    <n v="0"/>
    <n v="0"/>
    <n v="0"/>
    <n v="8553"/>
    <n v="100602"/>
    <n v="0"/>
    <n v="0"/>
    <n v="8"/>
    <n v="68424"/>
    <n v="0"/>
    <n v="3"/>
    <n v="12"/>
    <n v="0"/>
    <n v="0"/>
    <n v="0"/>
    <n v="28673.399999999998"/>
    <n v="102636"/>
    <n v="0"/>
    <n v="0"/>
    <n v="8"/>
    <n v="68424"/>
    <n v="0"/>
    <n v="4"/>
    <n v="12"/>
    <n v="1"/>
    <n v="0"/>
    <n v="0"/>
    <n v="100602"/>
    <n v="8553"/>
    <x v="0"/>
    <x v="0"/>
    <n v="8"/>
    <n v="68424"/>
    <n v="25201.680672268907"/>
    <n v="4"/>
    <n v="8"/>
    <n v="2.4"/>
    <m/>
    <n v="0"/>
    <n v="0"/>
    <n v="68424"/>
    <n v="20120.399999999998"/>
    <x v="0"/>
    <n v="0"/>
    <n v="8"/>
    <n v="68424"/>
    <n v="60484.033613445376"/>
    <n v="12.9"/>
    <n v="11"/>
    <n v="3"/>
    <m/>
    <n v="0"/>
    <n v="0"/>
    <n v="94083"/>
    <n v="25150.5"/>
    <n v="0"/>
    <n v="0"/>
    <n v="11"/>
    <n v="68424"/>
    <n v="75605.042016806721"/>
    <n v="4"/>
    <n v="14"/>
    <n v="2.4"/>
    <n v="0"/>
    <n v="0"/>
    <n v="0"/>
    <n v="119742"/>
    <n v="20120.399999999998"/>
    <n v="0"/>
    <n v="0"/>
    <n v="14"/>
    <n v="68424"/>
    <n v="60484.033613445376"/>
    <n v="4"/>
    <n v="11.6"/>
    <n v="2.4"/>
    <n v="0"/>
    <n v="0"/>
    <n v="0"/>
    <n v="99214.8"/>
    <n v="20120.399999999998"/>
    <n v="0"/>
    <n v="0"/>
    <n v="11.6"/>
    <n v="99214.8"/>
    <n v="60484.033613445376"/>
    <n v="4"/>
    <n v="9.1999999999999993"/>
    <n v="2.4"/>
    <n v="0"/>
    <n v="0"/>
    <m/>
    <n v="77128.2"/>
    <n v="20120.399999999998"/>
    <n v="0"/>
    <n v="0"/>
    <n v="9.1999999999999993"/>
    <n v="77128.2"/>
    <n v="60484.033613445376"/>
    <n v="0"/>
    <n v="6.7999999999999989"/>
    <n v="0"/>
    <n v="0"/>
    <n v="0"/>
    <n v="0"/>
    <m/>
    <n v="57007.799999999988"/>
    <n v="0"/>
    <n v="0"/>
    <n v="0"/>
    <n v="6.7999999999999989"/>
    <n v="57007.799999999988"/>
    <n v="0"/>
    <n v="0"/>
    <n v="6.7999999999999989"/>
    <n v="0"/>
    <n v="0"/>
    <n v="0"/>
    <n v="57007.799999999988"/>
    <n v="0"/>
    <n v="0"/>
    <n v="0"/>
    <n v="6.7999999999999989"/>
    <n v="57007.799999999988"/>
    <n v="0"/>
    <n v="0"/>
    <n v="6.7999999999999989"/>
    <n v="0"/>
    <n v="0"/>
    <n v="0"/>
    <n v="57007.799999999988"/>
    <n v="0"/>
    <n v="0"/>
    <n v="6.7999999999999989"/>
    <n v="57007.799999999988"/>
    <n v="0"/>
    <n v="0"/>
    <n v="6.7999999999999989"/>
    <n v="0"/>
    <n v="0"/>
    <m/>
    <n v="57007.799999999988"/>
    <n v="0"/>
    <n v="0"/>
    <n v="6.7999999999999989"/>
    <n v="57007.799999999988"/>
    <n v="0"/>
  </r>
  <r>
    <s v="Lhotse-Vestuario"/>
    <x v="1"/>
    <x v="16"/>
    <x v="39"/>
    <s v="LTW25-MKF03"/>
    <x v="295"/>
    <x v="266"/>
    <x v="0"/>
    <x v="6"/>
    <n v="0.5"/>
    <x v="12"/>
    <n v="24"/>
    <m/>
    <n v="0"/>
    <n v="8553"/>
    <n v="205272"/>
    <n v="8.1"/>
    <n v="8849.25"/>
    <n v="25201.680672268907"/>
    <n v="21000"/>
    <s v="Shenzhen"/>
    <x v="0"/>
    <n v="30"/>
    <n v="1"/>
    <n v="0"/>
    <s v=""/>
    <n v="0"/>
    <s v=""/>
    <n v="0"/>
    <s v=""/>
    <n v="0"/>
    <s v=""/>
    <n v="0"/>
    <s v=""/>
    <n v="6"/>
    <n v="0.53715624905500625"/>
    <n v="10"/>
    <n v="0.51042711266799479"/>
    <n v="3"/>
    <n v="0.56359587060784377"/>
    <n v="1"/>
    <n v="0.72852059925093637"/>
    <n v="11"/>
    <n v="0.63577773992621522"/>
    <n v="0"/>
    <s v=""/>
    <n v="1"/>
    <n v="0.74549944951944536"/>
    <n v="1"/>
    <s v=""/>
    <n v="0"/>
    <s v=""/>
    <n v="0"/>
    <s v=""/>
    <n v="0"/>
    <s v=""/>
    <n v="0"/>
    <n v="1"/>
    <s v=""/>
    <n v="0.16666666666666666"/>
    <n v="12"/>
    <s v=""/>
    <n v="0.43956043956043955"/>
    <n v="3"/>
    <s v=""/>
    <n v="0.23076923076923078"/>
    <n v="6"/>
    <n v="38"/>
    <n v="6"/>
    <n v="0"/>
    <n v="0"/>
    <n v="0"/>
    <n v="51318"/>
    <n v="318573"/>
    <n v="51318"/>
    <n v="0"/>
    <n v="24"/>
    <n v="205272"/>
    <n v="127067.2975072382"/>
    <n v="5"/>
    <n v="37"/>
    <n v="0"/>
    <n v="0"/>
    <n v="0"/>
    <n v="0"/>
    <n v="0"/>
    <n v="310189.5"/>
    <n v="0"/>
    <n v="0"/>
    <n v="24"/>
    <n v="205272"/>
    <n v="0"/>
    <n v="5"/>
    <n v="37"/>
    <n v="0"/>
    <n v="0"/>
    <n v="0"/>
    <n v="25150.5"/>
    <n v="316461"/>
    <n v="0"/>
    <n v="0"/>
    <n v="24"/>
    <n v="205272"/>
    <n v="0"/>
    <n v="4"/>
    <n v="37"/>
    <n v="0"/>
    <n v="0"/>
    <n v="0"/>
    <n v="310189.5"/>
    <n v="0"/>
    <x v="0"/>
    <x v="0"/>
    <n v="24"/>
    <n v="205272"/>
    <n v="0"/>
    <n v="6"/>
    <n v="25"/>
    <n v="3"/>
    <m/>
    <n v="0"/>
    <n v="0"/>
    <n v="213825"/>
    <n v="25150.5"/>
    <x v="0"/>
    <n v="0"/>
    <n v="24"/>
    <n v="205272"/>
    <n v="75605.042016806721"/>
    <n v="27.3"/>
    <n v="36"/>
    <n v="12"/>
    <m/>
    <n v="0"/>
    <n v="0"/>
    <n v="307908"/>
    <n v="100602"/>
    <n v="0"/>
    <n v="0"/>
    <n v="36"/>
    <n v="205272"/>
    <n v="302420.16806722688"/>
    <n v="13"/>
    <n v="27"/>
    <n v="6.5"/>
    <n v="0"/>
    <n v="0"/>
    <n v="0"/>
    <n v="230931"/>
    <n v="54492.75"/>
    <n v="0"/>
    <n v="0"/>
    <n v="27"/>
    <n v="205272"/>
    <n v="163810.9243697479"/>
    <n v="13"/>
    <n v="20.5"/>
    <n v="6.5"/>
    <n v="0"/>
    <n v="0"/>
    <n v="0"/>
    <n v="175336.5"/>
    <n v="54492.75"/>
    <n v="0"/>
    <n v="0"/>
    <n v="20.5"/>
    <n v="175336.5"/>
    <n v="163810.9243697479"/>
    <n v="13"/>
    <n v="14"/>
    <n v="6.5"/>
    <n v="0"/>
    <n v="0"/>
    <m/>
    <n v="117369"/>
    <n v="54492.75"/>
    <n v="0"/>
    <n v="0"/>
    <n v="14"/>
    <n v="117369"/>
    <n v="163810.9243697479"/>
    <n v="0"/>
    <n v="7.5"/>
    <n v="0"/>
    <n v="0"/>
    <n v="0"/>
    <n v="0"/>
    <m/>
    <n v="62876.25"/>
    <n v="0"/>
    <n v="0"/>
    <n v="0"/>
    <n v="7.5"/>
    <n v="62876.25"/>
    <n v="0"/>
    <n v="0"/>
    <n v="7.5"/>
    <n v="0"/>
    <n v="0"/>
    <n v="0"/>
    <n v="62876.25"/>
    <n v="0"/>
    <n v="0"/>
    <n v="0"/>
    <n v="7.5"/>
    <n v="62876.25"/>
    <n v="0"/>
    <n v="0"/>
    <n v="7.5"/>
    <n v="0"/>
    <n v="0"/>
    <n v="0"/>
    <n v="62876.25"/>
    <n v="0"/>
    <n v="0"/>
    <n v="7.5"/>
    <n v="62876.25"/>
    <n v="0"/>
    <n v="0"/>
    <n v="7.5"/>
    <n v="0"/>
    <n v="0"/>
    <m/>
    <n v="62876.25"/>
    <n v="0"/>
    <n v="0"/>
    <n v="7.5"/>
    <n v="62876.25"/>
    <n v="0"/>
  </r>
  <r>
    <s v="Lhotse-Vestuario"/>
    <x v="1"/>
    <x v="16"/>
    <x v="39"/>
    <s v="LTW25-MKF03"/>
    <x v="296"/>
    <x v="266"/>
    <x v="0"/>
    <x v="6"/>
    <n v="0.6"/>
    <x v="12"/>
    <n v="36"/>
    <m/>
    <n v="0"/>
    <n v="8553"/>
    <n v="307908"/>
    <n v="8.1"/>
    <n v="8849.25"/>
    <n v="25201.680672268907"/>
    <n v="21000"/>
    <s v="Shenzhen"/>
    <x v="0"/>
    <n v="30"/>
    <n v="1"/>
    <n v="0"/>
    <s v=""/>
    <n v="0"/>
    <s v=""/>
    <n v="0"/>
    <s v=""/>
    <n v="2"/>
    <n v="0.66131620975938121"/>
    <n v="1"/>
    <n v="0.59422980217277865"/>
    <n v="11"/>
    <n v="0.54504978167628138"/>
    <n v="17"/>
    <n v="0.52081481798828122"/>
    <n v="6"/>
    <n v="0.57125950308275841"/>
    <n v="3"/>
    <n v="0.65091706799444937"/>
    <n v="6"/>
    <n v="0.67849028943741396"/>
    <n v="0"/>
    <n v="1.000054735840076"/>
    <n v="2"/>
    <n v="0.74549944951944536"/>
    <n v="4"/>
    <s v=""/>
    <n v="1"/>
    <s v=""/>
    <n v="1"/>
    <s v=""/>
    <n v="1"/>
    <s v=""/>
    <n v="0.16666666666666666"/>
    <n v="2"/>
    <s v=""/>
    <n v="0.25"/>
    <n v="18"/>
    <s v=""/>
    <n v="0.45112781954887221"/>
    <n v="5"/>
    <s v=""/>
    <n v="0.25"/>
    <n v="6"/>
    <n v="64"/>
    <n v="6"/>
    <n v="0"/>
    <n v="0"/>
    <n v="0"/>
    <n v="72700.5"/>
    <n v="536544"/>
    <n v="51318"/>
    <n v="0"/>
    <n v="36"/>
    <n v="307908"/>
    <n v="127067.2975072382"/>
    <n v="5"/>
    <n v="60"/>
    <n v="1.5"/>
    <n v="0"/>
    <n v="0"/>
    <n v="0"/>
    <n v="29935.5"/>
    <n v="503010"/>
    <n v="12829.5"/>
    <n v="0"/>
    <n v="36"/>
    <n v="307908"/>
    <n v="31766.824376809549"/>
    <n v="5"/>
    <n v="57"/>
    <n v="1"/>
    <n v="0"/>
    <n v="0"/>
    <n v="57346.799999999996"/>
    <n v="487521"/>
    <n v="8553"/>
    <n v="0"/>
    <n v="36"/>
    <n v="307908"/>
    <n v="25201.680672268907"/>
    <n v="6"/>
    <n v="58"/>
    <n v="1"/>
    <n v="0"/>
    <n v="0"/>
    <n v="486243"/>
    <n v="8553"/>
    <x v="0"/>
    <x v="0"/>
    <n v="36"/>
    <n v="307908"/>
    <n v="25201.680672268907"/>
    <n v="8"/>
    <n v="38"/>
    <n v="4.8"/>
    <m/>
    <n v="0"/>
    <n v="0"/>
    <n v="325014"/>
    <n v="40240.799999999996"/>
    <x v="0"/>
    <n v="0"/>
    <n v="36"/>
    <n v="307908"/>
    <n v="120968.06722689075"/>
    <n v="39.9"/>
    <n v="54"/>
    <n v="18"/>
    <m/>
    <n v="0"/>
    <n v="0"/>
    <n v="461862"/>
    <n v="150903"/>
    <n v="0"/>
    <n v="0"/>
    <n v="54"/>
    <n v="307908"/>
    <n v="453630.25210084033"/>
    <n v="20"/>
    <n v="41"/>
    <n v="12"/>
    <n v="0"/>
    <n v="0"/>
    <n v="0"/>
    <n v="350673"/>
    <n v="100602"/>
    <n v="0"/>
    <n v="0"/>
    <n v="41"/>
    <n v="307908"/>
    <n v="302420.16806722688"/>
    <n v="20"/>
    <n v="29"/>
    <n v="12"/>
    <n v="0"/>
    <n v="0"/>
    <n v="0"/>
    <n v="248037"/>
    <n v="100602"/>
    <n v="0"/>
    <n v="0"/>
    <n v="29"/>
    <n v="248037"/>
    <n v="302420.16806722688"/>
    <n v="20"/>
    <n v="17"/>
    <n v="12"/>
    <n v="0"/>
    <n v="0"/>
    <m/>
    <n v="142519.5"/>
    <n v="100602"/>
    <n v="0"/>
    <n v="0"/>
    <n v="17"/>
    <n v="142519.5"/>
    <n v="302420.16806722688"/>
    <n v="0"/>
    <n v="5"/>
    <n v="0"/>
    <n v="0"/>
    <n v="0"/>
    <n v="0"/>
    <m/>
    <n v="41917.5"/>
    <n v="0"/>
    <n v="0"/>
    <n v="0"/>
    <n v="5"/>
    <n v="41917.5"/>
    <n v="0"/>
    <n v="0"/>
    <n v="5"/>
    <n v="0"/>
    <n v="0"/>
    <n v="0"/>
    <n v="41917.5"/>
    <n v="0"/>
    <n v="0"/>
    <n v="0"/>
    <n v="5"/>
    <n v="41917.5"/>
    <n v="0"/>
    <n v="0"/>
    <n v="5"/>
    <n v="0"/>
    <n v="0"/>
    <n v="0"/>
    <n v="41917.5"/>
    <n v="0"/>
    <n v="0"/>
    <n v="5"/>
    <n v="41917.5"/>
    <n v="0"/>
    <n v="0"/>
    <n v="5"/>
    <n v="0"/>
    <n v="0"/>
    <m/>
    <n v="41917.5"/>
    <n v="0"/>
    <n v="0"/>
    <n v="5"/>
    <n v="41917.5"/>
    <n v="0"/>
  </r>
  <r>
    <s v="Lhotse-Vestuario"/>
    <x v="1"/>
    <x v="16"/>
    <x v="39"/>
    <s v="LTW25-MKF03"/>
    <x v="297"/>
    <x v="266"/>
    <x v="0"/>
    <x v="6"/>
    <n v="0.5"/>
    <x v="12"/>
    <n v="2"/>
    <m/>
    <n v="0"/>
    <n v="8553"/>
    <n v="17106"/>
    <n v="8.1"/>
    <n v="8849.25"/>
    <n v="25201.680672268907"/>
    <n v="21000"/>
    <s v="Shenzhen"/>
    <x v="0"/>
    <n v="30"/>
    <n v="1"/>
    <n v="0"/>
    <s v=""/>
    <n v="0"/>
    <s v=""/>
    <n v="0"/>
    <s v=""/>
    <n v="1"/>
    <n v="0.74547745871150128"/>
    <n v="0"/>
    <n v="-2.6891149304286617E-5"/>
    <n v="3"/>
    <n v="0.50087163726195805"/>
    <n v="5"/>
    <n v="0.4358480859034905"/>
    <n v="1"/>
    <n v="0.59270380952380952"/>
    <n v="2"/>
    <n v="0.67420028187254788"/>
    <n v="7"/>
    <n v="0.64804542835980583"/>
    <n v="0"/>
    <s v=""/>
    <n v="1"/>
    <n v="0.66062217284342517"/>
    <n v="1"/>
    <s v=""/>
    <n v="0"/>
    <s v=""/>
    <n v="1"/>
    <s v=""/>
    <n v="0"/>
    <s v=""/>
    <n v="0"/>
    <n v="0"/>
    <s v=""/>
    <n v="0"/>
    <n v="3"/>
    <s v=""/>
    <n v="0.23255813953488372"/>
    <n v="0"/>
    <s v=""/>
    <n v="0"/>
    <n v="5"/>
    <n v="6"/>
    <n v="5"/>
    <n v="0"/>
    <n v="0"/>
    <n v="0"/>
    <n v="51318"/>
    <n v="50301"/>
    <n v="42765"/>
    <n v="0"/>
    <n v="2"/>
    <n v="17106"/>
    <n v="105889.41458936517"/>
    <n v="5"/>
    <n v="5"/>
    <n v="0"/>
    <n v="0"/>
    <n v="0"/>
    <n v="0"/>
    <n v="8553"/>
    <n v="41917.5"/>
    <n v="0"/>
    <n v="0"/>
    <n v="2"/>
    <n v="17106"/>
    <n v="0"/>
    <n v="5"/>
    <n v="5"/>
    <n v="1"/>
    <n v="0"/>
    <n v="0"/>
    <n v="29511.75"/>
    <n v="42765"/>
    <n v="8553"/>
    <n v="0"/>
    <n v="2"/>
    <n v="17106"/>
    <n v="25201.680672268907"/>
    <n v="4"/>
    <n v="4"/>
    <n v="0"/>
    <n v="0"/>
    <n v="0"/>
    <n v="33534"/>
    <n v="0"/>
    <x v="0"/>
    <x v="0"/>
    <n v="2"/>
    <n v="17106"/>
    <n v="0"/>
    <n v="5"/>
    <n v="2"/>
    <n v="2.5"/>
    <m/>
    <n v="0"/>
    <n v="0"/>
    <n v="17106"/>
    <n v="20958.75"/>
    <x v="0"/>
    <n v="0"/>
    <n v="2"/>
    <n v="17106"/>
    <n v="63004.201680672268"/>
    <n v="12.9"/>
    <n v="5"/>
    <n v="3"/>
    <m/>
    <n v="0"/>
    <n v="0"/>
    <n v="42765"/>
    <n v="25150.5"/>
    <n v="0"/>
    <n v="0"/>
    <n v="5"/>
    <n v="17106"/>
    <n v="75605.042016806721"/>
    <n v="2"/>
    <n v="2"/>
    <n v="1"/>
    <n v="0"/>
    <n v="0"/>
    <n v="0"/>
    <n v="17106"/>
    <n v="8383.5"/>
    <n v="0"/>
    <n v="0"/>
    <n v="2"/>
    <n v="17106"/>
    <n v="25201.680672268907"/>
    <n v="2"/>
    <n v="1"/>
    <n v="1"/>
    <n v="0"/>
    <n v="0"/>
    <n v="0"/>
    <n v="8553"/>
    <n v="8383.5"/>
    <n v="0"/>
    <n v="0"/>
    <n v="1"/>
    <n v="8553"/>
    <n v="25201.680672268907"/>
    <n v="2"/>
    <n v="0"/>
    <n v="1"/>
    <n v="0"/>
    <n v="0"/>
    <m/>
    <n v="0"/>
    <n v="8383.5"/>
    <n v="0"/>
    <n v="0"/>
    <n v="0"/>
    <n v="0"/>
    <n v="25201.68067226890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298"/>
    <x v="267"/>
    <x v="0"/>
    <x v="6"/>
    <n v="1"/>
    <x v="12"/>
    <n v="47"/>
    <m/>
    <n v="0"/>
    <n v="14363"/>
    <n v="675061"/>
    <n v="15.2"/>
    <n v="16606"/>
    <n v="33605.042016806721"/>
    <n v="21000"/>
    <s v="Shenzhen"/>
    <x v="0"/>
    <n v="30"/>
    <n v="1"/>
    <n v="0"/>
    <s v=""/>
    <n v="0"/>
    <s v=""/>
    <n v="0"/>
    <s v=""/>
    <n v="0"/>
    <s v=""/>
    <n v="0"/>
    <s v=""/>
    <n v="0"/>
    <s v=""/>
    <n v="3"/>
    <n v="0.25651534758527877"/>
    <n v="0"/>
    <s v=""/>
    <n v="0"/>
    <s v=""/>
    <n v="1"/>
    <n v="-2.6456868342212607E-5"/>
    <n v="0"/>
    <s v=""/>
    <n v="0"/>
    <s v=""/>
    <n v="3"/>
    <s v=""/>
    <n v="0"/>
    <s v=""/>
    <n v="0"/>
    <s v=""/>
    <n v="0"/>
    <s v=""/>
    <n v="0"/>
    <n v="0"/>
    <s v=""/>
    <n v="0"/>
    <n v="0"/>
    <s v=""/>
    <n v="0"/>
    <n v="1"/>
    <s v=""/>
    <n v="6.25E-2"/>
    <n v="3"/>
    <n v="33"/>
    <n v="3"/>
    <n v="0"/>
    <n v="0"/>
    <n v="0"/>
    <n v="43089"/>
    <n v="519155.99999999994"/>
    <n v="43089"/>
    <n v="0"/>
    <n v="47"/>
    <n v="675061"/>
    <n v="84718.593319680818"/>
    <n v="2"/>
    <n v="47"/>
    <n v="0"/>
    <n v="0"/>
    <n v="0"/>
    <n v="0"/>
    <n v="0"/>
    <n v="739403.99999999988"/>
    <n v="0"/>
    <n v="0"/>
    <n v="47"/>
    <n v="675061"/>
    <n v="0"/>
    <n v="3"/>
    <n v="47"/>
    <n v="0"/>
    <n v="0"/>
    <n v="0"/>
    <n v="47195.999999999993"/>
    <n v="675061"/>
    <n v="0"/>
    <n v="0"/>
    <n v="47"/>
    <n v="675061"/>
    <n v="0"/>
    <n v="3"/>
    <n v="47"/>
    <n v="0"/>
    <n v="0"/>
    <n v="0"/>
    <n v="739403.99999999988"/>
    <n v="0"/>
    <x v="0"/>
    <x v="0"/>
    <n v="47"/>
    <n v="675061"/>
    <n v="0"/>
    <n v="3"/>
    <n v="47"/>
    <n v="3"/>
    <m/>
    <n v="0"/>
    <n v="0"/>
    <n v="675061"/>
    <n v="47195.999999999993"/>
    <x v="0"/>
    <n v="0"/>
    <n v="47"/>
    <n v="675061"/>
    <n v="100815.12605042016"/>
    <n v="12"/>
    <n v="47"/>
    <n v="0"/>
    <m/>
    <n v="0"/>
    <n v="0"/>
    <n v="675061"/>
    <n v="0"/>
    <n v="0"/>
    <n v="0"/>
    <n v="47"/>
    <n v="675061"/>
    <n v="0"/>
    <n v="16"/>
    <n v="48"/>
    <n v="16"/>
    <n v="0"/>
    <n v="0"/>
    <n v="0"/>
    <n v="689424"/>
    <n v="251711.99999999997"/>
    <n v="0"/>
    <n v="0"/>
    <n v="48"/>
    <n v="675061"/>
    <n v="537680.67226890754"/>
    <n v="16"/>
    <n v="32"/>
    <n v="16"/>
    <n v="0"/>
    <n v="0"/>
    <n v="0"/>
    <n v="459616"/>
    <n v="251711.99999999997"/>
    <n v="0"/>
    <n v="0"/>
    <n v="32"/>
    <n v="459616"/>
    <n v="537680.67226890754"/>
    <n v="16"/>
    <n v="16"/>
    <n v="16"/>
    <n v="0"/>
    <n v="0"/>
    <m/>
    <n v="251711.99999999997"/>
    <n v="251711.99999999997"/>
    <n v="0"/>
    <n v="0"/>
    <n v="16"/>
    <n v="251711.99999999997"/>
    <n v="537680.672268907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299"/>
    <x v="267"/>
    <x v="0"/>
    <x v="6"/>
    <n v="1"/>
    <x v="12"/>
    <n v="76"/>
    <m/>
    <n v="0"/>
    <n v="14363"/>
    <n v="1091588"/>
    <n v="15.2"/>
    <n v="16606"/>
    <n v="33605.042016806721"/>
    <n v="21000"/>
    <s v="Shenzhen"/>
    <x v="0"/>
    <n v="30"/>
    <n v="1"/>
    <n v="0"/>
    <s v=""/>
    <n v="0"/>
    <s v=""/>
    <n v="0"/>
    <s v=""/>
    <n v="0"/>
    <s v=""/>
    <n v="0"/>
    <s v=""/>
    <n v="3"/>
    <n v="0.47394484324641084"/>
    <n v="3"/>
    <n v="0.32502434933516494"/>
    <n v="1"/>
    <n v="0.62010605940384567"/>
    <n v="0"/>
    <s v=""/>
    <n v="1"/>
    <n v="0.62010605940384567"/>
    <n v="0"/>
    <s v=""/>
    <n v="0"/>
    <s v=""/>
    <n v="4"/>
    <s v=""/>
    <n v="0"/>
    <s v=""/>
    <n v="0"/>
    <s v=""/>
    <n v="0"/>
    <s v=""/>
    <n v="0"/>
    <n v="0"/>
    <s v=""/>
    <n v="0"/>
    <n v="2"/>
    <s v=""/>
    <n v="7.407407407407407E-2"/>
    <n v="0"/>
    <s v=""/>
    <n v="0"/>
    <n v="5"/>
    <n v="82"/>
    <n v="5"/>
    <n v="0"/>
    <n v="0"/>
    <n v="0"/>
    <n v="71815"/>
    <n v="1290023.9999999998"/>
    <n v="71815"/>
    <n v="0"/>
    <n v="76"/>
    <n v="1091588"/>
    <n v="141197.65553280135"/>
    <n v="2"/>
    <n v="78"/>
    <n v="0"/>
    <n v="0"/>
    <n v="0"/>
    <n v="0"/>
    <n v="0"/>
    <n v="1227095.9999999998"/>
    <n v="0"/>
    <n v="0"/>
    <n v="76"/>
    <n v="1091588"/>
    <n v="0"/>
    <n v="3"/>
    <n v="78"/>
    <n v="0"/>
    <n v="0"/>
    <n v="0"/>
    <n v="47195.999999999993"/>
    <n v="1120314"/>
    <n v="0"/>
    <n v="0"/>
    <n v="76"/>
    <n v="1091588"/>
    <n v="0"/>
    <n v="3"/>
    <n v="78"/>
    <n v="0"/>
    <n v="0"/>
    <n v="0"/>
    <n v="1227095.9999999998"/>
    <n v="0"/>
    <x v="0"/>
    <x v="0"/>
    <n v="76"/>
    <n v="1091588"/>
    <n v="0"/>
    <n v="3"/>
    <n v="76"/>
    <n v="3"/>
    <m/>
    <n v="0"/>
    <n v="0"/>
    <n v="1091588"/>
    <n v="47195.999999999993"/>
    <x v="0"/>
    <n v="0"/>
    <n v="76"/>
    <n v="1091588"/>
    <n v="100815.12605042016"/>
    <n v="27"/>
    <n v="78"/>
    <n v="2"/>
    <m/>
    <n v="0"/>
    <n v="0"/>
    <n v="1120314"/>
    <n v="31463.999999999996"/>
    <n v="0"/>
    <n v="0"/>
    <n v="78"/>
    <n v="1091588"/>
    <n v="67210.084033613442"/>
    <n v="26"/>
    <n v="76"/>
    <n v="26"/>
    <n v="0"/>
    <n v="0"/>
    <n v="0"/>
    <n v="1091588"/>
    <n v="409031.99999999994"/>
    <n v="0"/>
    <n v="0"/>
    <n v="76"/>
    <n v="1091588"/>
    <n v="873731.09243697475"/>
    <n v="26"/>
    <n v="50"/>
    <n v="26"/>
    <n v="0"/>
    <n v="0"/>
    <n v="0"/>
    <n v="718150"/>
    <n v="409031.99999999994"/>
    <n v="0"/>
    <n v="0"/>
    <n v="50"/>
    <n v="718150"/>
    <n v="873731.09243697475"/>
    <n v="26"/>
    <n v="24"/>
    <n v="26"/>
    <n v="0"/>
    <n v="0"/>
    <m/>
    <n v="377567.99999999994"/>
    <n v="409031.99999999994"/>
    <n v="0"/>
    <n v="0"/>
    <n v="24"/>
    <n v="377567.99999999994"/>
    <n v="873731.0924369747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0"/>
    <x v="267"/>
    <x v="0"/>
    <x v="6"/>
    <n v="1"/>
    <x v="12"/>
    <n v="79"/>
    <m/>
    <n v="0"/>
    <n v="14363"/>
    <n v="1134677"/>
    <n v="15.2"/>
    <n v="16606"/>
    <n v="33605.042016806721"/>
    <n v="21000"/>
    <s v="Shenzhen"/>
    <x v="0"/>
    <n v="30"/>
    <n v="1"/>
    <n v="0"/>
    <s v=""/>
    <n v="0"/>
    <s v=""/>
    <n v="0"/>
    <s v=""/>
    <n v="0"/>
    <s v=""/>
    <n v="1"/>
    <n v="0.65807941344505805"/>
    <n v="2"/>
    <n v="0.57260923945921582"/>
    <n v="11"/>
    <n v="0.2046095147383751"/>
    <n v="-1"/>
    <n v="0.43006904213951275"/>
    <n v="0"/>
    <s v=""/>
    <n v="5"/>
    <n v="0.40716679599148103"/>
    <n v="0"/>
    <s v=""/>
    <n v="1"/>
    <n v="0.64385429839569541"/>
    <n v="34"/>
    <s v=""/>
    <n v="1"/>
    <s v=""/>
    <n v="0"/>
    <s v=""/>
    <n v="0"/>
    <s v=""/>
    <n v="0"/>
    <n v="0"/>
    <s v=""/>
    <n v="0"/>
    <n v="2"/>
    <s v=""/>
    <n v="5.128205128205128E-2"/>
    <n v="1"/>
    <s v=""/>
    <n v="3.7037037037037035E-2"/>
    <n v="5"/>
    <n v="113"/>
    <n v="5"/>
    <n v="0"/>
    <n v="0"/>
    <n v="0"/>
    <n v="93359.5"/>
    <n v="1777715.9999999998"/>
    <n v="71815"/>
    <n v="0"/>
    <n v="79"/>
    <n v="1134677"/>
    <n v="141197.65553280135"/>
    <n v="2"/>
    <n v="83"/>
    <n v="1.5"/>
    <n v="0"/>
    <n v="0"/>
    <n v="0"/>
    <n v="21544.5"/>
    <n v="1305755.9999999998"/>
    <n v="21544.5"/>
    <n v="0"/>
    <n v="79"/>
    <n v="1134677"/>
    <n v="42359.296659840409"/>
    <n v="3"/>
    <n v="82"/>
    <n v="0"/>
    <n v="0"/>
    <n v="0"/>
    <n v="47195.999999999993"/>
    <n v="1177766"/>
    <n v="0"/>
    <n v="0"/>
    <n v="79"/>
    <n v="1134677"/>
    <n v="0"/>
    <n v="3"/>
    <n v="82"/>
    <n v="0"/>
    <n v="0"/>
    <n v="0"/>
    <n v="1290023.9999999998"/>
    <n v="0"/>
    <x v="0"/>
    <x v="0"/>
    <n v="79"/>
    <n v="1134677"/>
    <n v="0"/>
    <n v="3"/>
    <n v="79"/>
    <n v="3"/>
    <m/>
    <n v="0"/>
    <n v="0"/>
    <n v="1134677"/>
    <n v="47195.999999999993"/>
    <x v="0"/>
    <n v="0"/>
    <n v="79"/>
    <n v="1134677"/>
    <n v="100815.12605042016"/>
    <n v="39"/>
    <n v="81"/>
    <n v="2"/>
    <m/>
    <n v="0"/>
    <n v="0"/>
    <n v="1163403"/>
    <n v="31463.999999999996"/>
    <n v="0"/>
    <n v="0"/>
    <n v="81"/>
    <n v="1134677"/>
    <n v="67210.084033613442"/>
    <n v="27"/>
    <n v="80"/>
    <n v="27"/>
    <n v="0"/>
    <n v="0"/>
    <n v="0"/>
    <n v="1149040"/>
    <n v="424763.99999999994"/>
    <n v="0"/>
    <n v="0"/>
    <n v="80"/>
    <n v="1134677"/>
    <n v="907336.13445378141"/>
    <n v="27"/>
    <n v="53"/>
    <n v="27"/>
    <n v="0"/>
    <n v="0"/>
    <n v="0"/>
    <n v="761239"/>
    <n v="424763.99999999994"/>
    <n v="0"/>
    <n v="0"/>
    <n v="53"/>
    <n v="761239"/>
    <n v="907336.13445378141"/>
    <n v="27"/>
    <n v="26"/>
    <n v="27"/>
    <n v="0"/>
    <n v="0"/>
    <m/>
    <n v="409031.99999999994"/>
    <n v="424763.99999999994"/>
    <n v="0"/>
    <n v="0"/>
    <n v="26"/>
    <n v="409031.99999999994"/>
    <n v="907336.1344537814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1"/>
    <x v="267"/>
    <x v="0"/>
    <x v="6"/>
    <n v="1"/>
    <x v="12"/>
    <n v="6"/>
    <m/>
    <n v="0"/>
    <n v="14363"/>
    <n v="86178"/>
    <n v="15.2"/>
    <n v="16606"/>
    <n v="33605.042016806721"/>
    <n v="21000"/>
    <s v="Shenzhen"/>
    <x v="0"/>
    <n v="30"/>
    <n v="1"/>
    <n v="0"/>
    <s v=""/>
    <n v="0"/>
    <s v=""/>
    <n v="0"/>
    <s v=""/>
    <n v="0"/>
    <s v=""/>
    <n v="0"/>
    <s v=""/>
    <n v="2"/>
    <n v="0.5440989668470585"/>
    <n v="10"/>
    <n v="0.27848678625428874"/>
    <n v="0"/>
    <s v=""/>
    <n v="0"/>
    <s v=""/>
    <n v="3"/>
    <n v="0.37523647244192737"/>
    <n v="0"/>
    <s v=""/>
    <n v="1"/>
    <n v="0.64384487589575745"/>
    <n v="18"/>
    <s v=""/>
    <n v="0"/>
    <s v=""/>
    <n v="0"/>
    <s v=""/>
    <n v="0"/>
    <s v=""/>
    <n v="0"/>
    <n v="2"/>
    <s v=""/>
    <n v="0.66666666666666663"/>
    <n v="4"/>
    <s v=""/>
    <n v="0.26666666666666666"/>
    <n v="0"/>
    <s v=""/>
    <n v="0"/>
    <n v="3"/>
    <n v="25"/>
    <n v="3"/>
    <n v="0"/>
    <n v="0"/>
    <n v="0"/>
    <n v="43089"/>
    <n v="393299.99999999994"/>
    <n v="43089"/>
    <n v="0"/>
    <n v="6"/>
    <n v="86178"/>
    <n v="84718.593319680818"/>
    <n v="2"/>
    <n v="12"/>
    <n v="0"/>
    <n v="0"/>
    <n v="0"/>
    <n v="0"/>
    <n v="0"/>
    <n v="188783.99999999997"/>
    <n v="0"/>
    <n v="0"/>
    <n v="6"/>
    <n v="86178"/>
    <n v="0"/>
    <n v="3"/>
    <n v="12"/>
    <n v="0"/>
    <n v="0"/>
    <n v="0"/>
    <n v="47195.999999999993"/>
    <n v="172356"/>
    <n v="0"/>
    <n v="0"/>
    <n v="6"/>
    <n v="86178"/>
    <n v="0"/>
    <n v="3"/>
    <n v="12"/>
    <n v="0"/>
    <n v="0"/>
    <n v="0"/>
    <n v="188783.99999999997"/>
    <n v="0"/>
    <x v="0"/>
    <x v="0"/>
    <n v="6"/>
    <n v="86178"/>
    <n v="0"/>
    <n v="3"/>
    <n v="8"/>
    <n v="3"/>
    <m/>
    <n v="0"/>
    <n v="0"/>
    <n v="114904"/>
    <n v="47195.999999999993"/>
    <x v="0"/>
    <n v="0"/>
    <n v="6"/>
    <n v="86178"/>
    <n v="100815.12605042016"/>
    <n v="15"/>
    <n v="10"/>
    <n v="4"/>
    <m/>
    <n v="0"/>
    <n v="0"/>
    <n v="143630"/>
    <n v="62927.999999999993"/>
    <n v="0"/>
    <n v="0"/>
    <n v="10"/>
    <n v="86178"/>
    <n v="134420.16806722688"/>
    <n v="3"/>
    <n v="6"/>
    <n v="3"/>
    <n v="0"/>
    <n v="0"/>
    <n v="0"/>
    <n v="86178"/>
    <n v="47195.999999999993"/>
    <n v="0"/>
    <n v="0"/>
    <n v="6"/>
    <n v="86178"/>
    <n v="100815.12605042016"/>
    <n v="3"/>
    <n v="3"/>
    <n v="3"/>
    <n v="0"/>
    <n v="0"/>
    <n v="0"/>
    <n v="43089"/>
    <n v="47195.999999999993"/>
    <n v="0"/>
    <n v="0"/>
    <n v="3"/>
    <n v="43089"/>
    <n v="100815.12605042016"/>
    <n v="3"/>
    <n v="0"/>
    <n v="3"/>
    <n v="0"/>
    <n v="0"/>
    <m/>
    <n v="0"/>
    <n v="47195.999999999993"/>
    <n v="0"/>
    <n v="0"/>
    <n v="0"/>
    <n v="0"/>
    <n v="100815.1260504201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2"/>
    <x v="267"/>
    <x v="0"/>
    <x v="6"/>
    <n v="1"/>
    <x v="12"/>
    <n v="30"/>
    <m/>
    <n v="0"/>
    <n v="14363"/>
    <n v="430890"/>
    <n v="15.2"/>
    <n v="16606"/>
    <n v="33605.042016806721"/>
    <n v="21000"/>
    <s v="Shenzhen"/>
    <x v="0"/>
    <n v="30"/>
    <n v="1"/>
    <n v="0"/>
    <s v=""/>
    <n v="0"/>
    <s v=""/>
    <n v="0"/>
    <s v=""/>
    <n v="0"/>
    <s v=""/>
    <n v="0"/>
    <s v=""/>
    <n v="2"/>
    <n v="0.43006943893341798"/>
    <n v="1"/>
    <n v="0.25651482996014291"/>
    <n v="0"/>
    <n v="-2.7153101719655914E-5"/>
    <n v="0"/>
    <s v=""/>
    <n v="2"/>
    <n v="-2.7153101719655914E-5"/>
    <n v="0"/>
    <s v=""/>
    <n v="0"/>
    <s v=""/>
    <n v="3"/>
    <s v=""/>
    <n v="0"/>
    <s v=""/>
    <n v="0"/>
    <s v=""/>
    <n v="0"/>
    <s v=""/>
    <n v="0"/>
    <n v="0"/>
    <s v=""/>
    <n v="0"/>
    <n v="1"/>
    <s v=""/>
    <n v="8.3333333333333329E-2"/>
    <n v="4"/>
    <s v=""/>
    <n v="0.4"/>
    <n v="3"/>
    <n v="31"/>
    <n v="3"/>
    <n v="0"/>
    <n v="0"/>
    <n v="0"/>
    <n v="43089"/>
    <n v="487691.99999999994"/>
    <n v="43089"/>
    <n v="0"/>
    <n v="30"/>
    <n v="430890"/>
    <n v="84718.593319680818"/>
    <n v="2"/>
    <n v="31"/>
    <n v="0"/>
    <n v="0"/>
    <n v="0"/>
    <n v="0"/>
    <n v="0"/>
    <n v="487691.99999999994"/>
    <n v="0"/>
    <n v="0"/>
    <n v="30"/>
    <n v="430890"/>
    <n v="0"/>
    <n v="3"/>
    <n v="31"/>
    <n v="0"/>
    <n v="0"/>
    <n v="0"/>
    <n v="47195.999999999993"/>
    <n v="445253"/>
    <n v="0"/>
    <n v="0"/>
    <n v="30"/>
    <n v="430890"/>
    <n v="0"/>
    <n v="3"/>
    <n v="31"/>
    <n v="0"/>
    <n v="0"/>
    <n v="0"/>
    <n v="487691.99999999994"/>
    <n v="0"/>
    <x v="0"/>
    <x v="0"/>
    <n v="30"/>
    <n v="430890"/>
    <n v="0"/>
    <n v="3"/>
    <n v="30"/>
    <n v="3"/>
    <m/>
    <n v="0"/>
    <n v="0"/>
    <n v="430890"/>
    <n v="47195.999999999993"/>
    <x v="0"/>
    <n v="0"/>
    <n v="30"/>
    <n v="430890"/>
    <n v="100815.12605042016"/>
    <n v="12"/>
    <n v="31"/>
    <n v="1"/>
    <m/>
    <n v="0"/>
    <n v="0"/>
    <n v="445253"/>
    <n v="15731.999999999998"/>
    <n v="0"/>
    <n v="0"/>
    <n v="31"/>
    <n v="430890"/>
    <n v="33605.042016806721"/>
    <n v="10"/>
    <n v="34"/>
    <n v="10"/>
    <n v="0"/>
    <n v="0"/>
    <n v="0"/>
    <n v="488342"/>
    <n v="157319.99999999997"/>
    <n v="0"/>
    <n v="0"/>
    <n v="34"/>
    <n v="430890"/>
    <n v="336050.42016806721"/>
    <n v="10"/>
    <n v="24"/>
    <n v="10"/>
    <n v="0"/>
    <n v="0"/>
    <n v="0"/>
    <n v="344712"/>
    <n v="157319.99999999997"/>
    <n v="0"/>
    <n v="0"/>
    <n v="24"/>
    <n v="344712"/>
    <n v="336050.42016806721"/>
    <n v="10"/>
    <n v="14"/>
    <n v="10"/>
    <n v="0"/>
    <n v="0"/>
    <m/>
    <n v="220247.99999999997"/>
    <n v="157319.99999999997"/>
    <n v="0"/>
    <n v="0"/>
    <n v="14"/>
    <n v="220247.99999999997"/>
    <n v="336050.42016806721"/>
    <n v="0"/>
    <n v="4"/>
    <n v="0"/>
    <n v="0"/>
    <n v="0"/>
    <n v="0"/>
    <m/>
    <n v="62927.999999999993"/>
    <n v="0"/>
    <n v="0"/>
    <n v="0"/>
    <n v="4"/>
    <n v="62927.999999999993"/>
    <n v="0"/>
    <n v="0"/>
    <n v="4"/>
    <n v="0"/>
    <n v="0"/>
    <n v="0"/>
    <n v="62927.999999999993"/>
    <n v="0"/>
    <n v="0"/>
    <n v="0"/>
    <n v="4"/>
    <n v="62927.999999999993"/>
    <n v="0"/>
    <n v="0"/>
    <n v="4"/>
    <n v="0"/>
    <n v="0"/>
    <n v="0"/>
    <n v="62927.999999999993"/>
    <n v="0"/>
    <n v="0"/>
    <n v="4"/>
    <n v="62927.999999999993"/>
    <n v="0"/>
    <n v="0"/>
    <n v="4"/>
    <n v="0"/>
    <n v="0"/>
    <m/>
    <n v="62927.999999999993"/>
    <n v="0"/>
    <n v="0"/>
    <n v="4"/>
    <n v="62927.999999999993"/>
    <n v="0"/>
  </r>
  <r>
    <s v="Lhotse-Vestuario"/>
    <x v="1"/>
    <x v="16"/>
    <x v="39"/>
    <s v="LTW25-MKF04"/>
    <x v="303"/>
    <x v="267"/>
    <x v="0"/>
    <x v="6"/>
    <n v="1"/>
    <x v="12"/>
    <n v="68"/>
    <m/>
    <n v="0"/>
    <n v="14363"/>
    <n v="976684"/>
    <n v="15.2"/>
    <n v="16606"/>
    <n v="33605.042016806721"/>
    <n v="21000"/>
    <s v="Shenzhen"/>
    <x v="0"/>
    <n v="30"/>
    <n v="1"/>
    <n v="0"/>
    <s v=""/>
    <n v="0"/>
    <s v=""/>
    <n v="0"/>
    <s v=""/>
    <n v="0"/>
    <s v=""/>
    <n v="0"/>
    <s v=""/>
    <n v="1"/>
    <n v="0.43006904213951275"/>
    <n v="6"/>
    <n v="0.29006705452742515"/>
    <n v="0"/>
    <n v="6.9620914122855708E-6"/>
    <n v="0"/>
    <s v=""/>
    <n v="0"/>
    <s v=""/>
    <n v="0"/>
    <s v=""/>
    <n v="0"/>
    <s v=""/>
    <n v="5"/>
    <s v=""/>
    <n v="0"/>
    <s v=""/>
    <n v="0"/>
    <s v=""/>
    <n v="1"/>
    <s v=""/>
    <n v="0.33333333333333331"/>
    <n v="0"/>
    <s v=""/>
    <n v="0"/>
    <n v="5"/>
    <s v=""/>
    <n v="0.18518518518518517"/>
    <n v="0"/>
    <s v=""/>
    <n v="0"/>
    <n v="5"/>
    <n v="78"/>
    <n v="5"/>
    <n v="0"/>
    <n v="0"/>
    <n v="0"/>
    <n v="71815"/>
    <n v="1227095.9999999998"/>
    <n v="71815"/>
    <n v="0"/>
    <n v="68"/>
    <n v="976684"/>
    <n v="141197.65553280135"/>
    <n v="2"/>
    <n v="73"/>
    <n v="0"/>
    <n v="0"/>
    <n v="0"/>
    <n v="0"/>
    <n v="14363"/>
    <n v="1148435.9999999998"/>
    <n v="0"/>
    <n v="0"/>
    <n v="68"/>
    <n v="976684"/>
    <n v="0"/>
    <n v="3"/>
    <n v="73"/>
    <n v="0"/>
    <n v="0"/>
    <n v="0"/>
    <n v="61558.999999999993"/>
    <n v="1048499"/>
    <n v="0"/>
    <n v="0"/>
    <n v="68"/>
    <n v="976684"/>
    <n v="0"/>
    <n v="3"/>
    <n v="73"/>
    <n v="1"/>
    <n v="0"/>
    <n v="0"/>
    <n v="1148435.9999999998"/>
    <n v="14363"/>
    <x v="0"/>
    <x v="0"/>
    <n v="68"/>
    <n v="976684"/>
    <n v="33605.042016806721"/>
    <n v="3"/>
    <n v="68"/>
    <n v="3"/>
    <m/>
    <n v="0"/>
    <n v="0"/>
    <n v="976684"/>
    <n v="47195.999999999993"/>
    <x v="0"/>
    <n v="0"/>
    <n v="68"/>
    <n v="976684"/>
    <n v="100815.12605042016"/>
    <n v="27"/>
    <n v="73"/>
    <n v="5"/>
    <m/>
    <n v="0"/>
    <n v="0"/>
    <n v="1048499"/>
    <n v="78659.999999999985"/>
    <n v="0"/>
    <n v="0"/>
    <n v="73"/>
    <n v="976684"/>
    <n v="168025.21008403361"/>
    <n v="24"/>
    <n v="68"/>
    <n v="24"/>
    <n v="0"/>
    <n v="0"/>
    <n v="0"/>
    <n v="976684"/>
    <n v="377567.99999999994"/>
    <n v="0"/>
    <n v="0"/>
    <n v="68"/>
    <n v="976684"/>
    <n v="806521.00840336131"/>
    <n v="24"/>
    <n v="44"/>
    <n v="24"/>
    <n v="0"/>
    <n v="0"/>
    <n v="0"/>
    <n v="631972"/>
    <n v="377567.99999999994"/>
    <n v="0"/>
    <n v="0"/>
    <n v="44"/>
    <n v="631972"/>
    <n v="806521.00840336131"/>
    <n v="24"/>
    <n v="20"/>
    <n v="24"/>
    <n v="0"/>
    <n v="0"/>
    <m/>
    <n v="314639.99999999994"/>
    <n v="377567.99999999994"/>
    <n v="0"/>
    <n v="0"/>
    <n v="20"/>
    <n v="314639.99999999994"/>
    <n v="806521.0084033613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4"/>
    <x v="267"/>
    <x v="0"/>
    <x v="6"/>
    <n v="1"/>
    <x v="12"/>
    <n v="51"/>
    <m/>
    <n v="0"/>
    <n v="14364"/>
    <n v="732564"/>
    <n v="15.2"/>
    <n v="16606"/>
    <n v="33605.042016806721"/>
    <n v="21000"/>
    <s v="Shenzhen"/>
    <x v="0"/>
    <n v="30"/>
    <n v="1"/>
    <n v="0"/>
    <s v=""/>
    <n v="0"/>
    <s v=""/>
    <n v="0"/>
    <s v=""/>
    <n v="0"/>
    <s v=""/>
    <n v="1"/>
    <n v="0.65807941344505805"/>
    <n v="1"/>
    <n v="0.62010632389113696"/>
    <n v="23"/>
    <n v="0.25651606163489171"/>
    <n v="1"/>
    <n v="0.27393403260457477"/>
    <n v="0"/>
    <s v=""/>
    <n v="7"/>
    <n v="0.51899132647935442"/>
    <n v="0"/>
    <n v="1.0000317284048543"/>
    <n v="21"/>
    <n v="0.24725949624542376"/>
    <n v="31"/>
    <s v=""/>
    <n v="1"/>
    <s v=""/>
    <n v="0"/>
    <s v=""/>
    <n v="3"/>
    <s v=""/>
    <n v="1"/>
    <n v="1"/>
    <s v=""/>
    <n v="0.33333333333333331"/>
    <n v="4"/>
    <s v=""/>
    <n v="0.10256410256410256"/>
    <n v="3"/>
    <s v=""/>
    <n v="0.15789473684210525"/>
    <n v="5"/>
    <n v="72"/>
    <n v="5"/>
    <n v="0"/>
    <n v="0"/>
    <n v="0"/>
    <n v="93366"/>
    <n v="1132703.9999999998"/>
    <n v="71820"/>
    <n v="0"/>
    <n v="51"/>
    <n v="732564"/>
    <n v="141197.65553280135"/>
    <n v="2"/>
    <n v="59"/>
    <n v="1.5"/>
    <n v="0"/>
    <n v="0"/>
    <n v="0"/>
    <n v="64638"/>
    <n v="928187.99999999988"/>
    <n v="21546"/>
    <n v="0"/>
    <n v="51"/>
    <n v="732564"/>
    <n v="42359.296659840409"/>
    <n v="3"/>
    <n v="58"/>
    <n v="0"/>
    <n v="0"/>
    <n v="0"/>
    <n v="90288"/>
    <n v="833112"/>
    <n v="0"/>
    <n v="0"/>
    <n v="51"/>
    <n v="732564"/>
    <n v="0"/>
    <n v="3"/>
    <n v="58"/>
    <n v="3"/>
    <n v="0"/>
    <n v="0"/>
    <n v="912455.99999999988"/>
    <n v="43092"/>
    <x v="0"/>
    <x v="0"/>
    <n v="51"/>
    <n v="732564"/>
    <n v="100815.12605042016"/>
    <n v="3"/>
    <n v="52"/>
    <n v="3"/>
    <m/>
    <n v="0"/>
    <n v="0"/>
    <n v="746928"/>
    <n v="47195.999999999993"/>
    <x v="0"/>
    <n v="0"/>
    <n v="51"/>
    <n v="732564"/>
    <n v="100815.12605042016"/>
    <n v="39"/>
    <n v="55"/>
    <n v="4"/>
    <m/>
    <n v="0"/>
    <n v="0"/>
    <n v="790020"/>
    <n v="62927.999999999993"/>
    <n v="0"/>
    <n v="0"/>
    <n v="55"/>
    <n v="732564"/>
    <n v="134420.16806722688"/>
    <n v="19"/>
    <n v="54"/>
    <n v="19"/>
    <n v="0"/>
    <n v="0"/>
    <n v="0"/>
    <n v="775656"/>
    <n v="298907.99999999994"/>
    <n v="0"/>
    <n v="0"/>
    <n v="54"/>
    <n v="732564"/>
    <n v="638495.79831932765"/>
    <n v="19"/>
    <n v="35"/>
    <n v="19"/>
    <n v="0"/>
    <n v="0"/>
    <n v="0"/>
    <n v="502740"/>
    <n v="298907.99999999994"/>
    <n v="0"/>
    <n v="0"/>
    <n v="35"/>
    <n v="502740"/>
    <n v="638495.79831932765"/>
    <n v="19"/>
    <n v="16"/>
    <n v="19"/>
    <n v="0"/>
    <n v="0"/>
    <m/>
    <n v="251711.99999999997"/>
    <n v="298907.99999999994"/>
    <n v="0"/>
    <n v="0"/>
    <n v="16"/>
    <n v="251711.99999999997"/>
    <n v="638495.7983193276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5"/>
    <x v="267"/>
    <x v="0"/>
    <x v="6"/>
    <n v="1"/>
    <x v="12"/>
    <n v="1"/>
    <m/>
    <n v="0"/>
    <n v="14366"/>
    <n v="14366"/>
    <n v="15.2"/>
    <n v="16606"/>
    <n v="33605.042016806721"/>
    <n v="21000"/>
    <s v="Shenzhen"/>
    <x v="0"/>
    <n v="30"/>
    <n v="1"/>
    <n v="0"/>
    <s v=""/>
    <n v="0"/>
    <s v=""/>
    <n v="0"/>
    <s v=""/>
    <n v="0"/>
    <n v="-2.7849335097099226E-5"/>
    <n v="1"/>
    <n v="0.59296673090002272"/>
    <n v="2"/>
    <n v="0.57260160206148891"/>
    <n v="10"/>
    <n v="0.16804171681222288"/>
    <n v="0"/>
    <n v="-2.7153101719655914E-5"/>
    <n v="2"/>
    <n v="0.18765998359867661"/>
    <n v="4"/>
    <n v="0.50120095847477497"/>
    <n v="0"/>
    <s v=""/>
    <n v="14"/>
    <n v="0.18581713054815488"/>
    <n v="14"/>
    <s v=""/>
    <n v="0"/>
    <s v=""/>
    <n v="0"/>
    <s v=""/>
    <n v="1"/>
    <s v=""/>
    <n v="0.33333333333333331"/>
    <n v="0"/>
    <s v=""/>
    <n v="0"/>
    <n v="3"/>
    <s v=""/>
    <n v="0.25"/>
    <n v="0"/>
    <s v=""/>
    <n v="0"/>
    <n v="3"/>
    <n v="1"/>
    <n v="3"/>
    <n v="0"/>
    <n v="0"/>
    <n v="0"/>
    <n v="43098"/>
    <n v="15731.999999999998"/>
    <n v="43098"/>
    <n v="0"/>
    <n v="1"/>
    <n v="14366"/>
    <n v="84718.593319680818"/>
    <n v="2"/>
    <n v="4"/>
    <n v="0"/>
    <n v="0"/>
    <n v="0"/>
    <n v="0"/>
    <n v="14366"/>
    <n v="62927.999999999993"/>
    <n v="0"/>
    <n v="0"/>
    <n v="1"/>
    <n v="14366"/>
    <n v="0"/>
    <n v="3"/>
    <n v="4"/>
    <n v="0"/>
    <n v="0"/>
    <n v="0"/>
    <n v="61561.999999999993"/>
    <n v="57464"/>
    <n v="0"/>
    <n v="0"/>
    <n v="1"/>
    <n v="14366"/>
    <n v="0"/>
    <n v="3"/>
    <n v="4"/>
    <n v="1"/>
    <n v="0"/>
    <n v="0"/>
    <n v="62927.999999999993"/>
    <n v="14366"/>
    <x v="0"/>
    <x v="0"/>
    <n v="1"/>
    <n v="14366"/>
    <n v="33605.042016806721"/>
    <n v="3"/>
    <n v="1"/>
    <n v="3"/>
    <m/>
    <n v="0"/>
    <n v="0"/>
    <n v="14366"/>
    <n v="47195.999999999993"/>
    <x v="0"/>
    <n v="0"/>
    <n v="1"/>
    <n v="14366"/>
    <n v="100815.12605042016"/>
    <n v="12"/>
    <n v="4"/>
    <n v="3"/>
    <m/>
    <n v="0"/>
    <n v="0"/>
    <n v="57464"/>
    <n v="47195.999999999993"/>
    <n v="0"/>
    <n v="0"/>
    <n v="4"/>
    <n v="14366"/>
    <n v="100815.12605042016"/>
    <n v="2"/>
    <n v="1"/>
    <n v="2"/>
    <n v="0"/>
    <n v="0"/>
    <n v="0"/>
    <n v="14366"/>
    <n v="31463.999999999996"/>
    <n v="0"/>
    <n v="0"/>
    <n v="1"/>
    <n v="14366"/>
    <n v="67210.084033613442"/>
    <n v="2"/>
    <n v="0"/>
    <n v="2"/>
    <n v="0"/>
    <n v="0"/>
    <n v="0"/>
    <n v="0"/>
    <n v="31463.999999999996"/>
    <n v="0"/>
    <n v="0"/>
    <n v="0"/>
    <n v="0"/>
    <n v="67210.084033613442"/>
    <n v="2"/>
    <n v="0"/>
    <n v="2"/>
    <n v="0"/>
    <n v="0"/>
    <m/>
    <n v="0"/>
    <n v="31463.999999999996"/>
    <n v="0"/>
    <n v="0"/>
    <n v="0"/>
    <n v="0"/>
    <n v="67210.08403361344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06"/>
    <x v="268"/>
    <x v="0"/>
    <x v="6"/>
    <n v="1"/>
    <x v="12"/>
    <n v="25"/>
    <m/>
    <n v="0"/>
    <n v="15472"/>
    <n v="386800"/>
    <n v="15.8"/>
    <n v="17261.5"/>
    <n v="33605.042016806721"/>
    <n v="23521.008403361346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26324285714285717"/>
    <n v="0"/>
    <s v=""/>
    <n v="0"/>
    <s v=""/>
    <n v="0"/>
    <s v=""/>
    <n v="0"/>
    <s v=""/>
    <n v="0"/>
    <s v=""/>
    <n v="0"/>
    <s v=""/>
    <n v="0"/>
    <s v=""/>
    <n v="0"/>
    <n v="2"/>
    <s v=""/>
    <n v="1"/>
    <n v="0"/>
    <s v=""/>
    <n v="0"/>
    <n v="0"/>
    <s v=""/>
    <n v="0"/>
    <n v="2"/>
    <n v="32"/>
    <n v="2"/>
    <n v="0"/>
    <n v="0"/>
    <n v="0"/>
    <n v="30944"/>
    <n v="523295.99999999994"/>
    <n v="30944"/>
    <n v="0"/>
    <n v="25"/>
    <n v="386800"/>
    <n v="56479.062213120545"/>
    <n v="1"/>
    <n v="25"/>
    <n v="0"/>
    <n v="0"/>
    <n v="0"/>
    <n v="0"/>
    <n v="0"/>
    <n v="408824.99999999994"/>
    <n v="0"/>
    <n v="0"/>
    <n v="25"/>
    <n v="386800"/>
    <n v="0"/>
    <n v="2"/>
    <n v="25"/>
    <n v="0"/>
    <n v="0"/>
    <n v="0"/>
    <n v="32705.999999999996"/>
    <n v="386800"/>
    <n v="0"/>
    <n v="0"/>
    <n v="25"/>
    <n v="386800"/>
    <n v="0"/>
    <n v="2"/>
    <n v="25"/>
    <n v="0"/>
    <n v="0"/>
    <n v="0"/>
    <n v="408824.99999999994"/>
    <n v="0"/>
    <x v="0"/>
    <x v="0"/>
    <n v="25"/>
    <n v="386800"/>
    <n v="0"/>
    <n v="2"/>
    <n v="27"/>
    <n v="2"/>
    <m/>
    <n v="0"/>
    <n v="0"/>
    <n v="417744"/>
    <n v="32705.999999999996"/>
    <x v="0"/>
    <n v="0"/>
    <n v="25"/>
    <n v="386800"/>
    <n v="67210.084033613442"/>
    <n v="12"/>
    <n v="25"/>
    <n v="0"/>
    <m/>
    <n v="0"/>
    <n v="0"/>
    <n v="386800"/>
    <n v="0"/>
    <n v="0"/>
    <n v="0"/>
    <n v="25"/>
    <n v="386800"/>
    <n v="0"/>
    <n v="8"/>
    <n v="25"/>
    <n v="8"/>
    <n v="0"/>
    <n v="0"/>
    <n v="0"/>
    <n v="386800"/>
    <n v="130823.99999999999"/>
    <n v="0"/>
    <n v="0"/>
    <n v="25"/>
    <n v="386800"/>
    <n v="268840.33613445377"/>
    <n v="8"/>
    <n v="17"/>
    <n v="8"/>
    <n v="0"/>
    <n v="0"/>
    <n v="0"/>
    <n v="263024"/>
    <n v="130823.99999999999"/>
    <n v="0"/>
    <n v="0"/>
    <n v="17"/>
    <n v="263024"/>
    <n v="268840.33613445377"/>
    <n v="8"/>
    <n v="9"/>
    <n v="8"/>
    <n v="0"/>
    <n v="0"/>
    <m/>
    <n v="147176.99999999997"/>
    <n v="130823.99999999999"/>
    <n v="0"/>
    <n v="0"/>
    <n v="9"/>
    <n v="147176.99999999997"/>
    <n v="268840.33613445377"/>
    <n v="0"/>
    <n v="1"/>
    <n v="0"/>
    <n v="0"/>
    <n v="0"/>
    <n v="0"/>
    <m/>
    <n v="16352.999999999998"/>
    <n v="0"/>
    <n v="0"/>
    <n v="0"/>
    <n v="1"/>
    <n v="16352.999999999998"/>
    <n v="0"/>
    <n v="0"/>
    <n v="1"/>
    <n v="0"/>
    <n v="0"/>
    <n v="0"/>
    <n v="16352.999999999998"/>
    <n v="0"/>
    <n v="0"/>
    <n v="0"/>
    <n v="1"/>
    <n v="16352.999999999998"/>
    <n v="0"/>
    <n v="0"/>
    <n v="1"/>
    <n v="0"/>
    <n v="0"/>
    <n v="0"/>
    <n v="16352.999999999998"/>
    <n v="0"/>
    <n v="0"/>
    <n v="1"/>
    <n v="16352.999999999998"/>
    <n v="0"/>
    <n v="0"/>
    <n v="1"/>
    <n v="0"/>
    <n v="0"/>
    <m/>
    <n v="16352.999999999998"/>
    <n v="0"/>
    <n v="0"/>
    <n v="1"/>
    <n v="16352.999999999998"/>
    <n v="0"/>
  </r>
  <r>
    <s v="Lhotse-Vestuario"/>
    <x v="1"/>
    <x v="16"/>
    <x v="39"/>
    <s v="LTW25-MKF05"/>
    <x v="307"/>
    <x v="268"/>
    <x v="0"/>
    <x v="6"/>
    <n v="1"/>
    <x v="12"/>
    <n v="60"/>
    <m/>
    <n v="0"/>
    <n v="15472"/>
    <n v="928320"/>
    <n v="15.8"/>
    <n v="17261.5"/>
    <n v="33605.042016806721"/>
    <n v="23521.008403361346"/>
    <s v="Shenzhen"/>
    <x v="0"/>
    <n v="30"/>
    <n v="1"/>
    <n v="0"/>
    <s v=""/>
    <n v="0"/>
    <s v=""/>
    <n v="0"/>
    <s v=""/>
    <n v="0"/>
    <n v="6.4632885212230998E-6"/>
    <n v="0"/>
    <s v=""/>
    <n v="1"/>
    <n v="0.38607665888629544"/>
    <n v="2"/>
    <n v="0.1991355660230861"/>
    <n v="1"/>
    <n v="0.3860844377430363"/>
    <n v="1"/>
    <n v="0.59078790764103783"/>
    <n v="2"/>
    <n v="0.4333363854450894"/>
    <n v="0"/>
    <s v=""/>
    <n v="0"/>
    <s v=""/>
    <n v="0"/>
    <s v=""/>
    <n v="0"/>
    <s v=""/>
    <n v="0"/>
    <s v=""/>
    <n v="2"/>
    <s v=""/>
    <n v="0.66666666666666663"/>
    <n v="0"/>
    <s v=""/>
    <n v="0"/>
    <n v="5"/>
    <s v=""/>
    <n v="0.18518518518518517"/>
    <n v="2"/>
    <s v=""/>
    <n v="9.0909090909090912E-2"/>
    <n v="4"/>
    <n v="64"/>
    <n v="4"/>
    <n v="0"/>
    <n v="0"/>
    <n v="0"/>
    <n v="61888"/>
    <n v="1046591.9999999999"/>
    <n v="61888"/>
    <n v="0"/>
    <n v="60"/>
    <n v="928320"/>
    <n v="112958.12442624109"/>
    <n v="1"/>
    <n v="64"/>
    <n v="0"/>
    <n v="0"/>
    <n v="0"/>
    <n v="0"/>
    <n v="30944"/>
    <n v="1046591.9999999999"/>
    <n v="0"/>
    <n v="0"/>
    <n v="60"/>
    <n v="928320"/>
    <n v="0"/>
    <n v="3"/>
    <n v="64"/>
    <n v="0"/>
    <n v="0"/>
    <n v="0"/>
    <n v="80003"/>
    <n v="990208"/>
    <n v="0"/>
    <n v="0"/>
    <n v="60"/>
    <n v="928320"/>
    <n v="0"/>
    <n v="3"/>
    <n v="64"/>
    <n v="2"/>
    <n v="0"/>
    <n v="0"/>
    <n v="1046591.9999999999"/>
    <n v="30944"/>
    <x v="0"/>
    <x v="0"/>
    <n v="60"/>
    <n v="928320"/>
    <n v="67210.084033613442"/>
    <n v="3"/>
    <n v="60"/>
    <n v="3"/>
    <m/>
    <n v="0"/>
    <n v="0"/>
    <n v="928320"/>
    <n v="49058.999999999993"/>
    <x v="0"/>
    <n v="0"/>
    <n v="60"/>
    <n v="928320"/>
    <n v="100815.12605042016"/>
    <n v="27"/>
    <n v="65"/>
    <n v="5"/>
    <m/>
    <n v="0"/>
    <n v="0"/>
    <n v="1005680"/>
    <n v="81764.999999999985"/>
    <n v="0"/>
    <n v="0"/>
    <n v="65"/>
    <n v="928320"/>
    <n v="168025.21008403361"/>
    <n v="22"/>
    <n v="62"/>
    <n v="22"/>
    <n v="0"/>
    <n v="0"/>
    <n v="0"/>
    <n v="959264"/>
    <n v="359765.99999999994"/>
    <n v="0"/>
    <n v="0"/>
    <n v="62"/>
    <n v="928320"/>
    <n v="739310.92436974787"/>
    <n v="22"/>
    <n v="40"/>
    <n v="22"/>
    <n v="0"/>
    <n v="0"/>
    <n v="0"/>
    <n v="618880"/>
    <n v="359765.99999999994"/>
    <n v="0"/>
    <n v="0"/>
    <n v="40"/>
    <n v="618880"/>
    <n v="739310.92436974787"/>
    <n v="22"/>
    <n v="18"/>
    <n v="22"/>
    <n v="0"/>
    <n v="0"/>
    <m/>
    <n v="294353.99999999994"/>
    <n v="359765.99999999994"/>
    <n v="0"/>
    <n v="0"/>
    <n v="18"/>
    <n v="294353.99999999994"/>
    <n v="739310.9243697478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08"/>
    <x v="268"/>
    <x v="0"/>
    <x v="6"/>
    <n v="1"/>
    <x v="12"/>
    <n v="98"/>
    <m/>
    <n v="0"/>
    <n v="15472"/>
    <n v="1516256"/>
    <n v="15.8"/>
    <n v="17261.5"/>
    <n v="33605.042016806721"/>
    <n v="23521.008403361346"/>
    <s v="Shenzhen"/>
    <x v="0"/>
    <n v="30"/>
    <n v="1"/>
    <n v="0"/>
    <s v=""/>
    <n v="0"/>
    <s v=""/>
    <n v="0"/>
    <s v=""/>
    <n v="0"/>
    <s v=""/>
    <n v="1"/>
    <n v="9.0904283447911183E-2"/>
    <n v="2"/>
    <n v="0.50891024077417313"/>
    <n v="5"/>
    <n v="0.31961741424802104"/>
    <n v="0"/>
    <s v=""/>
    <n v="0"/>
    <s v=""/>
    <n v="2"/>
    <n v="0.41923387323811484"/>
    <n v="0"/>
    <s v=""/>
    <n v="0"/>
    <s v=""/>
    <n v="0"/>
    <s v=""/>
    <n v="0"/>
    <s v=""/>
    <n v="0"/>
    <s v=""/>
    <n v="0"/>
    <s v=""/>
    <n v="0"/>
    <n v="1"/>
    <s v=""/>
    <n v="0.33333333333333331"/>
    <n v="2"/>
    <s v=""/>
    <n v="5.128205128205128E-2"/>
    <n v="1"/>
    <s v=""/>
    <n v="2.9411764705882353E-2"/>
    <n v="4"/>
    <n v="90"/>
    <n v="4"/>
    <n v="0"/>
    <n v="0"/>
    <n v="0"/>
    <n v="61888"/>
    <n v="1471769.9999999998"/>
    <n v="61888"/>
    <n v="0"/>
    <n v="98"/>
    <n v="1516256"/>
    <n v="112958.12442624109"/>
    <n v="1"/>
    <n v="100"/>
    <n v="0"/>
    <n v="0"/>
    <n v="0"/>
    <n v="0"/>
    <n v="0"/>
    <n v="1635299.9999999998"/>
    <n v="0"/>
    <n v="0"/>
    <n v="98"/>
    <n v="1516256"/>
    <n v="0"/>
    <n v="3"/>
    <n v="100"/>
    <n v="0"/>
    <n v="0"/>
    <n v="0"/>
    <n v="49058.999999999993"/>
    <n v="1547200"/>
    <n v="0"/>
    <n v="0"/>
    <n v="98"/>
    <n v="1516256"/>
    <n v="0"/>
    <n v="3"/>
    <n v="100"/>
    <n v="0"/>
    <n v="0"/>
    <n v="0"/>
    <n v="1635299.9999999998"/>
    <n v="0"/>
    <x v="0"/>
    <x v="0"/>
    <n v="98"/>
    <n v="1516256"/>
    <n v="0"/>
    <n v="3"/>
    <n v="99"/>
    <n v="3"/>
    <m/>
    <n v="0"/>
    <n v="0"/>
    <n v="1531728"/>
    <n v="49058.999999999993"/>
    <x v="0"/>
    <n v="0"/>
    <n v="98"/>
    <n v="1516256"/>
    <n v="100815.12605042016"/>
    <n v="39"/>
    <n v="100"/>
    <n v="2"/>
    <m/>
    <n v="0"/>
    <n v="0"/>
    <n v="1547200"/>
    <n v="32705.999999999996"/>
    <n v="0"/>
    <n v="0"/>
    <n v="100"/>
    <n v="1516256"/>
    <n v="67210.084033613442"/>
    <n v="34"/>
    <n v="99"/>
    <n v="34"/>
    <n v="0"/>
    <n v="0"/>
    <n v="0"/>
    <n v="1531728"/>
    <n v="556001.99999999988"/>
    <n v="0"/>
    <n v="0"/>
    <n v="99"/>
    <n v="1516256"/>
    <n v="1142571.4285714286"/>
    <n v="34"/>
    <n v="65"/>
    <n v="34"/>
    <n v="0"/>
    <n v="0"/>
    <n v="0"/>
    <n v="1005680"/>
    <n v="556001.99999999988"/>
    <n v="0"/>
    <n v="0"/>
    <n v="65"/>
    <n v="1005680"/>
    <n v="1142571.4285714286"/>
    <n v="34"/>
    <n v="31"/>
    <n v="34"/>
    <n v="0"/>
    <n v="0"/>
    <m/>
    <n v="506942.99999999994"/>
    <n v="556001.99999999988"/>
    <n v="0"/>
    <n v="0"/>
    <n v="31"/>
    <n v="506942.99999999994"/>
    <n v="1142571.428571428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09"/>
    <x v="268"/>
    <x v="0"/>
    <x v="6"/>
    <n v="1"/>
    <x v="12"/>
    <n v="21"/>
    <m/>
    <n v="0"/>
    <n v="15472"/>
    <n v="324912"/>
    <n v="15.8"/>
    <n v="17261.5"/>
    <n v="33605.042016806721"/>
    <n v="23521.008403361346"/>
    <s v="Shenzhen"/>
    <x v="0"/>
    <n v="30"/>
    <n v="1"/>
    <n v="0"/>
    <s v=""/>
    <n v="0"/>
    <s v=""/>
    <n v="0"/>
    <s v=""/>
    <n v="0"/>
    <s v=""/>
    <n v="0"/>
    <s v=""/>
    <n v="1"/>
    <n v="0.59078790764103783"/>
    <n v="4"/>
    <n v="0.1991355660230861"/>
    <n v="1"/>
    <n v="0.38607665888629544"/>
    <n v="0"/>
    <s v=""/>
    <n v="1"/>
    <n v="0.26324285714285717"/>
    <n v="0"/>
    <s v=""/>
    <n v="1"/>
    <n v="0.61635795581343444"/>
    <n v="0"/>
    <s v=""/>
    <n v="0"/>
    <s v=""/>
    <n v="1"/>
    <s v=""/>
    <n v="0"/>
    <s v=""/>
    <n v="0"/>
    <n v="1"/>
    <s v=""/>
    <n v="0.33333333333333331"/>
    <n v="1"/>
    <s v=""/>
    <n v="8.3333333333333329E-2"/>
    <n v="1"/>
    <s v=""/>
    <n v="0.125"/>
    <n v="2"/>
    <n v="28"/>
    <n v="2"/>
    <n v="0"/>
    <n v="0"/>
    <n v="0"/>
    <n v="46416"/>
    <n v="457883.99999999994"/>
    <n v="30944"/>
    <n v="0"/>
    <n v="21"/>
    <n v="324912"/>
    <n v="56479.062213120545"/>
    <n v="1"/>
    <n v="25"/>
    <n v="0"/>
    <n v="0"/>
    <n v="0"/>
    <n v="0"/>
    <n v="15472"/>
    <n v="408824.99999999994"/>
    <n v="0"/>
    <n v="0"/>
    <n v="21"/>
    <n v="324912"/>
    <n v="0"/>
    <n v="3"/>
    <n v="25"/>
    <n v="1"/>
    <n v="0"/>
    <n v="0"/>
    <n v="64530.999999999993"/>
    <n v="386800"/>
    <n v="15472"/>
    <n v="0"/>
    <n v="21"/>
    <n v="324912"/>
    <n v="33605.042016806721"/>
    <n v="3"/>
    <n v="24"/>
    <n v="0"/>
    <n v="0"/>
    <n v="0"/>
    <n v="392471.99999999994"/>
    <n v="0"/>
    <x v="0"/>
    <x v="0"/>
    <n v="21"/>
    <n v="324912"/>
    <n v="0"/>
    <n v="3"/>
    <n v="22"/>
    <n v="3"/>
    <m/>
    <n v="0"/>
    <n v="0"/>
    <n v="340384"/>
    <n v="49058.999999999993"/>
    <x v="0"/>
    <n v="0"/>
    <n v="21"/>
    <n v="324912"/>
    <n v="100815.12605042016"/>
    <n v="12"/>
    <n v="22"/>
    <n v="1"/>
    <m/>
    <n v="0"/>
    <n v="0"/>
    <n v="340384"/>
    <n v="16352.999999999998"/>
    <n v="0"/>
    <n v="0"/>
    <n v="22"/>
    <n v="324912"/>
    <n v="33605.042016806721"/>
    <n v="8"/>
    <n v="22"/>
    <n v="8"/>
    <n v="0"/>
    <n v="0"/>
    <n v="0"/>
    <n v="340384"/>
    <n v="130823.99999999999"/>
    <n v="0"/>
    <n v="0"/>
    <n v="22"/>
    <n v="324912"/>
    <n v="268840.33613445377"/>
    <n v="8"/>
    <n v="14"/>
    <n v="8"/>
    <n v="0"/>
    <n v="0"/>
    <n v="0"/>
    <n v="216608"/>
    <n v="130823.99999999999"/>
    <n v="0"/>
    <n v="0"/>
    <n v="14"/>
    <n v="216608"/>
    <n v="268840.33613445377"/>
    <n v="8"/>
    <n v="6"/>
    <n v="8"/>
    <n v="0"/>
    <n v="0"/>
    <m/>
    <n v="98117.999999999985"/>
    <n v="130823.99999999999"/>
    <n v="0"/>
    <n v="0"/>
    <n v="6"/>
    <n v="98117.999999999985"/>
    <n v="268840.336134453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10"/>
    <x v="268"/>
    <x v="0"/>
    <x v="6"/>
    <n v="1"/>
    <x v="12"/>
    <n v="22"/>
    <m/>
    <n v="0"/>
    <n v="15472"/>
    <n v="340384"/>
    <n v="15.8"/>
    <n v="17261.5"/>
    <n v="33605.042016806721"/>
    <n v="23521.008403361346"/>
    <s v="Shenzhen"/>
    <x v="0"/>
    <n v="30"/>
    <n v="1"/>
    <n v="0"/>
    <s v=""/>
    <n v="0"/>
    <s v=""/>
    <n v="0"/>
    <s v=""/>
    <n v="0"/>
    <s v=""/>
    <n v="0"/>
    <s v=""/>
    <n v="1"/>
    <n v="0.38608483453694153"/>
    <n v="1"/>
    <n v="0.38608483453694153"/>
    <n v="0"/>
    <s v=""/>
    <n v="0"/>
    <s v=""/>
    <n v="3"/>
    <n v="7.1096173733571666E-6"/>
    <n v="2"/>
    <n v="0.38608265217046267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2"/>
    <n v="31"/>
    <n v="2"/>
    <n v="0"/>
    <n v="0"/>
    <n v="0"/>
    <n v="30944"/>
    <n v="506942.99999999994"/>
    <n v="30944"/>
    <n v="0"/>
    <n v="22"/>
    <n v="340384"/>
    <n v="56479.062213120545"/>
    <n v="1"/>
    <n v="22"/>
    <n v="0"/>
    <n v="0"/>
    <n v="0"/>
    <n v="0"/>
    <n v="0"/>
    <n v="359765.99999999994"/>
    <n v="0"/>
    <n v="0"/>
    <n v="22"/>
    <n v="340384"/>
    <n v="0"/>
    <n v="2"/>
    <n v="22"/>
    <n v="0"/>
    <n v="0"/>
    <n v="0"/>
    <n v="32705.999999999996"/>
    <n v="340384"/>
    <n v="0"/>
    <n v="0"/>
    <n v="22"/>
    <n v="340384"/>
    <n v="0"/>
    <n v="2"/>
    <n v="22"/>
    <n v="0"/>
    <n v="0"/>
    <n v="0"/>
    <n v="359765.99999999994"/>
    <n v="0"/>
    <x v="0"/>
    <x v="0"/>
    <n v="22"/>
    <n v="340384"/>
    <n v="0"/>
    <n v="2"/>
    <n v="22"/>
    <n v="2"/>
    <m/>
    <n v="0"/>
    <n v="0"/>
    <n v="340384"/>
    <n v="32705.999999999996"/>
    <x v="0"/>
    <n v="0"/>
    <n v="22"/>
    <n v="340384"/>
    <n v="67210.084033613442"/>
    <n v="12"/>
    <n v="22"/>
    <n v="0"/>
    <m/>
    <n v="0"/>
    <n v="0"/>
    <n v="340384"/>
    <n v="0"/>
    <n v="0"/>
    <n v="0"/>
    <n v="22"/>
    <n v="340384"/>
    <n v="0"/>
    <n v="7"/>
    <n v="22"/>
    <n v="7"/>
    <n v="0"/>
    <n v="0"/>
    <n v="0"/>
    <n v="340384"/>
    <n v="114470.99999999999"/>
    <n v="0"/>
    <n v="0"/>
    <n v="22"/>
    <n v="340384"/>
    <n v="235235.29411764705"/>
    <n v="7"/>
    <n v="15"/>
    <n v="7"/>
    <n v="0"/>
    <n v="0"/>
    <n v="0"/>
    <n v="232080"/>
    <n v="114470.99999999999"/>
    <n v="0"/>
    <n v="0"/>
    <n v="15"/>
    <n v="232080"/>
    <n v="235235.29411764705"/>
    <n v="7"/>
    <n v="8"/>
    <n v="7"/>
    <n v="0"/>
    <n v="0"/>
    <m/>
    <n v="130823.99999999999"/>
    <n v="114470.99999999999"/>
    <n v="0"/>
    <n v="0"/>
    <n v="8"/>
    <n v="130823.99999999999"/>
    <n v="235235.29411764705"/>
    <n v="0"/>
    <n v="1"/>
    <n v="0"/>
    <n v="0"/>
    <n v="0"/>
    <n v="0"/>
    <m/>
    <n v="16352.999999999998"/>
    <n v="0"/>
    <n v="0"/>
    <n v="0"/>
    <n v="1"/>
    <n v="16352.999999999998"/>
    <n v="0"/>
    <n v="0"/>
    <n v="1"/>
    <n v="0"/>
    <n v="0"/>
    <n v="0"/>
    <n v="16352.999999999998"/>
    <n v="0"/>
    <n v="0"/>
    <n v="0"/>
    <n v="1"/>
    <n v="16352.999999999998"/>
    <n v="0"/>
    <n v="0"/>
    <n v="1"/>
    <n v="0"/>
    <n v="0"/>
    <n v="0"/>
    <n v="16352.999999999998"/>
    <n v="0"/>
    <n v="0"/>
    <n v="1"/>
    <n v="16352.999999999998"/>
    <n v="0"/>
    <n v="0"/>
    <n v="1"/>
    <n v="0"/>
    <n v="0"/>
    <m/>
    <n v="16352.999999999998"/>
    <n v="0"/>
    <n v="0"/>
    <n v="1"/>
    <n v="16352.999999999998"/>
    <n v="0"/>
  </r>
  <r>
    <s v="Lhotse-Vestuario"/>
    <x v="1"/>
    <x v="16"/>
    <x v="39"/>
    <s v="LTW25-MKF05"/>
    <x v="311"/>
    <x v="268"/>
    <x v="0"/>
    <x v="6"/>
    <n v="1"/>
    <x v="12"/>
    <n v="46"/>
    <m/>
    <n v="0"/>
    <n v="15472"/>
    <n v="711712"/>
    <n v="15.8"/>
    <n v="17261.5"/>
    <n v="33605.042016806721"/>
    <n v="23521.008403361346"/>
    <s v="Shenzhen"/>
    <x v="0"/>
    <n v="30"/>
    <n v="1"/>
    <n v="0"/>
    <s v=""/>
    <n v="0"/>
    <s v=""/>
    <n v="0"/>
    <s v=""/>
    <n v="0"/>
    <s v=""/>
    <n v="0"/>
    <s v=""/>
    <n v="0"/>
    <s v=""/>
    <n v="5"/>
    <n v="0.35074466248404151"/>
    <n v="1"/>
    <n v="0.26324333333333338"/>
    <n v="1"/>
    <n v="0.26324333333333338"/>
    <n v="4"/>
    <n v="7.1096173733571666E-6"/>
    <n v="0"/>
    <s v=""/>
    <n v="0"/>
    <s v=""/>
    <n v="0"/>
    <s v=""/>
    <n v="0"/>
    <s v=""/>
    <n v="0"/>
    <s v=""/>
    <n v="0"/>
    <s v=""/>
    <n v="0"/>
    <n v="0"/>
    <s v=""/>
    <n v="0"/>
    <n v="1"/>
    <s v=""/>
    <n v="3.7037037037037035E-2"/>
    <n v="2"/>
    <s v=""/>
    <n v="0.125"/>
    <n v="4"/>
    <n v="64"/>
    <n v="4"/>
    <n v="0"/>
    <n v="0"/>
    <n v="0"/>
    <n v="61888"/>
    <n v="1046591.9999999999"/>
    <n v="61888"/>
    <n v="0"/>
    <n v="46"/>
    <n v="711712"/>
    <n v="112958.12442624109"/>
    <n v="1"/>
    <n v="48"/>
    <n v="0"/>
    <n v="0"/>
    <n v="0"/>
    <n v="0"/>
    <n v="0"/>
    <n v="784943.99999999988"/>
    <n v="0"/>
    <n v="0"/>
    <n v="46"/>
    <n v="711712"/>
    <n v="0"/>
    <n v="3"/>
    <n v="48"/>
    <n v="0"/>
    <n v="0"/>
    <n v="0"/>
    <n v="49058.999999999993"/>
    <n v="742656"/>
    <n v="0"/>
    <n v="0"/>
    <n v="46"/>
    <n v="711712"/>
    <n v="0"/>
    <n v="3"/>
    <n v="48"/>
    <n v="0"/>
    <n v="0"/>
    <n v="0"/>
    <n v="784943.99999999988"/>
    <n v="0"/>
    <x v="0"/>
    <x v="0"/>
    <n v="46"/>
    <n v="711712"/>
    <n v="0"/>
    <n v="3"/>
    <n v="46"/>
    <n v="3"/>
    <m/>
    <n v="0"/>
    <n v="0"/>
    <n v="711712"/>
    <n v="49058.999999999993"/>
    <x v="0"/>
    <n v="0"/>
    <n v="46"/>
    <n v="711712"/>
    <n v="100815.12605042016"/>
    <n v="27"/>
    <n v="47"/>
    <n v="1"/>
    <m/>
    <n v="0"/>
    <n v="0"/>
    <n v="727184"/>
    <n v="16352.999999999998"/>
    <n v="0"/>
    <n v="0"/>
    <n v="47"/>
    <n v="711712"/>
    <n v="33605.042016806721"/>
    <n v="16"/>
    <n v="48"/>
    <n v="16"/>
    <n v="0"/>
    <n v="0"/>
    <n v="0"/>
    <n v="742656"/>
    <n v="261647.99999999997"/>
    <n v="0"/>
    <n v="0"/>
    <n v="48"/>
    <n v="711712"/>
    <n v="537680.67226890754"/>
    <n v="16"/>
    <n v="32"/>
    <n v="16"/>
    <n v="0"/>
    <n v="0"/>
    <n v="0"/>
    <n v="495104"/>
    <n v="261647.99999999997"/>
    <n v="0"/>
    <n v="0"/>
    <n v="32"/>
    <n v="495104"/>
    <n v="537680.67226890754"/>
    <n v="16"/>
    <n v="16"/>
    <n v="16"/>
    <n v="0"/>
    <n v="0"/>
    <m/>
    <n v="261647.99999999997"/>
    <n v="261647.99999999997"/>
    <n v="0"/>
    <n v="0"/>
    <n v="16"/>
    <n v="261647.99999999997"/>
    <n v="537680.672268907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12"/>
    <x v="268"/>
    <x v="0"/>
    <x v="6"/>
    <n v="1"/>
    <x v="12"/>
    <n v="74"/>
    <m/>
    <n v="0"/>
    <n v="15472"/>
    <n v="1144928"/>
    <n v="15.8"/>
    <n v="17261.5"/>
    <n v="33605.042016806721"/>
    <n v="23521.008403361346"/>
    <s v="Shenzhen"/>
    <x v="0"/>
    <n v="30"/>
    <n v="1"/>
    <n v="0"/>
    <s v=""/>
    <n v="0"/>
    <s v=""/>
    <n v="0"/>
    <s v=""/>
    <n v="0"/>
    <n v="7.1096173733571666E-6"/>
    <n v="1"/>
    <n v="0.63169535707141433"/>
    <n v="1"/>
    <n v="0.38607705568522843"/>
    <n v="4"/>
    <n v="0.35376271328028741"/>
    <n v="1"/>
    <n v="0.38608483453694153"/>
    <n v="0"/>
    <s v=""/>
    <n v="6"/>
    <n v="0.34630420392930078"/>
    <n v="0"/>
    <s v=""/>
    <n v="18"/>
    <n v="0.22800310468613572"/>
    <n v="15"/>
    <s v=""/>
    <n v="2"/>
    <s v=""/>
    <n v="1"/>
    <s v=""/>
    <n v="0"/>
    <s v=""/>
    <n v="0"/>
    <n v="1"/>
    <s v=""/>
    <n v="0.33333333333333331"/>
    <n v="3"/>
    <s v=""/>
    <n v="7.6923076923076927E-2"/>
    <n v="3"/>
    <s v=""/>
    <n v="0.1111111111111111"/>
    <n v="4"/>
    <n v="78"/>
    <n v="4"/>
    <n v="0"/>
    <n v="0"/>
    <n v="0"/>
    <n v="123776"/>
    <n v="1275533.9999999998"/>
    <n v="61888"/>
    <n v="0"/>
    <n v="74"/>
    <n v="1144928"/>
    <n v="112958.12442624109"/>
    <n v="1"/>
    <n v="81"/>
    <n v="3"/>
    <n v="0"/>
    <n v="0"/>
    <n v="0"/>
    <n v="61888"/>
    <n v="1324592.9999999998"/>
    <n v="46416"/>
    <n v="0"/>
    <n v="74"/>
    <n v="1144928"/>
    <n v="84718.593319680818"/>
    <n v="3"/>
    <n v="79"/>
    <n v="1"/>
    <n v="0"/>
    <n v="0"/>
    <n v="64530.999999999993"/>
    <n v="1222288"/>
    <n v="15472"/>
    <n v="0"/>
    <n v="74"/>
    <n v="1144928"/>
    <n v="33605.042016806721"/>
    <n v="3"/>
    <n v="79"/>
    <n v="0"/>
    <n v="0"/>
    <n v="0"/>
    <n v="1291886.9999999998"/>
    <n v="0"/>
    <x v="0"/>
    <x v="0"/>
    <n v="74"/>
    <n v="1144928"/>
    <n v="0"/>
    <n v="3"/>
    <n v="75"/>
    <n v="3"/>
    <m/>
    <n v="0"/>
    <n v="0"/>
    <n v="1160400"/>
    <n v="49058.999999999993"/>
    <x v="0"/>
    <n v="0"/>
    <n v="74"/>
    <n v="1144928"/>
    <n v="100815.12605042016"/>
    <n v="39"/>
    <n v="77"/>
    <n v="3"/>
    <m/>
    <n v="0"/>
    <n v="0"/>
    <n v="1191344"/>
    <n v="49058.999999999993"/>
    <n v="0"/>
    <n v="0"/>
    <n v="77"/>
    <n v="1144928"/>
    <n v="100815.12605042016"/>
    <n v="27"/>
    <n v="77"/>
    <n v="27"/>
    <n v="0"/>
    <n v="0"/>
    <n v="0"/>
    <n v="1191344"/>
    <n v="441530.99999999994"/>
    <n v="0"/>
    <n v="0"/>
    <n v="77"/>
    <n v="1144928"/>
    <n v="907336.13445378141"/>
    <n v="27"/>
    <n v="50"/>
    <n v="27"/>
    <n v="0"/>
    <n v="0"/>
    <n v="0"/>
    <n v="773600"/>
    <n v="441530.99999999994"/>
    <n v="0"/>
    <n v="0"/>
    <n v="50"/>
    <n v="773600"/>
    <n v="907336.13445378141"/>
    <n v="27"/>
    <n v="23"/>
    <n v="27"/>
    <n v="0"/>
    <n v="0"/>
    <m/>
    <n v="376118.99999999994"/>
    <n v="441530.99999999994"/>
    <n v="0"/>
    <n v="0"/>
    <n v="23"/>
    <n v="376118.99999999994"/>
    <n v="907336.1344537814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13"/>
    <x v="268"/>
    <x v="0"/>
    <x v="6"/>
    <n v="1"/>
    <x v="12"/>
    <n v="1"/>
    <m/>
    <n v="0"/>
    <n v="15472"/>
    <n v="15472"/>
    <n v="15.8"/>
    <n v="17261.5"/>
    <n v="33605.042016806721"/>
    <n v="23521.008403361346"/>
    <s v="Shenzhen"/>
    <x v="0"/>
    <n v="30"/>
    <n v="1"/>
    <n v="0"/>
    <s v=""/>
    <n v="0"/>
    <s v=""/>
    <n v="0"/>
    <s v=""/>
    <n v="0"/>
    <s v=""/>
    <n v="0"/>
    <s v=""/>
    <n v="3"/>
    <n v="0.33026292863085122"/>
    <n v="6"/>
    <n v="0.23781666718987871"/>
    <n v="0"/>
    <n v="0.22543679599499375"/>
    <n v="1"/>
    <n v="0.26324285714285717"/>
    <n v="6"/>
    <n v="0.33134003687910568"/>
    <n v="0"/>
    <s v=""/>
    <n v="14"/>
    <n v="0.11518147096668777"/>
    <n v="13"/>
    <s v=""/>
    <n v="0"/>
    <s v=""/>
    <n v="0"/>
    <s v=""/>
    <n v="1"/>
    <s v=""/>
    <n v="0.33333333333333331"/>
    <n v="1"/>
    <s v=""/>
    <n v="0.33333333333333331"/>
    <n v="4"/>
    <s v=""/>
    <n v="0.33333333333333331"/>
    <n v="1"/>
    <s v=""/>
    <n v="0.5"/>
    <n v="2"/>
    <n v="4"/>
    <n v="2"/>
    <n v="0"/>
    <n v="0"/>
    <n v="0"/>
    <n v="30944"/>
    <n v="65411.999999999993"/>
    <n v="30944"/>
    <n v="0"/>
    <n v="1"/>
    <n v="15472"/>
    <n v="56479.062213120545"/>
    <n v="1"/>
    <n v="9"/>
    <n v="0"/>
    <n v="0"/>
    <n v="0"/>
    <n v="0"/>
    <n v="15472"/>
    <n v="147176.99999999997"/>
    <n v="0"/>
    <n v="0"/>
    <n v="1"/>
    <n v="15472"/>
    <n v="0"/>
    <n v="3"/>
    <n v="9"/>
    <n v="0"/>
    <n v="0"/>
    <n v="0"/>
    <n v="64530.999999999993"/>
    <n v="139248"/>
    <n v="0"/>
    <n v="0"/>
    <n v="1"/>
    <n v="15472"/>
    <n v="0"/>
    <n v="3"/>
    <n v="8"/>
    <n v="1"/>
    <n v="0"/>
    <n v="0"/>
    <n v="130823.99999999999"/>
    <n v="15472"/>
    <x v="0"/>
    <x v="0"/>
    <n v="1"/>
    <n v="15472"/>
    <n v="33605.042016806721"/>
    <n v="3"/>
    <n v="2"/>
    <n v="3"/>
    <m/>
    <n v="0"/>
    <n v="0"/>
    <n v="30944"/>
    <n v="49058.999999999993"/>
    <x v="0"/>
    <n v="0"/>
    <n v="1"/>
    <n v="15472"/>
    <n v="100815.12605042016"/>
    <n v="12"/>
    <n v="5"/>
    <n v="4"/>
    <m/>
    <n v="0"/>
    <n v="0"/>
    <n v="77360"/>
    <n v="65411.999999999993"/>
    <n v="0"/>
    <n v="0"/>
    <n v="5"/>
    <n v="15472"/>
    <n v="134420.16806722688"/>
    <n v="2"/>
    <n v="2"/>
    <n v="2"/>
    <n v="0"/>
    <n v="0"/>
    <n v="0"/>
    <n v="30944"/>
    <n v="32705.999999999996"/>
    <n v="0"/>
    <n v="0"/>
    <n v="2"/>
    <n v="15472"/>
    <n v="67210.084033613442"/>
    <n v="2"/>
    <n v="0"/>
    <n v="2"/>
    <n v="0"/>
    <n v="0"/>
    <n v="0"/>
    <n v="0"/>
    <n v="32705.999999999996"/>
    <n v="0"/>
    <n v="0"/>
    <n v="0"/>
    <n v="0"/>
    <n v="67210.084033613442"/>
    <n v="2"/>
    <n v="0"/>
    <n v="2"/>
    <n v="0"/>
    <n v="0"/>
    <m/>
    <n v="0"/>
    <n v="32705.999999999996"/>
    <n v="0"/>
    <n v="0"/>
    <n v="0"/>
    <n v="0"/>
    <n v="67210.08403361344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14"/>
    <x v="269"/>
    <x v="0"/>
    <x v="6"/>
    <n v="1"/>
    <x v="12"/>
    <n v="21"/>
    <m/>
    <n v="0"/>
    <n v="14101"/>
    <n v="296121"/>
    <n v="14.4"/>
    <n v="15731.999999999998"/>
    <n v="25201.680672268907"/>
    <n v="21000"/>
    <s v="Shenzhen"/>
    <x v="0"/>
    <n v="30"/>
    <n v="1"/>
    <n v="0"/>
    <s v=""/>
    <n v="0"/>
    <s v=""/>
    <n v="0"/>
    <s v=""/>
    <n v="0"/>
    <s v=""/>
    <n v="0"/>
    <s v=""/>
    <n v="0"/>
    <s v=""/>
    <n v="5"/>
    <n v="0.27009834877581657"/>
    <n v="2"/>
    <n v="0.29318446115288221"/>
    <n v="0"/>
    <s v=""/>
    <n v="2"/>
    <n v="0.55243540912841993"/>
    <n v="1"/>
    <n v="0.20067059690493741"/>
    <n v="0"/>
    <s v=""/>
    <n v="3"/>
    <s v=""/>
    <n v="0"/>
    <s v=""/>
    <n v="1"/>
    <s v=""/>
    <n v="0"/>
    <s v=""/>
    <n v="0"/>
    <n v="0"/>
    <s v=""/>
    <n v="0"/>
    <n v="0"/>
    <s v=""/>
    <n v="0"/>
    <n v="0"/>
    <s v=""/>
    <n v="0"/>
    <n v="3"/>
    <n v="22"/>
    <n v="3"/>
    <n v="0"/>
    <n v="0"/>
    <n v="0"/>
    <n v="56404"/>
    <n v="327887.99999999994"/>
    <n v="42303"/>
    <n v="0"/>
    <n v="21"/>
    <n v="296121"/>
    <n v="63533.648753619098"/>
    <n v="3"/>
    <n v="21"/>
    <n v="0"/>
    <n v="0"/>
    <n v="0"/>
    <n v="0"/>
    <n v="14101"/>
    <n v="312983.99999999994"/>
    <n v="0"/>
    <n v="0"/>
    <n v="21"/>
    <n v="296121"/>
    <n v="0"/>
    <n v="4"/>
    <n v="21"/>
    <n v="1"/>
    <n v="0"/>
    <n v="0"/>
    <n v="43909"/>
    <n v="296121"/>
    <n v="14101"/>
    <n v="0"/>
    <n v="21"/>
    <n v="296121"/>
    <n v="25201.680672268907"/>
    <n v="2"/>
    <n v="20"/>
    <n v="0"/>
    <n v="0"/>
    <n v="0"/>
    <n v="298079.99999999994"/>
    <n v="0"/>
    <x v="0"/>
    <x v="0"/>
    <n v="21"/>
    <n v="296121"/>
    <n v="0"/>
    <n v="2"/>
    <n v="21"/>
    <n v="2"/>
    <m/>
    <n v="0"/>
    <n v="0"/>
    <n v="296121"/>
    <n v="29807.999999999996"/>
    <x v="0"/>
    <n v="0"/>
    <n v="21"/>
    <n v="296121"/>
    <n v="50403.361344537814"/>
    <n v="12"/>
    <n v="21"/>
    <n v="0"/>
    <m/>
    <n v="0"/>
    <n v="0"/>
    <n v="296121"/>
    <n v="0"/>
    <n v="0"/>
    <n v="0"/>
    <n v="21"/>
    <n v="296121"/>
    <n v="0"/>
    <n v="7"/>
    <n v="21"/>
    <n v="7"/>
    <n v="0"/>
    <n v="0"/>
    <n v="0"/>
    <n v="296121"/>
    <n v="104327.99999999999"/>
    <n v="0"/>
    <n v="0"/>
    <n v="21"/>
    <n v="296121"/>
    <n v="176411.76470588235"/>
    <n v="7"/>
    <n v="14"/>
    <n v="7"/>
    <n v="0"/>
    <n v="0"/>
    <n v="0"/>
    <n v="197414"/>
    <n v="104327.99999999999"/>
    <n v="0"/>
    <n v="0"/>
    <n v="14"/>
    <n v="197414"/>
    <n v="176411.76470588235"/>
    <n v="7"/>
    <n v="7"/>
    <n v="7"/>
    <n v="0"/>
    <n v="0"/>
    <m/>
    <n v="104327.99999999999"/>
    <n v="104327.99999999999"/>
    <n v="0"/>
    <n v="0"/>
    <n v="7"/>
    <n v="104327.99999999999"/>
    <n v="176411.7647058823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15"/>
    <x v="269"/>
    <x v="0"/>
    <x v="6"/>
    <n v="1"/>
    <x v="12"/>
    <n v="54"/>
    <m/>
    <n v="0"/>
    <n v="14101"/>
    <n v="761454"/>
    <n v="14.4"/>
    <n v="15731.999999999998"/>
    <n v="25201.680672268907"/>
    <n v="21000"/>
    <s v="Shenzhen"/>
    <x v="0"/>
    <n v="30"/>
    <n v="1"/>
    <n v="0"/>
    <s v=""/>
    <n v="0"/>
    <s v=""/>
    <n v="0"/>
    <s v=""/>
    <n v="0"/>
    <s v=""/>
    <n v="0"/>
    <s v=""/>
    <n v="0"/>
    <s v=""/>
    <n v="6"/>
    <n v="0.36968425904211172"/>
    <n v="2"/>
    <n v="0.38959482273494656"/>
    <n v="0"/>
    <s v=""/>
    <n v="9"/>
    <n v="0.50875307733993957"/>
    <n v="0"/>
    <s v=""/>
    <n v="0"/>
    <s v=""/>
    <n v="5"/>
    <s v=""/>
    <n v="0"/>
    <s v=""/>
    <n v="1"/>
    <s v=""/>
    <n v="0"/>
    <s v=""/>
    <n v="0"/>
    <n v="0"/>
    <s v=""/>
    <n v="0"/>
    <n v="3"/>
    <s v=""/>
    <n v="0.1111111111111111"/>
    <n v="0"/>
    <s v=""/>
    <n v="0"/>
    <n v="5"/>
    <n v="60"/>
    <n v="5"/>
    <n v="0"/>
    <n v="0"/>
    <n v="0"/>
    <n v="84606"/>
    <n v="894239.99999999988"/>
    <n v="70505"/>
    <n v="0"/>
    <n v="54"/>
    <n v="761454"/>
    <n v="105889.41458936517"/>
    <n v="3"/>
    <n v="57"/>
    <n v="0"/>
    <n v="0"/>
    <n v="0"/>
    <n v="0"/>
    <n v="14101"/>
    <n v="849527.99999999988"/>
    <n v="0"/>
    <n v="0"/>
    <n v="54"/>
    <n v="761454"/>
    <n v="0"/>
    <n v="4"/>
    <n v="57"/>
    <n v="1"/>
    <n v="0"/>
    <n v="0"/>
    <n v="43909"/>
    <n v="803757"/>
    <n v="14101"/>
    <n v="0"/>
    <n v="54"/>
    <n v="761454"/>
    <n v="25201.680672268907"/>
    <n v="2"/>
    <n v="56"/>
    <n v="0"/>
    <n v="0"/>
    <n v="0"/>
    <n v="834623.99999999988"/>
    <n v="0"/>
    <x v="0"/>
    <x v="0"/>
    <n v="54"/>
    <n v="761454"/>
    <n v="0"/>
    <n v="2"/>
    <n v="54"/>
    <n v="2"/>
    <m/>
    <n v="0"/>
    <n v="0"/>
    <n v="761454"/>
    <n v="29807.999999999996"/>
    <x v="0"/>
    <n v="0"/>
    <n v="54"/>
    <n v="761454"/>
    <n v="50403.361344537814"/>
    <n v="27"/>
    <n v="57"/>
    <n v="3"/>
    <m/>
    <n v="0"/>
    <n v="0"/>
    <n v="803757"/>
    <n v="44711.999999999993"/>
    <n v="0"/>
    <n v="0"/>
    <n v="57"/>
    <n v="761454"/>
    <n v="75605.042016806721"/>
    <n v="19"/>
    <n v="54"/>
    <n v="19"/>
    <n v="0"/>
    <n v="0"/>
    <n v="0"/>
    <n v="761454"/>
    <n v="283175.99999999994"/>
    <n v="0"/>
    <n v="0"/>
    <n v="54"/>
    <n v="761454"/>
    <n v="478831.93277310923"/>
    <n v="19"/>
    <n v="35"/>
    <n v="19"/>
    <n v="0"/>
    <n v="0"/>
    <n v="0"/>
    <n v="493535"/>
    <n v="283175.99999999994"/>
    <n v="0"/>
    <n v="0"/>
    <n v="35"/>
    <n v="493535"/>
    <n v="478831.93277310923"/>
    <n v="19"/>
    <n v="16"/>
    <n v="19"/>
    <n v="0"/>
    <n v="0"/>
    <m/>
    <n v="238463.99999999997"/>
    <n v="283175.99999999994"/>
    <n v="0"/>
    <n v="0"/>
    <n v="16"/>
    <n v="238463.99999999997"/>
    <n v="478831.9327731092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16"/>
    <x v="269"/>
    <x v="0"/>
    <x v="6"/>
    <n v="1"/>
    <x v="12"/>
    <n v="65"/>
    <m/>
    <n v="0"/>
    <n v="14101"/>
    <n v="916565"/>
    <n v="14.4"/>
    <n v="15731.999999999998"/>
    <n v="25201.680672268907"/>
    <n v="21000"/>
    <s v="Shenzhen"/>
    <x v="0"/>
    <n v="30"/>
    <n v="1"/>
    <n v="0"/>
    <s v=""/>
    <n v="0"/>
    <s v=""/>
    <n v="0"/>
    <s v=""/>
    <n v="0"/>
    <s v=""/>
    <n v="1"/>
    <n v="0.43580322490297285"/>
    <n v="2"/>
    <n v="2.127508687373579E-6"/>
    <n v="9"/>
    <n v="0.34397692446367406"/>
    <n v="1"/>
    <n v="0.44048210459487347"/>
    <n v="2"/>
    <n v="0.11152605380883376"/>
    <n v="8"/>
    <n v="0.55243540912841993"/>
    <n v="0"/>
    <s v=""/>
    <n v="1"/>
    <n v="0.58041568720802206"/>
    <n v="12"/>
    <s v=""/>
    <n v="2"/>
    <s v=""/>
    <n v="0"/>
    <s v=""/>
    <n v="1"/>
    <s v=""/>
    <n v="0.33333333333333331"/>
    <n v="1"/>
    <s v=""/>
    <n v="0.33333333333333331"/>
    <n v="1"/>
    <s v=""/>
    <n v="2.564102564102564E-2"/>
    <n v="1"/>
    <s v=""/>
    <n v="4.5454545454545456E-2"/>
    <n v="5"/>
    <n v="76"/>
    <n v="5"/>
    <n v="0"/>
    <n v="0"/>
    <n v="0"/>
    <n v="112808"/>
    <n v="1132703.9999999998"/>
    <n v="70505"/>
    <n v="0"/>
    <n v="65"/>
    <n v="916565"/>
    <n v="105889.41458936517"/>
    <n v="3"/>
    <n v="68"/>
    <n v="3"/>
    <n v="0"/>
    <n v="0"/>
    <n v="0"/>
    <n v="56404"/>
    <n v="1013471.9999999999"/>
    <n v="42303"/>
    <n v="0"/>
    <n v="65"/>
    <n v="916565"/>
    <n v="63533.648753619098"/>
    <n v="4"/>
    <n v="66"/>
    <n v="0"/>
    <n v="0"/>
    <n v="0"/>
    <n v="58812.999999999993"/>
    <n v="930666"/>
    <n v="0"/>
    <n v="0"/>
    <n v="65"/>
    <n v="916565"/>
    <n v="0"/>
    <n v="3"/>
    <n v="66"/>
    <n v="1"/>
    <n v="0"/>
    <n v="0"/>
    <n v="983663.99999999988"/>
    <n v="14101"/>
    <x v="0"/>
    <x v="0"/>
    <n v="65"/>
    <n v="916565"/>
    <n v="25201.680672268907"/>
    <n v="3"/>
    <n v="66"/>
    <n v="3"/>
    <m/>
    <n v="0"/>
    <n v="0"/>
    <n v="930666"/>
    <n v="44711.999999999993"/>
    <x v="0"/>
    <n v="0"/>
    <n v="65"/>
    <n v="916565"/>
    <n v="75605.042016806721"/>
    <n v="39"/>
    <n v="66"/>
    <n v="1"/>
    <m/>
    <n v="0"/>
    <n v="0"/>
    <n v="930666"/>
    <n v="14903.999999999998"/>
    <n v="0"/>
    <n v="0"/>
    <n v="66"/>
    <n v="916565"/>
    <n v="25201.680672268907"/>
    <n v="22"/>
    <n v="66"/>
    <n v="22"/>
    <n v="0"/>
    <n v="0"/>
    <n v="0"/>
    <n v="930666"/>
    <n v="327887.99999999994"/>
    <n v="0"/>
    <n v="0"/>
    <n v="66"/>
    <n v="916565"/>
    <n v="554436.97478991596"/>
    <n v="22"/>
    <n v="44"/>
    <n v="22"/>
    <n v="0"/>
    <n v="0"/>
    <n v="0"/>
    <n v="620444"/>
    <n v="327887.99999999994"/>
    <n v="0"/>
    <n v="0"/>
    <n v="44"/>
    <n v="620444"/>
    <n v="554436.97478991596"/>
    <n v="22"/>
    <n v="22"/>
    <n v="22"/>
    <n v="0"/>
    <n v="0"/>
    <m/>
    <n v="327887.99999999994"/>
    <n v="327887.99999999994"/>
    <n v="0"/>
    <n v="0"/>
    <n v="22"/>
    <n v="327887.99999999994"/>
    <n v="554436.9747899159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17"/>
    <x v="269"/>
    <x v="0"/>
    <x v="6"/>
    <n v="1"/>
    <x v="12"/>
    <n v="5"/>
    <m/>
    <n v="0"/>
    <n v="14101"/>
    <n v="70505"/>
    <n v="14.4"/>
    <n v="15731.999999999998"/>
    <n v="25201.680672268907"/>
    <n v="21000"/>
    <s v="Shenzhen"/>
    <x v="0"/>
    <n v="30"/>
    <n v="1"/>
    <n v="0"/>
    <s v=""/>
    <n v="0"/>
    <s v=""/>
    <n v="0"/>
    <s v=""/>
    <n v="0"/>
    <n v="2.127508687373579E-6"/>
    <n v="0"/>
    <n v="0.5204241063837024"/>
    <n v="1"/>
    <n v="1"/>
    <n v="11"/>
    <n v="0.37618623038902221"/>
    <n v="1"/>
    <n v="0.25391693121693126"/>
    <n v="0"/>
    <s v=""/>
    <n v="5"/>
    <n v="0.35439257556750026"/>
    <n v="0"/>
    <s v=""/>
    <n v="2"/>
    <n v="0.36054236673242185"/>
    <n v="4"/>
    <s v=""/>
    <n v="1"/>
    <s v=""/>
    <n v="0"/>
    <s v=""/>
    <n v="0"/>
    <s v=""/>
    <n v="0"/>
    <n v="0"/>
    <s v=""/>
    <n v="0"/>
    <n v="2"/>
    <s v=""/>
    <n v="0.16666666666666666"/>
    <n v="1"/>
    <s v=""/>
    <n v="0.33333333333333331"/>
    <n v="3"/>
    <n v="5"/>
    <n v="3"/>
    <n v="0"/>
    <n v="0"/>
    <n v="0"/>
    <n v="63454.5"/>
    <n v="74519.999999999985"/>
    <n v="42303"/>
    <n v="0"/>
    <n v="5"/>
    <n v="70505"/>
    <n v="63533.648753619098"/>
    <n v="3"/>
    <n v="8"/>
    <n v="1.5"/>
    <n v="0"/>
    <n v="0"/>
    <n v="0"/>
    <n v="21151.5"/>
    <n v="119231.99999999999"/>
    <n v="21151.5"/>
    <n v="0"/>
    <n v="5"/>
    <n v="70505"/>
    <n v="31766.824376809549"/>
    <n v="4"/>
    <n v="7"/>
    <n v="0"/>
    <n v="0"/>
    <n v="0"/>
    <n v="44711.999999999993"/>
    <n v="98707"/>
    <n v="0"/>
    <n v="0"/>
    <n v="5"/>
    <n v="70505"/>
    <n v="0"/>
    <n v="3"/>
    <n v="7"/>
    <n v="0"/>
    <n v="0"/>
    <n v="0"/>
    <n v="104327.99999999999"/>
    <n v="0"/>
    <x v="0"/>
    <x v="0"/>
    <n v="5"/>
    <n v="70505"/>
    <n v="0"/>
    <n v="3"/>
    <n v="5"/>
    <n v="3"/>
    <m/>
    <n v="0"/>
    <n v="0"/>
    <n v="70505"/>
    <n v="44711.999999999993"/>
    <x v="0"/>
    <n v="0"/>
    <n v="5"/>
    <n v="70505"/>
    <n v="75605.042016806721"/>
    <n v="12"/>
    <n v="7"/>
    <n v="2"/>
    <m/>
    <n v="0"/>
    <n v="0"/>
    <n v="98707"/>
    <n v="29807.999999999996"/>
    <n v="0"/>
    <n v="0"/>
    <n v="7"/>
    <n v="70505"/>
    <n v="50403.361344537814"/>
    <n v="3"/>
    <n v="6"/>
    <n v="3"/>
    <n v="0"/>
    <n v="0"/>
    <n v="0"/>
    <n v="84606"/>
    <n v="44711.999999999993"/>
    <n v="0"/>
    <n v="0"/>
    <n v="6"/>
    <n v="70505"/>
    <n v="75605.042016806721"/>
    <n v="3"/>
    <n v="3"/>
    <n v="3"/>
    <n v="0"/>
    <n v="0"/>
    <n v="0"/>
    <n v="42303"/>
    <n v="44711.999999999993"/>
    <n v="0"/>
    <n v="0"/>
    <n v="3"/>
    <n v="42303"/>
    <n v="75605.042016806721"/>
    <n v="3"/>
    <n v="0"/>
    <n v="3"/>
    <n v="0"/>
    <n v="0"/>
    <m/>
    <n v="0"/>
    <n v="44711.999999999993"/>
    <n v="0"/>
    <n v="0"/>
    <n v="0"/>
    <n v="0"/>
    <n v="75605.04201680672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18"/>
    <x v="269"/>
    <x v="0"/>
    <x v="6"/>
    <n v="1"/>
    <x v="12"/>
    <n v="31"/>
    <m/>
    <n v="0"/>
    <n v="14101"/>
    <n v="437131"/>
    <n v="14.4"/>
    <n v="15731.999999999998"/>
    <n v="25201.680672268907"/>
    <n v="21000"/>
    <s v="Shenzhen"/>
    <x v="0"/>
    <n v="30"/>
    <n v="1"/>
    <n v="0"/>
    <s v=""/>
    <n v="0"/>
    <s v=""/>
    <n v="0"/>
    <s v=""/>
    <n v="0"/>
    <s v=""/>
    <n v="1"/>
    <n v="0.58039041809254577"/>
    <n v="0"/>
    <s v=""/>
    <n v="3"/>
    <n v="0.3932713738651521"/>
    <n v="0"/>
    <s v=""/>
    <n v="0"/>
    <s v=""/>
    <n v="1"/>
    <n v="0.32852476190476193"/>
    <n v="0"/>
    <s v=""/>
    <n v="1"/>
    <n v="0.58041538965096562"/>
    <n v="2"/>
    <s v=""/>
    <n v="1"/>
    <s v=""/>
    <n v="0"/>
    <s v=""/>
    <n v="0"/>
    <s v=""/>
    <n v="0"/>
    <n v="0"/>
    <s v=""/>
    <n v="0"/>
    <n v="0"/>
    <s v=""/>
    <n v="0"/>
    <n v="0"/>
    <s v=""/>
    <n v="0"/>
    <n v="3"/>
    <n v="31"/>
    <n v="3"/>
    <n v="0"/>
    <n v="0"/>
    <n v="0"/>
    <n v="63454.5"/>
    <n v="462023.99999999994"/>
    <n v="42303"/>
    <n v="0"/>
    <n v="31"/>
    <n v="437131"/>
    <n v="63533.648753619098"/>
    <n v="3"/>
    <n v="31"/>
    <n v="1.5"/>
    <n v="0"/>
    <n v="0"/>
    <n v="0"/>
    <n v="21151.5"/>
    <n v="462023.99999999994"/>
    <n v="21151.5"/>
    <n v="0"/>
    <n v="31"/>
    <n v="437131"/>
    <n v="31766.824376809549"/>
    <n v="4"/>
    <n v="30"/>
    <n v="0"/>
    <n v="0"/>
    <n v="0"/>
    <n v="29807.999999999996"/>
    <n v="423030"/>
    <n v="0"/>
    <n v="0"/>
    <n v="31"/>
    <n v="437131"/>
    <n v="0"/>
    <n v="2"/>
    <n v="30"/>
    <n v="0"/>
    <n v="0"/>
    <n v="0"/>
    <n v="447119.99999999994"/>
    <n v="0"/>
    <x v="0"/>
    <x v="0"/>
    <n v="31"/>
    <n v="437131"/>
    <n v="0"/>
    <n v="2"/>
    <n v="31"/>
    <n v="2"/>
    <m/>
    <n v="0"/>
    <n v="0"/>
    <n v="437131"/>
    <n v="29807.999999999996"/>
    <x v="0"/>
    <n v="0"/>
    <n v="31"/>
    <n v="437131"/>
    <n v="50403.361344537814"/>
    <n v="12"/>
    <n v="31"/>
    <n v="0"/>
    <m/>
    <n v="0"/>
    <n v="0"/>
    <n v="437131"/>
    <n v="0"/>
    <n v="0"/>
    <n v="0"/>
    <n v="31"/>
    <n v="437131"/>
    <n v="0"/>
    <n v="10"/>
    <n v="31"/>
    <n v="10"/>
    <n v="0"/>
    <n v="0"/>
    <n v="0"/>
    <n v="437131"/>
    <n v="149039.99999999997"/>
    <n v="0"/>
    <n v="0"/>
    <n v="31"/>
    <n v="437131"/>
    <n v="252016.80672268907"/>
    <n v="10"/>
    <n v="21"/>
    <n v="10"/>
    <n v="0"/>
    <n v="0"/>
    <n v="0"/>
    <n v="296121"/>
    <n v="149039.99999999997"/>
    <n v="0"/>
    <n v="0"/>
    <n v="21"/>
    <n v="296121"/>
    <n v="252016.80672268907"/>
    <n v="10"/>
    <n v="11"/>
    <n v="10"/>
    <n v="0"/>
    <n v="0"/>
    <m/>
    <n v="163943.99999999997"/>
    <n v="149039.99999999997"/>
    <n v="0"/>
    <n v="0"/>
    <n v="11"/>
    <n v="163943.99999999997"/>
    <n v="252016.80672268907"/>
    <n v="0"/>
    <n v="1"/>
    <n v="0"/>
    <n v="0"/>
    <n v="0"/>
    <n v="0"/>
    <m/>
    <n v="14903.999999999998"/>
    <n v="0"/>
    <n v="0"/>
    <n v="0"/>
    <n v="1"/>
    <n v="14903.999999999998"/>
    <n v="0"/>
    <n v="0"/>
    <n v="1"/>
    <n v="0"/>
    <n v="0"/>
    <n v="0"/>
    <n v="14903.999999999998"/>
    <n v="0"/>
    <n v="0"/>
    <n v="0"/>
    <n v="1"/>
    <n v="14903.999999999998"/>
    <n v="0"/>
    <n v="0"/>
    <n v="1"/>
    <n v="0"/>
    <n v="0"/>
    <n v="0"/>
    <n v="14903.999999999998"/>
    <n v="0"/>
    <n v="0"/>
    <n v="1"/>
    <n v="14903.999999999998"/>
    <n v="0"/>
    <n v="0"/>
    <n v="1"/>
    <n v="0"/>
    <n v="0"/>
    <m/>
    <n v="14903.999999999998"/>
    <n v="0"/>
    <n v="0"/>
    <n v="1"/>
    <n v="14903.999999999998"/>
    <n v="0"/>
  </r>
  <r>
    <s v="Lhotse-Vestuario"/>
    <x v="1"/>
    <x v="16"/>
    <x v="39"/>
    <s v="LTW25-MSW06"/>
    <x v="319"/>
    <x v="269"/>
    <x v="0"/>
    <x v="6"/>
    <n v="1"/>
    <x v="12"/>
    <n v="72"/>
    <m/>
    <n v="0"/>
    <n v="14101"/>
    <n v="1015272"/>
    <n v="14.4"/>
    <n v="15731.999999999998"/>
    <n v="25201.680672268907"/>
    <n v="21000"/>
    <s v="Shenzhen"/>
    <x v="0"/>
    <n v="30"/>
    <n v="1"/>
    <n v="0"/>
    <s v=""/>
    <n v="0"/>
    <s v=""/>
    <n v="0"/>
    <s v=""/>
    <n v="0"/>
    <n v="2.127508687373579E-6"/>
    <n v="1"/>
    <n v="0.52047303271441203"/>
    <n v="0"/>
    <n v="2.127508687373579E-6"/>
    <n v="3"/>
    <n v="0.21724333176052629"/>
    <n v="1"/>
    <n v="0.32852523809523815"/>
    <n v="1"/>
    <n v="0.55243540912841993"/>
    <n v="4"/>
    <n v="0.46288157543899738"/>
    <n v="0"/>
    <s v=""/>
    <n v="0"/>
    <s v=""/>
    <n v="2"/>
    <s v=""/>
    <n v="0"/>
    <s v=""/>
    <n v="0"/>
    <s v=""/>
    <n v="0"/>
    <s v=""/>
    <n v="0"/>
    <n v="0"/>
    <s v=""/>
    <n v="0"/>
    <n v="0"/>
    <s v=""/>
    <n v="0"/>
    <n v="0"/>
    <s v=""/>
    <n v="0"/>
    <n v="5"/>
    <n v="68"/>
    <n v="5"/>
    <n v="0"/>
    <n v="0"/>
    <n v="0"/>
    <n v="70505"/>
    <n v="1013471.9999999999"/>
    <n v="70505"/>
    <n v="0"/>
    <n v="72"/>
    <n v="1015272"/>
    <n v="105889.41458936517"/>
    <n v="3"/>
    <n v="72"/>
    <n v="0"/>
    <n v="0"/>
    <n v="0"/>
    <n v="0"/>
    <n v="0"/>
    <n v="1073087.9999999998"/>
    <n v="0"/>
    <n v="0"/>
    <n v="72"/>
    <n v="1015272"/>
    <n v="0"/>
    <n v="4"/>
    <n v="72"/>
    <n v="0"/>
    <n v="0"/>
    <n v="0"/>
    <n v="29807.999999999996"/>
    <n v="1015272"/>
    <n v="0"/>
    <n v="0"/>
    <n v="72"/>
    <n v="1015272"/>
    <n v="0"/>
    <n v="2"/>
    <n v="72"/>
    <n v="0"/>
    <n v="0"/>
    <n v="0"/>
    <n v="1073087.9999999998"/>
    <n v="0"/>
    <x v="0"/>
    <x v="0"/>
    <n v="72"/>
    <n v="1015272"/>
    <n v="0"/>
    <n v="2"/>
    <n v="72"/>
    <n v="2"/>
    <m/>
    <n v="0"/>
    <n v="0"/>
    <n v="1015272"/>
    <n v="29807.999999999996"/>
    <x v="0"/>
    <n v="0"/>
    <n v="72"/>
    <n v="1015272"/>
    <n v="50403.361344537814"/>
    <n v="27"/>
    <n v="72"/>
    <n v="0"/>
    <m/>
    <n v="0"/>
    <n v="0"/>
    <n v="1015272"/>
    <n v="0"/>
    <n v="0"/>
    <n v="0"/>
    <n v="72"/>
    <n v="1015272"/>
    <n v="0"/>
    <n v="24"/>
    <n v="72"/>
    <n v="24"/>
    <n v="0"/>
    <n v="0"/>
    <n v="0"/>
    <n v="1015272"/>
    <n v="357695.99999999994"/>
    <n v="0"/>
    <n v="0"/>
    <n v="72"/>
    <n v="1015272"/>
    <n v="604840.33613445377"/>
    <n v="24"/>
    <n v="48"/>
    <n v="24"/>
    <n v="0"/>
    <n v="0"/>
    <n v="0"/>
    <n v="676848"/>
    <n v="357695.99999999994"/>
    <n v="0"/>
    <n v="0"/>
    <n v="48"/>
    <n v="676848"/>
    <n v="604840.33613445377"/>
    <n v="24"/>
    <n v="24"/>
    <n v="24"/>
    <n v="0"/>
    <n v="0"/>
    <m/>
    <n v="357695.99999999994"/>
    <n v="357695.99999999994"/>
    <n v="0"/>
    <n v="0"/>
    <n v="24"/>
    <n v="357695.99999999994"/>
    <n v="604840.336134453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20"/>
    <x v="269"/>
    <x v="0"/>
    <x v="6"/>
    <n v="1"/>
    <x v="12"/>
    <n v="96"/>
    <m/>
    <n v="0"/>
    <n v="14101"/>
    <n v="1353696"/>
    <n v="14.4"/>
    <n v="15731.999999999998"/>
    <n v="25201.680672268907"/>
    <n v="21000"/>
    <s v="Shenzhen"/>
    <x v="0"/>
    <n v="30"/>
    <n v="1"/>
    <n v="0"/>
    <s v=""/>
    <n v="0"/>
    <s v=""/>
    <n v="0"/>
    <s v=""/>
    <n v="0"/>
    <n v="2.127508687373579E-6"/>
    <n v="1"/>
    <n v="0.44054870065463203"/>
    <n v="3"/>
    <n v="0.33572123424802736"/>
    <n v="5"/>
    <n v="0.36178100637043575"/>
    <n v="0"/>
    <n v="2.127508687373579E-6"/>
    <n v="2"/>
    <n v="0.55243540912841993"/>
    <n v="9"/>
    <n v="0.55243540912841993"/>
    <n v="0"/>
    <s v=""/>
    <n v="4"/>
    <n v="0.55243185767677327"/>
    <n v="2"/>
    <s v=""/>
    <n v="2"/>
    <s v=""/>
    <n v="0"/>
    <s v=""/>
    <n v="0"/>
    <s v=""/>
    <n v="0"/>
    <n v="1"/>
    <s v=""/>
    <n v="0.33333333333333331"/>
    <n v="0"/>
    <s v=""/>
    <n v="0"/>
    <n v="0"/>
    <s v=""/>
    <n v="0"/>
    <n v="5"/>
    <n v="99"/>
    <n v="5"/>
    <n v="0"/>
    <n v="0"/>
    <n v="0"/>
    <n v="112808"/>
    <n v="1475495.9999999998"/>
    <n v="70505"/>
    <n v="0"/>
    <n v="96"/>
    <n v="1353696"/>
    <n v="105889.41458936517"/>
    <n v="3"/>
    <n v="99"/>
    <n v="3"/>
    <n v="0"/>
    <n v="0"/>
    <n v="0"/>
    <n v="42303"/>
    <n v="1475495.9999999998"/>
    <n v="42303"/>
    <n v="0"/>
    <n v="96"/>
    <n v="1353696"/>
    <n v="63533.648753619098"/>
    <n v="4"/>
    <n v="97"/>
    <n v="0"/>
    <n v="0"/>
    <n v="0"/>
    <n v="44711.999999999993"/>
    <n v="1367797"/>
    <n v="0"/>
    <n v="0"/>
    <n v="96"/>
    <n v="1353696"/>
    <n v="0"/>
    <n v="3"/>
    <n v="194"/>
    <n v="0"/>
    <n v="0"/>
    <n v="0"/>
    <n v="2891375.9999999995"/>
    <n v="0"/>
    <x v="0"/>
    <x v="0"/>
    <n v="96"/>
    <n v="1353696"/>
    <n v="0"/>
    <n v="3"/>
    <n v="97"/>
    <n v="3"/>
    <m/>
    <n v="0"/>
    <n v="0"/>
    <n v="1367797"/>
    <n v="44711.999999999993"/>
    <x v="0"/>
    <n v="0"/>
    <n v="96"/>
    <n v="1353696"/>
    <n v="75605.042016806721"/>
    <n v="39"/>
    <n v="96"/>
    <n v="0"/>
    <m/>
    <n v="0"/>
    <n v="0"/>
    <n v="1353696"/>
    <n v="0"/>
    <n v="0"/>
    <n v="0"/>
    <n v="96"/>
    <n v="1353696"/>
    <n v="0"/>
    <n v="32"/>
    <n v="96"/>
    <n v="32"/>
    <n v="0"/>
    <n v="0"/>
    <n v="0"/>
    <n v="1353696"/>
    <n v="476927.99999999994"/>
    <n v="0"/>
    <n v="0"/>
    <n v="96"/>
    <n v="1353696"/>
    <n v="806453.78151260503"/>
    <n v="32"/>
    <n v="64"/>
    <n v="32"/>
    <n v="0"/>
    <n v="0"/>
    <n v="0"/>
    <n v="902464"/>
    <n v="476927.99999999994"/>
    <n v="0"/>
    <n v="0"/>
    <n v="64"/>
    <n v="902464"/>
    <n v="806453.78151260503"/>
    <n v="32"/>
    <n v="32"/>
    <n v="32"/>
    <n v="0"/>
    <n v="0"/>
    <m/>
    <n v="476927.99999999994"/>
    <n v="476927.99999999994"/>
    <n v="0"/>
    <n v="0"/>
    <n v="32"/>
    <n v="476927.99999999994"/>
    <n v="806453.7815126050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21"/>
    <x v="269"/>
    <x v="0"/>
    <x v="6"/>
    <n v="1"/>
    <x v="12"/>
    <n v="10"/>
    <m/>
    <n v="0"/>
    <n v="14101"/>
    <n v="141010"/>
    <n v="14.4"/>
    <n v="15731.999999999998"/>
    <n v="25201.680672268907"/>
    <n v="21000"/>
    <s v="Shenzhen"/>
    <x v="0"/>
    <n v="30"/>
    <n v="1"/>
    <n v="0"/>
    <s v=""/>
    <n v="0"/>
    <s v=""/>
    <n v="0"/>
    <s v=""/>
    <n v="0"/>
    <s v=""/>
    <n v="0"/>
    <s v=""/>
    <n v="5"/>
    <n v="0.50633424124241166"/>
    <n v="5"/>
    <n v="0.27009834877581657"/>
    <n v="2"/>
    <n v="4.0685080617729144E-2"/>
    <n v="1"/>
    <n v="0.55243540912841993"/>
    <n v="2"/>
    <n v="0.46288157543899738"/>
    <n v="1"/>
    <n v="0.19999035515715424"/>
    <n v="2"/>
    <n v="0.58041568720802206"/>
    <n v="3"/>
    <s v=""/>
    <n v="0"/>
    <s v=""/>
    <n v="0"/>
    <s v=""/>
    <n v="0"/>
    <s v=""/>
    <n v="0"/>
    <n v="2"/>
    <s v=""/>
    <n v="0.66666666666666663"/>
    <n v="2"/>
    <s v=""/>
    <n v="0.16666666666666666"/>
    <n v="1"/>
    <s v=""/>
    <n v="0.25"/>
    <n v="3"/>
    <n v="16"/>
    <n v="3"/>
    <n v="0"/>
    <n v="0"/>
    <n v="0"/>
    <n v="42303"/>
    <n v="238463.99999999997"/>
    <n v="42303"/>
    <n v="0"/>
    <n v="10"/>
    <n v="141010"/>
    <n v="63533.648753619098"/>
    <n v="3"/>
    <n v="14"/>
    <n v="0"/>
    <n v="0"/>
    <n v="0"/>
    <n v="0"/>
    <n v="0"/>
    <n v="208655.99999999997"/>
    <n v="0"/>
    <n v="0"/>
    <n v="10"/>
    <n v="141010"/>
    <n v="0"/>
    <n v="0"/>
    <n v="14"/>
    <n v="0"/>
    <n v="0"/>
    <n v="0"/>
    <n v="44711.999999999993"/>
    <n v="197414"/>
    <n v="0"/>
    <n v="0"/>
    <n v="10"/>
    <n v="141010"/>
    <n v="0"/>
    <n v="3"/>
    <n v="28"/>
    <n v="0"/>
    <n v="0"/>
    <n v="0"/>
    <n v="417311.99999999994"/>
    <n v="0"/>
    <x v="0"/>
    <x v="0"/>
    <n v="10"/>
    <n v="141010"/>
    <n v="0"/>
    <n v="3"/>
    <n v="12"/>
    <n v="3"/>
    <m/>
    <n v="0"/>
    <n v="0"/>
    <n v="169212"/>
    <n v="44711.999999999993"/>
    <x v="0"/>
    <n v="0"/>
    <n v="10"/>
    <n v="141010"/>
    <n v="75605.042016806721"/>
    <n v="12"/>
    <n v="12"/>
    <n v="2"/>
    <m/>
    <n v="0"/>
    <n v="0"/>
    <n v="169212"/>
    <n v="29807.999999999996"/>
    <n v="0"/>
    <n v="0"/>
    <n v="12"/>
    <n v="141010"/>
    <n v="50403.361344537814"/>
    <n v="4"/>
    <n v="11"/>
    <n v="4"/>
    <n v="0"/>
    <n v="0"/>
    <n v="0"/>
    <n v="155111"/>
    <n v="59615.999999999993"/>
    <n v="0"/>
    <n v="0"/>
    <n v="11"/>
    <n v="141010"/>
    <n v="100806.72268907563"/>
    <n v="4"/>
    <n v="7"/>
    <n v="4"/>
    <n v="0"/>
    <n v="0"/>
    <n v="0"/>
    <n v="98707"/>
    <n v="59615.999999999993"/>
    <n v="0"/>
    <n v="0"/>
    <n v="7"/>
    <n v="98707"/>
    <n v="100806.72268907563"/>
    <n v="4"/>
    <n v="3"/>
    <n v="4"/>
    <n v="0"/>
    <n v="0"/>
    <m/>
    <n v="44711.999999999993"/>
    <n v="59615.999999999993"/>
    <n v="0"/>
    <n v="0"/>
    <n v="3"/>
    <n v="44711.999999999993"/>
    <n v="100806.7226890756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7"/>
    <x v="322"/>
    <x v="270"/>
    <x v="0"/>
    <x v="6"/>
    <n v="1"/>
    <x v="12"/>
    <n v="43"/>
    <m/>
    <n v="0"/>
    <n v="17137"/>
    <n v="736891"/>
    <n v="17.5"/>
    <n v="19118.75"/>
    <n v="42008.403361344543"/>
    <n v="25201.680672268907"/>
    <s v="Shenzhen"/>
    <x v="0"/>
    <n v="30"/>
    <n v="1"/>
    <n v="0"/>
    <s v=""/>
    <n v="0"/>
    <s v=""/>
    <n v="0"/>
    <s v=""/>
    <n v="0"/>
    <s v=""/>
    <n v="0"/>
    <s v=""/>
    <n v="1"/>
    <n v="0.41717035676631642"/>
    <n v="2"/>
    <n v="0.35239879841200367"/>
    <n v="0"/>
    <s v=""/>
    <n v="0"/>
    <s v=""/>
    <n v="1"/>
    <n v="0.49004612408867726"/>
    <n v="0"/>
    <s v=""/>
    <n v="0"/>
    <s v=""/>
    <n v="0"/>
    <s v=""/>
    <n v="0"/>
    <s v=""/>
    <n v="0"/>
    <s v=""/>
    <n v="0"/>
    <s v=""/>
    <n v="0"/>
    <n v="1"/>
    <s v=""/>
    <n v="0.5"/>
    <n v="0"/>
    <s v=""/>
    <n v="0"/>
    <n v="1"/>
    <s v=""/>
    <n v="7.1428571428571425E-2"/>
    <n v="1"/>
    <n v="34"/>
    <n v="1"/>
    <n v="0"/>
    <n v="0"/>
    <n v="0"/>
    <n v="17137"/>
    <n v="615825"/>
    <n v="17137"/>
    <n v="0"/>
    <n v="43"/>
    <n v="736891"/>
    <n v="35301.179295247515"/>
    <n v="1"/>
    <n v="44"/>
    <n v="0"/>
    <n v="0"/>
    <n v="0"/>
    <n v="0"/>
    <n v="0"/>
    <n v="796950"/>
    <n v="0"/>
    <n v="0"/>
    <n v="43"/>
    <n v="736891"/>
    <n v="0"/>
    <n v="1"/>
    <n v="44"/>
    <n v="0"/>
    <n v="0"/>
    <n v="0"/>
    <n v="36225"/>
    <n v="754028"/>
    <n v="0"/>
    <n v="0"/>
    <n v="43"/>
    <n v="736891"/>
    <n v="0"/>
    <n v="1"/>
    <n v="44"/>
    <n v="0"/>
    <n v="0"/>
    <n v="0"/>
    <n v="796950"/>
    <n v="0"/>
    <x v="0"/>
    <x v="0"/>
    <n v="43"/>
    <n v="736891"/>
    <n v="0"/>
    <n v="2"/>
    <n v="44"/>
    <n v="2"/>
    <m/>
    <n v="0"/>
    <n v="0"/>
    <n v="754028"/>
    <n v="36225"/>
    <x v="0"/>
    <n v="0"/>
    <n v="43"/>
    <n v="736891"/>
    <n v="84016.806722689085"/>
    <n v="12"/>
    <n v="43"/>
    <n v="0"/>
    <m/>
    <n v="0"/>
    <n v="0"/>
    <n v="736891"/>
    <n v="0"/>
    <n v="0"/>
    <n v="0"/>
    <n v="43"/>
    <n v="736891"/>
    <n v="0"/>
    <n v="14"/>
    <n v="44"/>
    <n v="14"/>
    <n v="0"/>
    <n v="0"/>
    <n v="0"/>
    <n v="754028"/>
    <n v="253575"/>
    <n v="0"/>
    <n v="0"/>
    <n v="44"/>
    <n v="736891"/>
    <n v="588117.64705882361"/>
    <n v="14"/>
    <n v="30"/>
    <n v="14"/>
    <n v="0"/>
    <n v="0"/>
    <n v="0"/>
    <n v="514110"/>
    <n v="253575"/>
    <n v="0"/>
    <n v="0"/>
    <n v="30"/>
    <n v="514110"/>
    <n v="588117.64705882361"/>
    <n v="14"/>
    <n v="16"/>
    <n v="14"/>
    <n v="0"/>
    <n v="0"/>
    <m/>
    <n v="289800"/>
    <n v="253575"/>
    <n v="0"/>
    <n v="0"/>
    <n v="16"/>
    <n v="289800"/>
    <n v="588117.64705882361"/>
    <n v="0"/>
    <n v="2"/>
    <n v="0"/>
    <n v="0"/>
    <n v="0"/>
    <n v="0"/>
    <m/>
    <n v="36225"/>
    <n v="0"/>
    <n v="0"/>
    <n v="0"/>
    <n v="2"/>
    <n v="36225"/>
    <n v="0"/>
    <n v="0"/>
    <n v="2"/>
    <n v="0"/>
    <n v="0"/>
    <n v="0"/>
    <n v="36225"/>
    <n v="0"/>
    <n v="0"/>
    <n v="0"/>
    <n v="2"/>
    <n v="36225"/>
    <n v="0"/>
    <n v="0"/>
    <n v="2"/>
    <n v="0"/>
    <n v="0"/>
    <n v="0"/>
    <n v="36225"/>
    <n v="0"/>
    <n v="0"/>
    <n v="2"/>
    <n v="36225"/>
    <n v="0"/>
    <n v="0"/>
    <n v="2"/>
    <n v="0"/>
    <n v="0"/>
    <m/>
    <n v="36225"/>
    <n v="0"/>
    <n v="0"/>
    <n v="2"/>
    <n v="36225"/>
    <n v="0"/>
  </r>
  <r>
    <s v="Lhotse-Vestuario"/>
    <x v="1"/>
    <x v="16"/>
    <x v="39"/>
    <s v="LTW25-MKF07"/>
    <x v="323"/>
    <x v="270"/>
    <x v="0"/>
    <x v="6"/>
    <n v="1"/>
    <x v="12"/>
    <n v="56"/>
    <m/>
    <n v="0"/>
    <n v="17137"/>
    <n v="959672"/>
    <n v="17.5"/>
    <n v="19118.75"/>
    <n v="42008.403361344543"/>
    <n v="25201.680672268907"/>
    <s v="Shenzhen"/>
    <x v="0"/>
    <n v="30"/>
    <n v="1"/>
    <n v="0"/>
    <s v=""/>
    <n v="0"/>
    <s v=""/>
    <n v="0"/>
    <s v=""/>
    <n v="0"/>
    <s v=""/>
    <n v="0"/>
    <s v=""/>
    <n v="3"/>
    <n v="0.41718228065161483"/>
    <n v="10"/>
    <n v="0.32227135165289811"/>
    <n v="1"/>
    <n v="0.23598751671868037"/>
    <n v="1"/>
    <n v="0.61150733377162159"/>
    <n v="1"/>
    <n v="0.61150733377162159"/>
    <n v="0"/>
    <s v=""/>
    <n v="0"/>
    <s v=""/>
    <n v="0"/>
    <s v=""/>
    <n v="0"/>
    <s v=""/>
    <n v="0"/>
    <s v=""/>
    <n v="0"/>
    <s v=""/>
    <n v="0"/>
    <n v="0"/>
    <s v=""/>
    <n v="0"/>
    <n v="3"/>
    <s v=""/>
    <n v="0.1111111111111111"/>
    <n v="3"/>
    <s v=""/>
    <n v="0.15"/>
    <n v="1"/>
    <n v="74"/>
    <n v="1"/>
    <n v="0"/>
    <n v="0"/>
    <n v="0"/>
    <n v="17137"/>
    <n v="1340325"/>
    <n v="17137"/>
    <n v="0"/>
    <n v="56"/>
    <n v="959672"/>
    <n v="35301.179295247515"/>
    <n v="1"/>
    <n v="60"/>
    <n v="0"/>
    <n v="0"/>
    <n v="0"/>
    <n v="0"/>
    <n v="0"/>
    <n v="1086750"/>
    <n v="0"/>
    <n v="0"/>
    <n v="56"/>
    <n v="959672"/>
    <n v="0"/>
    <n v="1"/>
    <n v="60"/>
    <n v="0"/>
    <n v="0"/>
    <n v="0"/>
    <n v="54337.5"/>
    <n v="1028220"/>
    <n v="0"/>
    <n v="0"/>
    <n v="56"/>
    <n v="959672"/>
    <n v="0"/>
    <n v="1"/>
    <n v="60"/>
    <n v="0"/>
    <n v="0"/>
    <n v="0"/>
    <n v="1086750"/>
    <n v="0"/>
    <x v="0"/>
    <x v="0"/>
    <n v="56"/>
    <n v="959672"/>
    <n v="0"/>
    <n v="3"/>
    <n v="56"/>
    <n v="3"/>
    <m/>
    <n v="0"/>
    <n v="0"/>
    <n v="959672"/>
    <n v="54337.5"/>
    <x v="0"/>
    <n v="0"/>
    <n v="56"/>
    <n v="959672"/>
    <n v="126025.21008403364"/>
    <n v="27"/>
    <n v="59"/>
    <n v="3"/>
    <m/>
    <n v="0"/>
    <n v="0"/>
    <n v="1011083"/>
    <n v="54337.5"/>
    <n v="0"/>
    <n v="0"/>
    <n v="59"/>
    <n v="959672"/>
    <n v="126025.21008403364"/>
    <n v="20"/>
    <n v="59"/>
    <n v="20"/>
    <n v="0"/>
    <n v="0"/>
    <n v="0"/>
    <n v="1011083"/>
    <n v="362250"/>
    <n v="0"/>
    <n v="0"/>
    <n v="59"/>
    <n v="959672"/>
    <n v="840168.06722689082"/>
    <n v="20"/>
    <n v="39"/>
    <n v="20"/>
    <n v="0"/>
    <n v="0"/>
    <n v="0"/>
    <n v="668343"/>
    <n v="362250"/>
    <n v="0"/>
    <n v="0"/>
    <n v="39"/>
    <n v="668343"/>
    <n v="840168.06722689082"/>
    <n v="20"/>
    <n v="19"/>
    <n v="20"/>
    <n v="0"/>
    <n v="0"/>
    <m/>
    <n v="344137.5"/>
    <n v="362250"/>
    <n v="0"/>
    <n v="0"/>
    <n v="19"/>
    <n v="344137.5"/>
    <n v="840168.0672268908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7"/>
    <x v="324"/>
    <x v="270"/>
    <x v="0"/>
    <x v="6"/>
    <n v="1"/>
    <x v="12"/>
    <n v="99"/>
    <m/>
    <n v="0"/>
    <n v="17137"/>
    <n v="1696563"/>
    <n v="17.5"/>
    <n v="19118.75"/>
    <n v="42008.403361344543"/>
    <n v="25201.680672268907"/>
    <s v="Shenzhen"/>
    <x v="0"/>
    <n v="30"/>
    <n v="1"/>
    <n v="0"/>
    <s v=""/>
    <n v="0"/>
    <s v=""/>
    <n v="0"/>
    <s v=""/>
    <n v="0"/>
    <s v=""/>
    <n v="0"/>
    <s v=""/>
    <n v="7"/>
    <n v="0.46846717172984209"/>
    <n v="11"/>
    <n v="0.30280632404715985"/>
    <n v="0"/>
    <s v=""/>
    <n v="2"/>
    <n v="0.3200167789263087"/>
    <n v="2"/>
    <n v="0.61150914737820494"/>
    <n v="0"/>
    <s v=""/>
    <n v="3"/>
    <n v="0.55401818244907874"/>
    <n v="0"/>
    <s v=""/>
    <n v="1"/>
    <s v=""/>
    <n v="1"/>
    <s v=""/>
    <n v="0"/>
    <s v=""/>
    <n v="0"/>
    <n v="1"/>
    <s v=""/>
    <n v="0.33333333333333331"/>
    <n v="6"/>
    <s v=""/>
    <n v="0.15384615384615385"/>
    <n v="4"/>
    <s v=""/>
    <n v="2"/>
    <n v="1"/>
    <n v="105"/>
    <n v="1"/>
    <n v="0"/>
    <n v="0"/>
    <n v="0"/>
    <n v="59979.5"/>
    <n v="1901812.5"/>
    <n v="17137"/>
    <n v="0"/>
    <n v="99"/>
    <n v="1696563"/>
    <n v="35301.179295247515"/>
    <n v="1"/>
    <n v="109"/>
    <n v="1.5"/>
    <n v="0"/>
    <n v="0"/>
    <n v="0"/>
    <n v="42842.5"/>
    <n v="1974262.5"/>
    <n v="25705.5"/>
    <n v="0"/>
    <n v="99"/>
    <n v="1696563"/>
    <n v="52951.768942871277"/>
    <n v="1"/>
    <n v="108"/>
    <n v="1"/>
    <n v="0"/>
    <n v="0"/>
    <n v="71474.5"/>
    <n v="1850796"/>
    <n v="17137"/>
    <n v="0"/>
    <n v="99"/>
    <n v="1696563"/>
    <n v="42008.403361344543"/>
    <n v="1"/>
    <n v="115"/>
    <n v="0"/>
    <n v="0"/>
    <n v="0"/>
    <n v="2082937.5"/>
    <n v="0"/>
    <x v="0"/>
    <x v="0"/>
    <n v="99"/>
    <n v="1696563"/>
    <n v="0"/>
    <n v="3"/>
    <n v="100"/>
    <n v="3"/>
    <m/>
    <n v="0"/>
    <n v="0"/>
    <n v="1713700"/>
    <n v="54337.5"/>
    <x v="0"/>
    <n v="0"/>
    <n v="99"/>
    <n v="1696563"/>
    <n v="126025.21008403364"/>
    <n v="39"/>
    <n v="105"/>
    <n v="6"/>
    <m/>
    <n v="0"/>
    <n v="0"/>
    <n v="1799385"/>
    <n v="108675"/>
    <n v="0"/>
    <n v="0"/>
    <n v="105"/>
    <n v="1696563"/>
    <n v="252050.42016806727"/>
    <n v="2"/>
    <n v="103"/>
    <n v="2"/>
    <n v="0"/>
    <n v="0"/>
    <n v="0"/>
    <n v="1765111"/>
    <n v="36225"/>
    <n v="0"/>
    <n v="0"/>
    <n v="103"/>
    <n v="1696563"/>
    <n v="84016.806722689085"/>
    <n v="2"/>
    <n v="101"/>
    <n v="2"/>
    <n v="0"/>
    <n v="0"/>
    <n v="0"/>
    <n v="1730837"/>
    <n v="36225"/>
    <n v="0"/>
    <n v="0"/>
    <n v="101"/>
    <n v="1730837"/>
    <n v="84016.806722689085"/>
    <n v="2"/>
    <n v="99"/>
    <n v="2"/>
    <n v="0"/>
    <n v="0"/>
    <m/>
    <n v="1793137.5"/>
    <n v="36225"/>
    <n v="0"/>
    <n v="0"/>
    <n v="99"/>
    <n v="1793137.5"/>
    <n v="84016.806722689085"/>
    <n v="0"/>
    <n v="97"/>
    <n v="0"/>
    <n v="0"/>
    <n v="0"/>
    <n v="0"/>
    <m/>
    <n v="1756912.5"/>
    <n v="0"/>
    <n v="0"/>
    <n v="0"/>
    <n v="97"/>
    <n v="1756912.5"/>
    <n v="0"/>
    <n v="0"/>
    <n v="97"/>
    <n v="0"/>
    <n v="0"/>
    <n v="0"/>
    <n v="1756912.5"/>
    <n v="0"/>
    <n v="0"/>
    <n v="0"/>
    <n v="97"/>
    <n v="1756912.5"/>
    <n v="0"/>
    <n v="0"/>
    <n v="97"/>
    <n v="0"/>
    <n v="0"/>
    <n v="0"/>
    <n v="1756912.5"/>
    <n v="0"/>
    <n v="0"/>
    <n v="97"/>
    <n v="1756912.5"/>
    <n v="0"/>
    <n v="0"/>
    <n v="97"/>
    <n v="0"/>
    <n v="0"/>
    <m/>
    <n v="1756912.5"/>
    <n v="0"/>
    <n v="0"/>
    <n v="97"/>
    <n v="1756912.5"/>
    <n v="0"/>
  </r>
  <r>
    <s v="Lhotse-Vestuario"/>
    <x v="1"/>
    <x v="16"/>
    <x v="39"/>
    <s v="LTW25-MKF07"/>
    <x v="325"/>
    <x v="270"/>
    <x v="0"/>
    <x v="6"/>
    <n v="1"/>
    <x v="12"/>
    <n v="0"/>
    <m/>
    <n v="0"/>
    <n v="17137"/>
    <n v="0"/>
    <n v="17.5"/>
    <n v="19118.75"/>
    <n v="42008.403361344543"/>
    <n v="25201.680672268907"/>
    <s v="Shenzhen"/>
    <x v="0"/>
    <n v="30"/>
    <n v="1"/>
    <n v="0"/>
    <s v=""/>
    <n v="0"/>
    <s v=""/>
    <n v="0"/>
    <s v=""/>
    <n v="0"/>
    <s v=""/>
    <n v="0"/>
    <s v=""/>
    <n v="4"/>
    <n v="0.45208300251995837"/>
    <n v="12"/>
    <n v="0.33215725260837264"/>
    <n v="0"/>
    <s v=""/>
    <n v="4"/>
    <n v="0.42741675346753655"/>
    <n v="0"/>
    <s v=""/>
    <n v="0"/>
    <s v=""/>
    <n v="0"/>
    <s v=""/>
    <n v="0"/>
    <s v=""/>
    <n v="1"/>
    <s v=""/>
    <n v="2"/>
    <s v=""/>
    <n v="1"/>
    <s v=""/>
    <n v="1"/>
    <n v="0"/>
    <s v=""/>
    <n v="0"/>
    <n v="13"/>
    <s v=""/>
    <n v="1.0833333333333333"/>
    <n v="3"/>
    <s v=""/>
    <n v="0.75"/>
    <n v="1"/>
    <n v="17"/>
    <n v="1"/>
    <n v="0"/>
    <n v="0"/>
    <n v="0"/>
    <n v="77116.5"/>
    <n v="307912.5"/>
    <n v="17137"/>
    <n v="0"/>
    <n v="0"/>
    <n v="0"/>
    <n v="35301.179295247515"/>
    <n v="1"/>
    <n v="17"/>
    <n v="1.5"/>
    <n v="0"/>
    <n v="0"/>
    <n v="0"/>
    <n v="77116.5"/>
    <n v="307912.5"/>
    <n v="25705.5"/>
    <n v="0"/>
    <n v="0"/>
    <n v="0"/>
    <n v="52951.768942871277"/>
    <n v="1"/>
    <n v="16"/>
    <n v="2"/>
    <n v="0"/>
    <n v="0"/>
    <n v="87636"/>
    <n v="274192"/>
    <n v="34274"/>
    <n v="0"/>
    <n v="0"/>
    <n v="0"/>
    <n v="84016.806722689085"/>
    <n v="1"/>
    <n v="28"/>
    <n v="1"/>
    <n v="0"/>
    <n v="0"/>
    <n v="507150"/>
    <n v="17137"/>
    <x v="0"/>
    <x v="0"/>
    <n v="0"/>
    <n v="0"/>
    <n v="42008.403361344543"/>
    <n v="2"/>
    <n v="0"/>
    <n v="2"/>
    <m/>
    <n v="0"/>
    <n v="0"/>
    <n v="0"/>
    <n v="36225"/>
    <x v="0"/>
    <n v="0"/>
    <n v="0"/>
    <n v="0"/>
    <n v="84016.806722689085"/>
    <n v="12"/>
    <n v="13"/>
    <n v="13"/>
    <m/>
    <n v="0"/>
    <n v="0"/>
    <n v="222781"/>
    <n v="235462.5"/>
    <n v="0"/>
    <n v="0"/>
    <n v="13"/>
    <n v="0"/>
    <n v="546109.24369747902"/>
    <n v="4"/>
    <n v="3"/>
    <n v="4"/>
    <n v="0"/>
    <n v="0"/>
    <n v="0"/>
    <n v="51411"/>
    <n v="72450"/>
    <n v="0"/>
    <n v="0"/>
    <n v="3"/>
    <n v="0"/>
    <n v="168033.61344537817"/>
    <n v="4"/>
    <n v="0"/>
    <n v="4"/>
    <n v="0"/>
    <n v="0"/>
    <n v="0"/>
    <n v="0"/>
    <n v="72450"/>
    <n v="0"/>
    <n v="0"/>
    <n v="0"/>
    <n v="0"/>
    <n v="168033.61344537817"/>
    <n v="4"/>
    <n v="0"/>
    <n v="4"/>
    <n v="0"/>
    <n v="0"/>
    <m/>
    <n v="0"/>
    <n v="72450"/>
    <n v="0"/>
    <n v="0"/>
    <n v="0"/>
    <n v="0"/>
    <n v="168033.6134453781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7"/>
    <x v="326"/>
    <x v="270"/>
    <x v="0"/>
    <x v="6"/>
    <n v="1"/>
    <x v="12"/>
    <n v="30"/>
    <m/>
    <n v="0"/>
    <n v="17137"/>
    <n v="514110"/>
    <n v="17.5"/>
    <n v="19118.75"/>
    <n v="42008.403361344543"/>
    <n v="25201.680672268907"/>
    <s v="Shenzhen"/>
    <x v="0"/>
    <n v="30"/>
    <n v="1"/>
    <n v="0"/>
    <s v=""/>
    <n v="0"/>
    <s v=""/>
    <n v="0"/>
    <s v=""/>
    <n v="0"/>
    <s v=""/>
    <n v="0"/>
    <s v=""/>
    <n v="1"/>
    <n v="5.0025500304894943E-2"/>
    <n v="3"/>
    <n v="0.25595527896374554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2"/>
    <s v=""/>
    <n v="0.16666666666666666"/>
    <n v="4"/>
    <s v=""/>
    <n v="0.36363636363636365"/>
    <n v="1"/>
    <n v="34"/>
    <n v="1"/>
    <n v="0"/>
    <n v="0"/>
    <n v="0"/>
    <n v="17137"/>
    <n v="615825"/>
    <n v="17137"/>
    <n v="0"/>
    <n v="30"/>
    <n v="514110"/>
    <n v="35301.179295247515"/>
    <n v="1"/>
    <n v="34"/>
    <n v="0"/>
    <n v="0"/>
    <n v="0"/>
    <n v="0"/>
    <n v="0"/>
    <n v="615825"/>
    <n v="0"/>
    <n v="0"/>
    <n v="30"/>
    <n v="514110"/>
    <n v="0"/>
    <n v="1"/>
    <n v="34"/>
    <n v="0"/>
    <n v="0"/>
    <n v="0"/>
    <n v="36225"/>
    <n v="582658"/>
    <n v="0"/>
    <n v="0"/>
    <n v="30"/>
    <n v="514110"/>
    <n v="0"/>
    <n v="1"/>
    <n v="34"/>
    <n v="0"/>
    <n v="0"/>
    <n v="0"/>
    <n v="615825"/>
    <n v="0"/>
    <x v="0"/>
    <x v="0"/>
    <n v="30"/>
    <n v="514110"/>
    <n v="0"/>
    <n v="2"/>
    <n v="30"/>
    <n v="2"/>
    <m/>
    <n v="0"/>
    <n v="0"/>
    <n v="514110"/>
    <n v="36225"/>
    <x v="0"/>
    <n v="0"/>
    <n v="30"/>
    <n v="514110"/>
    <n v="84016.806722689085"/>
    <n v="12"/>
    <n v="32"/>
    <n v="2"/>
    <m/>
    <n v="0"/>
    <n v="0"/>
    <n v="548384"/>
    <n v="36225"/>
    <n v="0"/>
    <n v="0"/>
    <n v="32"/>
    <n v="514110"/>
    <n v="84016.806722689085"/>
    <n v="11"/>
    <n v="34"/>
    <n v="11"/>
    <n v="0"/>
    <n v="0"/>
    <n v="0"/>
    <n v="582658"/>
    <n v="199237.5"/>
    <n v="0"/>
    <n v="0"/>
    <n v="34"/>
    <n v="514110"/>
    <n v="462092.43697478995"/>
    <n v="11"/>
    <n v="23"/>
    <n v="11"/>
    <n v="0"/>
    <n v="0"/>
    <n v="0"/>
    <n v="394151"/>
    <n v="199237.5"/>
    <n v="0"/>
    <n v="0"/>
    <n v="23"/>
    <n v="394151"/>
    <n v="462092.43697478995"/>
    <n v="11"/>
    <n v="12"/>
    <n v="11"/>
    <n v="0"/>
    <n v="0"/>
    <m/>
    <n v="217350"/>
    <n v="199237.5"/>
    <n v="0"/>
    <n v="0"/>
    <n v="12"/>
    <n v="217350"/>
    <n v="462092.43697478995"/>
    <n v="0"/>
    <n v="1"/>
    <n v="0"/>
    <n v="0"/>
    <n v="0"/>
    <n v="0"/>
    <m/>
    <n v="18112.5"/>
    <n v="0"/>
    <n v="0"/>
    <n v="0"/>
    <n v="1"/>
    <n v="18112.5"/>
    <n v="0"/>
    <n v="0"/>
    <n v="1"/>
    <n v="0"/>
    <n v="0"/>
    <n v="0"/>
    <n v="18112.5"/>
    <n v="0"/>
    <n v="0"/>
    <n v="0"/>
    <n v="1"/>
    <n v="18112.5"/>
    <n v="0"/>
    <n v="0"/>
    <n v="1"/>
    <n v="0"/>
    <n v="0"/>
    <n v="0"/>
    <n v="18112.5"/>
    <n v="0"/>
    <n v="0"/>
    <n v="1"/>
    <n v="18112.5"/>
    <n v="0"/>
    <n v="0"/>
    <n v="1"/>
    <n v="0"/>
    <n v="0"/>
    <m/>
    <n v="18112.5"/>
    <n v="0"/>
    <n v="0"/>
    <n v="1"/>
    <n v="18112.5"/>
    <n v="0"/>
  </r>
  <r>
    <s v="Lhotse-Vestuario"/>
    <x v="1"/>
    <x v="16"/>
    <x v="39"/>
    <s v="LTW25-MKF07"/>
    <x v="327"/>
    <x v="270"/>
    <x v="0"/>
    <x v="6"/>
    <n v="1"/>
    <x v="12"/>
    <n v="53"/>
    <m/>
    <n v="0"/>
    <n v="17137"/>
    <n v="908261"/>
    <n v="17.5"/>
    <n v="19118.75"/>
    <n v="42008.403361344543"/>
    <n v="25201.680672268907"/>
    <s v="Shenzhen"/>
    <x v="0"/>
    <n v="30"/>
    <n v="1"/>
    <n v="0"/>
    <s v=""/>
    <n v="0"/>
    <s v=""/>
    <n v="0"/>
    <s v=""/>
    <n v="1"/>
    <n v="0.66006903118305171"/>
    <n v="0"/>
    <s v=""/>
    <n v="3"/>
    <n v="0.56293609292799585"/>
    <n v="4"/>
    <n v="0.30408588463485942"/>
    <n v="2"/>
    <n v="0.41718192021222328"/>
    <n v="4"/>
    <n v="0.32002584845244397"/>
    <n v="1"/>
    <n v="0.18397095238095235"/>
    <n v="0"/>
    <s v=""/>
    <n v="1"/>
    <n v="0.19058190062346494"/>
    <n v="0"/>
    <s v=""/>
    <n v="0"/>
    <s v=""/>
    <n v="0"/>
    <s v=""/>
    <n v="0"/>
    <s v=""/>
    <n v="0"/>
    <n v="1"/>
    <s v=""/>
    <n v="0.33333333333333331"/>
    <n v="9"/>
    <s v=""/>
    <n v="0.33333333333333331"/>
    <n v="5"/>
    <s v=""/>
    <n v="0.22727272727272727"/>
    <n v="1"/>
    <n v="66"/>
    <n v="1"/>
    <n v="0"/>
    <n v="0"/>
    <n v="0"/>
    <n v="17137"/>
    <n v="1195425"/>
    <n v="17137"/>
    <n v="0"/>
    <n v="53"/>
    <n v="908261"/>
    <n v="35301.179295247515"/>
    <n v="1"/>
    <n v="66"/>
    <n v="0"/>
    <n v="0"/>
    <n v="0"/>
    <n v="0"/>
    <n v="0"/>
    <n v="1195425"/>
    <n v="0"/>
    <n v="0"/>
    <n v="53"/>
    <n v="908261"/>
    <n v="0"/>
    <n v="1"/>
    <n v="66"/>
    <n v="0"/>
    <n v="0"/>
    <n v="0"/>
    <n v="54337.5"/>
    <n v="1131042"/>
    <n v="0"/>
    <n v="0"/>
    <n v="53"/>
    <n v="908261"/>
    <n v="0"/>
    <n v="1"/>
    <n v="67"/>
    <n v="0"/>
    <n v="0"/>
    <n v="0"/>
    <n v="1213537.5"/>
    <n v="0"/>
    <x v="0"/>
    <x v="0"/>
    <n v="53"/>
    <n v="908261"/>
    <n v="0"/>
    <n v="3"/>
    <n v="54"/>
    <n v="3"/>
    <m/>
    <n v="0"/>
    <n v="0"/>
    <n v="925398"/>
    <n v="54337.5"/>
    <x v="0"/>
    <n v="0"/>
    <n v="53"/>
    <n v="908261"/>
    <n v="126025.21008403364"/>
    <n v="27"/>
    <n v="62"/>
    <n v="9"/>
    <m/>
    <n v="0"/>
    <n v="0"/>
    <n v="1062494"/>
    <n v="163012.5"/>
    <n v="0"/>
    <n v="0"/>
    <n v="62"/>
    <n v="908261"/>
    <n v="378075.63025210088"/>
    <n v="22"/>
    <n v="58"/>
    <n v="22"/>
    <n v="0"/>
    <n v="0"/>
    <n v="0"/>
    <n v="993946"/>
    <n v="398475"/>
    <n v="0"/>
    <n v="0"/>
    <n v="58"/>
    <n v="908261"/>
    <n v="924184.87394957989"/>
    <n v="22"/>
    <n v="36"/>
    <n v="22"/>
    <n v="0"/>
    <n v="0"/>
    <n v="0"/>
    <n v="616932"/>
    <n v="398475"/>
    <n v="0"/>
    <n v="0"/>
    <n v="36"/>
    <n v="616932"/>
    <n v="924184.87394957989"/>
    <n v="22"/>
    <n v="14"/>
    <n v="22"/>
    <n v="0"/>
    <n v="0"/>
    <m/>
    <n v="253575"/>
    <n v="398475"/>
    <n v="0"/>
    <n v="0"/>
    <n v="14"/>
    <n v="253575"/>
    <n v="924184.8739495798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7"/>
    <x v="328"/>
    <x v="270"/>
    <x v="0"/>
    <x v="6"/>
    <n v="1"/>
    <x v="12"/>
    <n v="80"/>
    <m/>
    <n v="0"/>
    <n v="17137"/>
    <n v="1370960"/>
    <n v="17.5"/>
    <n v="19118.75"/>
    <n v="42008.403361344543"/>
    <n v="25201.680672268907"/>
    <s v="Shenzhen"/>
    <x v="0"/>
    <n v="30"/>
    <n v="1"/>
    <n v="0"/>
    <s v=""/>
    <n v="0"/>
    <s v=""/>
    <n v="0"/>
    <s v=""/>
    <n v="0"/>
    <s v=""/>
    <n v="1"/>
    <n v="0.66006922954852021"/>
    <n v="3"/>
    <n v="0.26358156641122749"/>
    <n v="6"/>
    <n v="0.48124072919252414"/>
    <n v="1"/>
    <n v="0.41718226031357342"/>
    <n v="0"/>
    <s v=""/>
    <n v="2"/>
    <n v="0.44041960553814002"/>
    <n v="0"/>
    <s v=""/>
    <n v="2"/>
    <n v="0.49762546904315197"/>
    <n v="0"/>
    <s v=""/>
    <n v="0"/>
    <s v=""/>
    <n v="0"/>
    <s v=""/>
    <n v="1"/>
    <s v=""/>
    <n v="1"/>
    <n v="0"/>
    <s v=""/>
    <n v="0"/>
    <n v="6"/>
    <s v=""/>
    <n v="0.15384615384615385"/>
    <n v="3"/>
    <s v=""/>
    <n v="0.10344827586206896"/>
    <n v="1"/>
    <n v="105"/>
    <n v="1"/>
    <n v="0"/>
    <n v="0"/>
    <n v="0"/>
    <n v="17137"/>
    <n v="1901812.5"/>
    <n v="17137"/>
    <n v="0"/>
    <n v="80"/>
    <n v="1370960"/>
    <n v="35301.179295247515"/>
    <n v="1"/>
    <n v="87"/>
    <n v="0"/>
    <n v="0"/>
    <n v="0"/>
    <n v="0"/>
    <n v="17137"/>
    <n v="1575787.5"/>
    <n v="0"/>
    <n v="0"/>
    <n v="80"/>
    <n v="1370960"/>
    <n v="0"/>
    <n v="1"/>
    <n v="87"/>
    <n v="0"/>
    <n v="0"/>
    <n v="0"/>
    <n v="71474.5"/>
    <n v="1490919"/>
    <n v="0"/>
    <n v="0"/>
    <n v="80"/>
    <n v="1370960"/>
    <n v="0"/>
    <n v="1"/>
    <n v="87"/>
    <n v="1"/>
    <n v="0"/>
    <n v="0"/>
    <n v="1575787.5"/>
    <n v="17137"/>
    <x v="0"/>
    <x v="0"/>
    <n v="80"/>
    <n v="1370960"/>
    <n v="42008.403361344543"/>
    <n v="3"/>
    <n v="80"/>
    <n v="3"/>
    <m/>
    <n v="0"/>
    <n v="0"/>
    <n v="1370960"/>
    <n v="54337.5"/>
    <x v="0"/>
    <n v="0"/>
    <n v="80"/>
    <n v="1370960"/>
    <n v="126025.21008403364"/>
    <n v="39"/>
    <n v="86"/>
    <n v="6"/>
    <m/>
    <n v="0"/>
    <n v="0"/>
    <n v="1473782"/>
    <n v="108675"/>
    <n v="0"/>
    <n v="0"/>
    <n v="86"/>
    <n v="1370960"/>
    <n v="252050.42016806727"/>
    <n v="29"/>
    <n v="83"/>
    <n v="29"/>
    <n v="0"/>
    <n v="0"/>
    <n v="0"/>
    <n v="1422371"/>
    <n v="525262.5"/>
    <n v="0"/>
    <n v="0"/>
    <n v="83"/>
    <n v="1370960"/>
    <n v="1218243.6974789917"/>
    <n v="29"/>
    <n v="54"/>
    <n v="29"/>
    <n v="0"/>
    <n v="0"/>
    <n v="0"/>
    <n v="925398"/>
    <n v="525262.5"/>
    <n v="0"/>
    <n v="0"/>
    <n v="54"/>
    <n v="925398"/>
    <n v="1218243.6974789917"/>
    <n v="29"/>
    <n v="25"/>
    <n v="29"/>
    <n v="0"/>
    <n v="0"/>
    <m/>
    <n v="452812.5"/>
    <n v="525262.5"/>
    <n v="0"/>
    <n v="0"/>
    <n v="25"/>
    <n v="452812.5"/>
    <n v="1218243.697478991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7"/>
    <x v="329"/>
    <x v="270"/>
    <x v="0"/>
    <x v="6"/>
    <n v="1"/>
    <x v="12"/>
    <n v="21"/>
    <m/>
    <n v="0"/>
    <n v="17137"/>
    <n v="359877"/>
    <n v="17.5"/>
    <n v="19118.75"/>
    <n v="42008.403361344543"/>
    <n v="25201.680672268907"/>
    <s v="Shenzhen"/>
    <x v="0"/>
    <n v="30"/>
    <n v="1"/>
    <n v="0"/>
    <s v=""/>
    <n v="0"/>
    <s v=""/>
    <n v="0"/>
    <s v=""/>
    <n v="0"/>
    <s v=""/>
    <n v="0"/>
    <s v=""/>
    <n v="0"/>
    <s v=""/>
    <n v="4"/>
    <n v="0.3419610187355473"/>
    <n v="2"/>
    <n v="0.41718192021222328"/>
    <n v="1"/>
    <n v="0.61151186778808009"/>
    <n v="2"/>
    <n v="0.47361858979281535"/>
    <n v="0"/>
    <s v=""/>
    <n v="0"/>
    <s v=""/>
    <n v="1"/>
    <s v=""/>
    <n v="0"/>
    <s v=""/>
    <n v="0"/>
    <s v=""/>
    <n v="0"/>
    <s v=""/>
    <n v="0"/>
    <n v="0"/>
    <s v=""/>
    <n v="0"/>
    <n v="2"/>
    <s v=""/>
    <n v="0.16666666666666666"/>
    <n v="2"/>
    <s v=""/>
    <n v="0.25"/>
    <n v="1"/>
    <n v="27"/>
    <n v="1"/>
    <n v="0"/>
    <n v="0"/>
    <n v="0"/>
    <n v="17137"/>
    <n v="489037.5"/>
    <n v="17137"/>
    <n v="0"/>
    <n v="21"/>
    <n v="359877"/>
    <n v="35301.179295247515"/>
    <n v="1"/>
    <n v="25"/>
    <n v="0"/>
    <n v="0"/>
    <n v="0"/>
    <n v="0"/>
    <n v="0"/>
    <n v="452812.5"/>
    <n v="0"/>
    <n v="0"/>
    <n v="21"/>
    <n v="359877"/>
    <n v="0"/>
    <n v="1"/>
    <n v="25"/>
    <n v="0"/>
    <n v="0"/>
    <n v="0"/>
    <n v="36225"/>
    <n v="428425"/>
    <n v="0"/>
    <n v="0"/>
    <n v="21"/>
    <n v="359877"/>
    <n v="0"/>
    <n v="1"/>
    <n v="24"/>
    <n v="0"/>
    <n v="0"/>
    <n v="0"/>
    <n v="434700"/>
    <n v="0"/>
    <x v="0"/>
    <x v="0"/>
    <n v="21"/>
    <n v="359877"/>
    <n v="0"/>
    <n v="2"/>
    <n v="21"/>
    <n v="2"/>
    <m/>
    <n v="0"/>
    <n v="0"/>
    <n v="359877"/>
    <n v="36225"/>
    <x v="0"/>
    <n v="0"/>
    <n v="21"/>
    <n v="359877"/>
    <n v="84016.806722689085"/>
    <n v="12"/>
    <n v="23"/>
    <n v="2"/>
    <m/>
    <n v="0"/>
    <n v="0"/>
    <n v="394151"/>
    <n v="36225"/>
    <n v="0"/>
    <n v="0"/>
    <n v="23"/>
    <n v="359877"/>
    <n v="84016.806722689085"/>
    <n v="8"/>
    <n v="23"/>
    <n v="8"/>
    <n v="0"/>
    <n v="0"/>
    <n v="0"/>
    <n v="394151"/>
    <n v="144900"/>
    <n v="0"/>
    <n v="0"/>
    <n v="23"/>
    <n v="359877"/>
    <n v="336067.22689075634"/>
    <n v="8"/>
    <n v="15"/>
    <n v="8"/>
    <n v="0"/>
    <n v="0"/>
    <n v="0"/>
    <n v="257055"/>
    <n v="144900"/>
    <n v="0"/>
    <n v="0"/>
    <n v="15"/>
    <n v="257055"/>
    <n v="336067.22689075634"/>
    <n v="8"/>
    <n v="7"/>
    <n v="8"/>
    <n v="0"/>
    <n v="0"/>
    <m/>
    <n v="126787.5"/>
    <n v="144900"/>
    <n v="0"/>
    <n v="0"/>
    <n v="7"/>
    <n v="126787.5"/>
    <n v="336067.2268907563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0"/>
    <x v="271"/>
    <x v="0"/>
    <x v="6"/>
    <n v="1"/>
    <x v="12"/>
    <n v="2"/>
    <m/>
    <n v="0"/>
    <n v="21445"/>
    <n v="42890"/>
    <n v="21.9"/>
    <n v="23925.749999999996"/>
    <n v="58815.126050420171"/>
    <n v="33605.042016806721"/>
    <s v="Shenzhen"/>
    <x v="0"/>
    <n v="30"/>
    <n v="1"/>
    <n v="0"/>
    <s v=""/>
    <n v="0"/>
    <s v=""/>
    <n v="0"/>
    <s v=""/>
    <n v="0"/>
    <s v=""/>
    <n v="1"/>
    <n v="0.57462640087275618"/>
    <n v="1"/>
    <n v="0.43277144444150556"/>
    <n v="14"/>
    <n v="0.34428917125672148"/>
    <n v="3"/>
    <n v="0.36395503685139324"/>
    <n v="0"/>
    <s v=""/>
    <n v="8"/>
    <n v="0.24807075674301596"/>
    <n v="-1"/>
    <n v="0.36184466597232556"/>
    <n v="1"/>
    <n v="0.27072706250425083"/>
    <n v="0"/>
    <s v=""/>
    <n v="1"/>
    <s v=""/>
    <n v="0"/>
    <s v=""/>
    <n v="0"/>
    <s v=""/>
    <n v="0"/>
    <n v="2"/>
    <s v=""/>
    <n v="0.5"/>
    <n v="4"/>
    <s v=""/>
    <n v="0.26666666666666666"/>
    <n v="1"/>
    <s v=""/>
    <n v="0.5"/>
    <n v="1"/>
    <n v="6"/>
    <n v="1"/>
    <n v="0"/>
    <n v="0"/>
    <n v="0"/>
    <n v="53612.5"/>
    <n v="135999"/>
    <n v="21445"/>
    <n v="0"/>
    <n v="2"/>
    <n v="42890"/>
    <n v="49424.475672621993"/>
    <n v="1"/>
    <n v="7"/>
    <n v="1.5"/>
    <n v="0"/>
    <n v="0"/>
    <n v="0"/>
    <n v="32167.5"/>
    <n v="158665.5"/>
    <n v="32167.5"/>
    <n v="0"/>
    <n v="2"/>
    <n v="42890"/>
    <n v="74136.713508932997"/>
    <n v="2"/>
    <n v="7"/>
    <n v="0"/>
    <n v="0"/>
    <n v="0"/>
    <n v="90666"/>
    <n v="150115"/>
    <n v="0"/>
    <n v="0"/>
    <n v="2"/>
    <n v="42890"/>
    <n v="0"/>
    <n v="2"/>
    <n v="8"/>
    <n v="0"/>
    <n v="0"/>
    <n v="0"/>
    <n v="181332"/>
    <n v="0"/>
    <x v="0"/>
    <x v="0"/>
    <n v="2"/>
    <n v="42890"/>
    <n v="0"/>
    <n v="4"/>
    <n v="4"/>
    <n v="4"/>
    <m/>
    <n v="0"/>
    <n v="0"/>
    <n v="85780"/>
    <n v="90666"/>
    <x v="0"/>
    <n v="0"/>
    <n v="2"/>
    <n v="42890"/>
    <n v="235260.50420168068"/>
    <n v="15"/>
    <n v="6"/>
    <n v="4"/>
    <m/>
    <n v="0"/>
    <n v="0"/>
    <n v="128670"/>
    <n v="90666"/>
    <n v="0"/>
    <n v="0"/>
    <n v="6"/>
    <n v="42890"/>
    <n v="235260.50420168068"/>
    <n v="2"/>
    <n v="3"/>
    <n v="2"/>
    <n v="0"/>
    <n v="0"/>
    <n v="0"/>
    <n v="64335"/>
    <n v="45333"/>
    <n v="0"/>
    <n v="0"/>
    <n v="3"/>
    <n v="42890"/>
    <n v="117630.25210084034"/>
    <n v="2"/>
    <n v="1"/>
    <n v="2"/>
    <n v="0"/>
    <n v="0"/>
    <n v="0"/>
    <n v="21445"/>
    <n v="45333"/>
    <n v="0"/>
    <n v="0"/>
    <n v="1"/>
    <n v="21445"/>
    <n v="117630.25210084034"/>
    <n v="2"/>
    <n v="0"/>
    <n v="2"/>
    <n v="0"/>
    <n v="0"/>
    <m/>
    <n v="0"/>
    <n v="45333"/>
    <n v="0"/>
    <n v="0"/>
    <n v="0"/>
    <n v="0"/>
    <n v="117630.2521008403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1"/>
    <x v="271"/>
    <x v="0"/>
    <x v="6"/>
    <n v="1"/>
    <x v="12"/>
    <n v="1"/>
    <m/>
    <n v="0"/>
    <n v="21445"/>
    <n v="21445"/>
    <n v="21.9"/>
    <n v="23925.749999999996"/>
    <n v="58815.126050420171"/>
    <n v="33605.042016806721"/>
    <s v="Shenzhen"/>
    <x v="0"/>
    <n v="30"/>
    <n v="1"/>
    <n v="0"/>
    <s v=""/>
    <n v="0"/>
    <s v=""/>
    <n v="0"/>
    <s v=""/>
    <n v="0"/>
    <s v=""/>
    <n v="1"/>
    <n v="0.68096015948109134"/>
    <n v="5"/>
    <n v="0.37894207258487966"/>
    <n v="20"/>
    <n v="0.31380811368196854"/>
    <n v="5"/>
    <n v="0.46824774253666029"/>
    <n v="1"/>
    <n v="0.36184436839755985"/>
    <n v="15"/>
    <n v="0.44192468169192944"/>
    <n v="-1"/>
    <n v="0.48949676252142449"/>
    <n v="0"/>
    <n v="1"/>
    <n v="0"/>
    <s v=""/>
    <n v="1"/>
    <s v=""/>
    <n v="3"/>
    <s v=""/>
    <n v="1"/>
    <s v=""/>
    <n v="0.33333333333333331"/>
    <n v="2"/>
    <s v=""/>
    <n v="0.33333333333333331"/>
    <n v="15"/>
    <s v=""/>
    <n v="0.55555555555555558"/>
    <n v="10"/>
    <s v=""/>
    <n v="1.1111111111111112"/>
    <n v="2"/>
    <n v="22"/>
    <n v="2"/>
    <n v="0"/>
    <n v="0"/>
    <n v="0"/>
    <n v="139392.5"/>
    <n v="498663"/>
    <n v="42890"/>
    <n v="0"/>
    <n v="1"/>
    <n v="21445"/>
    <n v="98848.951345243986"/>
    <n v="2"/>
    <n v="33"/>
    <n v="1.5"/>
    <n v="0"/>
    <n v="0"/>
    <n v="0"/>
    <n v="117947.5"/>
    <n v="747994.5"/>
    <n v="32167.5"/>
    <n v="0"/>
    <n v="1"/>
    <n v="21445"/>
    <n v="74136.713508932997"/>
    <n v="4"/>
    <n v="32"/>
    <n v="3"/>
    <n v="0"/>
    <n v="0"/>
    <n v="221779"/>
    <n v="686240"/>
    <n v="64335"/>
    <n v="0"/>
    <n v="1"/>
    <n v="21445"/>
    <n v="176445.37815126052"/>
    <n v="3"/>
    <n v="30"/>
    <n v="1"/>
    <n v="0"/>
    <n v="0"/>
    <n v="679995"/>
    <n v="21445"/>
    <x v="0"/>
    <x v="0"/>
    <n v="1"/>
    <n v="21445"/>
    <n v="58815.126050420171"/>
    <n v="6"/>
    <n v="3"/>
    <n v="6"/>
    <m/>
    <n v="0"/>
    <n v="0"/>
    <n v="64335"/>
    <n v="135999"/>
    <x v="0"/>
    <n v="0"/>
    <n v="1"/>
    <n v="21445"/>
    <n v="352890.75630252104"/>
    <n v="27"/>
    <n v="16"/>
    <n v="15"/>
    <m/>
    <n v="0"/>
    <n v="0"/>
    <n v="343120"/>
    <n v="339997.5"/>
    <n v="0"/>
    <n v="0"/>
    <n v="16"/>
    <n v="21445"/>
    <n v="882226.89075630251"/>
    <n v="9"/>
    <n v="11"/>
    <n v="9"/>
    <n v="0"/>
    <n v="0"/>
    <n v="0"/>
    <n v="235895"/>
    <n v="203998.5"/>
    <n v="0"/>
    <n v="0"/>
    <n v="11"/>
    <n v="21445"/>
    <n v="529336.13445378153"/>
    <n v="9"/>
    <n v="2"/>
    <n v="9"/>
    <n v="0"/>
    <n v="0"/>
    <n v="0"/>
    <n v="42890"/>
    <n v="203998.5"/>
    <n v="0"/>
    <n v="0"/>
    <n v="2"/>
    <n v="42890"/>
    <n v="529336.13445378153"/>
    <n v="9"/>
    <n v="0"/>
    <n v="9"/>
    <n v="0"/>
    <n v="0"/>
    <m/>
    <n v="0"/>
    <n v="203998.5"/>
    <n v="0"/>
    <n v="0"/>
    <n v="0"/>
    <n v="0"/>
    <n v="529336.1344537815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2"/>
    <x v="271"/>
    <x v="0"/>
    <x v="6"/>
    <n v="1"/>
    <x v="12"/>
    <n v="4"/>
    <m/>
    <n v="0"/>
    <n v="22503"/>
    <n v="90012"/>
    <n v="21.9"/>
    <n v="23925.749999999996"/>
    <n v="58815.126050420171"/>
    <n v="33605.042016806721"/>
    <s v="Shenzhen"/>
    <x v="0"/>
    <n v="30"/>
    <n v="1"/>
    <n v="0"/>
    <s v=""/>
    <n v="0"/>
    <s v=""/>
    <n v="0"/>
    <s v=""/>
    <n v="0"/>
    <s v=""/>
    <n v="1"/>
    <n v="0.4048092996191282"/>
    <n v="8"/>
    <n v="0.432809988556974"/>
    <n v="35"/>
    <n v="0.23921870513991775"/>
    <n v="6"/>
    <n v="0.38189329966516616"/>
    <n v="2"/>
    <n v="0.40479355674875023"/>
    <n v="12"/>
    <n v="0.40794634948476211"/>
    <n v="0"/>
    <s v=""/>
    <n v="5"/>
    <n v="0.62490248764843548"/>
    <n v="1"/>
    <s v=""/>
    <n v="3"/>
    <s v=""/>
    <n v="1"/>
    <s v=""/>
    <n v="4"/>
    <s v=""/>
    <n v="1.3333333333333333"/>
    <n v="8"/>
    <s v=""/>
    <n v="1.3333333333333333"/>
    <n v="25"/>
    <s v=""/>
    <n v="0.64102564102564108"/>
    <n v="9"/>
    <s v=""/>
    <n v="0.33333333333333331"/>
    <n v="2"/>
    <n v="39"/>
    <n v="2"/>
    <n v="0"/>
    <n v="0"/>
    <n v="0"/>
    <n v="168772.5"/>
    <n v="883993.5"/>
    <n v="45006"/>
    <n v="0"/>
    <n v="4"/>
    <n v="90012"/>
    <n v="98848.951345243986"/>
    <n v="2"/>
    <n v="92"/>
    <n v="4.5"/>
    <n v="0"/>
    <n v="0"/>
    <n v="0"/>
    <n v="213778.5"/>
    <n v="2085318"/>
    <n v="101263.5"/>
    <n v="0"/>
    <n v="4"/>
    <n v="90012"/>
    <n v="222410.14052679896"/>
    <n v="4"/>
    <n v="90"/>
    <n v="1"/>
    <n v="0"/>
    <n v="0"/>
    <n v="248514"/>
    <n v="2025270"/>
    <n v="22503"/>
    <n v="0"/>
    <n v="4"/>
    <n v="90012"/>
    <n v="58815.126050420171"/>
    <n v="3"/>
    <n v="93"/>
    <n v="4"/>
    <n v="0"/>
    <n v="0"/>
    <n v="2107984.5"/>
    <n v="90012"/>
    <x v="0"/>
    <x v="0"/>
    <n v="4"/>
    <n v="90012"/>
    <n v="235260.50420168068"/>
    <n v="6"/>
    <n v="12"/>
    <n v="6"/>
    <m/>
    <n v="0"/>
    <n v="0"/>
    <n v="270036"/>
    <n v="135999"/>
    <x v="0"/>
    <n v="0"/>
    <n v="4"/>
    <n v="90012"/>
    <n v="352890.75630252104"/>
    <n v="39"/>
    <n v="29"/>
    <n v="25"/>
    <m/>
    <n v="0"/>
    <n v="0"/>
    <n v="652587"/>
    <n v="566662.5"/>
    <n v="0"/>
    <n v="0"/>
    <n v="29"/>
    <n v="90012"/>
    <n v="1470378.1512605043"/>
    <n v="27"/>
    <n v="13"/>
    <n v="27"/>
    <n v="0"/>
    <n v="0"/>
    <n v="0"/>
    <n v="292539"/>
    <n v="611995.5"/>
    <n v="0"/>
    <n v="0"/>
    <n v="13"/>
    <n v="90012"/>
    <n v="1588008.4033613447"/>
    <n v="27"/>
    <n v="0"/>
    <n v="27"/>
    <n v="0"/>
    <n v="0"/>
    <n v="0"/>
    <n v="0"/>
    <n v="611995.5"/>
    <n v="0"/>
    <n v="0"/>
    <n v="0"/>
    <n v="0"/>
    <n v="1588008.4033613447"/>
    <n v="27"/>
    <n v="0"/>
    <n v="27"/>
    <n v="0"/>
    <n v="0"/>
    <m/>
    <n v="0"/>
    <n v="611995.5"/>
    <n v="0"/>
    <n v="0"/>
    <n v="0"/>
    <n v="0"/>
    <n v="1588008.403361344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3"/>
    <x v="271"/>
    <x v="0"/>
    <x v="6"/>
    <n v="1"/>
    <x v="12"/>
    <n v="26"/>
    <m/>
    <n v="0"/>
    <n v="21445"/>
    <n v="557570"/>
    <n v="21.9"/>
    <n v="23925.749999999996"/>
    <n v="58815.126050420171"/>
    <n v="33605.042016806721"/>
    <s v="Shenzhen"/>
    <x v="0"/>
    <n v="30"/>
    <n v="1"/>
    <n v="0"/>
    <s v=""/>
    <n v="0"/>
    <s v=""/>
    <n v="0"/>
    <s v=""/>
    <n v="0"/>
    <s v=""/>
    <n v="0"/>
    <s v=""/>
    <n v="0"/>
    <s v=""/>
    <n v="1"/>
    <n v="1.2239901595111546E-2"/>
    <n v="0"/>
    <s v=""/>
    <n v="0"/>
    <s v=""/>
    <n v="1"/>
    <n v="1.8880051418059137E-5"/>
    <n v="0"/>
    <s v=""/>
    <n v="0"/>
    <s v=""/>
    <n v="0"/>
    <s v=""/>
    <n v="0"/>
    <s v=""/>
    <n v="1"/>
    <s v=""/>
    <n v="1"/>
    <s v=""/>
    <n v="0.5"/>
    <n v="0"/>
    <s v=""/>
    <n v="0"/>
    <n v="4"/>
    <s v=""/>
    <n v="0.33333333333333331"/>
    <n v="1"/>
    <s v=""/>
    <n v="0.1"/>
    <n v="1"/>
    <n v="29"/>
    <n v="1"/>
    <n v="0"/>
    <n v="0"/>
    <n v="0"/>
    <n v="42890"/>
    <n v="657328.5"/>
    <n v="21445"/>
    <n v="0"/>
    <n v="26"/>
    <n v="557570"/>
    <n v="49424.475672621993"/>
    <n v="1"/>
    <n v="33"/>
    <n v="0"/>
    <n v="0"/>
    <n v="0"/>
    <n v="0"/>
    <n v="42890"/>
    <n v="747994.5"/>
    <n v="0"/>
    <n v="0"/>
    <n v="26"/>
    <n v="557570"/>
    <n v="0"/>
    <n v="2"/>
    <n v="33"/>
    <n v="1"/>
    <n v="0"/>
    <n v="0"/>
    <n v="133556"/>
    <n v="707685"/>
    <n v="21445"/>
    <n v="0"/>
    <n v="26"/>
    <n v="557570"/>
    <n v="58815.126050420171"/>
    <n v="2"/>
    <n v="32"/>
    <n v="1"/>
    <n v="0"/>
    <n v="0"/>
    <n v="725328"/>
    <n v="21445"/>
    <x v="0"/>
    <x v="0"/>
    <n v="26"/>
    <n v="557570"/>
    <n v="58815.126050420171"/>
    <n v="4"/>
    <n v="26"/>
    <n v="4"/>
    <m/>
    <n v="0"/>
    <n v="0"/>
    <n v="557570"/>
    <n v="90666"/>
    <x v="0"/>
    <n v="0"/>
    <n v="26"/>
    <n v="557570"/>
    <n v="235260.50420168068"/>
    <n v="12"/>
    <n v="30"/>
    <n v="4"/>
    <m/>
    <n v="0"/>
    <n v="0"/>
    <n v="643350"/>
    <n v="90666"/>
    <n v="0"/>
    <n v="0"/>
    <n v="30"/>
    <n v="557570"/>
    <n v="235260.50420168068"/>
    <n v="10"/>
    <n v="27"/>
    <n v="10"/>
    <n v="0"/>
    <n v="0"/>
    <n v="0"/>
    <n v="579015"/>
    <n v="226665"/>
    <n v="0"/>
    <n v="0"/>
    <n v="27"/>
    <n v="557570"/>
    <n v="588151.26050420175"/>
    <n v="10"/>
    <n v="17"/>
    <n v="10"/>
    <n v="0"/>
    <n v="0"/>
    <n v="0"/>
    <n v="364565"/>
    <n v="226665"/>
    <n v="0"/>
    <n v="0"/>
    <n v="17"/>
    <n v="364565"/>
    <n v="588151.26050420175"/>
    <n v="10"/>
    <n v="7"/>
    <n v="10"/>
    <n v="0"/>
    <n v="0"/>
    <m/>
    <n v="158665.5"/>
    <n v="226665"/>
    <n v="0"/>
    <n v="0"/>
    <n v="7"/>
    <n v="158665.5"/>
    <n v="588151.2605042017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4"/>
    <x v="271"/>
    <x v="0"/>
    <x v="6"/>
    <n v="1"/>
    <x v="12"/>
    <n v="44"/>
    <m/>
    <n v="0"/>
    <n v="21445"/>
    <n v="943580"/>
    <n v="21.9"/>
    <n v="23925.749999999996"/>
    <n v="58815.126050420171"/>
    <n v="33605.042016806721"/>
    <s v="Shenzhen"/>
    <x v="0"/>
    <n v="30"/>
    <n v="1"/>
    <n v="0"/>
    <s v=""/>
    <n v="0"/>
    <s v=""/>
    <n v="0"/>
    <s v=""/>
    <n v="0"/>
    <s v=""/>
    <n v="0"/>
    <s v=""/>
    <n v="0"/>
    <s v=""/>
    <n v="7"/>
    <n v="8.5478232347012739E-2"/>
    <n v="0"/>
    <s v=""/>
    <n v="1"/>
    <n v="0.65970231200114249"/>
    <n v="5"/>
    <n v="0.5522189417065827"/>
    <n v="0"/>
    <s v=""/>
    <n v="0"/>
    <s v=""/>
    <n v="0"/>
    <s v=""/>
    <n v="0"/>
    <s v=""/>
    <n v="0"/>
    <s v=""/>
    <n v="0"/>
    <s v=""/>
    <n v="0"/>
    <n v="1"/>
    <s v=""/>
    <n v="0.16666666666666666"/>
    <n v="3"/>
    <s v=""/>
    <n v="0.1111111111111111"/>
    <n v="1"/>
    <s v=""/>
    <n v="6.25E-2"/>
    <n v="2"/>
    <n v="46"/>
    <n v="2"/>
    <n v="0"/>
    <n v="0"/>
    <n v="0"/>
    <n v="42890"/>
    <n v="1042659"/>
    <n v="42890"/>
    <n v="0"/>
    <n v="44"/>
    <n v="943580"/>
    <n v="98848.951345243986"/>
    <n v="2"/>
    <n v="49"/>
    <n v="0"/>
    <n v="0"/>
    <n v="0"/>
    <n v="0"/>
    <n v="0"/>
    <n v="1110658.5"/>
    <n v="0"/>
    <n v="0"/>
    <n v="44"/>
    <n v="943580"/>
    <n v="0"/>
    <n v="4"/>
    <n v="49"/>
    <n v="0"/>
    <n v="0"/>
    <n v="0"/>
    <n v="135999"/>
    <n v="1050805"/>
    <n v="0"/>
    <n v="0"/>
    <n v="44"/>
    <n v="943580"/>
    <n v="0"/>
    <n v="3"/>
    <n v="49"/>
    <n v="0"/>
    <n v="0"/>
    <n v="0"/>
    <n v="1110658.5"/>
    <n v="0"/>
    <x v="0"/>
    <x v="0"/>
    <n v="44"/>
    <n v="943580"/>
    <n v="0"/>
    <n v="6"/>
    <n v="45"/>
    <n v="6"/>
    <m/>
    <n v="0"/>
    <n v="0"/>
    <n v="965025"/>
    <n v="135999"/>
    <x v="0"/>
    <n v="0"/>
    <n v="44"/>
    <n v="943580"/>
    <n v="352890.75630252104"/>
    <n v="27"/>
    <n v="47"/>
    <n v="3"/>
    <m/>
    <n v="0"/>
    <n v="0"/>
    <n v="1007915"/>
    <n v="67999.5"/>
    <n v="0"/>
    <n v="0"/>
    <n v="47"/>
    <n v="943580"/>
    <n v="176445.37815126052"/>
    <n v="16"/>
    <n v="45"/>
    <n v="16"/>
    <n v="0"/>
    <n v="0"/>
    <n v="0"/>
    <n v="965025"/>
    <n v="362664"/>
    <n v="0"/>
    <n v="0"/>
    <n v="45"/>
    <n v="943580"/>
    <n v="941042.01680672274"/>
    <n v="16"/>
    <n v="29"/>
    <n v="16"/>
    <n v="0"/>
    <n v="0"/>
    <n v="0"/>
    <n v="621905"/>
    <n v="362664"/>
    <n v="0"/>
    <n v="0"/>
    <n v="29"/>
    <n v="621905"/>
    <n v="941042.01680672274"/>
    <n v="16"/>
    <n v="13"/>
    <n v="16"/>
    <n v="0"/>
    <n v="0"/>
    <m/>
    <n v="294664.5"/>
    <n v="362664"/>
    <n v="0"/>
    <n v="0"/>
    <n v="13"/>
    <n v="294664.5"/>
    <n v="941042.0168067227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5"/>
    <x v="271"/>
    <x v="0"/>
    <x v="6"/>
    <n v="1"/>
    <x v="12"/>
    <n v="36"/>
    <m/>
    <n v="0"/>
    <n v="21445"/>
    <n v="772020"/>
    <n v="21.9"/>
    <n v="23925.749999999996"/>
    <n v="58815.126050420171"/>
    <n v="33605.042016806721"/>
    <s v="Shenzhen"/>
    <x v="0"/>
    <n v="30"/>
    <n v="1"/>
    <n v="0"/>
    <s v=""/>
    <n v="0"/>
    <s v=""/>
    <n v="0"/>
    <s v=""/>
    <n v="0"/>
    <s v=""/>
    <n v="0"/>
    <s v=""/>
    <n v="3"/>
    <n v="0.27613312009557839"/>
    <n v="8"/>
    <n v="0.18949642035699246"/>
    <n v="0"/>
    <s v=""/>
    <n v="1"/>
    <n v="0.65970215331884041"/>
    <n v="1"/>
    <n v="0.65970215331884041"/>
    <n v="0"/>
    <s v=""/>
    <n v="1"/>
    <n v="0.68097292472478432"/>
    <n v="0"/>
    <s v=""/>
    <n v="1"/>
    <s v=""/>
    <n v="0"/>
    <s v=""/>
    <n v="0"/>
    <s v=""/>
    <n v="0"/>
    <n v="3"/>
    <s v=""/>
    <n v="0.5"/>
    <n v="9"/>
    <s v=""/>
    <n v="0.23076923076923078"/>
    <n v="5"/>
    <s v=""/>
    <n v="0.3125"/>
    <n v="2"/>
    <n v="73"/>
    <n v="2"/>
    <n v="0"/>
    <n v="0"/>
    <n v="0"/>
    <n v="75057.5"/>
    <n v="1654654.5"/>
    <n v="42890"/>
    <n v="0"/>
    <n v="36"/>
    <n v="772020"/>
    <n v="98848.951345243986"/>
    <n v="2"/>
    <n v="54"/>
    <n v="1.5"/>
    <n v="0"/>
    <n v="0"/>
    <n v="0"/>
    <n v="32167.5"/>
    <n v="1223991"/>
    <n v="32167.5"/>
    <n v="0"/>
    <n v="36"/>
    <n v="772020"/>
    <n v="74136.713508932997"/>
    <n v="4"/>
    <n v="53"/>
    <n v="0"/>
    <n v="0"/>
    <n v="0"/>
    <n v="135999"/>
    <n v="1136585"/>
    <n v="0"/>
    <n v="0"/>
    <n v="36"/>
    <n v="772020"/>
    <n v="0"/>
    <n v="3"/>
    <n v="53"/>
    <n v="0"/>
    <n v="0"/>
    <n v="0"/>
    <n v="1201324.5"/>
    <n v="0"/>
    <x v="0"/>
    <x v="0"/>
    <n v="36"/>
    <n v="772020"/>
    <n v="0"/>
    <n v="6"/>
    <n v="39"/>
    <n v="6"/>
    <m/>
    <n v="0"/>
    <n v="0"/>
    <n v="836355"/>
    <n v="135999"/>
    <x v="0"/>
    <n v="0"/>
    <n v="36"/>
    <n v="772020"/>
    <n v="352890.75630252104"/>
    <n v="39"/>
    <n v="45"/>
    <n v="9"/>
    <m/>
    <n v="0"/>
    <n v="0"/>
    <n v="965025"/>
    <n v="203998.5"/>
    <n v="0"/>
    <n v="0"/>
    <n v="45"/>
    <n v="772020"/>
    <n v="529336.13445378153"/>
    <n v="16"/>
    <n v="41"/>
    <n v="16"/>
    <n v="0"/>
    <n v="0"/>
    <n v="0"/>
    <n v="879245"/>
    <n v="362664"/>
    <n v="0"/>
    <n v="0"/>
    <n v="41"/>
    <n v="772020"/>
    <n v="941042.01680672274"/>
    <n v="16"/>
    <n v="25"/>
    <n v="16"/>
    <n v="0"/>
    <n v="0"/>
    <n v="0"/>
    <n v="536125"/>
    <n v="362664"/>
    <n v="0"/>
    <n v="0"/>
    <n v="25"/>
    <n v="536125"/>
    <n v="941042.01680672274"/>
    <n v="16"/>
    <n v="9"/>
    <n v="16"/>
    <n v="0"/>
    <n v="0"/>
    <m/>
    <n v="203998.5"/>
    <n v="362664"/>
    <n v="0"/>
    <n v="0"/>
    <n v="9"/>
    <n v="203998.5"/>
    <n v="941042.0168067227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6"/>
    <x v="271"/>
    <x v="0"/>
    <x v="6"/>
    <n v="1"/>
    <x v="12"/>
    <n v="18"/>
    <m/>
    <n v="0"/>
    <n v="21445.200000000001"/>
    <n v="386013.60000000003"/>
    <n v="21.9"/>
    <n v="23925.749999999996"/>
    <n v="58815.126050420171"/>
    <n v="33605.042016806721"/>
    <s v="Shenzhen"/>
    <x v="0"/>
    <n v="30"/>
    <n v="1"/>
    <n v="0"/>
    <s v=""/>
    <n v="0"/>
    <s v=""/>
    <n v="0"/>
    <s v=""/>
    <n v="0"/>
    <n v="-1.072511074840585E-5"/>
    <n v="0"/>
    <s v=""/>
    <n v="1"/>
    <n v="0.55380348652931843"/>
    <n v="15"/>
    <n v="0.16494839643441683"/>
    <n v="0"/>
    <s v=""/>
    <n v="0"/>
    <s v=""/>
    <n v="3"/>
    <n v="0.56378023229795982"/>
    <n v="0"/>
    <s v=""/>
    <n v="0"/>
    <s v=""/>
    <n v="0"/>
    <s v=""/>
    <n v="0"/>
    <s v=""/>
    <n v="0"/>
    <s v=""/>
    <n v="0"/>
    <s v=""/>
    <n v="0"/>
    <n v="1"/>
    <s v=""/>
    <n v="0.25"/>
    <n v="0"/>
    <s v=""/>
    <n v="0"/>
    <n v="1"/>
    <s v=""/>
    <n v="1"/>
    <n v="1"/>
    <n v="9"/>
    <n v="1"/>
    <n v="0"/>
    <n v="0"/>
    <n v="0"/>
    <n v="21445.200000000001"/>
    <n v="203998.5"/>
    <n v="21445.200000000001"/>
    <n v="0"/>
    <n v="18"/>
    <n v="386013.60000000003"/>
    <n v="49424.475672621993"/>
    <n v="1"/>
    <n v="15"/>
    <n v="0"/>
    <n v="0"/>
    <n v="0"/>
    <n v="0"/>
    <n v="0"/>
    <n v="339997.5"/>
    <n v="0"/>
    <n v="0"/>
    <n v="18"/>
    <n v="386013.60000000003"/>
    <n v="0"/>
    <n v="2"/>
    <n v="15"/>
    <n v="0"/>
    <n v="0"/>
    <n v="0"/>
    <n v="90666"/>
    <n v="321678"/>
    <n v="0"/>
    <n v="0"/>
    <n v="18"/>
    <n v="386013.60000000003"/>
    <n v="0"/>
    <n v="2"/>
    <n v="15"/>
    <n v="0"/>
    <n v="0"/>
    <n v="0"/>
    <n v="339997.5"/>
    <n v="0"/>
    <x v="0"/>
    <x v="0"/>
    <n v="18"/>
    <n v="386013.60000000003"/>
    <n v="0"/>
    <n v="4"/>
    <n v="19"/>
    <n v="4"/>
    <m/>
    <n v="0"/>
    <n v="0"/>
    <n v="407458.8"/>
    <n v="90666"/>
    <x v="0"/>
    <n v="0"/>
    <n v="18"/>
    <n v="386013.60000000003"/>
    <n v="235260.50420168068"/>
    <n v="12"/>
    <n v="18"/>
    <n v="0"/>
    <m/>
    <n v="0"/>
    <n v="0"/>
    <n v="386013.60000000003"/>
    <n v="0"/>
    <n v="0"/>
    <n v="0"/>
    <n v="18"/>
    <n v="386013.60000000003"/>
    <n v="0"/>
    <n v="1"/>
    <n v="19"/>
    <n v="1"/>
    <n v="0"/>
    <n v="0"/>
    <n v="0"/>
    <n v="407458.8"/>
    <n v="22666.5"/>
    <n v="0"/>
    <n v="0"/>
    <n v="19"/>
    <n v="386013.60000000003"/>
    <n v="58815.126050420171"/>
    <n v="1"/>
    <n v="18"/>
    <n v="1"/>
    <n v="0"/>
    <n v="0"/>
    <n v="0"/>
    <n v="386013.60000000003"/>
    <n v="22666.5"/>
    <n v="0"/>
    <n v="0"/>
    <n v="18"/>
    <n v="386013.60000000003"/>
    <n v="58815.126050420171"/>
    <n v="1"/>
    <n v="17"/>
    <n v="1"/>
    <n v="0"/>
    <n v="0"/>
    <m/>
    <n v="385330.5"/>
    <n v="22666.5"/>
    <n v="0"/>
    <n v="0"/>
    <n v="17"/>
    <n v="385330.5"/>
    <n v="58815.126050420171"/>
    <n v="0"/>
    <n v="16"/>
    <n v="0"/>
    <n v="0"/>
    <n v="0"/>
    <n v="0"/>
    <m/>
    <n v="362664"/>
    <n v="0"/>
    <n v="0"/>
    <n v="0"/>
    <n v="16"/>
    <n v="362664"/>
    <n v="0"/>
    <n v="0"/>
    <n v="16"/>
    <n v="0"/>
    <n v="0"/>
    <n v="0"/>
    <n v="362664"/>
    <n v="0"/>
    <n v="0"/>
    <n v="0"/>
    <n v="16"/>
    <n v="362664"/>
    <n v="0"/>
    <n v="0"/>
    <n v="16"/>
    <n v="0"/>
    <n v="0"/>
    <n v="0"/>
    <n v="362664"/>
    <n v="0"/>
    <n v="0"/>
    <n v="16"/>
    <n v="362664"/>
    <n v="0"/>
    <n v="0"/>
    <n v="16"/>
    <n v="0"/>
    <n v="0"/>
    <m/>
    <n v="362664"/>
    <n v="0"/>
    <n v="0"/>
    <n v="16"/>
    <n v="362664"/>
    <n v="0"/>
  </r>
  <r>
    <s v="Lhotse-Vestuario"/>
    <x v="1"/>
    <x v="16"/>
    <x v="40"/>
    <s v="LTW25-MPK10"/>
    <x v="337"/>
    <x v="272"/>
    <x v="0"/>
    <x v="6"/>
    <n v="1"/>
    <x v="12"/>
    <n v="3"/>
    <m/>
    <n v="0"/>
    <n v="28202"/>
    <n v="84606"/>
    <n v="28.8"/>
    <n v="31463.999999999996"/>
    <n v="75621.848739495807"/>
    <n v="50411.764705882357"/>
    <s v="Shenzhen"/>
    <x v="0"/>
    <n v="30"/>
    <n v="1"/>
    <n v="0"/>
    <s v=""/>
    <n v="0"/>
    <s v=""/>
    <n v="0"/>
    <s v=""/>
    <n v="0"/>
    <n v="2.4820934685380103E-6"/>
    <n v="0"/>
    <s v=""/>
    <n v="7"/>
    <n v="0.38970204593488061"/>
    <n v="15"/>
    <n v="0.2853877626068691"/>
    <n v="7"/>
    <n v="0.3189271549904677"/>
    <n v="-1"/>
    <n v="0.32865263759283947"/>
    <n v="0"/>
    <s v=""/>
    <n v="0"/>
    <s v=""/>
    <n v="0"/>
    <s v=""/>
    <n v="0"/>
    <s v=""/>
    <n v="0"/>
    <s v=""/>
    <n v="0"/>
    <s v=""/>
    <n v="1"/>
    <s v=""/>
    <n v="0"/>
    <n v="1"/>
    <s v=""/>
    <n v="0"/>
    <n v="0"/>
    <s v=""/>
    <n v="0"/>
    <n v="3"/>
    <s v=""/>
    <n v="3"/>
    <n v="0"/>
    <n v="4"/>
    <n v="0"/>
    <n v="0"/>
    <n v="0"/>
    <n v="0"/>
    <n v="0"/>
    <n v="119231.99999999999"/>
    <n v="0"/>
    <n v="0"/>
    <n v="3"/>
    <n v="84606"/>
    <n v="0"/>
    <n v="0"/>
    <n v="4"/>
    <n v="0"/>
    <n v="0"/>
    <n v="0"/>
    <n v="0"/>
    <n v="28202"/>
    <n v="119231.99999999999"/>
    <n v="0"/>
    <n v="0"/>
    <n v="3"/>
    <n v="84606"/>
    <n v="0"/>
    <n v="0"/>
    <n v="4"/>
    <n v="0"/>
    <n v="0"/>
    <n v="0"/>
    <n v="28202"/>
    <n v="112808"/>
    <n v="0"/>
    <n v="0"/>
    <n v="3"/>
    <n v="84606"/>
    <n v="0"/>
    <n v="0"/>
    <n v="4"/>
    <n v="1"/>
    <n v="0"/>
    <n v="0"/>
    <n v="119231.99999999999"/>
    <n v="28202"/>
    <x v="0"/>
    <x v="0"/>
    <n v="3"/>
    <n v="84606"/>
    <n v="75621.848739495807"/>
    <n v="0"/>
    <n v="4"/>
    <n v="0"/>
    <m/>
    <n v="0"/>
    <n v="0"/>
    <n v="112808"/>
    <n v="0"/>
    <x v="0"/>
    <n v="0"/>
    <n v="3"/>
    <n v="84606"/>
    <n v="0"/>
    <n v="12"/>
    <n v="3"/>
    <n v="0"/>
    <m/>
    <n v="0"/>
    <n v="0"/>
    <n v="84606"/>
    <n v="0"/>
    <n v="0"/>
    <n v="0"/>
    <n v="3"/>
    <n v="84606"/>
    <n v="0"/>
    <n v="1"/>
    <n v="6"/>
    <n v="1"/>
    <n v="0"/>
    <n v="0"/>
    <n v="0"/>
    <n v="169212"/>
    <n v="29807.999999999996"/>
    <n v="0"/>
    <n v="0"/>
    <n v="6"/>
    <n v="84606"/>
    <n v="75621.848739495807"/>
    <n v="1"/>
    <n v="5"/>
    <n v="1"/>
    <n v="0"/>
    <n v="0"/>
    <n v="0"/>
    <n v="141010"/>
    <n v="29807.999999999996"/>
    <n v="0"/>
    <n v="0"/>
    <n v="5"/>
    <n v="141010"/>
    <n v="75621.848739495807"/>
    <n v="1"/>
    <n v="4"/>
    <n v="1"/>
    <n v="0"/>
    <n v="0"/>
    <m/>
    <n v="119231.99999999999"/>
    <n v="29807.999999999996"/>
    <n v="0"/>
    <n v="0"/>
    <n v="4"/>
    <n v="119231.99999999999"/>
    <n v="75621.848739495807"/>
    <n v="0"/>
    <n v="3"/>
    <n v="0"/>
    <n v="0"/>
    <n v="0"/>
    <n v="0"/>
    <m/>
    <n v="89423.999999999985"/>
    <n v="0"/>
    <n v="0"/>
    <n v="0"/>
    <n v="3"/>
    <n v="89423.999999999985"/>
    <n v="0"/>
    <n v="0"/>
    <n v="3"/>
    <n v="0"/>
    <n v="0"/>
    <n v="0"/>
    <n v="89423.999999999985"/>
    <n v="0"/>
    <n v="0"/>
    <n v="0"/>
    <n v="3"/>
    <n v="89423.999999999985"/>
    <n v="0"/>
    <n v="0"/>
    <n v="3"/>
    <n v="0"/>
    <n v="0"/>
    <n v="0"/>
    <n v="89423.999999999985"/>
    <n v="0"/>
    <n v="0"/>
    <n v="3"/>
    <n v="89423.999999999985"/>
    <n v="0"/>
    <n v="0"/>
    <n v="3"/>
    <n v="0"/>
    <n v="0"/>
    <m/>
    <n v="89423.999999999985"/>
    <n v="0"/>
    <n v="0"/>
    <n v="3"/>
    <n v="89423.999999999985"/>
    <n v="0"/>
  </r>
  <r>
    <s v="Lhotse-Vestuario"/>
    <x v="1"/>
    <x v="16"/>
    <x v="40"/>
    <s v="LTW25-MPK10"/>
    <x v="338"/>
    <x v="272"/>
    <x v="0"/>
    <x v="6"/>
    <n v="1"/>
    <x v="12"/>
    <n v="2"/>
    <m/>
    <n v="0"/>
    <n v="28202"/>
    <n v="56404"/>
    <n v="28.8"/>
    <n v="31463.999999999996"/>
    <n v="75621.848739495807"/>
    <n v="50411.764705882357"/>
    <s v="Shenzhen"/>
    <x v="0"/>
    <n v="30"/>
    <n v="1"/>
    <n v="0"/>
    <s v=""/>
    <n v="0"/>
    <s v=""/>
    <n v="0"/>
    <s v=""/>
    <n v="0"/>
    <s v=""/>
    <n v="2"/>
    <n v="0.66436251115739364"/>
    <n v="9"/>
    <n v="0.46636875497581509"/>
    <n v="29"/>
    <n v="0.33923282170770075"/>
    <n v="16"/>
    <n v="0.26440620871090487"/>
    <n v="4"/>
    <n v="0.32865609876902796"/>
    <n v="5"/>
    <n v="0.27031710548103988"/>
    <n v="0"/>
    <s v=""/>
    <n v="0"/>
    <s v=""/>
    <n v="0"/>
    <s v=""/>
    <n v="0"/>
    <s v=""/>
    <n v="0"/>
    <s v=""/>
    <n v="1"/>
    <s v=""/>
    <n v="0"/>
    <n v="0"/>
    <s v=""/>
    <n v="0"/>
    <n v="3"/>
    <s v=""/>
    <n v="0.1111111111111111"/>
    <n v="4"/>
    <s v=""/>
    <n v="2"/>
    <n v="0"/>
    <n v="3"/>
    <n v="0"/>
    <n v="0"/>
    <n v="0"/>
    <n v="0"/>
    <n v="0"/>
    <n v="89423.999999999985"/>
    <n v="0"/>
    <n v="0"/>
    <n v="2"/>
    <n v="56404"/>
    <n v="0"/>
    <n v="0"/>
    <n v="5"/>
    <n v="0"/>
    <n v="0"/>
    <n v="0"/>
    <n v="0"/>
    <n v="28202"/>
    <n v="149039.99999999997"/>
    <n v="0"/>
    <n v="0"/>
    <n v="2"/>
    <n v="56404"/>
    <n v="0"/>
    <n v="0"/>
    <n v="6"/>
    <n v="0"/>
    <n v="0"/>
    <n v="0"/>
    <n v="87818"/>
    <n v="169212"/>
    <n v="0"/>
    <n v="0"/>
    <n v="2"/>
    <n v="56404"/>
    <n v="0"/>
    <n v="0"/>
    <n v="6"/>
    <n v="1"/>
    <n v="0"/>
    <n v="0"/>
    <n v="178847.99999999997"/>
    <n v="28202"/>
    <x v="0"/>
    <x v="0"/>
    <n v="2"/>
    <n v="56404"/>
    <n v="75621.848739495807"/>
    <n v="2"/>
    <n v="2"/>
    <n v="2"/>
    <m/>
    <n v="0"/>
    <n v="0"/>
    <n v="56404"/>
    <n v="59615.999999999993"/>
    <x v="0"/>
    <n v="0"/>
    <n v="2"/>
    <n v="56404"/>
    <n v="151243.69747899161"/>
    <n v="27"/>
    <n v="5"/>
    <n v="3"/>
    <m/>
    <n v="0"/>
    <n v="0"/>
    <n v="141010"/>
    <n v="89423.999999999985"/>
    <n v="0"/>
    <n v="0"/>
    <n v="5"/>
    <n v="56404"/>
    <n v="226865.54621848743"/>
    <n v="2"/>
    <n v="6"/>
    <n v="2"/>
    <n v="0"/>
    <n v="0"/>
    <n v="0"/>
    <n v="169212"/>
    <n v="59615.999999999993"/>
    <n v="0"/>
    <n v="0"/>
    <n v="6"/>
    <n v="56404"/>
    <n v="151243.69747899161"/>
    <n v="2"/>
    <n v="4"/>
    <n v="2"/>
    <n v="0"/>
    <n v="0"/>
    <n v="0"/>
    <n v="112808"/>
    <n v="59615.999999999993"/>
    <n v="0"/>
    <n v="0"/>
    <n v="4"/>
    <n v="112808"/>
    <n v="151243.69747899161"/>
    <n v="2"/>
    <n v="2"/>
    <n v="2"/>
    <n v="0"/>
    <n v="0"/>
    <m/>
    <n v="59615.999999999993"/>
    <n v="59615.999999999993"/>
    <n v="0"/>
    <n v="0"/>
    <n v="2"/>
    <n v="59615.999999999993"/>
    <n v="151243.6974789916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10"/>
    <x v="339"/>
    <x v="272"/>
    <x v="0"/>
    <x v="6"/>
    <n v="1"/>
    <x v="12"/>
    <n v="2"/>
    <m/>
    <n v="0"/>
    <n v="28202"/>
    <n v="56404"/>
    <n v="28.8"/>
    <n v="31463.999999999996"/>
    <n v="75621.848739495807"/>
    <n v="50411.764705882357"/>
    <s v="Shenzhen"/>
    <x v="0"/>
    <n v="30"/>
    <n v="1"/>
    <n v="0"/>
    <s v=""/>
    <n v="0"/>
    <s v=""/>
    <n v="0"/>
    <s v=""/>
    <n v="0"/>
    <n v="2.4820934685380103E-6"/>
    <n v="0"/>
    <s v=""/>
    <n v="20"/>
    <n v="0.33777725598728803"/>
    <n v="48"/>
    <n v="0.28315445593286531"/>
    <n v="8"/>
    <n v="0.3286533517425253"/>
    <n v="0"/>
    <s v=""/>
    <n v="6"/>
    <n v="0.28073426395076001"/>
    <n v="0"/>
    <s v=""/>
    <n v="0"/>
    <s v=""/>
    <n v="0"/>
    <s v=""/>
    <n v="0"/>
    <s v=""/>
    <n v="2"/>
    <s v=""/>
    <n v="2"/>
    <s v=""/>
    <n v="0"/>
    <n v="3"/>
    <s v=""/>
    <n v="0"/>
    <n v="14"/>
    <s v=""/>
    <n v="0.35897435897435898"/>
    <n v="4"/>
    <s v=""/>
    <n v="0.66666666666666663"/>
    <n v="0"/>
    <n v="22"/>
    <n v="0"/>
    <n v="0"/>
    <n v="0"/>
    <n v="0"/>
    <n v="56404"/>
    <n v="655775.99999999988"/>
    <n v="0"/>
    <n v="0"/>
    <n v="2"/>
    <n v="56404"/>
    <n v="0"/>
    <n v="0"/>
    <n v="23"/>
    <n v="0"/>
    <n v="0"/>
    <n v="0"/>
    <n v="0"/>
    <n v="112808"/>
    <n v="685583.99999999988"/>
    <n v="0"/>
    <n v="0"/>
    <n v="2"/>
    <n v="56404"/>
    <n v="0"/>
    <n v="0"/>
    <n v="23"/>
    <n v="2"/>
    <n v="0"/>
    <n v="0"/>
    <n v="112808"/>
    <n v="648646"/>
    <n v="56404"/>
    <n v="0"/>
    <n v="2"/>
    <n v="56404"/>
    <n v="151243.69747899161"/>
    <n v="0"/>
    <n v="21"/>
    <n v="2"/>
    <n v="0"/>
    <n v="0"/>
    <n v="625967.99999999988"/>
    <n v="56404"/>
    <x v="0"/>
    <x v="0"/>
    <n v="2"/>
    <n v="56404"/>
    <n v="151243.69747899161"/>
    <n v="0"/>
    <n v="5"/>
    <n v="0"/>
    <m/>
    <n v="0"/>
    <n v="0"/>
    <n v="141010"/>
    <n v="0"/>
    <x v="0"/>
    <n v="0"/>
    <n v="2"/>
    <n v="56404"/>
    <n v="0"/>
    <n v="39"/>
    <n v="16"/>
    <n v="14"/>
    <m/>
    <n v="0"/>
    <n v="0"/>
    <n v="451232"/>
    <n v="417311.99999999994"/>
    <n v="0"/>
    <n v="0"/>
    <n v="16"/>
    <n v="56404"/>
    <n v="1058705.8823529412"/>
    <n v="6"/>
    <n v="6"/>
    <n v="6"/>
    <n v="0"/>
    <n v="0"/>
    <n v="0"/>
    <n v="169212"/>
    <n v="178847.99999999997"/>
    <n v="0"/>
    <n v="0"/>
    <n v="6"/>
    <n v="56404"/>
    <n v="453731.09243697487"/>
    <n v="6"/>
    <n v="0"/>
    <n v="6"/>
    <n v="0"/>
    <n v="0"/>
    <n v="0"/>
    <n v="0"/>
    <n v="178847.99999999997"/>
    <n v="0"/>
    <n v="0"/>
    <n v="0"/>
    <n v="0"/>
    <n v="453731.09243697487"/>
    <n v="6"/>
    <n v="0"/>
    <n v="6"/>
    <n v="0"/>
    <n v="0"/>
    <m/>
    <n v="0"/>
    <n v="178847.99999999997"/>
    <n v="0"/>
    <n v="0"/>
    <n v="0"/>
    <n v="0"/>
    <n v="453731.0924369748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10"/>
    <x v="340"/>
    <x v="272"/>
    <x v="0"/>
    <x v="6"/>
    <n v="1"/>
    <x v="12"/>
    <n v="3"/>
    <m/>
    <n v="0"/>
    <n v="28202"/>
    <n v="84606"/>
    <n v="28.8"/>
    <n v="31463.999999999996"/>
    <n v="75621.848739495807"/>
    <n v="50411.764705882357"/>
    <s v="Shenzhen"/>
    <x v="0"/>
    <n v="30"/>
    <n v="1"/>
    <n v="0"/>
    <s v=""/>
    <n v="0"/>
    <s v=""/>
    <n v="0"/>
    <s v=""/>
    <n v="0"/>
    <s v=""/>
    <n v="1"/>
    <n v="0.58044392540743994"/>
    <n v="3"/>
    <n v="0.31562691025275363"/>
    <n v="16"/>
    <n v="0.28904998005767513"/>
    <n v="5"/>
    <n v="0.32714819396687644"/>
    <n v="2"/>
    <n v="0.32865621779340415"/>
    <n v="6"/>
    <n v="0.30553583301184445"/>
    <n v="-3"/>
    <n v="0.4965196200949763"/>
    <n v="0"/>
    <s v=""/>
    <n v="0"/>
    <s v=""/>
    <n v="0"/>
    <s v=""/>
    <n v="1"/>
    <s v=""/>
    <n v="0"/>
    <s v=""/>
    <n v="0"/>
    <n v="2"/>
    <s v=""/>
    <n v="2"/>
    <n v="-1"/>
    <s v=""/>
    <n v="-8.3333333333333329E-2"/>
    <n v="3"/>
    <s v=""/>
    <n v="3"/>
    <n v="0"/>
    <n v="6"/>
    <n v="0"/>
    <n v="0"/>
    <n v="0"/>
    <n v="0"/>
    <n v="28202"/>
    <n v="178847.99999999997"/>
    <n v="0"/>
    <n v="0"/>
    <n v="3"/>
    <n v="84606"/>
    <n v="0"/>
    <n v="0"/>
    <n v="6"/>
    <n v="0"/>
    <n v="0"/>
    <n v="0"/>
    <n v="0"/>
    <n v="28202"/>
    <n v="178847.99999999997"/>
    <n v="0"/>
    <n v="0"/>
    <n v="3"/>
    <n v="84606"/>
    <n v="0"/>
    <n v="0"/>
    <n v="6"/>
    <n v="1"/>
    <n v="0"/>
    <n v="0"/>
    <n v="58010"/>
    <n v="169212"/>
    <n v="28202"/>
    <n v="0"/>
    <n v="3"/>
    <n v="84606"/>
    <n v="75621.848739495807"/>
    <n v="0"/>
    <n v="5"/>
    <n v="0"/>
    <n v="0"/>
    <n v="0"/>
    <n v="149039.99999999997"/>
    <n v="0"/>
    <x v="0"/>
    <x v="0"/>
    <n v="3"/>
    <n v="84606"/>
    <n v="0"/>
    <n v="1"/>
    <n v="5"/>
    <n v="1"/>
    <m/>
    <n v="0"/>
    <n v="0"/>
    <n v="141010"/>
    <n v="29807.999999999996"/>
    <x v="0"/>
    <n v="0"/>
    <n v="3"/>
    <n v="84606"/>
    <n v="75621.848739495807"/>
    <n v="12"/>
    <n v="2"/>
    <n v="-1"/>
    <m/>
    <n v="0"/>
    <n v="0"/>
    <n v="56404"/>
    <n v="-29807.999999999996"/>
    <n v="0"/>
    <n v="0"/>
    <n v="2"/>
    <n v="84606"/>
    <n v="-75621.848739495807"/>
    <n v="1"/>
    <n v="6"/>
    <n v="1"/>
    <n v="0"/>
    <n v="0"/>
    <n v="0"/>
    <n v="169212"/>
    <n v="29807.999999999996"/>
    <n v="0"/>
    <n v="0"/>
    <n v="6"/>
    <n v="84606"/>
    <n v="75621.848739495807"/>
    <n v="1"/>
    <n v="5"/>
    <n v="1"/>
    <n v="0"/>
    <n v="0"/>
    <n v="0"/>
    <n v="141010"/>
    <n v="29807.999999999996"/>
    <n v="0"/>
    <n v="0"/>
    <n v="5"/>
    <n v="141010"/>
    <n v="75621.848739495807"/>
    <n v="1"/>
    <n v="4"/>
    <n v="1"/>
    <n v="0"/>
    <n v="0"/>
    <m/>
    <n v="119231.99999999999"/>
    <n v="29807.999999999996"/>
    <n v="0"/>
    <n v="0"/>
    <n v="4"/>
    <n v="119231.99999999999"/>
    <n v="75621.848739495807"/>
    <n v="0"/>
    <n v="3"/>
    <n v="0"/>
    <n v="0"/>
    <n v="0"/>
    <n v="0"/>
    <m/>
    <n v="89423.999999999985"/>
    <n v="0"/>
    <n v="0"/>
    <n v="0"/>
    <n v="3"/>
    <n v="89423.999999999985"/>
    <n v="0"/>
    <n v="0"/>
    <n v="3"/>
    <n v="0"/>
    <n v="0"/>
    <n v="0"/>
    <n v="89423.999999999985"/>
    <n v="0"/>
    <n v="0"/>
    <n v="0"/>
    <n v="3"/>
    <n v="89423.999999999985"/>
    <n v="0"/>
    <n v="0"/>
    <n v="3"/>
    <n v="0"/>
    <n v="0"/>
    <n v="0"/>
    <n v="89423.999999999985"/>
    <n v="0"/>
    <n v="0"/>
    <n v="3"/>
    <n v="89423.999999999985"/>
    <n v="0"/>
    <n v="0"/>
    <n v="3"/>
    <n v="0"/>
    <n v="0"/>
    <m/>
    <n v="89423.999999999985"/>
    <n v="0"/>
    <n v="0"/>
    <n v="3"/>
    <n v="89423.999999999985"/>
    <n v="0"/>
  </r>
  <r>
    <s v="Lhotse-Vestuario"/>
    <x v="1"/>
    <x v="16"/>
    <x v="41"/>
    <s v="LTW25-MPT11"/>
    <x v="341"/>
    <x v="273"/>
    <x v="0"/>
    <x v="6"/>
    <n v="1"/>
    <x v="12"/>
    <n v="3"/>
    <m/>
    <n v="0"/>
    <n v="19438"/>
    <n v="58314"/>
    <n v="19.850000000000001"/>
    <n v="21686.125"/>
    <n v="42008.403361344543"/>
    <n v="33605.042016806721"/>
    <s v="Shenzhen"/>
    <x v="0"/>
    <n v="30"/>
    <n v="1"/>
    <n v="0"/>
    <s v=""/>
    <n v="0"/>
    <s v=""/>
    <n v="0"/>
    <s v=""/>
    <n v="1"/>
    <n v="0.5372871034206842"/>
    <n v="1"/>
    <n v="0.5372871034206842"/>
    <n v="1"/>
    <n v="0.42157922928135688"/>
    <n v="1"/>
    <n v="0.42157995248812197"/>
    <n v="1"/>
    <n v="0.26709218548057206"/>
    <n v="1"/>
    <n v="0.42157922928135688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1"/>
    <n v="0"/>
    <n v="0"/>
    <n v="0"/>
    <n v="0"/>
    <n v="0"/>
    <n v="20544.75"/>
    <n v="0"/>
    <n v="0"/>
    <n v="3"/>
    <n v="58314"/>
    <n v="0"/>
    <n v="0"/>
    <n v="2"/>
    <n v="0"/>
    <n v="0"/>
    <n v="0"/>
    <n v="0"/>
    <n v="0"/>
    <n v="41089.5"/>
    <n v="0"/>
    <n v="0"/>
    <n v="3"/>
    <n v="58314"/>
    <n v="0"/>
    <n v="0"/>
    <n v="2"/>
    <n v="0"/>
    <n v="0"/>
    <n v="0"/>
    <n v="20544.75"/>
    <n v="38876"/>
    <n v="0"/>
    <n v="0"/>
    <n v="3"/>
    <n v="58314"/>
    <n v="0"/>
    <n v="0"/>
    <n v="2"/>
    <n v="0"/>
    <n v="0"/>
    <n v="0"/>
    <n v="41089.5"/>
    <n v="0"/>
    <x v="0"/>
    <x v="0"/>
    <n v="3"/>
    <n v="58314"/>
    <n v="0"/>
    <n v="1"/>
    <n v="3"/>
    <n v="1"/>
    <m/>
    <n v="0"/>
    <n v="0"/>
    <n v="58314"/>
    <n v="20544.75"/>
    <x v="0"/>
    <n v="0"/>
    <n v="3"/>
    <n v="58314"/>
    <n v="42008.403361344543"/>
    <n v="6"/>
    <n v="3"/>
    <n v="0"/>
    <m/>
    <n v="0"/>
    <n v="0"/>
    <n v="58314"/>
    <n v="0"/>
    <n v="0"/>
    <n v="0"/>
    <n v="3"/>
    <n v="58314"/>
    <n v="0"/>
    <n v="1"/>
    <n v="3"/>
    <n v="1"/>
    <n v="0"/>
    <n v="0"/>
    <n v="0"/>
    <n v="58314"/>
    <n v="20544.75"/>
    <n v="0"/>
    <n v="0"/>
    <n v="3"/>
    <n v="58314"/>
    <n v="42008.403361344543"/>
    <n v="1"/>
    <n v="2"/>
    <n v="1"/>
    <n v="0"/>
    <n v="0"/>
    <n v="0"/>
    <n v="38876"/>
    <n v="20544.75"/>
    <n v="0"/>
    <n v="0"/>
    <n v="2"/>
    <n v="38876"/>
    <n v="42008.403361344543"/>
    <n v="1"/>
    <n v="1"/>
    <n v="1"/>
    <n v="0"/>
    <n v="0"/>
    <m/>
    <n v="20544.75"/>
    <n v="20544.75"/>
    <n v="0"/>
    <n v="0"/>
    <n v="1"/>
    <n v="20544.75"/>
    <n v="42008.40336134454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1"/>
    <s v="LTW25-MPT11"/>
    <x v="342"/>
    <x v="273"/>
    <x v="0"/>
    <x v="6"/>
    <n v="1"/>
    <x v="12"/>
    <n v="7"/>
    <m/>
    <n v="0"/>
    <n v="19438"/>
    <n v="136066"/>
    <n v="19.850000000000001"/>
    <n v="21686.125"/>
    <n v="42008.403361344543"/>
    <n v="33605.042016806721"/>
    <s v="Shenzhen"/>
    <x v="0"/>
    <n v="30"/>
    <n v="1"/>
    <n v="0"/>
    <s v=""/>
    <n v="0"/>
    <s v=""/>
    <n v="0"/>
    <s v=""/>
    <n v="0"/>
    <n v="1.2861405494392427E-5"/>
    <n v="0"/>
    <n v="1.2861405494392427E-5"/>
    <n v="1"/>
    <n v="0.35729400872900408"/>
    <n v="2"/>
    <n v="0.42158160987948223"/>
    <n v="2"/>
    <n v="0.42158233308327081"/>
    <n v="1"/>
    <n v="0.43575285204214925"/>
    <n v="5"/>
    <n v="0.26908165874496121"/>
    <n v="0"/>
    <s v=""/>
    <n v="0"/>
    <s v=""/>
    <n v="0"/>
    <s v=""/>
    <n v="0"/>
    <s v=""/>
    <n v="0"/>
    <s v=""/>
    <n v="0"/>
    <s v=""/>
    <n v="0"/>
    <n v="1"/>
    <s v=""/>
    <n v="0"/>
    <n v="0"/>
    <s v=""/>
    <n v="0"/>
    <n v="1"/>
    <s v=""/>
    <n v="0.33333333333333331"/>
    <n v="0"/>
    <n v="1"/>
    <n v="0"/>
    <n v="0"/>
    <n v="0"/>
    <n v="0"/>
    <n v="0"/>
    <n v="20544.75"/>
    <n v="0"/>
    <n v="0"/>
    <n v="7"/>
    <n v="136066"/>
    <n v="0"/>
    <n v="0"/>
    <n v="6"/>
    <n v="0"/>
    <n v="0"/>
    <n v="0"/>
    <n v="0"/>
    <n v="0"/>
    <n v="123268.5"/>
    <n v="0"/>
    <n v="0"/>
    <n v="7"/>
    <n v="136066"/>
    <n v="0"/>
    <n v="0"/>
    <n v="7"/>
    <n v="0"/>
    <n v="0"/>
    <n v="0"/>
    <n v="0"/>
    <n v="136066"/>
    <n v="0"/>
    <n v="0"/>
    <n v="7"/>
    <n v="136066"/>
    <n v="0"/>
    <n v="0"/>
    <n v="8"/>
    <n v="0"/>
    <n v="0"/>
    <n v="0"/>
    <n v="164358"/>
    <n v="0"/>
    <x v="0"/>
    <x v="0"/>
    <n v="7"/>
    <n v="136066"/>
    <n v="0"/>
    <n v="0"/>
    <n v="8"/>
    <n v="0"/>
    <m/>
    <n v="0"/>
    <n v="0"/>
    <n v="155504"/>
    <n v="0"/>
    <x v="0"/>
    <n v="0"/>
    <n v="7"/>
    <n v="136066"/>
    <n v="0"/>
    <n v="13.5"/>
    <n v="7"/>
    <n v="0"/>
    <m/>
    <n v="0"/>
    <n v="0"/>
    <n v="136066"/>
    <n v="0"/>
    <n v="0"/>
    <n v="0"/>
    <n v="7"/>
    <n v="136066"/>
    <n v="0"/>
    <n v="3"/>
    <n v="8"/>
    <n v="3"/>
    <n v="0"/>
    <n v="0"/>
    <n v="0"/>
    <n v="155504"/>
    <n v="61634.25"/>
    <n v="0"/>
    <n v="0"/>
    <n v="8"/>
    <n v="136066"/>
    <n v="126025.21008403364"/>
    <n v="3"/>
    <n v="5"/>
    <n v="3"/>
    <n v="0"/>
    <n v="0"/>
    <n v="0"/>
    <n v="97190"/>
    <n v="61634.25"/>
    <n v="0"/>
    <n v="0"/>
    <n v="5"/>
    <n v="97190"/>
    <n v="126025.21008403364"/>
    <n v="3"/>
    <n v="2"/>
    <n v="3"/>
    <n v="0"/>
    <n v="0"/>
    <m/>
    <n v="41089.5"/>
    <n v="61634.25"/>
    <n v="0"/>
    <n v="0"/>
    <n v="2"/>
    <n v="41089.5"/>
    <n v="126025.2100840336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1"/>
    <s v="LTW25-MPT11"/>
    <x v="343"/>
    <x v="273"/>
    <x v="0"/>
    <x v="6"/>
    <n v="1"/>
    <x v="12"/>
    <n v="8"/>
    <m/>
    <n v="0"/>
    <n v="19438"/>
    <n v="155504"/>
    <n v="19.850000000000001"/>
    <n v="21686.125"/>
    <n v="42008.403361344543"/>
    <n v="33605.042016806721"/>
    <s v="Shenzhen"/>
    <x v="0"/>
    <n v="30"/>
    <n v="1"/>
    <n v="0"/>
    <s v=""/>
    <n v="0"/>
    <s v=""/>
    <n v="0"/>
    <s v=""/>
    <n v="0"/>
    <s v=""/>
    <n v="1"/>
    <n v="0.5372871034206842"/>
    <n v="3"/>
    <n v="0.44472230855405298"/>
    <n v="4"/>
    <n v="0.3830143782933042"/>
    <n v="1"/>
    <n v="0.42157995248812197"/>
    <n v="1"/>
    <n v="0.34737308622078966"/>
    <n v="7"/>
    <n v="0.33969281239232668"/>
    <n v="0"/>
    <s v=""/>
    <n v="2"/>
    <n v="0.53727861359741003"/>
    <n v="0"/>
    <s v=""/>
    <n v="1"/>
    <s v=""/>
    <n v="0"/>
    <s v=""/>
    <n v="1"/>
    <s v=""/>
    <n v="0"/>
    <n v="2"/>
    <s v=""/>
    <n v="2"/>
    <n v="3"/>
    <s v=""/>
    <n v="0.15384615384615385"/>
    <n v="1"/>
    <s v=""/>
    <n v="0.25"/>
    <n v="0"/>
    <n v="7"/>
    <n v="0"/>
    <n v="0"/>
    <n v="0"/>
    <n v="0"/>
    <n v="29157"/>
    <n v="143813.25"/>
    <n v="0"/>
    <n v="0"/>
    <n v="8"/>
    <n v="155504"/>
    <n v="0"/>
    <n v="0"/>
    <n v="13"/>
    <n v="1.5"/>
    <n v="0"/>
    <n v="0"/>
    <n v="0"/>
    <n v="48595"/>
    <n v="267081.75"/>
    <n v="29157"/>
    <n v="0"/>
    <n v="8"/>
    <n v="155504"/>
    <n v="52951.768942871277"/>
    <n v="0"/>
    <n v="13"/>
    <n v="0"/>
    <n v="0"/>
    <n v="0"/>
    <n v="39982.75"/>
    <n v="252694"/>
    <n v="0"/>
    <n v="0"/>
    <n v="8"/>
    <n v="155504"/>
    <n v="0"/>
    <n v="0"/>
    <n v="14"/>
    <n v="1"/>
    <n v="0"/>
    <n v="0"/>
    <n v="287626.5"/>
    <n v="19438"/>
    <x v="0"/>
    <x v="0"/>
    <n v="8"/>
    <n v="155504"/>
    <n v="42008.403361344543"/>
    <n v="1"/>
    <n v="10"/>
    <n v="1"/>
    <m/>
    <n v="0"/>
    <n v="0"/>
    <n v="194380"/>
    <n v="20544.75"/>
    <x v="0"/>
    <n v="0"/>
    <n v="8"/>
    <n v="155504"/>
    <n v="42008.403361344543"/>
    <n v="19.5"/>
    <n v="11"/>
    <n v="3"/>
    <m/>
    <n v="0"/>
    <n v="0"/>
    <n v="213818"/>
    <n v="61634.25"/>
    <n v="0"/>
    <n v="0"/>
    <n v="11"/>
    <n v="155504"/>
    <n v="126025.21008403364"/>
    <n v="4"/>
    <n v="9"/>
    <n v="4"/>
    <n v="0"/>
    <n v="0"/>
    <n v="0"/>
    <n v="174942"/>
    <n v="82179"/>
    <n v="0"/>
    <n v="0"/>
    <n v="9"/>
    <n v="155504"/>
    <n v="168033.61344537817"/>
    <n v="4"/>
    <n v="5"/>
    <n v="4"/>
    <n v="0"/>
    <n v="0"/>
    <n v="0"/>
    <n v="97190"/>
    <n v="82179"/>
    <n v="0"/>
    <n v="0"/>
    <n v="5"/>
    <n v="97190"/>
    <n v="168033.61344537817"/>
    <n v="4"/>
    <n v="1"/>
    <n v="4"/>
    <n v="0"/>
    <n v="0"/>
    <m/>
    <n v="20544.75"/>
    <n v="82179"/>
    <n v="0"/>
    <n v="0"/>
    <n v="1"/>
    <n v="20544.75"/>
    <n v="168033.6134453781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1"/>
    <s v="LTW25-MPT11"/>
    <x v="344"/>
    <x v="273"/>
    <x v="0"/>
    <x v="6"/>
    <n v="1"/>
    <x v="12"/>
    <n v="1"/>
    <m/>
    <n v="0"/>
    <n v="19438"/>
    <n v="19438"/>
    <n v="19.850000000000001"/>
    <n v="21686.125"/>
    <n v="42008.403361344543"/>
    <n v="33605.042016806721"/>
    <s v="Shenzhen"/>
    <x v="0"/>
    <n v="30"/>
    <n v="1"/>
    <n v="0"/>
    <s v=""/>
    <n v="0"/>
    <s v=""/>
    <n v="0"/>
    <s v=""/>
    <n v="0"/>
    <s v=""/>
    <n v="0"/>
    <n v="9.7746681756708679E-6"/>
    <n v="1"/>
    <n v="0.12914988463520077"/>
    <n v="0"/>
    <s v=""/>
    <n v="1"/>
    <n v="0.24699052821198206"/>
    <n v="0"/>
    <n v="1"/>
    <n v="0"/>
    <s v=""/>
    <n v="0"/>
    <s v=""/>
    <n v="1"/>
    <n v="0.51801904336829574"/>
    <n v="0"/>
    <s v=""/>
    <n v="0"/>
    <s v=""/>
    <n v="0"/>
    <s v=""/>
    <n v="1"/>
    <s v=""/>
    <n v="1"/>
    <n v="1"/>
    <s v=""/>
    <n v="1"/>
    <n v="0"/>
    <s v=""/>
    <n v="0"/>
    <n v="0"/>
    <s v=""/>
    <n v="0"/>
    <n v="2"/>
    <n v="8"/>
    <n v="2"/>
    <n v="0"/>
    <n v="0"/>
    <n v="0"/>
    <n v="38876"/>
    <n v="164358"/>
    <n v="38876"/>
    <n v="0"/>
    <n v="1"/>
    <n v="19438"/>
    <n v="70602.358590495031"/>
    <n v="0"/>
    <n v="9"/>
    <n v="0"/>
    <n v="0"/>
    <n v="0"/>
    <n v="0"/>
    <n v="19438"/>
    <n v="184902.75"/>
    <n v="0"/>
    <n v="0"/>
    <n v="1"/>
    <n v="19438"/>
    <n v="0"/>
    <n v="0"/>
    <n v="9"/>
    <n v="0"/>
    <n v="0"/>
    <n v="0"/>
    <n v="39982.75"/>
    <n v="174942"/>
    <n v="0"/>
    <n v="0"/>
    <n v="1"/>
    <n v="19438"/>
    <n v="0"/>
    <n v="1"/>
    <n v="8"/>
    <n v="1"/>
    <n v="0"/>
    <n v="0"/>
    <n v="164358"/>
    <n v="19438"/>
    <x v="0"/>
    <x v="0"/>
    <n v="1"/>
    <n v="19438"/>
    <n v="42008.403361344543"/>
    <n v="1"/>
    <n v="2"/>
    <n v="1"/>
    <m/>
    <n v="0"/>
    <n v="0"/>
    <n v="38876"/>
    <n v="20544.75"/>
    <x v="0"/>
    <n v="0"/>
    <n v="1"/>
    <n v="19438"/>
    <n v="42008.403361344543"/>
    <n v="1"/>
    <n v="1"/>
    <n v="0"/>
    <m/>
    <n v="0"/>
    <n v="0"/>
    <n v="19438"/>
    <n v="0"/>
    <n v="0"/>
    <n v="0"/>
    <n v="1"/>
    <n v="19438"/>
    <n v="0"/>
    <n v="0"/>
    <n v="1"/>
    <n v="0"/>
    <n v="0"/>
    <n v="0"/>
    <n v="0"/>
    <n v="19438"/>
    <n v="0"/>
    <n v="0"/>
    <n v="0"/>
    <n v="1"/>
    <n v="19438"/>
    <n v="0"/>
    <n v="0"/>
    <n v="1"/>
    <n v="0"/>
    <n v="0"/>
    <n v="0"/>
    <n v="0"/>
    <n v="19438"/>
    <n v="0"/>
    <n v="0"/>
    <n v="0"/>
    <n v="1"/>
    <n v="19438"/>
    <n v="0"/>
    <n v="0"/>
    <n v="1"/>
    <n v="0"/>
    <n v="0"/>
    <n v="0"/>
    <m/>
    <n v="20544.75"/>
    <n v="0"/>
    <n v="0"/>
    <n v="0"/>
    <n v="1"/>
    <n v="20544.75"/>
    <n v="0"/>
    <n v="0"/>
    <n v="1"/>
    <n v="0"/>
    <n v="0"/>
    <n v="0"/>
    <n v="0"/>
    <m/>
    <n v="20544.75"/>
    <n v="0"/>
    <n v="0"/>
    <n v="0"/>
    <n v="1"/>
    <n v="20544.75"/>
    <n v="0"/>
    <n v="0"/>
    <n v="1"/>
    <n v="0"/>
    <n v="0"/>
    <n v="0"/>
    <n v="20544.75"/>
    <n v="0"/>
    <n v="0"/>
    <n v="0"/>
    <n v="1"/>
    <n v="20544.75"/>
    <n v="0"/>
    <n v="0"/>
    <n v="1"/>
    <n v="0"/>
    <n v="0"/>
    <n v="0"/>
    <n v="20544.75"/>
    <n v="0"/>
    <n v="0"/>
    <n v="1"/>
    <n v="20544.75"/>
    <n v="0"/>
    <n v="0"/>
    <n v="1"/>
    <n v="0"/>
    <n v="0"/>
    <m/>
    <n v="20544.75"/>
    <n v="0"/>
    <n v="0"/>
    <n v="1"/>
    <n v="20544.75"/>
    <n v="0"/>
  </r>
  <r>
    <s v="Lhotse-Vestuario"/>
    <x v="1"/>
    <x v="16"/>
    <x v="41"/>
    <s v="LTW25-MPT11"/>
    <x v="345"/>
    <x v="273"/>
    <x v="0"/>
    <x v="6"/>
    <n v="1"/>
    <x v="12"/>
    <n v="26"/>
    <m/>
    <n v="0"/>
    <n v="19438"/>
    <n v="505388"/>
    <n v="19.850000000000001"/>
    <n v="21686.125"/>
    <n v="42008.403361344543"/>
    <n v="33605.042016806721"/>
    <s v="Shenzhen"/>
    <x v="0"/>
    <n v="30"/>
    <n v="1"/>
    <n v="0"/>
    <s v=""/>
    <n v="0"/>
    <s v=""/>
    <n v="0"/>
    <s v=""/>
    <n v="0"/>
    <n v="1.0289124395551373E-5"/>
    <n v="0"/>
    <s v=""/>
    <n v="4"/>
    <n v="0.40674482484987673"/>
    <n v="0"/>
    <s v=""/>
    <n v="1"/>
    <n v="0.42157982443088821"/>
    <n v="1"/>
    <n v="0.42158054763690916"/>
    <n v="5"/>
    <n v="0.46197056006731657"/>
    <n v="0"/>
    <s v=""/>
    <n v="2"/>
    <n v="0.51801433211832681"/>
    <n v="0"/>
    <s v=""/>
    <n v="1"/>
    <s v=""/>
    <n v="1"/>
    <s v=""/>
    <n v="0"/>
    <s v=""/>
    <n v="0"/>
    <n v="1"/>
    <s v=""/>
    <n v="0.33333333333333331"/>
    <n v="1"/>
    <s v=""/>
    <n v="0.25"/>
    <n v="3"/>
    <s v=""/>
    <n v="0.33333333333333331"/>
    <n v="4"/>
    <n v="25"/>
    <n v="4"/>
    <n v="0"/>
    <n v="0"/>
    <n v="0"/>
    <n v="126347"/>
    <n v="513618.75"/>
    <n v="77752"/>
    <n v="0"/>
    <n v="26"/>
    <n v="505388"/>
    <n v="141204.71718099006"/>
    <n v="5"/>
    <n v="26"/>
    <n v="1.5"/>
    <n v="0"/>
    <n v="0"/>
    <n v="0"/>
    <n v="48595"/>
    <n v="534163.5"/>
    <n v="29157"/>
    <n v="0"/>
    <n v="26"/>
    <n v="505388"/>
    <n v="52951.768942871277"/>
    <n v="2"/>
    <n v="25"/>
    <n v="1"/>
    <n v="0"/>
    <n v="0"/>
    <n v="81072.25"/>
    <n v="485950"/>
    <n v="19438"/>
    <n v="0"/>
    <n v="26"/>
    <n v="505388"/>
    <n v="42008.403361344543"/>
    <n v="1"/>
    <n v="22"/>
    <n v="0"/>
    <n v="0"/>
    <n v="0"/>
    <n v="451984.5"/>
    <n v="0"/>
    <x v="0"/>
    <x v="0"/>
    <n v="26"/>
    <n v="505388"/>
    <n v="0"/>
    <n v="3"/>
    <n v="27"/>
    <n v="3"/>
    <m/>
    <n v="0"/>
    <n v="0"/>
    <n v="524826"/>
    <n v="61634.25"/>
    <x v="0"/>
    <n v="0"/>
    <n v="26"/>
    <n v="505388"/>
    <n v="126025.21008403364"/>
    <n v="4"/>
    <n v="27"/>
    <n v="1"/>
    <m/>
    <n v="0"/>
    <n v="0"/>
    <n v="524826"/>
    <n v="20544.75"/>
    <n v="0"/>
    <n v="0"/>
    <n v="27"/>
    <n v="505388"/>
    <n v="42008.403361344543"/>
    <n v="9"/>
    <n v="29"/>
    <n v="9"/>
    <n v="0"/>
    <n v="0"/>
    <n v="0"/>
    <n v="563702"/>
    <n v="184902.75"/>
    <n v="0"/>
    <n v="0"/>
    <n v="29"/>
    <n v="505388"/>
    <n v="378075.63025210088"/>
    <n v="9"/>
    <n v="20"/>
    <n v="9"/>
    <n v="0"/>
    <n v="0"/>
    <n v="0"/>
    <n v="388760"/>
    <n v="184902.75"/>
    <n v="0"/>
    <n v="0"/>
    <n v="20"/>
    <n v="388760"/>
    <n v="378075.63025210088"/>
    <n v="9"/>
    <n v="11"/>
    <n v="9"/>
    <n v="0"/>
    <n v="0"/>
    <m/>
    <n v="225992.25"/>
    <n v="184902.75"/>
    <n v="0"/>
    <n v="0"/>
    <n v="11"/>
    <n v="225992.25"/>
    <n v="378075.63025210088"/>
    <n v="0"/>
    <n v="2"/>
    <n v="0"/>
    <n v="0"/>
    <n v="0"/>
    <n v="0"/>
    <m/>
    <n v="41089.5"/>
    <n v="0"/>
    <n v="0"/>
    <n v="0"/>
    <n v="2"/>
    <n v="41089.5"/>
    <n v="0"/>
    <n v="0"/>
    <n v="2"/>
    <n v="0"/>
    <n v="0"/>
    <n v="0"/>
    <n v="41089.5"/>
    <n v="0"/>
    <n v="0"/>
    <n v="0"/>
    <n v="2"/>
    <n v="41089.5"/>
    <n v="0"/>
    <n v="0"/>
    <n v="2"/>
    <n v="0"/>
    <n v="0"/>
    <n v="0"/>
    <n v="41089.5"/>
    <n v="0"/>
    <n v="0"/>
    <n v="2"/>
    <n v="41089.5"/>
    <n v="0"/>
    <n v="0"/>
    <n v="2"/>
    <n v="0"/>
    <n v="0"/>
    <m/>
    <n v="41089.5"/>
    <n v="0"/>
    <n v="0"/>
    <n v="2"/>
    <n v="41089.5"/>
    <n v="0"/>
  </r>
  <r>
    <s v="Lhotse-Vestuario"/>
    <x v="1"/>
    <x v="16"/>
    <x v="41"/>
    <s v="LTW25-MPT11"/>
    <x v="346"/>
    <x v="273"/>
    <x v="0"/>
    <x v="6"/>
    <n v="1"/>
    <x v="12"/>
    <n v="37"/>
    <m/>
    <n v="0"/>
    <n v="19438"/>
    <n v="719206"/>
    <n v="19.850000000000001"/>
    <n v="21686.125"/>
    <n v="42008.403361344543"/>
    <n v="33605.042016806721"/>
    <s v="Shenzhen"/>
    <x v="0"/>
    <n v="30"/>
    <n v="1"/>
    <n v="0"/>
    <s v=""/>
    <n v="0"/>
    <s v=""/>
    <n v="0"/>
    <s v=""/>
    <n v="0"/>
    <n v="1.0289124395551373E-5"/>
    <n v="0"/>
    <s v=""/>
    <n v="1"/>
    <n v="0.42158041958041953"/>
    <n v="8"/>
    <n v="0.36172753765956572"/>
    <n v="1"/>
    <n v="0.42158114278569636"/>
    <n v="3"/>
    <n v="0.4215809017174717"/>
    <n v="6"/>
    <n v="0.44915413063294957"/>
    <n v="1"/>
    <n v="0.53728361264521041"/>
    <n v="2"/>
    <n v="0.51801433211832681"/>
    <n v="0"/>
    <s v=""/>
    <n v="1"/>
    <s v=""/>
    <n v="0"/>
    <s v=""/>
    <n v="0"/>
    <s v=""/>
    <n v="0"/>
    <n v="2"/>
    <s v=""/>
    <n v="0.4"/>
    <n v="2"/>
    <s v=""/>
    <n v="0.25"/>
    <n v="4"/>
    <s v=""/>
    <n v="0.30769230769230771"/>
    <n v="5"/>
    <n v="40"/>
    <n v="5"/>
    <n v="0"/>
    <n v="0"/>
    <n v="0"/>
    <n v="126347"/>
    <n v="821790"/>
    <n v="97190"/>
    <n v="0"/>
    <n v="37"/>
    <n v="719206"/>
    <n v="176505.89647623757"/>
    <n v="4"/>
    <n v="40"/>
    <n v="1.5"/>
    <n v="0"/>
    <n v="0"/>
    <n v="0"/>
    <n v="29157"/>
    <n v="821790"/>
    <n v="29157"/>
    <n v="0"/>
    <n v="37"/>
    <n v="719206"/>
    <n v="52951.768942871277"/>
    <n v="5"/>
    <n v="40"/>
    <n v="0"/>
    <n v="0"/>
    <n v="0"/>
    <n v="102723.75"/>
    <n v="777520"/>
    <n v="0"/>
    <n v="0"/>
    <n v="37"/>
    <n v="719206"/>
    <n v="0"/>
    <n v="3"/>
    <n v="41"/>
    <n v="0"/>
    <n v="0"/>
    <n v="0"/>
    <n v="842334.75"/>
    <n v="0"/>
    <x v="0"/>
    <x v="0"/>
    <n v="37"/>
    <n v="719206"/>
    <n v="0"/>
    <n v="5"/>
    <n v="39"/>
    <n v="5"/>
    <m/>
    <n v="0"/>
    <n v="0"/>
    <n v="758082"/>
    <n v="102723.75"/>
    <x v="0"/>
    <n v="0"/>
    <n v="37"/>
    <n v="719206"/>
    <n v="210042.01680672271"/>
    <n v="8"/>
    <n v="39"/>
    <n v="2"/>
    <m/>
    <n v="0"/>
    <n v="0"/>
    <n v="758082"/>
    <n v="41089.5"/>
    <n v="0"/>
    <n v="0"/>
    <n v="39"/>
    <n v="719206"/>
    <n v="84016.806722689085"/>
    <n v="13"/>
    <n v="41"/>
    <n v="13"/>
    <n v="0"/>
    <n v="0"/>
    <n v="0"/>
    <n v="796958"/>
    <n v="267081.75"/>
    <n v="0"/>
    <n v="0"/>
    <n v="41"/>
    <n v="719206"/>
    <n v="546109.24369747902"/>
    <n v="13"/>
    <n v="28"/>
    <n v="13"/>
    <n v="0"/>
    <n v="0"/>
    <n v="0"/>
    <n v="544264"/>
    <n v="267081.75"/>
    <n v="0"/>
    <n v="0"/>
    <n v="28"/>
    <n v="544264"/>
    <n v="546109.24369747902"/>
    <n v="13"/>
    <n v="15"/>
    <n v="13"/>
    <n v="0"/>
    <n v="0"/>
    <m/>
    <n v="308171.25"/>
    <n v="267081.75"/>
    <n v="0"/>
    <n v="0"/>
    <n v="15"/>
    <n v="308171.25"/>
    <n v="546109.24369747902"/>
    <n v="0"/>
    <n v="2"/>
    <n v="0"/>
    <n v="0"/>
    <n v="0"/>
    <n v="0"/>
    <m/>
    <n v="41089.5"/>
    <n v="0"/>
    <n v="0"/>
    <n v="0"/>
    <n v="2"/>
    <n v="41089.5"/>
    <n v="0"/>
    <n v="0"/>
    <n v="2"/>
    <n v="0"/>
    <n v="0"/>
    <n v="0"/>
    <n v="41089.5"/>
    <n v="0"/>
    <n v="0"/>
    <n v="0"/>
    <n v="2"/>
    <n v="41089.5"/>
    <n v="0"/>
    <n v="0"/>
    <n v="2"/>
    <n v="0"/>
    <n v="0"/>
    <n v="0"/>
    <n v="41089.5"/>
    <n v="0"/>
    <n v="0"/>
    <n v="2"/>
    <n v="41089.5"/>
    <n v="0"/>
    <n v="0"/>
    <n v="2"/>
    <n v="0"/>
    <n v="0"/>
    <m/>
    <n v="41089.5"/>
    <n v="0"/>
    <n v="0"/>
    <n v="2"/>
    <n v="41089.5"/>
    <n v="0"/>
  </r>
  <r>
    <s v="Lhotse-Vestuario"/>
    <x v="1"/>
    <x v="16"/>
    <x v="41"/>
    <s v="LTW25-MPT11"/>
    <x v="347"/>
    <x v="273"/>
    <x v="0"/>
    <x v="6"/>
    <n v="1"/>
    <x v="12"/>
    <n v="2"/>
    <m/>
    <n v="0"/>
    <n v="19437"/>
    <n v="38874"/>
    <n v="19.850000000000001"/>
    <n v="21686.125"/>
    <n v="42008.403361344543"/>
    <n v="33605.042016806721"/>
    <s v="Shenzhen"/>
    <x v="0"/>
    <n v="30"/>
    <n v="1"/>
    <n v="0"/>
    <s v=""/>
    <n v="0"/>
    <s v=""/>
    <n v="0"/>
    <s v=""/>
    <n v="0"/>
    <s v=""/>
    <n v="1"/>
    <n v="0.53728781756351274"/>
    <n v="0"/>
    <s v=""/>
    <n v="1"/>
    <n v="0.17370302669614004"/>
    <n v="1"/>
    <n v="0.4215795268561226"/>
    <n v="1"/>
    <n v="0.48589436377582057"/>
    <n v="5"/>
    <n v="0.38464946203994971"/>
    <n v="0"/>
    <s v=""/>
    <n v="3"/>
    <n v="0.52461448160044344"/>
    <n v="0"/>
    <s v=""/>
    <n v="1"/>
    <s v=""/>
    <n v="0"/>
    <s v=""/>
    <n v="0"/>
    <s v=""/>
    <n v="0"/>
    <n v="0"/>
    <s v=""/>
    <n v="0"/>
    <n v="0"/>
    <s v=""/>
    <n v="0"/>
    <n v="2"/>
    <s v=""/>
    <n v="2"/>
    <n v="0"/>
    <n v="5"/>
    <n v="0"/>
    <n v="0"/>
    <n v="0"/>
    <n v="0"/>
    <n v="29155.5"/>
    <n v="102723.75"/>
    <n v="0"/>
    <n v="0"/>
    <n v="2"/>
    <n v="38874"/>
    <n v="0"/>
    <n v="0"/>
    <n v="3"/>
    <n v="1.5"/>
    <n v="0"/>
    <n v="0"/>
    <n v="0"/>
    <n v="29155.5"/>
    <n v="61634.25"/>
    <n v="29155.5"/>
    <n v="0"/>
    <n v="2"/>
    <n v="38874"/>
    <n v="52951.768942871277"/>
    <n v="0"/>
    <n v="3"/>
    <n v="0"/>
    <n v="0"/>
    <n v="0"/>
    <n v="20544.75"/>
    <n v="58311"/>
    <n v="0"/>
    <n v="0"/>
    <n v="2"/>
    <n v="38874"/>
    <n v="0"/>
    <n v="2"/>
    <n v="3"/>
    <n v="0"/>
    <n v="0"/>
    <n v="0"/>
    <n v="61634.25"/>
    <n v="0"/>
    <x v="0"/>
    <x v="0"/>
    <n v="2"/>
    <n v="38874"/>
    <n v="0"/>
    <n v="1"/>
    <n v="2"/>
    <n v="1"/>
    <m/>
    <n v="0"/>
    <n v="0"/>
    <n v="38874"/>
    <n v="20544.75"/>
    <x v="0"/>
    <n v="0"/>
    <n v="2"/>
    <n v="38874"/>
    <n v="42008.403361344543"/>
    <n v="0"/>
    <n v="2"/>
    <n v="0"/>
    <m/>
    <n v="0"/>
    <n v="0"/>
    <n v="38874"/>
    <n v="0"/>
    <n v="0"/>
    <n v="0"/>
    <n v="2"/>
    <n v="38874"/>
    <n v="0"/>
    <n v="1"/>
    <n v="4"/>
    <n v="1"/>
    <n v="0"/>
    <n v="0"/>
    <n v="0"/>
    <n v="77748"/>
    <n v="20544.75"/>
    <n v="0"/>
    <n v="0"/>
    <n v="4"/>
    <n v="38874"/>
    <n v="42008.403361344543"/>
    <n v="1"/>
    <n v="3"/>
    <n v="1"/>
    <n v="0"/>
    <n v="0"/>
    <n v="0"/>
    <n v="58311"/>
    <n v="20544.75"/>
    <n v="0"/>
    <n v="0"/>
    <n v="3"/>
    <n v="58311"/>
    <n v="42008.403361344543"/>
    <n v="1"/>
    <n v="2"/>
    <n v="1"/>
    <n v="0"/>
    <n v="0"/>
    <m/>
    <n v="41089.5"/>
    <n v="20544.75"/>
    <n v="0"/>
    <n v="0"/>
    <n v="2"/>
    <n v="41089.5"/>
    <n v="42008.403361344543"/>
    <n v="0"/>
    <n v="1"/>
    <n v="0"/>
    <n v="0"/>
    <n v="0"/>
    <n v="0"/>
    <m/>
    <n v="20544.75"/>
    <n v="0"/>
    <n v="0"/>
    <n v="0"/>
    <n v="1"/>
    <n v="20544.75"/>
    <n v="0"/>
    <n v="0"/>
    <n v="1"/>
    <n v="0"/>
    <n v="0"/>
    <n v="0"/>
    <n v="20544.75"/>
    <n v="0"/>
    <n v="0"/>
    <n v="0"/>
    <n v="1"/>
    <n v="20544.75"/>
    <n v="0"/>
    <n v="0"/>
    <n v="1"/>
    <n v="0"/>
    <n v="0"/>
    <n v="0"/>
    <n v="20544.75"/>
    <n v="0"/>
    <n v="0"/>
    <n v="1"/>
    <n v="20544.75"/>
    <n v="0"/>
    <n v="0"/>
    <n v="1"/>
    <n v="0"/>
    <n v="0"/>
    <m/>
    <n v="20544.75"/>
    <n v="0"/>
    <n v="0"/>
    <n v="1"/>
    <n v="20544.75"/>
    <n v="0"/>
  </r>
  <r>
    <s v="Lhotse-Vestuario"/>
    <x v="1"/>
    <x v="16"/>
    <x v="40"/>
    <s v="LTW25-MPK09"/>
    <x v="348"/>
    <x v="274"/>
    <x v="0"/>
    <x v="6"/>
    <n v="1"/>
    <x v="12"/>
    <n v="2"/>
    <m/>
    <n v="0"/>
    <n v="29567"/>
    <n v="59134"/>
    <n v="28"/>
    <n v="30589.999999999996"/>
    <n v="58815.126050420171"/>
    <n v="42008.403361344543"/>
    <s v="Shenzhen"/>
    <x v="0"/>
    <n v="30"/>
    <n v="1"/>
    <n v="0"/>
    <s v=""/>
    <n v="0"/>
    <s v=""/>
    <n v="0"/>
    <s v=""/>
    <n v="0"/>
    <s v=""/>
    <n v="3"/>
    <n v="0.60901911639485162"/>
    <n v="0"/>
    <s v=""/>
    <n v="7"/>
    <n v="0.1949652846657409"/>
    <n v="0"/>
    <s v=""/>
    <n v="0"/>
    <s v=""/>
    <n v="2"/>
    <n v="0.43696877945671103"/>
    <n v="0"/>
    <s v=""/>
    <n v="0"/>
    <n v="0.99993815413891574"/>
    <n v="1"/>
    <s v=""/>
    <n v="2"/>
    <s v=""/>
    <n v="1"/>
    <s v=""/>
    <n v="0"/>
    <s v=""/>
    <n v="0"/>
    <n v="5"/>
    <s v=""/>
    <n v="0"/>
    <n v="0"/>
    <s v=""/>
    <n v="0"/>
    <n v="0"/>
    <s v=""/>
    <n v="0"/>
    <n v="5"/>
    <n v="11"/>
    <n v="5"/>
    <n v="0"/>
    <n v="0"/>
    <n v="0"/>
    <n v="266103"/>
    <n v="318779.99999999994"/>
    <n v="147835"/>
    <n v="0"/>
    <n v="2"/>
    <n v="59134"/>
    <n v="247122.37836310995"/>
    <n v="1"/>
    <n v="6"/>
    <n v="3"/>
    <n v="0"/>
    <n v="0"/>
    <n v="0"/>
    <n v="118268"/>
    <n v="173879.99999999997"/>
    <n v="88701"/>
    <n v="0"/>
    <n v="2"/>
    <n v="59134"/>
    <n v="148273.42701786599"/>
    <n v="1"/>
    <n v="5"/>
    <n v="1"/>
    <n v="0"/>
    <n v="0"/>
    <n v="29567"/>
    <n v="147835"/>
    <n v="29567"/>
    <n v="0"/>
    <n v="2"/>
    <n v="59134"/>
    <n v="58815.126050420171"/>
    <n v="2"/>
    <n v="5"/>
    <n v="0"/>
    <n v="0"/>
    <n v="0"/>
    <n v="144899.99999999997"/>
    <n v="0"/>
    <x v="0"/>
    <x v="0"/>
    <n v="2"/>
    <n v="59134"/>
    <n v="0"/>
    <n v="0"/>
    <n v="7"/>
    <n v="0"/>
    <m/>
    <n v="0"/>
    <n v="0"/>
    <n v="206969"/>
    <n v="0"/>
    <x v="0"/>
    <n v="0"/>
    <n v="2"/>
    <n v="59134"/>
    <n v="0"/>
    <n v="0"/>
    <n v="2"/>
    <n v="0"/>
    <m/>
    <n v="0"/>
    <n v="0"/>
    <n v="59134"/>
    <n v="0"/>
    <n v="0"/>
    <n v="0"/>
    <n v="2"/>
    <n v="59134"/>
    <n v="0"/>
    <n v="1"/>
    <n v="2"/>
    <n v="1"/>
    <n v="0"/>
    <n v="0"/>
    <n v="0"/>
    <n v="59134"/>
    <n v="28979.999999999996"/>
    <n v="0"/>
    <n v="0"/>
    <n v="2"/>
    <n v="59134"/>
    <n v="58815.126050420171"/>
    <n v="1"/>
    <n v="1"/>
    <n v="1"/>
    <n v="0"/>
    <n v="0"/>
    <n v="0"/>
    <n v="29567"/>
    <n v="28979.999999999996"/>
    <n v="0"/>
    <n v="0"/>
    <n v="1"/>
    <n v="29567"/>
    <n v="58815.126050420171"/>
    <n v="1"/>
    <n v="0"/>
    <n v="1"/>
    <n v="0"/>
    <n v="0"/>
    <m/>
    <n v="0"/>
    <n v="28979.999999999996"/>
    <n v="0"/>
    <n v="0"/>
    <n v="0"/>
    <n v="0"/>
    <n v="58815.12605042017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49"/>
    <x v="274"/>
    <x v="0"/>
    <x v="6"/>
    <n v="1"/>
    <x v="12"/>
    <n v="12"/>
    <m/>
    <n v="0"/>
    <n v="29567"/>
    <n v="354804"/>
    <n v="28"/>
    <n v="30589.999999999996"/>
    <n v="58815.126050420171"/>
    <n v="42008.403361344543"/>
    <s v="Shenzhen"/>
    <x v="0"/>
    <n v="30"/>
    <n v="1"/>
    <n v="0"/>
    <s v=""/>
    <n v="0"/>
    <s v=""/>
    <n v="0"/>
    <s v=""/>
    <n v="1"/>
    <n v="0.43783470673353975"/>
    <n v="0"/>
    <s v=""/>
    <n v="3"/>
    <n v="0.41930457165340751"/>
    <n v="30"/>
    <n v="0.22372218042000724"/>
    <n v="2"/>
    <n v="0.41349621121070906"/>
    <n v="0"/>
    <s v=""/>
    <n v="5"/>
    <n v="0.49730757198623526"/>
    <n v="0"/>
    <s v=""/>
    <n v="2"/>
    <n v="0.38902951842706146"/>
    <n v="0"/>
    <s v=""/>
    <n v="2"/>
    <s v=""/>
    <n v="2"/>
    <s v=""/>
    <n v="0"/>
    <s v=""/>
    <n v="0"/>
    <n v="3"/>
    <s v=""/>
    <n v="0.16666666666666666"/>
    <n v="10"/>
    <s v=""/>
    <n v="2.5"/>
    <n v="3"/>
    <s v=""/>
    <n v="0.375"/>
    <n v="7"/>
    <n v="14"/>
    <n v="7"/>
    <n v="0"/>
    <n v="0"/>
    <n v="0"/>
    <n v="354804"/>
    <n v="405719.99999999994"/>
    <n v="206969"/>
    <n v="0"/>
    <n v="12"/>
    <n v="354804"/>
    <n v="345971.32970835397"/>
    <n v="2"/>
    <n v="26"/>
    <n v="3"/>
    <n v="0"/>
    <n v="0"/>
    <n v="0"/>
    <n v="147835"/>
    <n v="753479.99999999988"/>
    <n v="88701"/>
    <n v="0"/>
    <n v="12"/>
    <n v="354804"/>
    <n v="148273.42701786599"/>
    <n v="3"/>
    <n v="25"/>
    <n v="2"/>
    <n v="0"/>
    <n v="0"/>
    <n v="580774"/>
    <n v="739175"/>
    <n v="59134"/>
    <n v="0"/>
    <n v="12"/>
    <n v="354804"/>
    <n v="117630.25210084034"/>
    <n v="3"/>
    <n v="23"/>
    <n v="0"/>
    <n v="0"/>
    <n v="0"/>
    <n v="666539.99999999988"/>
    <n v="0"/>
    <x v="0"/>
    <x v="0"/>
    <n v="12"/>
    <n v="354804"/>
    <n v="0"/>
    <n v="18"/>
    <n v="15"/>
    <n v="18"/>
    <m/>
    <n v="0"/>
    <n v="0"/>
    <n v="443505"/>
    <n v="521639.99999999994"/>
    <x v="0"/>
    <n v="0"/>
    <n v="12"/>
    <n v="354804"/>
    <n v="1058672.2689075631"/>
    <n v="4"/>
    <n v="22"/>
    <n v="10"/>
    <m/>
    <n v="0"/>
    <n v="0"/>
    <n v="650474"/>
    <n v="289799.99999999994"/>
    <n v="0"/>
    <n v="0"/>
    <n v="22"/>
    <n v="354804"/>
    <n v="588151.26050420175"/>
    <n v="8"/>
    <n v="15"/>
    <n v="8"/>
    <n v="0"/>
    <n v="0"/>
    <n v="0"/>
    <n v="443505"/>
    <n v="231839.99999999997"/>
    <n v="0"/>
    <n v="0"/>
    <n v="15"/>
    <n v="354804"/>
    <n v="470521.00840336137"/>
    <n v="8"/>
    <n v="7"/>
    <n v="8"/>
    <n v="0"/>
    <n v="0"/>
    <n v="0"/>
    <n v="206969"/>
    <n v="231839.99999999997"/>
    <n v="0"/>
    <n v="0"/>
    <n v="7"/>
    <n v="206969"/>
    <n v="470521.00840336137"/>
    <n v="8"/>
    <n v="0"/>
    <n v="8"/>
    <n v="0"/>
    <n v="0"/>
    <m/>
    <n v="0"/>
    <n v="231839.99999999997"/>
    <n v="0"/>
    <n v="0"/>
    <n v="0"/>
    <n v="0"/>
    <n v="470521.0084033613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50"/>
    <x v="274"/>
    <x v="0"/>
    <x v="6"/>
    <n v="1"/>
    <x v="12"/>
    <n v="43"/>
    <m/>
    <n v="0"/>
    <n v="29567"/>
    <n v="1271381"/>
    <n v="28"/>
    <n v="30589.999999999996"/>
    <n v="58815.126050420171"/>
    <n v="42008.403361344543"/>
    <s v="Shenzhen"/>
    <x v="0"/>
    <n v="30"/>
    <n v="1"/>
    <n v="0"/>
    <s v=""/>
    <n v="0"/>
    <s v=""/>
    <n v="0"/>
    <s v=""/>
    <n v="1"/>
    <n v="8.1171576420198437E-6"/>
    <n v="1"/>
    <n v="0.47474222774915625"/>
    <n v="9"/>
    <n v="0.33392182826247491"/>
    <n v="28"/>
    <n v="0.13865542441444298"/>
    <n v="5"/>
    <n v="0.41349757994128389"/>
    <n v="1"/>
    <n v="0.41349757994128383"/>
    <n v="11"/>
    <n v="0.37891126167760264"/>
    <n v="0"/>
    <n v="0.99997143920029741"/>
    <n v="0"/>
    <s v=""/>
    <n v="0"/>
    <s v=""/>
    <n v="3"/>
    <s v=""/>
    <n v="2"/>
    <s v=""/>
    <n v="1"/>
    <s v=""/>
    <n v="0.2"/>
    <n v="1"/>
    <s v=""/>
    <n v="0.2"/>
    <n v="4"/>
    <s v=""/>
    <n v="0.44444444444444442"/>
    <n v="4"/>
    <s v=""/>
    <n v="0.25"/>
    <n v="20"/>
    <n v="48"/>
    <n v="20"/>
    <n v="0"/>
    <n v="0"/>
    <n v="0"/>
    <n v="783525.5"/>
    <n v="1391039.9999999998"/>
    <n v="591340"/>
    <n v="0"/>
    <n v="43"/>
    <n v="1271381"/>
    <n v="988489.5134524398"/>
    <n v="3"/>
    <n v="54"/>
    <n v="4.5"/>
    <n v="0"/>
    <n v="0"/>
    <n v="0"/>
    <n v="221752.5"/>
    <n v="1564919.9999999998"/>
    <n v="133051.5"/>
    <n v="0"/>
    <n v="43"/>
    <n v="1271381"/>
    <n v="222410.14052679896"/>
    <n v="8"/>
    <n v="51"/>
    <n v="2"/>
    <n v="0"/>
    <n v="0"/>
    <n v="233600.99999999997"/>
    <n v="1507917"/>
    <n v="59134"/>
    <n v="0"/>
    <n v="43"/>
    <n v="1271381"/>
    <n v="117630.25210084034"/>
    <n v="5"/>
    <n v="47"/>
    <n v="1"/>
    <n v="0"/>
    <n v="0"/>
    <n v="1362059.9999999998"/>
    <n v="29567"/>
    <x v="0"/>
    <x v="0"/>
    <n v="43"/>
    <n v="1271381"/>
    <n v="58815.126050420171"/>
    <n v="5"/>
    <n v="44"/>
    <n v="5"/>
    <m/>
    <n v="0"/>
    <n v="0"/>
    <n v="1300948"/>
    <n v="144899.99999999997"/>
    <x v="0"/>
    <n v="0"/>
    <n v="43"/>
    <n v="1271381"/>
    <n v="294075.63025210088"/>
    <n v="9"/>
    <n v="47"/>
    <n v="4"/>
    <m/>
    <n v="0"/>
    <n v="0"/>
    <n v="1389649"/>
    <n v="115919.99999999999"/>
    <n v="0"/>
    <n v="0"/>
    <n v="47"/>
    <n v="1271381"/>
    <n v="235260.50420168068"/>
    <n v="16"/>
    <n v="47"/>
    <n v="16"/>
    <n v="0"/>
    <n v="0"/>
    <n v="0"/>
    <n v="1389649"/>
    <n v="463679.99999999994"/>
    <n v="0"/>
    <n v="0"/>
    <n v="47"/>
    <n v="1271381"/>
    <n v="941042.01680672274"/>
    <n v="16"/>
    <n v="31"/>
    <n v="16"/>
    <n v="0"/>
    <n v="0"/>
    <n v="0"/>
    <n v="916577"/>
    <n v="463679.99999999994"/>
    <n v="0"/>
    <n v="0"/>
    <n v="31"/>
    <n v="916577"/>
    <n v="941042.01680672274"/>
    <n v="16"/>
    <n v="15"/>
    <n v="16"/>
    <n v="0"/>
    <n v="0"/>
    <m/>
    <n v="434699.99999999994"/>
    <n v="463679.99999999994"/>
    <n v="0"/>
    <n v="0"/>
    <n v="15"/>
    <n v="434699.99999999994"/>
    <n v="941042.0168067227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51"/>
    <x v="274"/>
    <x v="0"/>
    <x v="6"/>
    <n v="1"/>
    <x v="12"/>
    <n v="8"/>
    <m/>
    <n v="0"/>
    <n v="29567"/>
    <n v="236536"/>
    <n v="28"/>
    <n v="30589.999999999996"/>
    <n v="58815.126050420171"/>
    <n v="42008.403361344543"/>
    <s v="Shenzhen"/>
    <x v="0"/>
    <n v="30"/>
    <n v="1"/>
    <n v="0"/>
    <s v=""/>
    <n v="0"/>
    <s v=""/>
    <n v="0"/>
    <s v=""/>
    <n v="0"/>
    <s v=""/>
    <n v="0"/>
    <s v=""/>
    <n v="2"/>
    <n v="0.45863334248832738"/>
    <n v="3"/>
    <n v="0.12016842731736344"/>
    <n v="0"/>
    <s v=""/>
    <n v="2"/>
    <n v="0.56013969368551808"/>
    <n v="2"/>
    <n v="0.43696620868919422"/>
    <n v="3"/>
    <n v="2.247906105355962E-2"/>
    <n v="3"/>
    <n v="0.46979102532682182"/>
    <n v="0"/>
    <s v=""/>
    <n v="2"/>
    <s v=""/>
    <n v="0"/>
    <s v=""/>
    <n v="0"/>
    <s v=""/>
    <n v="0"/>
    <n v="1"/>
    <s v=""/>
    <n v="0.33333333333333331"/>
    <n v="1"/>
    <s v=""/>
    <n v="1"/>
    <n v="1"/>
    <s v=""/>
    <n v="0.33333333333333331"/>
    <n v="5"/>
    <n v="8"/>
    <n v="5"/>
    <n v="0"/>
    <n v="0"/>
    <n v="0"/>
    <n v="236536"/>
    <n v="231839.99999999997"/>
    <n v="147835"/>
    <n v="0"/>
    <n v="8"/>
    <n v="236536"/>
    <n v="247122.37836310995"/>
    <n v="0"/>
    <n v="8"/>
    <n v="3"/>
    <n v="0"/>
    <n v="0"/>
    <n v="0"/>
    <n v="88701"/>
    <n v="231839.99999999997"/>
    <n v="88701"/>
    <n v="0"/>
    <n v="8"/>
    <n v="236536"/>
    <n v="148273.42701786599"/>
    <n v="0"/>
    <n v="7"/>
    <n v="0"/>
    <n v="0"/>
    <n v="0"/>
    <n v="86939.999999999985"/>
    <n v="206969"/>
    <n v="0"/>
    <n v="0"/>
    <n v="8"/>
    <n v="236536"/>
    <n v="0"/>
    <n v="0"/>
    <n v="7"/>
    <n v="0"/>
    <n v="0"/>
    <n v="0"/>
    <n v="202859.99999999997"/>
    <n v="0"/>
    <x v="0"/>
    <x v="0"/>
    <n v="8"/>
    <n v="236536"/>
    <n v="0"/>
    <n v="3"/>
    <n v="9"/>
    <n v="3"/>
    <m/>
    <n v="0"/>
    <n v="0"/>
    <n v="266103"/>
    <n v="86939.999999999985"/>
    <x v="0"/>
    <n v="0"/>
    <n v="8"/>
    <n v="236536"/>
    <n v="176445.37815126052"/>
    <n v="1"/>
    <n v="9"/>
    <n v="1"/>
    <m/>
    <n v="0"/>
    <n v="0"/>
    <n v="266103"/>
    <n v="28979.999999999996"/>
    <n v="0"/>
    <n v="0"/>
    <n v="9"/>
    <n v="236536"/>
    <n v="58815.126050420171"/>
    <n v="3"/>
    <n v="9"/>
    <n v="3"/>
    <n v="0"/>
    <n v="0"/>
    <n v="0"/>
    <n v="266103"/>
    <n v="86939.999999999985"/>
    <n v="0"/>
    <n v="0"/>
    <n v="9"/>
    <n v="236536"/>
    <n v="176445.37815126052"/>
    <n v="3"/>
    <n v="6"/>
    <n v="3"/>
    <n v="0"/>
    <n v="0"/>
    <n v="0"/>
    <n v="177402"/>
    <n v="86939.999999999985"/>
    <n v="0"/>
    <n v="0"/>
    <n v="6"/>
    <n v="177402"/>
    <n v="176445.37815126052"/>
    <n v="3"/>
    <n v="3"/>
    <n v="3"/>
    <n v="0"/>
    <n v="0"/>
    <m/>
    <n v="86939.999999999985"/>
    <n v="86939.999999999985"/>
    <n v="0"/>
    <n v="0"/>
    <n v="3"/>
    <n v="86939.999999999985"/>
    <n v="176445.3781512605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52"/>
    <x v="274"/>
    <x v="0"/>
    <x v="6"/>
    <n v="1"/>
    <x v="12"/>
    <n v="28"/>
    <m/>
    <n v="0"/>
    <n v="29567"/>
    <n v="827876"/>
    <n v="28"/>
    <n v="30589.999999999996"/>
    <n v="58815.126050420171"/>
    <n v="42008.403361344543"/>
    <s v="Shenzhen"/>
    <x v="0"/>
    <n v="30"/>
    <n v="1"/>
    <n v="0"/>
    <s v=""/>
    <n v="0"/>
    <s v=""/>
    <n v="0"/>
    <s v=""/>
    <n v="0"/>
    <s v=""/>
    <n v="2"/>
    <n v="0.54102660691924798"/>
    <n v="2"/>
    <n v="0.18151367511903443"/>
    <n v="2"/>
    <n v="0.41349757994128383"/>
    <n v="1"/>
    <n v="0.38262387504959183"/>
    <n v="2"/>
    <n v="0.53082784557038365"/>
    <n v="2"/>
    <n v="0.29616644448676455"/>
    <n v="23"/>
    <n v="0.16212990251643619"/>
    <n v="2"/>
    <n v="0.43238080611255625"/>
    <n v="0"/>
    <s v=""/>
    <n v="1"/>
    <s v=""/>
    <n v="0"/>
    <s v=""/>
    <n v="0"/>
    <s v=""/>
    <n v="0"/>
    <n v="2"/>
    <s v=""/>
    <n v="1"/>
    <n v="2"/>
    <s v=""/>
    <n v="1"/>
    <n v="2"/>
    <s v=""/>
    <n v="0.2"/>
    <n v="0"/>
    <n v="26"/>
    <n v="0"/>
    <n v="0"/>
    <n v="0"/>
    <n v="0"/>
    <n v="44350.5"/>
    <n v="753479.99999999988"/>
    <n v="0"/>
    <n v="0"/>
    <n v="28"/>
    <n v="827876"/>
    <n v="0"/>
    <n v="0"/>
    <n v="29"/>
    <n v="1.5"/>
    <n v="0"/>
    <n v="0"/>
    <n v="0"/>
    <n v="44350.5"/>
    <n v="840419.99999999988"/>
    <n v="44350.5"/>
    <n v="0"/>
    <n v="28"/>
    <n v="827876"/>
    <n v="74136.713508932997"/>
    <n v="0"/>
    <n v="30"/>
    <n v="0"/>
    <n v="0"/>
    <n v="0"/>
    <n v="57959.999999999993"/>
    <n v="887010"/>
    <n v="0"/>
    <n v="0"/>
    <n v="28"/>
    <n v="827876"/>
    <n v="0"/>
    <n v="0"/>
    <n v="30"/>
    <n v="0"/>
    <n v="0"/>
    <n v="0"/>
    <n v="869399.99999999988"/>
    <n v="0"/>
    <x v="0"/>
    <x v="0"/>
    <n v="28"/>
    <n v="827876"/>
    <n v="0"/>
    <n v="2"/>
    <n v="30"/>
    <n v="2"/>
    <m/>
    <n v="0"/>
    <n v="0"/>
    <n v="887010"/>
    <n v="57959.999999999993"/>
    <x v="0"/>
    <n v="0"/>
    <n v="28"/>
    <n v="827876"/>
    <n v="117630.25210084034"/>
    <n v="2"/>
    <n v="30"/>
    <n v="2"/>
    <m/>
    <n v="0"/>
    <n v="0"/>
    <n v="887010"/>
    <n v="57959.999999999993"/>
    <n v="0"/>
    <n v="0"/>
    <n v="30"/>
    <n v="827876"/>
    <n v="117630.25210084034"/>
    <n v="10"/>
    <n v="30"/>
    <n v="10"/>
    <n v="0"/>
    <n v="0"/>
    <n v="0"/>
    <n v="887010"/>
    <n v="289799.99999999994"/>
    <n v="0"/>
    <n v="0"/>
    <n v="30"/>
    <n v="827876"/>
    <n v="588151.26050420175"/>
    <n v="10"/>
    <n v="20"/>
    <n v="10"/>
    <n v="0"/>
    <n v="0"/>
    <n v="0"/>
    <n v="591340"/>
    <n v="289799.99999999994"/>
    <n v="0"/>
    <n v="0"/>
    <n v="20"/>
    <n v="591340"/>
    <n v="588151.26050420175"/>
    <n v="10"/>
    <n v="10"/>
    <n v="10"/>
    <n v="0"/>
    <n v="0"/>
    <m/>
    <n v="289799.99999999994"/>
    <n v="289799.99999999994"/>
    <n v="0"/>
    <n v="0"/>
    <n v="10"/>
    <n v="289799.99999999994"/>
    <n v="588151.2605042017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53"/>
    <x v="274"/>
    <x v="0"/>
    <x v="6"/>
    <n v="1"/>
    <x v="12"/>
    <n v="63"/>
    <m/>
    <n v="0"/>
    <n v="29567"/>
    <n v="1862721"/>
    <n v="28"/>
    <n v="30589.999999999996"/>
    <n v="58815.126050420171"/>
    <n v="42008.403361344543"/>
    <s v="Shenzhen"/>
    <x v="0"/>
    <n v="30"/>
    <n v="1"/>
    <n v="0"/>
    <s v=""/>
    <n v="0"/>
    <s v=""/>
    <n v="0"/>
    <s v=""/>
    <n v="1"/>
    <s v=""/>
    <n v="1"/>
    <n v="0.47474222774915625"/>
    <n v="7"/>
    <n v="0.36543392878860503"/>
    <n v="9"/>
    <n v="0.32474177898277667"/>
    <n v="2"/>
    <n v="0.32971151993289582"/>
    <n v="0"/>
    <n v="1.0000000000000002"/>
    <n v="6"/>
    <n v="0.47084959210153465"/>
    <n v="14"/>
    <n v="0.16212990251643628"/>
    <n v="3"/>
    <n v="0.48277910597455315"/>
    <n v="0"/>
    <s v=""/>
    <n v="0"/>
    <s v=""/>
    <n v="2"/>
    <s v=""/>
    <n v="2"/>
    <s v=""/>
    <n v="0.33333333333333331"/>
    <n v="4"/>
    <s v=""/>
    <n v="4"/>
    <n v="2"/>
    <s v=""/>
    <n v="0.2857142857142857"/>
    <n v="0"/>
    <s v=""/>
    <n v="0"/>
    <n v="20"/>
    <n v="65"/>
    <n v="20"/>
    <n v="0"/>
    <n v="0"/>
    <n v="0"/>
    <n v="650474"/>
    <n v="1883699.9999999998"/>
    <n v="591340"/>
    <n v="0"/>
    <n v="63"/>
    <n v="1862721"/>
    <n v="988489.5134524398"/>
    <n v="3"/>
    <n v="70"/>
    <n v="0"/>
    <n v="0"/>
    <n v="0"/>
    <n v="0"/>
    <n v="118268"/>
    <n v="2028599.9999999998"/>
    <n v="0"/>
    <n v="0"/>
    <n v="63"/>
    <n v="1862721"/>
    <n v="0"/>
    <n v="6"/>
    <n v="70"/>
    <n v="2"/>
    <n v="0"/>
    <n v="0"/>
    <n v="147248"/>
    <n v="2069690"/>
    <n v="59134"/>
    <n v="0"/>
    <n v="63"/>
    <n v="1862721"/>
    <n v="117630.25210084034"/>
    <n v="6"/>
    <n v="69"/>
    <n v="2"/>
    <n v="0"/>
    <n v="0"/>
    <n v="1999619.9999999998"/>
    <n v="59134"/>
    <x v="0"/>
    <x v="0"/>
    <n v="63"/>
    <n v="1862721"/>
    <n v="117630.25210084034"/>
    <n v="1"/>
    <n v="67"/>
    <n v="1"/>
    <m/>
    <n v="0"/>
    <n v="0"/>
    <n v="1980989"/>
    <n v="28979.999999999996"/>
    <x v="0"/>
    <n v="0"/>
    <n v="63"/>
    <n v="1862721"/>
    <n v="58815.126050420171"/>
    <n v="7"/>
    <n v="65"/>
    <n v="2"/>
    <m/>
    <n v="0"/>
    <n v="0"/>
    <n v="1921855"/>
    <n v="57959.999999999993"/>
    <n v="0"/>
    <n v="0"/>
    <n v="65"/>
    <n v="1862721"/>
    <n v="117630.25210084034"/>
    <n v="22"/>
    <n v="63"/>
    <n v="22"/>
    <n v="0"/>
    <n v="0"/>
    <n v="0"/>
    <n v="1862721"/>
    <n v="637559.99999999988"/>
    <n v="0"/>
    <n v="0"/>
    <n v="63"/>
    <n v="1862721"/>
    <n v="1293932.7731092437"/>
    <n v="22"/>
    <n v="41"/>
    <n v="22"/>
    <n v="0"/>
    <n v="0"/>
    <n v="0"/>
    <n v="1212247"/>
    <n v="637559.99999999988"/>
    <n v="0"/>
    <n v="0"/>
    <n v="41"/>
    <n v="1212247"/>
    <n v="1293932.7731092437"/>
    <n v="22"/>
    <n v="19"/>
    <n v="22"/>
    <n v="0"/>
    <n v="0"/>
    <m/>
    <n v="550619.99999999988"/>
    <n v="637559.99999999988"/>
    <n v="0"/>
    <n v="0"/>
    <n v="19"/>
    <n v="550619.99999999988"/>
    <n v="1293932.773109243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54"/>
    <x v="275"/>
    <x v="0"/>
    <x v="0"/>
    <n v="1"/>
    <x v="177"/>
    <n v="24"/>
    <m/>
    <n v="0"/>
    <n v="3853"/>
    <n v="92472"/>
    <n v="3.6"/>
    <n v="3932.9999999999995"/>
    <n v="8394.957983193277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1"/>
    <s v=""/>
    <n v="0"/>
    <s v=""/>
    <n v="0"/>
    <s v=""/>
    <n v="0"/>
    <n v="0"/>
    <s v=""/>
    <n v="0"/>
    <n v="1"/>
    <s v=""/>
    <n v="0.23809523809523808"/>
    <n v="0"/>
    <s v=""/>
    <n v="0"/>
    <n v="4"/>
    <n v="33"/>
    <n v="4"/>
    <n v="0"/>
    <n v="0"/>
    <n v="0"/>
    <n v="21191.5"/>
    <n v="122957.99999999999"/>
    <n v="15412"/>
    <n v="0"/>
    <n v="24"/>
    <n v="92472"/>
    <n v="28218.34616199421"/>
    <n v="2"/>
    <n v="27"/>
    <n v="1.5"/>
    <n v="0"/>
    <n v="0"/>
    <n v="0"/>
    <n v="5779.5"/>
    <n v="100601.99999999999"/>
    <n v="5779.5"/>
    <n v="0"/>
    <n v="24"/>
    <n v="92472"/>
    <n v="10581.879810747829"/>
    <n v="1.62"/>
    <n v="26"/>
    <n v="0"/>
    <n v="0"/>
    <n v="0"/>
    <n v="5216.3999999999987"/>
    <n v="100178"/>
    <n v="0"/>
    <n v="0"/>
    <n v="24"/>
    <n v="92472"/>
    <n v="0"/>
    <n v="1.4"/>
    <n v="26"/>
    <n v="0"/>
    <n v="0"/>
    <n v="0"/>
    <n v="96875.999999999985"/>
    <n v="0"/>
    <x v="0"/>
    <x v="0"/>
    <n v="24"/>
    <n v="92472"/>
    <n v="0"/>
    <n v="1.4"/>
    <n v="24"/>
    <n v="1.4"/>
    <m/>
    <n v="0"/>
    <n v="0"/>
    <n v="92472"/>
    <n v="5216.3999999999987"/>
    <x v="0"/>
    <n v="0"/>
    <n v="24"/>
    <n v="92472"/>
    <n v="11752.941176470587"/>
    <n v="4.2"/>
    <n v="25"/>
    <n v="1"/>
    <m/>
    <n v="0"/>
    <n v="0"/>
    <n v="96325"/>
    <n v="3725.9999999999995"/>
    <n v="0"/>
    <n v="0"/>
    <n v="25"/>
    <n v="92472"/>
    <n v="8394.957983193277"/>
    <n v="8"/>
    <n v="24"/>
    <n v="8"/>
    <n v="0"/>
    <n v="0"/>
    <n v="0"/>
    <n v="92472"/>
    <n v="29807.999999999996"/>
    <n v="0"/>
    <n v="0"/>
    <n v="24"/>
    <n v="92472"/>
    <n v="67159.663865546216"/>
    <n v="8"/>
    <n v="16"/>
    <n v="8"/>
    <n v="0"/>
    <n v="0"/>
    <n v="0"/>
    <n v="61648"/>
    <n v="29807.999999999996"/>
    <n v="0"/>
    <n v="0"/>
    <n v="16"/>
    <n v="61648"/>
    <n v="67159.663865546216"/>
    <n v="8"/>
    <n v="8"/>
    <n v="8"/>
    <n v="0"/>
    <n v="0"/>
    <m/>
    <n v="29807.999999999996"/>
    <n v="29807.999999999996"/>
    <n v="0"/>
    <n v="0"/>
    <n v="8"/>
    <n v="29807.999999999996"/>
    <n v="67159.66386554621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55"/>
    <x v="275"/>
    <x v="0"/>
    <x v="0"/>
    <n v="1"/>
    <x v="178"/>
    <n v="41"/>
    <m/>
    <n v="0"/>
    <n v="3853"/>
    <n v="157973"/>
    <n v="3.6"/>
    <n v="3932.9999999999995"/>
    <n v="8394.957983193277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4103633114949379"/>
    <n v="14"/>
    <s v=""/>
    <n v="1"/>
    <s v=""/>
    <n v="0"/>
    <s v=""/>
    <n v="0"/>
    <s v=""/>
    <n v="0"/>
    <n v="0"/>
    <s v=""/>
    <n v="0"/>
    <n v="1"/>
    <s v=""/>
    <n v="0.16666666666666666"/>
    <n v="1"/>
    <s v=""/>
    <n v="7.1428571428571425E-2"/>
    <n v="5"/>
    <n v="58"/>
    <n v="5"/>
    <n v="0"/>
    <n v="0"/>
    <n v="0"/>
    <n v="25044.5"/>
    <n v="216107.99999999997"/>
    <n v="19265"/>
    <n v="0"/>
    <n v="41"/>
    <n v="157973"/>
    <n v="35272.932702492762"/>
    <n v="4"/>
    <n v="44"/>
    <n v="1.5"/>
    <n v="0"/>
    <n v="0"/>
    <n v="0"/>
    <n v="5779.5"/>
    <n v="163943.99999999997"/>
    <n v="5779.5"/>
    <n v="0"/>
    <n v="41"/>
    <n v="157973"/>
    <n v="10581.879810747829"/>
    <n v="3.4019999999999997"/>
    <n v="43"/>
    <n v="0"/>
    <n v="0"/>
    <n v="0"/>
    <n v="7451.9999999999991"/>
    <n v="165679"/>
    <n v="0"/>
    <n v="0"/>
    <n v="41"/>
    <n v="157973"/>
    <n v="0"/>
    <n v="2.9"/>
    <n v="43"/>
    <n v="0"/>
    <n v="0"/>
    <n v="0"/>
    <n v="160217.99999999997"/>
    <n v="0"/>
    <x v="0"/>
    <x v="0"/>
    <n v="41"/>
    <n v="157973"/>
    <n v="0"/>
    <n v="2"/>
    <n v="41"/>
    <n v="2"/>
    <m/>
    <n v="0"/>
    <n v="0"/>
    <n v="157973"/>
    <n v="7451.9999999999991"/>
    <x v="0"/>
    <n v="0"/>
    <n v="41"/>
    <n v="157973"/>
    <n v="16789.915966386554"/>
    <n v="6"/>
    <n v="42"/>
    <n v="1"/>
    <m/>
    <n v="0"/>
    <n v="0"/>
    <n v="161826"/>
    <n v="3725.9999999999995"/>
    <n v="0"/>
    <n v="0"/>
    <n v="42"/>
    <n v="157973"/>
    <n v="8394.957983193277"/>
    <n v="14"/>
    <n v="42"/>
    <n v="14"/>
    <n v="0"/>
    <n v="0"/>
    <n v="0"/>
    <n v="161826"/>
    <n v="52163.999999999993"/>
    <n v="0"/>
    <n v="0"/>
    <n v="42"/>
    <n v="157973"/>
    <n v="117529.41176470587"/>
    <n v="14"/>
    <n v="28"/>
    <n v="14"/>
    <n v="0"/>
    <n v="0"/>
    <n v="0"/>
    <n v="107884"/>
    <n v="52163.999999999993"/>
    <n v="0"/>
    <n v="0"/>
    <n v="28"/>
    <n v="107884"/>
    <n v="117529.41176470587"/>
    <n v="14"/>
    <n v="14"/>
    <n v="14"/>
    <n v="0"/>
    <n v="0"/>
    <m/>
    <n v="52163.999999999993"/>
    <n v="52163.999999999993"/>
    <n v="0"/>
    <n v="0"/>
    <n v="14"/>
    <n v="52163.999999999993"/>
    <n v="117529.4117647058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56"/>
    <x v="275"/>
    <x v="0"/>
    <x v="0"/>
    <n v="1"/>
    <x v="179"/>
    <n v="14"/>
    <m/>
    <n v="0"/>
    <n v="3853"/>
    <n v="53942"/>
    <n v="3.6"/>
    <n v="3932.9999999999995"/>
    <n v="8394.957983193277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0904168922577152"/>
    <n v="8"/>
    <n v="0.1497985211846172"/>
    <n v="24"/>
    <s v=""/>
    <n v="1"/>
    <s v=""/>
    <n v="4"/>
    <s v=""/>
    <n v="1"/>
    <s v=""/>
    <n v="0.25"/>
    <n v="2"/>
    <s v=""/>
    <n v="0.66666666666666663"/>
    <n v="1"/>
    <s v=""/>
    <n v="0.12048192771084336"/>
    <n v="0"/>
    <s v=""/>
    <n v="0"/>
    <n v="5"/>
    <n v="49"/>
    <n v="5"/>
    <n v="0"/>
    <n v="0"/>
    <n v="0"/>
    <n v="40456.5"/>
    <n v="182573.99999999997"/>
    <n v="19265"/>
    <n v="0"/>
    <n v="14"/>
    <n v="53942"/>
    <n v="35272.932702492762"/>
    <n v="4"/>
    <n v="25"/>
    <n v="1.5"/>
    <n v="0"/>
    <n v="0"/>
    <n v="0"/>
    <n v="25044.5"/>
    <n v="93149.999999999985"/>
    <n v="5779.5"/>
    <n v="0"/>
    <n v="14"/>
    <n v="53942"/>
    <n v="10581.879810747829"/>
    <n v="2.9159999999999999"/>
    <n v="24"/>
    <n v="4"/>
    <n v="0"/>
    <n v="0"/>
    <n v="30443"/>
    <n v="92472"/>
    <n v="15412"/>
    <n v="0"/>
    <n v="14"/>
    <n v="53942"/>
    <n v="33579.831932773108"/>
    <n v="4"/>
    <n v="19"/>
    <n v="1"/>
    <n v="0"/>
    <n v="0"/>
    <n v="70793.999999999985"/>
    <n v="3853"/>
    <x v="0"/>
    <x v="0"/>
    <n v="14"/>
    <n v="53942"/>
    <n v="8394.957983193277"/>
    <n v="3"/>
    <n v="16"/>
    <n v="3"/>
    <m/>
    <n v="0"/>
    <n v="0"/>
    <n v="61648"/>
    <n v="11177.999999999998"/>
    <x v="0"/>
    <n v="0"/>
    <n v="14"/>
    <n v="53942"/>
    <n v="25184.873949579829"/>
    <n v="8.3000000000000007"/>
    <n v="15"/>
    <n v="1"/>
    <m/>
    <n v="0"/>
    <n v="0"/>
    <n v="57795"/>
    <n v="3725.9999999999995"/>
    <n v="0"/>
    <n v="0"/>
    <n v="15"/>
    <n v="53942"/>
    <n v="8394.957983193277"/>
    <n v="5"/>
    <n v="14"/>
    <n v="5"/>
    <n v="0"/>
    <n v="0"/>
    <n v="0"/>
    <n v="53942"/>
    <n v="18629.999999999996"/>
    <n v="0"/>
    <n v="0"/>
    <n v="14"/>
    <n v="53942"/>
    <n v="41974.789915966387"/>
    <n v="5"/>
    <n v="9"/>
    <n v="5"/>
    <n v="0"/>
    <n v="0"/>
    <n v="0"/>
    <n v="34677"/>
    <n v="18629.999999999996"/>
    <n v="0"/>
    <n v="0"/>
    <n v="9"/>
    <n v="34677"/>
    <n v="41974.789915966387"/>
    <n v="5"/>
    <n v="4"/>
    <n v="5"/>
    <n v="0"/>
    <n v="0"/>
    <m/>
    <n v="14903.999999999998"/>
    <n v="18629.999999999996"/>
    <n v="0"/>
    <n v="0"/>
    <n v="4"/>
    <n v="14903.999999999998"/>
    <n v="41974.78991596638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57"/>
    <x v="275"/>
    <x v="0"/>
    <x v="0"/>
    <n v="1"/>
    <x v="180"/>
    <n v="0"/>
    <m/>
    <n v="0"/>
    <n v="3853"/>
    <n v="0"/>
    <n v="3.6"/>
    <n v="3932.9999999999995"/>
    <n v="8394.957983193277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25280382934906631"/>
    <n v="14"/>
    <s v=""/>
    <n v="0"/>
    <s v=""/>
    <n v="0"/>
    <s v=""/>
    <n v="2"/>
    <s v=""/>
    <n v="0.5"/>
    <n v="2"/>
    <s v=""/>
    <n v="0.66666666666666663"/>
    <n v="6"/>
    <s v=""/>
    <n v="0.75"/>
    <n v="1"/>
    <s v=""/>
    <n v="0.5"/>
    <n v="4"/>
    <n v="26"/>
    <n v="4"/>
    <n v="0"/>
    <n v="0"/>
    <n v="0"/>
    <n v="15412"/>
    <n v="96875.999999999985"/>
    <n v="15412"/>
    <n v="0"/>
    <n v="0"/>
    <n v="0"/>
    <n v="28218.34616199421"/>
    <n v="2"/>
    <n v="12"/>
    <n v="0"/>
    <n v="0"/>
    <n v="0"/>
    <n v="0"/>
    <n v="7706"/>
    <n v="44711.999999999993"/>
    <n v="0"/>
    <n v="0"/>
    <n v="0"/>
    <n v="0"/>
    <n v="0"/>
    <n v="2"/>
    <n v="12"/>
    <n v="0"/>
    <n v="0"/>
    <n v="0"/>
    <n v="18884"/>
    <n v="46236"/>
    <n v="0"/>
    <n v="0"/>
    <n v="0"/>
    <n v="0"/>
    <n v="0"/>
    <n v="4"/>
    <n v="12"/>
    <n v="2"/>
    <n v="0"/>
    <n v="0"/>
    <n v="44711.999999999993"/>
    <n v="7706"/>
    <x v="0"/>
    <x v="0"/>
    <n v="0"/>
    <n v="0"/>
    <n v="16789.915966386554"/>
    <n v="3"/>
    <n v="2"/>
    <n v="3"/>
    <m/>
    <n v="0"/>
    <n v="0"/>
    <n v="7706"/>
    <n v="11177.999999999998"/>
    <x v="0"/>
    <n v="0"/>
    <n v="0"/>
    <n v="0"/>
    <n v="25184.873949579829"/>
    <n v="8"/>
    <n v="6"/>
    <n v="6"/>
    <m/>
    <n v="0"/>
    <n v="0"/>
    <n v="23118"/>
    <n v="22355.999999999996"/>
    <n v="0"/>
    <n v="0"/>
    <n v="6"/>
    <n v="0"/>
    <n v="50369.747899159658"/>
    <n v="2"/>
    <n v="1"/>
    <n v="2"/>
    <n v="0"/>
    <n v="0"/>
    <n v="0"/>
    <n v="3853"/>
    <n v="7451.9999999999991"/>
    <n v="0"/>
    <n v="0"/>
    <n v="1"/>
    <n v="0"/>
    <n v="16789.915966386554"/>
    <n v="2"/>
    <n v="0"/>
    <n v="2"/>
    <n v="0"/>
    <n v="0"/>
    <n v="0"/>
    <n v="0"/>
    <n v="7451.9999999999991"/>
    <n v="0"/>
    <n v="0"/>
    <n v="0"/>
    <n v="0"/>
    <n v="16789.915966386554"/>
    <n v="2"/>
    <n v="0"/>
    <n v="2"/>
    <n v="0"/>
    <n v="0"/>
    <m/>
    <n v="0"/>
    <n v="7451.9999999999991"/>
    <n v="0"/>
    <n v="0"/>
    <n v="0"/>
    <n v="0"/>
    <n v="16789.9159663865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58"/>
    <x v="275"/>
    <x v="0"/>
    <x v="0"/>
    <n v="1"/>
    <x v="181"/>
    <n v="25"/>
    <m/>
    <n v="0"/>
    <n v="3853"/>
    <n v="96325"/>
    <n v="3.6"/>
    <n v="3932.9999999999995"/>
    <n v="8394.957983193277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1544521802858192"/>
    <n v="1"/>
    <n v="0.54103633114949379"/>
    <n v="4"/>
    <s v=""/>
    <n v="1"/>
    <s v=""/>
    <n v="0"/>
    <s v=""/>
    <n v="1"/>
    <s v=""/>
    <n v="0.33333333333333331"/>
    <n v="0"/>
    <s v=""/>
    <n v="0"/>
    <n v="0"/>
    <s v=""/>
    <n v="0"/>
    <n v="0"/>
    <s v=""/>
    <n v="0"/>
    <n v="4"/>
    <n v="33"/>
    <n v="4"/>
    <n v="0"/>
    <n v="0"/>
    <n v="0"/>
    <n v="21191.5"/>
    <n v="122957.99999999999"/>
    <n v="15412"/>
    <n v="0"/>
    <n v="25"/>
    <n v="96325"/>
    <n v="28218.34616199421"/>
    <n v="2"/>
    <n v="29"/>
    <n v="1.5"/>
    <n v="0"/>
    <n v="0"/>
    <n v="0"/>
    <n v="9632.5"/>
    <n v="108053.99999999999"/>
    <n v="5779.5"/>
    <n v="0"/>
    <n v="25"/>
    <n v="96325"/>
    <n v="10581.879810747829"/>
    <n v="2"/>
    <n v="28"/>
    <n v="0"/>
    <n v="0"/>
    <n v="0"/>
    <n v="11305"/>
    <n v="107884"/>
    <n v="0"/>
    <n v="0"/>
    <n v="25"/>
    <n v="96325"/>
    <n v="0"/>
    <n v="3"/>
    <n v="28"/>
    <n v="1"/>
    <n v="0"/>
    <n v="0"/>
    <n v="104327.99999999999"/>
    <n v="3853"/>
    <x v="0"/>
    <x v="0"/>
    <n v="25"/>
    <n v="96325"/>
    <n v="8394.957983193277"/>
    <n v="2"/>
    <n v="25"/>
    <n v="2"/>
    <m/>
    <n v="0"/>
    <n v="0"/>
    <n v="96325"/>
    <n v="7451.9999999999991"/>
    <x v="0"/>
    <n v="0"/>
    <n v="25"/>
    <n v="96325"/>
    <n v="16789.915966386554"/>
    <n v="6"/>
    <n v="25"/>
    <n v="0"/>
    <m/>
    <n v="0"/>
    <n v="0"/>
    <n v="96325"/>
    <n v="0"/>
    <n v="0"/>
    <n v="0"/>
    <n v="25"/>
    <n v="96325"/>
    <n v="0"/>
    <n v="8"/>
    <n v="25"/>
    <n v="8"/>
    <n v="0"/>
    <n v="0"/>
    <n v="0"/>
    <n v="96325"/>
    <n v="29807.999999999996"/>
    <n v="0"/>
    <n v="0"/>
    <n v="25"/>
    <n v="96325"/>
    <n v="67159.663865546216"/>
    <n v="8"/>
    <n v="17"/>
    <n v="8"/>
    <n v="0"/>
    <n v="0"/>
    <n v="0"/>
    <n v="65501"/>
    <n v="29807.999999999996"/>
    <n v="0"/>
    <n v="0"/>
    <n v="17"/>
    <n v="65501"/>
    <n v="67159.663865546216"/>
    <n v="8"/>
    <n v="9"/>
    <n v="8"/>
    <n v="0"/>
    <n v="0"/>
    <m/>
    <n v="33533.999999999993"/>
    <n v="29807.999999999996"/>
    <n v="0"/>
    <n v="0"/>
    <n v="9"/>
    <n v="33533.999999999993"/>
    <n v="67159.663865546216"/>
    <n v="0"/>
    <n v="1"/>
    <n v="0"/>
    <n v="0"/>
    <n v="0"/>
    <n v="0"/>
    <m/>
    <n v="3725.9999999999995"/>
    <n v="0"/>
    <n v="0"/>
    <n v="0"/>
    <n v="1"/>
    <n v="3725.9999999999995"/>
    <n v="0"/>
    <n v="0"/>
    <n v="1"/>
    <n v="0"/>
    <n v="0"/>
    <n v="0"/>
    <n v="3725.9999999999995"/>
    <n v="0"/>
    <n v="0"/>
    <n v="0"/>
    <n v="1"/>
    <n v="3725.9999999999995"/>
    <n v="0"/>
    <n v="0"/>
    <n v="1"/>
    <n v="0"/>
    <n v="0"/>
    <n v="0"/>
    <n v="3725.9999999999995"/>
    <n v="0"/>
    <n v="0"/>
    <n v="1"/>
    <n v="3725.9999999999995"/>
    <n v="0"/>
    <n v="0"/>
    <n v="1"/>
    <n v="0"/>
    <n v="0"/>
    <m/>
    <n v="3725.9999999999995"/>
    <n v="0"/>
    <n v="0"/>
    <n v="1"/>
    <n v="3725.9999999999995"/>
    <n v="0"/>
  </r>
  <r>
    <m/>
    <x v="1"/>
    <x v="16"/>
    <x v="38"/>
    <s v="LTS26-MTS01"/>
    <x v="359"/>
    <x v="275"/>
    <x v="0"/>
    <x v="0"/>
    <n v="1"/>
    <x v="182"/>
    <n v="48"/>
    <m/>
    <n v="0"/>
    <n v="3853"/>
    <n v="184944"/>
    <n v="3.6"/>
    <n v="3932.9999999999995"/>
    <n v="8394.957983193277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28712733351908609"/>
    <n v="8"/>
    <s v=""/>
    <n v="1"/>
    <s v=""/>
    <n v="0"/>
    <s v=""/>
    <n v="0"/>
    <s v=""/>
    <n v="0"/>
    <n v="0"/>
    <s v=""/>
    <n v="0"/>
    <n v="3"/>
    <s v=""/>
    <n v="0.5"/>
    <n v="1"/>
    <s v=""/>
    <n v="5.8823529411764705E-2"/>
    <n v="5"/>
    <n v="61"/>
    <n v="5"/>
    <n v="0"/>
    <n v="0"/>
    <n v="0"/>
    <n v="25044.5"/>
    <n v="227285.99999999997"/>
    <n v="19265"/>
    <n v="0"/>
    <n v="48"/>
    <n v="184944"/>
    <n v="35272.932702492762"/>
    <n v="4"/>
    <n v="53"/>
    <n v="1.5"/>
    <n v="0"/>
    <n v="0"/>
    <n v="0"/>
    <n v="5779.5"/>
    <n v="197477.99999999997"/>
    <n v="5779.5"/>
    <n v="0"/>
    <n v="48"/>
    <n v="184944"/>
    <n v="10581.879810747829"/>
    <n v="3"/>
    <n v="52"/>
    <n v="0"/>
    <n v="0"/>
    <n v="0"/>
    <n v="7451.9999999999991"/>
    <n v="200356"/>
    <n v="0"/>
    <n v="0"/>
    <n v="48"/>
    <n v="184944"/>
    <n v="0"/>
    <n v="3"/>
    <n v="52"/>
    <n v="0"/>
    <n v="0"/>
    <n v="0"/>
    <n v="193751.99999999997"/>
    <n v="0"/>
    <x v="0"/>
    <x v="0"/>
    <n v="48"/>
    <n v="184944"/>
    <n v="0"/>
    <n v="2"/>
    <n v="48"/>
    <n v="2"/>
    <m/>
    <n v="0"/>
    <n v="0"/>
    <n v="184944"/>
    <n v="7451.9999999999991"/>
    <x v="0"/>
    <n v="0"/>
    <n v="48"/>
    <n v="184944"/>
    <n v="16789.915966386554"/>
    <n v="6"/>
    <n v="51"/>
    <n v="3"/>
    <m/>
    <n v="0"/>
    <n v="0"/>
    <n v="196503"/>
    <n v="11177.999999999998"/>
    <n v="0"/>
    <n v="0"/>
    <n v="51"/>
    <n v="184944"/>
    <n v="25184.873949579829"/>
    <n v="17"/>
    <n v="49"/>
    <n v="17"/>
    <n v="0"/>
    <n v="0"/>
    <n v="0"/>
    <n v="188797"/>
    <n v="63341.999999999993"/>
    <n v="0"/>
    <n v="0"/>
    <n v="49"/>
    <n v="184944"/>
    <n v="142714.28571428571"/>
    <n v="17"/>
    <n v="32"/>
    <n v="17"/>
    <n v="0"/>
    <n v="0"/>
    <n v="0"/>
    <n v="123296"/>
    <n v="63341.999999999993"/>
    <n v="0"/>
    <n v="0"/>
    <n v="32"/>
    <n v="123296"/>
    <n v="142714.28571428571"/>
    <n v="17"/>
    <n v="15"/>
    <n v="17"/>
    <n v="0"/>
    <n v="0"/>
    <m/>
    <n v="55889.999999999993"/>
    <n v="63341.999999999993"/>
    <n v="0"/>
    <n v="0"/>
    <n v="15"/>
    <n v="55889.999999999993"/>
    <n v="142714.2857142857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0"/>
    <x v="275"/>
    <x v="0"/>
    <x v="0"/>
    <n v="1"/>
    <x v="183"/>
    <n v="25"/>
    <m/>
    <n v="0"/>
    <n v="3853"/>
    <n v="96325"/>
    <n v="3.6"/>
    <n v="3932.9999999999995"/>
    <n v="8394.957983193277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30904168922577152"/>
    <n v="1"/>
    <n v="0.51692577733199596"/>
    <n v="17"/>
    <s v=""/>
    <n v="4"/>
    <s v=""/>
    <n v="1"/>
    <s v=""/>
    <n v="2"/>
    <s v=""/>
    <n v="0.5"/>
    <n v="1"/>
    <s v=""/>
    <n v="0.33333333333333331"/>
    <n v="7"/>
    <s v=""/>
    <n v="0.875"/>
    <n v="1"/>
    <s v=""/>
    <n v="9.0909090909090912E-2"/>
    <n v="5"/>
    <n v="61"/>
    <n v="5"/>
    <n v="0"/>
    <n v="0"/>
    <n v="0"/>
    <n v="46236"/>
    <n v="227285.99999999997"/>
    <n v="19265"/>
    <n v="0"/>
    <n v="25"/>
    <n v="96325"/>
    <n v="35272.932702492762"/>
    <n v="4"/>
    <n v="40"/>
    <n v="6"/>
    <n v="0"/>
    <n v="0"/>
    <n v="0"/>
    <n v="34677"/>
    <n v="149039.99999999997"/>
    <n v="23118"/>
    <n v="0"/>
    <n v="25"/>
    <n v="96325"/>
    <n v="42327.519242991315"/>
    <n v="6"/>
    <n v="36"/>
    <n v="1"/>
    <n v="0"/>
    <n v="0"/>
    <n v="22737"/>
    <n v="138708"/>
    <n v="3853"/>
    <n v="0"/>
    <n v="25"/>
    <n v="96325"/>
    <n v="8394.957983193277"/>
    <n v="4"/>
    <n v="35"/>
    <n v="2"/>
    <n v="0"/>
    <n v="0"/>
    <n v="130409.99999999999"/>
    <n v="7706"/>
    <x v="0"/>
    <x v="0"/>
    <n v="25"/>
    <n v="96325"/>
    <n v="16789.915966386554"/>
    <n v="3"/>
    <n v="26"/>
    <n v="3"/>
    <m/>
    <n v="0"/>
    <n v="0"/>
    <n v="100178"/>
    <n v="11177.999999999998"/>
    <x v="0"/>
    <n v="0"/>
    <n v="25"/>
    <n v="96325"/>
    <n v="25184.873949579829"/>
    <n v="8"/>
    <n v="32"/>
    <n v="7"/>
    <m/>
    <n v="0"/>
    <n v="0"/>
    <n v="123296"/>
    <n v="26081.999999999996"/>
    <n v="0"/>
    <n v="0"/>
    <n v="32"/>
    <n v="96325"/>
    <n v="58764.705882352937"/>
    <n v="11"/>
    <n v="26"/>
    <n v="11"/>
    <n v="0"/>
    <n v="0"/>
    <n v="0"/>
    <n v="100178"/>
    <n v="40985.999999999993"/>
    <n v="0"/>
    <n v="0"/>
    <n v="26"/>
    <n v="96325"/>
    <n v="92344.537815126052"/>
    <n v="11"/>
    <n v="15"/>
    <n v="11"/>
    <n v="0"/>
    <n v="0"/>
    <n v="0"/>
    <n v="57795"/>
    <n v="40985.999999999993"/>
    <n v="0"/>
    <n v="0"/>
    <n v="15"/>
    <n v="57795"/>
    <n v="92344.537815126052"/>
    <n v="11"/>
    <n v="4"/>
    <n v="11"/>
    <n v="0"/>
    <n v="0"/>
    <m/>
    <n v="14903.999999999998"/>
    <n v="40985.999999999993"/>
    <n v="0"/>
    <n v="0"/>
    <n v="4"/>
    <n v="14903.999999999998"/>
    <n v="92344.53781512605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1"/>
    <x v="275"/>
    <x v="0"/>
    <x v="0"/>
    <n v="1"/>
    <x v="184"/>
    <n v="0"/>
    <m/>
    <n v="0"/>
    <n v="3853"/>
    <n v="0"/>
    <n v="3.6"/>
    <n v="3932.9999999999995"/>
    <n v="8394.957983193277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000661813368629"/>
    <n v="22"/>
    <s v=""/>
    <n v="2"/>
    <s v=""/>
    <n v="0"/>
    <s v=""/>
    <n v="0"/>
    <s v=""/>
    <n v="0"/>
    <n v="0"/>
    <s v=""/>
    <n v="0"/>
    <n v="2"/>
    <s v=""/>
    <n v="0.25"/>
    <n v="0"/>
    <s v=""/>
    <n v="0"/>
    <n v="4"/>
    <n v="29"/>
    <n v="4"/>
    <n v="0"/>
    <n v="0"/>
    <n v="0"/>
    <n v="26971"/>
    <n v="108053.99999999999"/>
    <n v="15412"/>
    <n v="0"/>
    <n v="0"/>
    <n v="0"/>
    <n v="28218.34616199421"/>
    <n v="2"/>
    <n v="4"/>
    <n v="3"/>
    <n v="0"/>
    <n v="0"/>
    <n v="0"/>
    <n v="11559"/>
    <n v="14903.999999999998"/>
    <n v="11559"/>
    <n v="0"/>
    <n v="0"/>
    <n v="0"/>
    <n v="21163.759621495657"/>
    <n v="2"/>
    <n v="2"/>
    <n v="0"/>
    <n v="0"/>
    <n v="0"/>
    <n v="11177.999999999998"/>
    <n v="7706"/>
    <n v="0"/>
    <n v="0"/>
    <n v="0"/>
    <n v="0"/>
    <n v="0"/>
    <n v="4"/>
    <n v="0"/>
    <n v="0"/>
    <n v="0"/>
    <n v="0"/>
    <n v="0"/>
    <n v="0"/>
    <x v="0"/>
    <x v="0"/>
    <n v="0"/>
    <n v="0"/>
    <n v="0"/>
    <n v="3"/>
    <n v="0"/>
    <n v="3"/>
    <m/>
    <n v="0"/>
    <n v="0"/>
    <n v="0"/>
    <n v="11177.999999999998"/>
    <x v="0"/>
    <n v="0"/>
    <n v="0"/>
    <n v="0"/>
    <n v="25184.873949579829"/>
    <n v="8"/>
    <n v="2"/>
    <n v="2"/>
    <m/>
    <n v="0"/>
    <n v="0"/>
    <n v="7706"/>
    <n v="7451.9999999999991"/>
    <n v="0"/>
    <n v="0"/>
    <n v="2"/>
    <n v="0"/>
    <n v="16789.915966386554"/>
    <n v="1"/>
    <n v="0"/>
    <n v="1"/>
    <n v="0"/>
    <n v="0"/>
    <n v="0"/>
    <n v="0"/>
    <n v="3725.9999999999995"/>
    <n v="0"/>
    <n v="0"/>
    <n v="0"/>
    <n v="0"/>
    <n v="8394.957983193277"/>
    <n v="1"/>
    <n v="0"/>
    <n v="1"/>
    <n v="0"/>
    <n v="0"/>
    <n v="0"/>
    <n v="0"/>
    <n v="3725.9999999999995"/>
    <n v="0"/>
    <n v="0"/>
    <n v="0"/>
    <n v="0"/>
    <n v="8394.957983193277"/>
    <n v="1"/>
    <n v="0"/>
    <n v="1"/>
    <n v="0"/>
    <n v="0"/>
    <m/>
    <n v="0"/>
    <n v="3725.9999999999995"/>
    <n v="0"/>
    <n v="0"/>
    <n v="0"/>
    <n v="0"/>
    <n v="8394.9579831932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2"/>
    <x v="275"/>
    <x v="0"/>
    <x v="0"/>
    <n v="1"/>
    <x v="185"/>
    <n v="23"/>
    <m/>
    <n v="0"/>
    <n v="3853"/>
    <n v="88619"/>
    <n v="3.6"/>
    <n v="3932.9999999999995"/>
    <n v="10915.966386554623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103633114949379"/>
    <n v="4"/>
    <s v=""/>
    <n v="0"/>
    <s v=""/>
    <n v="1"/>
    <s v=""/>
    <n v="1"/>
    <s v=""/>
    <n v="0.33333333333333331"/>
    <n v="0"/>
    <s v=""/>
    <n v="0"/>
    <n v="0"/>
    <s v=""/>
    <n v="0"/>
    <n v="0"/>
    <s v=""/>
    <n v="0"/>
    <n v="4"/>
    <n v="32"/>
    <n v="4"/>
    <n v="0"/>
    <n v="0"/>
    <n v="0"/>
    <n v="19265"/>
    <n v="119231.99999999999"/>
    <n v="15412"/>
    <n v="0"/>
    <n v="23"/>
    <n v="88619"/>
    <n v="36692.323988418902"/>
    <n v="2"/>
    <n v="26"/>
    <n v="0"/>
    <n v="0"/>
    <n v="0"/>
    <n v="0"/>
    <n v="7706"/>
    <n v="96875.999999999985"/>
    <n v="0"/>
    <n v="0"/>
    <n v="23"/>
    <n v="88619"/>
    <n v="0"/>
    <n v="2"/>
    <n v="26"/>
    <n v="1"/>
    <n v="0"/>
    <n v="0"/>
    <n v="15158"/>
    <n v="100178"/>
    <n v="3853"/>
    <n v="0"/>
    <n v="23"/>
    <n v="88619"/>
    <n v="10915.966386554623"/>
    <n v="3"/>
    <n v="24"/>
    <n v="1"/>
    <n v="0"/>
    <n v="0"/>
    <n v="89423.999999999985"/>
    <n v="3853"/>
    <x v="0"/>
    <x v="0"/>
    <n v="23"/>
    <n v="88619"/>
    <n v="10915.966386554623"/>
    <n v="2"/>
    <n v="23"/>
    <n v="2"/>
    <m/>
    <n v="0"/>
    <n v="0"/>
    <n v="88619"/>
    <n v="7451.9999999999991"/>
    <x v="0"/>
    <n v="0"/>
    <n v="23"/>
    <n v="88619"/>
    <n v="21831.932773109245"/>
    <n v="6"/>
    <n v="23"/>
    <n v="0"/>
    <m/>
    <n v="0"/>
    <n v="0"/>
    <n v="88619"/>
    <n v="0"/>
    <n v="0"/>
    <n v="0"/>
    <n v="23"/>
    <n v="88619"/>
    <n v="0"/>
    <n v="8"/>
    <n v="23"/>
    <n v="8"/>
    <n v="0"/>
    <n v="0"/>
    <n v="0"/>
    <n v="88619"/>
    <n v="29807.999999999996"/>
    <n v="0"/>
    <n v="0"/>
    <n v="23"/>
    <n v="88619"/>
    <n v="87327.731092436981"/>
    <n v="8"/>
    <n v="15"/>
    <n v="8"/>
    <n v="0"/>
    <n v="0"/>
    <n v="0"/>
    <n v="57795"/>
    <n v="29807.999999999996"/>
    <n v="0"/>
    <n v="0"/>
    <n v="15"/>
    <n v="57795"/>
    <n v="87327.731092436981"/>
    <n v="8"/>
    <n v="7"/>
    <n v="8"/>
    <n v="0"/>
    <n v="0"/>
    <m/>
    <n v="26081.999999999996"/>
    <n v="29807.999999999996"/>
    <n v="0"/>
    <n v="0"/>
    <n v="7"/>
    <n v="26081.999999999996"/>
    <n v="87327.73109243698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3"/>
    <x v="275"/>
    <x v="0"/>
    <x v="0"/>
    <n v="1"/>
    <x v="186"/>
    <n v="44"/>
    <m/>
    <n v="0"/>
    <n v="3853"/>
    <n v="169532"/>
    <n v="3.6"/>
    <n v="3932.9999999999995"/>
    <n v="10915.966386554623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1544521802858192"/>
    <n v="0"/>
    <s v=""/>
    <n v="10"/>
    <s v=""/>
    <n v="0"/>
    <s v=""/>
    <n v="2"/>
    <s v=""/>
    <n v="1"/>
    <s v=""/>
    <n v="0.33333333333333331"/>
    <n v="0"/>
    <s v=""/>
    <n v="0"/>
    <n v="5"/>
    <s v=""/>
    <n v="0.83333333333333337"/>
    <n v="1"/>
    <s v=""/>
    <n v="5.8823529411764705E-2"/>
    <n v="5"/>
    <n v="62"/>
    <n v="5"/>
    <n v="0"/>
    <n v="0"/>
    <n v="0"/>
    <n v="26971"/>
    <n v="231011.99999999997"/>
    <n v="19265"/>
    <n v="0"/>
    <n v="44"/>
    <n v="169532"/>
    <n v="45865.40498552363"/>
    <n v="4"/>
    <n v="52"/>
    <n v="0"/>
    <n v="0"/>
    <n v="0"/>
    <n v="0"/>
    <n v="11559"/>
    <n v="193751.99999999997"/>
    <n v="0"/>
    <n v="0"/>
    <n v="44"/>
    <n v="169532"/>
    <n v="0"/>
    <n v="3"/>
    <n v="52"/>
    <n v="2"/>
    <n v="0"/>
    <n v="0"/>
    <n v="19011"/>
    <n v="200356"/>
    <n v="7706"/>
    <n v="0"/>
    <n v="44"/>
    <n v="169532"/>
    <n v="21831.932773109245"/>
    <n v="3"/>
    <n v="49"/>
    <n v="1"/>
    <n v="0"/>
    <n v="0"/>
    <n v="182573.99999999997"/>
    <n v="3853"/>
    <x v="0"/>
    <x v="0"/>
    <n v="44"/>
    <n v="169532"/>
    <n v="10915.966386554623"/>
    <n v="2"/>
    <n v="44"/>
    <n v="2"/>
    <m/>
    <n v="0"/>
    <n v="0"/>
    <n v="169532"/>
    <n v="7451.9999999999991"/>
    <x v="0"/>
    <n v="0"/>
    <n v="44"/>
    <n v="169532"/>
    <n v="21831.932773109245"/>
    <n v="6"/>
    <n v="49"/>
    <n v="5"/>
    <m/>
    <n v="0"/>
    <n v="0"/>
    <n v="188797"/>
    <n v="18629.999999999996"/>
    <n v="0"/>
    <n v="0"/>
    <n v="49"/>
    <n v="169532"/>
    <n v="54579.831932773115"/>
    <n v="17"/>
    <n v="45"/>
    <n v="17"/>
    <n v="0"/>
    <n v="0"/>
    <n v="0"/>
    <n v="173385"/>
    <n v="63341.999999999993"/>
    <n v="0"/>
    <n v="0"/>
    <n v="45"/>
    <n v="169532"/>
    <n v="185571.42857142858"/>
    <n v="17"/>
    <n v="28"/>
    <n v="17"/>
    <n v="0"/>
    <n v="0"/>
    <n v="0"/>
    <n v="107884"/>
    <n v="63341.999999999993"/>
    <n v="0"/>
    <n v="0"/>
    <n v="28"/>
    <n v="107884"/>
    <n v="185571.42857142858"/>
    <n v="17"/>
    <n v="11"/>
    <n v="17"/>
    <n v="0"/>
    <n v="0"/>
    <m/>
    <n v="40985.999999999993"/>
    <n v="63341.999999999993"/>
    <n v="0"/>
    <n v="0"/>
    <n v="11"/>
    <n v="40985.999999999993"/>
    <n v="185571.4285714285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4"/>
    <x v="275"/>
    <x v="0"/>
    <x v="0"/>
    <n v="1"/>
    <x v="187"/>
    <n v="3"/>
    <m/>
    <n v="0"/>
    <n v="3853"/>
    <n v="11559"/>
    <n v="3.6"/>
    <n v="3932.9999999999995"/>
    <n v="10915.966386554623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4856734499421493"/>
    <n v="2"/>
    <n v="0.37083605486610061"/>
    <n v="29"/>
    <s v=""/>
    <n v="3"/>
    <s v=""/>
    <n v="7"/>
    <s v=""/>
    <n v="3"/>
    <s v=""/>
    <n v="0.75"/>
    <n v="1"/>
    <s v=""/>
    <n v="0.33333333333333331"/>
    <n v="8"/>
    <s v=""/>
    <n v="1"/>
    <n v="0"/>
    <s v=""/>
    <n v="0"/>
    <n v="5"/>
    <n v="52"/>
    <n v="5"/>
    <n v="0"/>
    <n v="0"/>
    <n v="0"/>
    <n v="63574.5"/>
    <n v="193751.99999999997"/>
    <n v="19265"/>
    <n v="0"/>
    <n v="3"/>
    <n v="11559"/>
    <n v="45865.40498552363"/>
    <n v="4"/>
    <n v="23"/>
    <n v="4.5"/>
    <n v="0"/>
    <n v="0"/>
    <n v="0"/>
    <n v="55868.5"/>
    <n v="85697.999999999985"/>
    <n v="17338.5"/>
    <n v="0"/>
    <n v="3"/>
    <n v="11559"/>
    <n v="41278.864486971266"/>
    <n v="2.9000000000000004"/>
    <n v="20"/>
    <n v="7"/>
    <n v="0"/>
    <n v="0"/>
    <n v="49708"/>
    <n v="77060"/>
    <n v="26971"/>
    <n v="0"/>
    <n v="3"/>
    <n v="11559"/>
    <n v="76411.764705882364"/>
    <n v="4"/>
    <n v="12"/>
    <n v="3"/>
    <n v="0"/>
    <n v="0"/>
    <n v="44711.999999999993"/>
    <n v="11559"/>
    <x v="0"/>
    <x v="0"/>
    <n v="3"/>
    <n v="11559"/>
    <n v="32747.899159663866"/>
    <n v="3"/>
    <n v="4"/>
    <n v="3"/>
    <m/>
    <n v="0"/>
    <n v="0"/>
    <n v="15412"/>
    <n v="11177.999999999998"/>
    <x v="0"/>
    <n v="0"/>
    <n v="3"/>
    <n v="11559"/>
    <n v="32747.899159663866"/>
    <n v="8"/>
    <n v="11"/>
    <n v="8"/>
    <m/>
    <n v="0"/>
    <n v="0"/>
    <n v="42383"/>
    <n v="29807.999999999996"/>
    <n v="0"/>
    <n v="0"/>
    <n v="11"/>
    <n v="11559"/>
    <n v="87327.731092436981"/>
    <n v="4"/>
    <n v="3"/>
    <n v="4"/>
    <n v="0"/>
    <n v="0"/>
    <n v="0"/>
    <n v="11559"/>
    <n v="14903.999999999998"/>
    <n v="0"/>
    <n v="0"/>
    <n v="3"/>
    <n v="11559"/>
    <n v="43663.865546218491"/>
    <n v="4"/>
    <n v="0"/>
    <n v="4"/>
    <n v="0"/>
    <n v="0"/>
    <n v="0"/>
    <n v="0"/>
    <n v="14903.999999999998"/>
    <n v="0"/>
    <n v="0"/>
    <n v="0"/>
    <n v="0"/>
    <n v="43663.865546218491"/>
    <n v="4"/>
    <n v="0"/>
    <n v="4"/>
    <n v="0"/>
    <n v="0"/>
    <m/>
    <n v="0"/>
    <n v="14903.999999999998"/>
    <n v="0"/>
    <n v="0"/>
    <n v="0"/>
    <n v="0"/>
    <n v="43663.86554621849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5"/>
    <x v="275"/>
    <x v="0"/>
    <x v="0"/>
    <n v="1"/>
    <x v="188"/>
    <n v="0"/>
    <m/>
    <n v="0"/>
    <n v="3853"/>
    <n v="0"/>
    <n v="3.6"/>
    <n v="3932.9999999999995"/>
    <n v="10915.966386554623"/>
    <n v="6714.285714285714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51686520376175549"/>
    <n v="21"/>
    <s v=""/>
    <n v="0"/>
    <s v=""/>
    <n v="0"/>
    <s v=""/>
    <n v="0"/>
    <s v=""/>
    <n v="0"/>
    <n v="0"/>
    <s v=""/>
    <n v="0"/>
    <n v="3"/>
    <s v=""/>
    <n v="0.375"/>
    <n v="0"/>
    <s v=""/>
    <n v="0"/>
    <n v="4"/>
    <n v="29"/>
    <n v="4"/>
    <n v="0"/>
    <n v="0"/>
    <n v="0"/>
    <n v="15412"/>
    <n v="108053.99999999999"/>
    <n v="15412"/>
    <n v="0"/>
    <n v="0"/>
    <n v="0"/>
    <n v="36692.323988418902"/>
    <n v="2"/>
    <n v="6"/>
    <n v="0"/>
    <n v="0"/>
    <n v="0"/>
    <n v="0"/>
    <n v="0"/>
    <n v="22355.999999999996"/>
    <n v="0"/>
    <n v="0"/>
    <n v="0"/>
    <n v="0"/>
    <n v="0"/>
    <n v="2"/>
    <n v="3"/>
    <n v="0"/>
    <n v="0"/>
    <n v="0"/>
    <n v="11177.999999999998"/>
    <n v="11559"/>
    <n v="0"/>
    <n v="0"/>
    <n v="0"/>
    <n v="0"/>
    <n v="0"/>
    <n v="4"/>
    <n v="0"/>
    <n v="0"/>
    <n v="0"/>
    <n v="0"/>
    <n v="0"/>
    <n v="0"/>
    <x v="0"/>
    <x v="0"/>
    <n v="0"/>
    <n v="0"/>
    <n v="0"/>
    <n v="3"/>
    <n v="0"/>
    <n v="3"/>
    <m/>
    <n v="0"/>
    <n v="0"/>
    <n v="0"/>
    <n v="11177.999999999998"/>
    <x v="0"/>
    <n v="0"/>
    <n v="0"/>
    <n v="0"/>
    <n v="32747.899159663866"/>
    <n v="8"/>
    <n v="3"/>
    <n v="3"/>
    <m/>
    <n v="0"/>
    <n v="0"/>
    <n v="11559"/>
    <n v="11177.999999999998"/>
    <n v="0"/>
    <n v="0"/>
    <n v="3"/>
    <n v="0"/>
    <n v="32747.899159663866"/>
    <n v="1"/>
    <n v="0"/>
    <n v="1"/>
    <n v="0"/>
    <n v="0"/>
    <n v="0"/>
    <n v="0"/>
    <n v="3725.9999999999995"/>
    <n v="0"/>
    <n v="0"/>
    <n v="0"/>
    <n v="0"/>
    <n v="10915.966386554623"/>
    <n v="1"/>
    <n v="0"/>
    <n v="1"/>
    <n v="0"/>
    <n v="0"/>
    <n v="0"/>
    <n v="0"/>
    <n v="3725.9999999999995"/>
    <n v="0"/>
    <n v="0"/>
    <n v="0"/>
    <n v="0"/>
    <n v="10915.966386554623"/>
    <n v="1"/>
    <n v="0"/>
    <n v="1"/>
    <n v="0"/>
    <n v="0"/>
    <m/>
    <n v="0"/>
    <n v="3725.9999999999995"/>
    <n v="0"/>
    <n v="0"/>
    <n v="0"/>
    <n v="0"/>
    <n v="10915.96638655462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D"/>
    <x v="366"/>
    <x v="276"/>
    <x v="0"/>
    <x v="0"/>
    <n v="1"/>
    <x v="189"/>
    <n v="20"/>
    <m/>
    <n v="0"/>
    <n v="5500"/>
    <n v="110000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378988326848249"/>
    <n v="4"/>
    <n v="0.43754961267894782"/>
    <n v="6"/>
    <s v=""/>
    <n v="1"/>
    <s v=""/>
    <n v="0"/>
    <s v=""/>
    <n v="0"/>
    <s v=""/>
    <n v="0"/>
    <n v="0"/>
    <s v=""/>
    <n v="0"/>
    <n v="0"/>
    <s v=""/>
    <n v="0"/>
    <n v="0"/>
    <s v=""/>
    <n v="0"/>
    <n v="3"/>
    <n v="22"/>
    <n v="4"/>
    <n v="0"/>
    <n v="0"/>
    <n v="0"/>
    <n v="30250"/>
    <n v="109296"/>
    <n v="22000"/>
    <n v="0"/>
    <n v="20"/>
    <n v="110000"/>
    <n v="42341.642539368695"/>
    <n v="2"/>
    <n v="21"/>
    <n v="1.5"/>
    <n v="0"/>
    <n v="0"/>
    <n v="0"/>
    <n v="8250"/>
    <n v="104328"/>
    <n v="8250"/>
    <n v="0"/>
    <n v="20"/>
    <n v="110000"/>
    <n v="15878.115952263261"/>
    <n v="2"/>
    <n v="20"/>
    <n v="0"/>
    <n v="0"/>
    <n v="0"/>
    <n v="9936"/>
    <n v="110000"/>
    <n v="0"/>
    <n v="0"/>
    <n v="20"/>
    <n v="110000"/>
    <n v="0"/>
    <n v="2"/>
    <n v="20"/>
    <n v="0"/>
    <n v="0"/>
    <n v="0"/>
    <n v="99360"/>
    <n v="0"/>
    <x v="0"/>
    <x v="0"/>
    <n v="20"/>
    <n v="110000"/>
    <n v="0"/>
    <n v="2"/>
    <n v="20"/>
    <n v="2"/>
    <m/>
    <n v="0"/>
    <n v="0"/>
    <n v="110000"/>
    <n v="9936"/>
    <x v="0"/>
    <n v="0"/>
    <n v="20"/>
    <n v="110000"/>
    <n v="25193.277310924372"/>
    <n v="6"/>
    <n v="20"/>
    <n v="0"/>
    <m/>
    <n v="0"/>
    <n v="0"/>
    <n v="110000"/>
    <n v="0"/>
    <n v="0"/>
    <n v="0"/>
    <n v="20"/>
    <n v="110000"/>
    <n v="0"/>
    <n v="7"/>
    <n v="20"/>
    <n v="7"/>
    <n v="0"/>
    <n v="0"/>
    <n v="0"/>
    <n v="110000"/>
    <n v="34776"/>
    <n v="0"/>
    <n v="0"/>
    <n v="20"/>
    <n v="110000"/>
    <n v="88176.470588235301"/>
    <n v="7"/>
    <n v="13"/>
    <n v="7"/>
    <n v="0"/>
    <n v="0"/>
    <n v="0"/>
    <n v="71500"/>
    <n v="34776"/>
    <n v="0"/>
    <n v="0"/>
    <n v="13"/>
    <n v="71500"/>
    <n v="88176.470588235301"/>
    <n v="7"/>
    <n v="6"/>
    <n v="7"/>
    <n v="0"/>
    <n v="0"/>
    <m/>
    <n v="29808"/>
    <n v="34776"/>
    <n v="0"/>
    <n v="0"/>
    <n v="6"/>
    <n v="29808"/>
    <n v="88176.47058823530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D"/>
    <x v="367"/>
    <x v="276"/>
    <x v="0"/>
    <x v="0"/>
    <n v="1"/>
    <x v="190"/>
    <n v="31"/>
    <m/>
    <n v="0"/>
    <n v="5381"/>
    <n v="166811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24159731113956467"/>
    <n v="23"/>
    <n v="0.47230931389625819"/>
    <n v="4"/>
    <s v=""/>
    <n v="1"/>
    <s v=""/>
    <n v="0"/>
    <s v=""/>
    <n v="2"/>
    <s v=""/>
    <n v="0.66666666666666663"/>
    <n v="1"/>
    <s v=""/>
    <n v="0.33333333333333331"/>
    <n v="3"/>
    <s v=""/>
    <n v="0.3"/>
    <n v="0"/>
    <s v=""/>
    <n v="0"/>
    <n v="8"/>
    <n v="37"/>
    <n v="2"/>
    <n v="0"/>
    <n v="0"/>
    <n v="0"/>
    <n v="18833.5"/>
    <n v="183816"/>
    <n v="10762"/>
    <n v="0"/>
    <n v="31"/>
    <n v="166811"/>
    <n v="21170.821269684347"/>
    <n v="5"/>
    <n v="38"/>
    <n v="1.5"/>
    <n v="0"/>
    <n v="0"/>
    <n v="0"/>
    <n v="18833.5"/>
    <n v="188784"/>
    <n v="8071.5"/>
    <n v="0"/>
    <n v="31"/>
    <n v="166811"/>
    <n v="15878.115952263261"/>
    <n v="5"/>
    <n v="37"/>
    <n v="0"/>
    <n v="0"/>
    <n v="0"/>
    <n v="25666"/>
    <n v="199097"/>
    <n v="0"/>
    <n v="0"/>
    <n v="31"/>
    <n v="166811"/>
    <n v="0"/>
    <n v="3"/>
    <n v="37"/>
    <n v="2"/>
    <n v="0"/>
    <n v="0"/>
    <n v="183816"/>
    <n v="10762"/>
    <x v="0"/>
    <x v="0"/>
    <n v="31"/>
    <n v="166811"/>
    <n v="25193.277310924372"/>
    <n v="3"/>
    <n v="32"/>
    <n v="3"/>
    <m/>
    <n v="0"/>
    <n v="0"/>
    <n v="172192"/>
    <n v="14904"/>
    <x v="0"/>
    <n v="0"/>
    <n v="31"/>
    <n v="166811"/>
    <n v="37789.915966386558"/>
    <n v="10"/>
    <n v="34"/>
    <n v="3"/>
    <m/>
    <n v="0"/>
    <n v="0"/>
    <n v="182954"/>
    <n v="14904"/>
    <n v="0"/>
    <n v="0"/>
    <n v="34"/>
    <n v="166811"/>
    <n v="37789.915966386558"/>
    <n v="11"/>
    <n v="31"/>
    <n v="11"/>
    <n v="0"/>
    <n v="0"/>
    <n v="0"/>
    <n v="166811"/>
    <n v="54648"/>
    <n v="0"/>
    <n v="0"/>
    <n v="31"/>
    <n v="166811"/>
    <n v="138563.02521008404"/>
    <n v="11"/>
    <n v="20"/>
    <n v="11"/>
    <n v="0"/>
    <n v="0"/>
    <n v="0"/>
    <n v="107620"/>
    <n v="54648"/>
    <n v="0"/>
    <n v="0"/>
    <n v="20"/>
    <n v="107620"/>
    <n v="138563.02521008404"/>
    <n v="11"/>
    <n v="9"/>
    <n v="11"/>
    <n v="0"/>
    <n v="0"/>
    <m/>
    <n v="44712"/>
    <n v="54648"/>
    <n v="0"/>
    <n v="0"/>
    <n v="9"/>
    <n v="44712"/>
    <n v="138563.0252100840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D"/>
    <x v="368"/>
    <x v="276"/>
    <x v="0"/>
    <x v="0"/>
    <n v="1"/>
    <x v="191"/>
    <n v="3"/>
    <m/>
    <n v="0"/>
    <n v="6238"/>
    <n v="18714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26147814154087434"/>
    <n v="39"/>
    <n v="0.44407581529352386"/>
    <n v="4"/>
    <s v=""/>
    <n v="2"/>
    <s v=""/>
    <n v="1"/>
    <s v=""/>
    <n v="1"/>
    <s v=""/>
    <n v="0.33333333333333331"/>
    <n v="0"/>
    <s v=""/>
    <n v="0"/>
    <n v="2"/>
    <s v=""/>
    <n v="0.2"/>
    <n v="0"/>
    <s v=""/>
    <n v="0"/>
    <n v="8"/>
    <n v="6"/>
    <n v="5"/>
    <n v="0"/>
    <n v="0"/>
    <n v="0"/>
    <n v="56142"/>
    <n v="29808"/>
    <n v="31190"/>
    <n v="0"/>
    <n v="3"/>
    <n v="18714"/>
    <n v="52927.053174210872"/>
    <n v="5"/>
    <n v="9"/>
    <n v="3"/>
    <n v="0"/>
    <n v="0"/>
    <n v="0"/>
    <n v="31190"/>
    <n v="44712"/>
    <n v="18714"/>
    <n v="0"/>
    <n v="3"/>
    <n v="18714"/>
    <n v="31756.231904526521"/>
    <n v="5"/>
    <n v="7"/>
    <n v="1"/>
    <n v="0"/>
    <n v="0"/>
    <n v="27380"/>
    <n v="43666"/>
    <n v="6238"/>
    <n v="0"/>
    <n v="3"/>
    <n v="18714"/>
    <n v="12596.638655462186"/>
    <n v="3"/>
    <n v="4"/>
    <n v="1"/>
    <n v="0"/>
    <n v="0"/>
    <n v="19872"/>
    <n v="6238"/>
    <x v="0"/>
    <x v="0"/>
    <n v="3"/>
    <n v="18714"/>
    <n v="12596.638655462186"/>
    <n v="3"/>
    <n v="3"/>
    <n v="3"/>
    <m/>
    <n v="0"/>
    <n v="0"/>
    <n v="18714"/>
    <n v="14904"/>
    <x v="0"/>
    <n v="0"/>
    <n v="3"/>
    <n v="18714"/>
    <n v="37789.915966386558"/>
    <n v="10"/>
    <n v="5"/>
    <n v="2"/>
    <m/>
    <n v="0"/>
    <n v="0"/>
    <n v="31190"/>
    <n v="9936"/>
    <n v="0"/>
    <n v="0"/>
    <n v="5"/>
    <n v="18714"/>
    <n v="25193.277310924372"/>
    <n v="2"/>
    <n v="3"/>
    <n v="2"/>
    <n v="0"/>
    <n v="0"/>
    <n v="0"/>
    <n v="18714"/>
    <n v="9936"/>
    <n v="0"/>
    <n v="0"/>
    <n v="3"/>
    <n v="18714"/>
    <n v="25193.277310924372"/>
    <n v="2"/>
    <n v="1"/>
    <n v="2"/>
    <n v="0"/>
    <n v="0"/>
    <n v="0"/>
    <n v="6238"/>
    <n v="9936"/>
    <n v="0"/>
    <n v="0"/>
    <n v="1"/>
    <n v="6238"/>
    <n v="25193.277310924372"/>
    <n v="2"/>
    <n v="0"/>
    <n v="2"/>
    <n v="0"/>
    <n v="0"/>
    <m/>
    <n v="0"/>
    <n v="9936"/>
    <n v="0"/>
    <n v="0"/>
    <n v="0"/>
    <n v="0"/>
    <n v="25193.2773109243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D"/>
    <x v="369"/>
    <x v="276"/>
    <x v="0"/>
    <x v="0"/>
    <n v="1"/>
    <x v="192"/>
    <n v="0"/>
    <m/>
    <n v="0"/>
    <n v="6151"/>
    <n v="0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4"/>
    <n v="0.44944738428561859"/>
    <n v="6"/>
    <s v=""/>
    <n v="2"/>
    <s v=""/>
    <n v="0"/>
    <s v=""/>
    <n v="1"/>
    <s v=""/>
    <n v="0.33333333333333331"/>
    <n v="1"/>
    <s v=""/>
    <n v="0.33333333333333331"/>
    <n v="1"/>
    <s v=""/>
    <n v="0.1"/>
    <n v="0"/>
    <s v=""/>
    <n v="0"/>
    <n v="10"/>
    <n v="7"/>
    <n v="7"/>
    <n v="0"/>
    <n v="0"/>
    <n v="0"/>
    <n v="61510"/>
    <n v="34776"/>
    <n v="43057"/>
    <n v="0"/>
    <n v="0"/>
    <n v="0"/>
    <n v="74097.874443895213"/>
    <n v="5"/>
    <n v="5"/>
    <n v="3"/>
    <n v="0"/>
    <n v="0"/>
    <n v="0"/>
    <n v="24604"/>
    <n v="24840"/>
    <n v="18453"/>
    <n v="0"/>
    <n v="0"/>
    <n v="0"/>
    <n v="31756.231904526521"/>
    <n v="5"/>
    <n v="3"/>
    <n v="0"/>
    <n v="0"/>
    <n v="0"/>
    <n v="21055"/>
    <n v="18453"/>
    <n v="0"/>
    <n v="0"/>
    <n v="0"/>
    <n v="0"/>
    <n v="0"/>
    <n v="3"/>
    <n v="1"/>
    <n v="1"/>
    <n v="0"/>
    <n v="0"/>
    <n v="4968"/>
    <n v="6151"/>
    <x v="0"/>
    <x v="0"/>
    <n v="0"/>
    <n v="0"/>
    <n v="12596.638655462186"/>
    <n v="3"/>
    <n v="1"/>
    <n v="3"/>
    <m/>
    <n v="0"/>
    <n v="0"/>
    <n v="6151"/>
    <n v="14904"/>
    <x v="0"/>
    <n v="0"/>
    <n v="0"/>
    <n v="0"/>
    <n v="37789.915966386558"/>
    <n v="10"/>
    <n v="1"/>
    <n v="1"/>
    <m/>
    <n v="0"/>
    <n v="0"/>
    <n v="6151"/>
    <n v="4968"/>
    <n v="0"/>
    <n v="0"/>
    <n v="1"/>
    <n v="0"/>
    <n v="12596.638655462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Y"/>
    <x v="370"/>
    <x v="277"/>
    <x v="0"/>
    <x v="0"/>
    <n v="1"/>
    <x v="193"/>
    <n v="26"/>
    <m/>
    <n v="0"/>
    <n v="5602"/>
    <n v="145652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9715311199934742"/>
    <n v="1"/>
    <s v=""/>
    <n v="0"/>
    <s v=""/>
    <n v="0"/>
    <s v=""/>
    <n v="0"/>
    <s v=""/>
    <n v="0"/>
    <n v="0"/>
    <s v=""/>
    <n v="0"/>
    <n v="0"/>
    <s v=""/>
    <n v="0"/>
    <n v="0"/>
    <s v=""/>
    <n v="0"/>
    <n v="3"/>
    <n v="24"/>
    <n v="3"/>
    <n v="0"/>
    <n v="0"/>
    <n v="0"/>
    <n v="16806"/>
    <n v="119232"/>
    <n v="16806"/>
    <n v="0"/>
    <n v="26"/>
    <n v="145652"/>
    <n v="31756.231904526521"/>
    <n v="2"/>
    <n v="26"/>
    <n v="0"/>
    <n v="0"/>
    <n v="0"/>
    <n v="0"/>
    <n v="0"/>
    <n v="129168"/>
    <n v="0"/>
    <n v="0"/>
    <n v="26"/>
    <n v="145652"/>
    <n v="0"/>
    <n v="2.1059999999999999"/>
    <n v="26"/>
    <n v="0"/>
    <n v="0"/>
    <n v="0"/>
    <n v="7948.8"/>
    <n v="145652"/>
    <n v="0"/>
    <n v="0"/>
    <n v="26"/>
    <n v="145652"/>
    <n v="0"/>
    <n v="1.55"/>
    <n v="26"/>
    <n v="0"/>
    <n v="0"/>
    <n v="0"/>
    <n v="129168"/>
    <n v="0"/>
    <x v="0"/>
    <x v="0"/>
    <n v="26"/>
    <n v="145652"/>
    <n v="0"/>
    <n v="1.6"/>
    <n v="26"/>
    <n v="1.6"/>
    <m/>
    <n v="0"/>
    <n v="0"/>
    <n v="145652"/>
    <n v="7948.8"/>
    <x v="0"/>
    <n v="0"/>
    <n v="26"/>
    <n v="145652"/>
    <n v="20154.621848739498"/>
    <n v="4.7"/>
    <n v="26"/>
    <n v="0"/>
    <m/>
    <n v="0"/>
    <n v="0"/>
    <n v="145652"/>
    <n v="0"/>
    <n v="0"/>
    <n v="0"/>
    <n v="26"/>
    <n v="145652"/>
    <n v="0"/>
    <n v="9"/>
    <n v="26"/>
    <n v="9"/>
    <n v="0"/>
    <n v="0"/>
    <n v="0"/>
    <n v="145652"/>
    <n v="44712"/>
    <n v="0"/>
    <n v="0"/>
    <n v="26"/>
    <n v="145652"/>
    <n v="113369.74789915967"/>
    <n v="9"/>
    <n v="17"/>
    <n v="9"/>
    <n v="0"/>
    <n v="0"/>
    <n v="0"/>
    <n v="95234"/>
    <n v="44712"/>
    <n v="0"/>
    <n v="0"/>
    <n v="17"/>
    <n v="95234"/>
    <n v="113369.74789915967"/>
    <n v="9"/>
    <n v="8"/>
    <n v="9"/>
    <n v="0"/>
    <n v="0"/>
    <m/>
    <n v="39744"/>
    <n v="44712"/>
    <n v="0"/>
    <n v="0"/>
    <n v="8"/>
    <n v="39744"/>
    <n v="113369.7478991596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Y"/>
    <x v="371"/>
    <x v="277"/>
    <x v="0"/>
    <x v="0"/>
    <n v="1"/>
    <x v="194"/>
    <n v="45"/>
    <m/>
    <n v="0"/>
    <n v="5401"/>
    <n v="243045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6156688839615668"/>
    <n v="10"/>
    <n v="0.42870805947575041"/>
    <n v="5"/>
    <s v=""/>
    <n v="3"/>
    <s v=""/>
    <n v="0"/>
    <s v=""/>
    <n v="1"/>
    <s v=""/>
    <n v="0.29850746268656714"/>
    <n v="1"/>
    <s v=""/>
    <n v="0.29411764705882354"/>
    <n v="0"/>
    <s v=""/>
    <n v="0"/>
    <n v="1"/>
    <s v=""/>
    <n v="6.6666666666666666E-2"/>
    <n v="2"/>
    <n v="48"/>
    <n v="2"/>
    <n v="0"/>
    <n v="0"/>
    <n v="0"/>
    <n v="35106.5"/>
    <n v="238464"/>
    <n v="10802"/>
    <n v="0"/>
    <n v="45"/>
    <n v="243045"/>
    <n v="21170.821269684347"/>
    <n v="2.7"/>
    <n v="48"/>
    <n v="4.5"/>
    <n v="0"/>
    <n v="0"/>
    <n v="0"/>
    <n v="29705.5"/>
    <n v="238464"/>
    <n v="24304.5"/>
    <n v="0"/>
    <n v="45"/>
    <n v="243045"/>
    <n v="47634.347856789784"/>
    <n v="4.8600000000000003"/>
    <n v="45"/>
    <n v="0"/>
    <n v="0"/>
    <n v="0"/>
    <n v="22292.2"/>
    <n v="243045"/>
    <n v="0"/>
    <n v="0"/>
    <n v="45"/>
    <n v="243045"/>
    <n v="0"/>
    <n v="3.35"/>
    <n v="47"/>
    <n v="1"/>
    <n v="0"/>
    <n v="0"/>
    <n v="233496"/>
    <n v="5401"/>
    <x v="0"/>
    <x v="0"/>
    <n v="45"/>
    <n v="243045"/>
    <n v="12596.638655462186"/>
    <n v="3.4"/>
    <n v="46"/>
    <n v="3.4"/>
    <m/>
    <n v="0"/>
    <n v="0"/>
    <n v="248446"/>
    <n v="16891.2"/>
    <x v="0"/>
    <n v="0"/>
    <n v="45"/>
    <n v="243045"/>
    <n v="42828.571428571428"/>
    <n v="10.1"/>
    <n v="45"/>
    <n v="0"/>
    <m/>
    <n v="0"/>
    <n v="0"/>
    <n v="243045"/>
    <n v="0"/>
    <n v="0"/>
    <n v="0"/>
    <n v="45"/>
    <n v="243045"/>
    <n v="0"/>
    <n v="15"/>
    <n v="46"/>
    <n v="15"/>
    <n v="0"/>
    <n v="0"/>
    <n v="0"/>
    <n v="248446"/>
    <n v="74520"/>
    <n v="0"/>
    <n v="0"/>
    <n v="46"/>
    <n v="243045"/>
    <n v="188949.57983193279"/>
    <n v="15"/>
    <n v="31"/>
    <n v="15"/>
    <n v="0"/>
    <n v="0"/>
    <n v="0"/>
    <n v="167431"/>
    <n v="74520"/>
    <n v="0"/>
    <n v="0"/>
    <n v="31"/>
    <n v="167431"/>
    <n v="188949.57983193279"/>
    <n v="15"/>
    <n v="16"/>
    <n v="15"/>
    <n v="0"/>
    <n v="0"/>
    <m/>
    <n v="79488"/>
    <n v="74520"/>
    <n v="0"/>
    <n v="0"/>
    <n v="16"/>
    <n v="79488"/>
    <n v="188949.57983193279"/>
    <n v="0"/>
    <n v="1"/>
    <n v="0"/>
    <n v="0"/>
    <n v="0"/>
    <n v="0"/>
    <m/>
    <n v="4968"/>
    <n v="0"/>
    <n v="0"/>
    <n v="0"/>
    <n v="1"/>
    <n v="4968"/>
    <n v="0"/>
    <n v="0"/>
    <n v="1"/>
    <n v="0"/>
    <n v="0"/>
    <n v="0"/>
    <n v="4968"/>
    <n v="0"/>
    <n v="0"/>
    <n v="0"/>
    <n v="1"/>
    <n v="4968"/>
    <n v="0"/>
    <n v="0"/>
    <n v="1"/>
    <n v="0"/>
    <n v="0"/>
    <n v="0"/>
    <n v="4968"/>
    <n v="0"/>
    <n v="0"/>
    <n v="1"/>
    <n v="4968"/>
    <n v="0"/>
    <n v="0"/>
    <n v="1"/>
    <n v="0"/>
    <n v="0"/>
    <m/>
    <n v="4968"/>
    <n v="0"/>
    <n v="0"/>
    <n v="1"/>
    <n v="4968"/>
    <n v="0"/>
  </r>
  <r>
    <m/>
    <x v="1"/>
    <x v="16"/>
    <x v="38"/>
    <s v="LTS26-MTS02BMY"/>
    <x v="372"/>
    <x v="277"/>
    <x v="0"/>
    <x v="0"/>
    <n v="1"/>
    <x v="195"/>
    <n v="30"/>
    <m/>
    <n v="0"/>
    <n v="5558"/>
    <n v="166740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4268440145102781"/>
    <n v="19"/>
    <n v="0.41207616271014919"/>
    <n v="3"/>
    <s v=""/>
    <n v="1"/>
    <s v=""/>
    <n v="0"/>
    <s v=""/>
    <n v="2"/>
    <s v=""/>
    <n v="0.59701492537313428"/>
    <n v="1"/>
    <s v=""/>
    <n v="0.29411764705882354"/>
    <n v="1"/>
    <s v=""/>
    <n v="9.9009900990099015E-2"/>
    <n v="2"/>
    <s v=""/>
    <n v="0.18181818181818182"/>
    <n v="3"/>
    <n v="26"/>
    <n v="3"/>
    <n v="0"/>
    <n v="0"/>
    <n v="0"/>
    <n v="25011"/>
    <n v="129168"/>
    <n v="16674"/>
    <n v="0"/>
    <n v="30"/>
    <n v="166740"/>
    <n v="31756.231904526521"/>
    <n v="2.7"/>
    <n v="32"/>
    <n v="1.5"/>
    <n v="0"/>
    <n v="0"/>
    <n v="0"/>
    <n v="19453"/>
    <n v="158976"/>
    <n v="8337"/>
    <n v="0"/>
    <n v="30"/>
    <n v="166740"/>
    <n v="15878.115952263261"/>
    <n v="4.8600000000000003"/>
    <n v="30"/>
    <n v="0"/>
    <n v="0"/>
    <n v="0"/>
    <n v="28007.200000000001"/>
    <n v="166740"/>
    <n v="0"/>
    <n v="0"/>
    <n v="30"/>
    <n v="166740"/>
    <n v="0"/>
    <n v="3.35"/>
    <n v="35"/>
    <n v="2"/>
    <n v="0"/>
    <n v="0"/>
    <n v="173880"/>
    <n v="11116"/>
    <x v="0"/>
    <x v="0"/>
    <n v="30"/>
    <n v="166740"/>
    <n v="25193.277310924372"/>
    <n v="3.4"/>
    <n v="31"/>
    <n v="3.4"/>
    <m/>
    <n v="0"/>
    <n v="0"/>
    <n v="172298"/>
    <n v="16891.2"/>
    <x v="0"/>
    <n v="0"/>
    <n v="30"/>
    <n v="166740"/>
    <n v="42828.571428571428"/>
    <n v="10.1"/>
    <n v="31"/>
    <n v="1"/>
    <m/>
    <n v="0"/>
    <n v="0"/>
    <n v="172298"/>
    <n v="4968"/>
    <n v="0"/>
    <n v="0"/>
    <n v="31"/>
    <n v="166740"/>
    <n v="12596.638655462186"/>
    <n v="11"/>
    <n v="32"/>
    <n v="11"/>
    <n v="0"/>
    <n v="0"/>
    <n v="0"/>
    <n v="177856"/>
    <n v="54648"/>
    <n v="0"/>
    <n v="0"/>
    <n v="32"/>
    <n v="166740"/>
    <n v="138563.02521008404"/>
    <n v="11"/>
    <n v="21"/>
    <n v="11"/>
    <n v="0"/>
    <n v="0"/>
    <n v="0"/>
    <n v="116718"/>
    <n v="54648"/>
    <n v="0"/>
    <n v="0"/>
    <n v="21"/>
    <n v="116718"/>
    <n v="138563.02521008404"/>
    <n v="11"/>
    <n v="10"/>
    <n v="11"/>
    <n v="0"/>
    <n v="0"/>
    <m/>
    <n v="49680"/>
    <n v="54648"/>
    <n v="0"/>
    <n v="0"/>
    <n v="10"/>
    <n v="49680"/>
    <n v="138563.0252100840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Y"/>
    <x v="373"/>
    <x v="277"/>
    <x v="0"/>
    <x v="0"/>
    <n v="1"/>
    <x v="196"/>
    <n v="13"/>
    <m/>
    <n v="0"/>
    <n v="5699"/>
    <n v="74087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4347543470017875"/>
    <n v="7"/>
    <s v=""/>
    <n v="2"/>
    <s v=""/>
    <n v="1"/>
    <s v=""/>
    <n v="0"/>
    <s v=""/>
    <n v="0"/>
    <n v="0"/>
    <s v=""/>
    <n v="0"/>
    <n v="0"/>
    <s v=""/>
    <n v="0"/>
    <n v="2"/>
    <s v=""/>
    <n v="0.4"/>
    <n v="3"/>
    <n v="18"/>
    <n v="3"/>
    <n v="0"/>
    <n v="0"/>
    <n v="0"/>
    <n v="39893"/>
    <n v="89424"/>
    <n v="17097"/>
    <n v="0"/>
    <n v="13"/>
    <n v="74087"/>
    <n v="31756.231904526521"/>
    <n v="2"/>
    <n v="17"/>
    <n v="3"/>
    <n v="0"/>
    <n v="0"/>
    <n v="0"/>
    <n v="22796"/>
    <n v="84456"/>
    <n v="17097"/>
    <n v="0"/>
    <n v="13"/>
    <n v="74087"/>
    <n v="31756.231904526521"/>
    <n v="2.1059999999999999"/>
    <n v="15"/>
    <n v="1"/>
    <n v="0"/>
    <n v="0"/>
    <n v="13647.8"/>
    <n v="85485"/>
    <n v="5699"/>
    <n v="0"/>
    <n v="13"/>
    <n v="74087"/>
    <n v="12596.638655462186"/>
    <n v="1.55"/>
    <n v="15"/>
    <n v="0"/>
    <n v="0"/>
    <n v="0"/>
    <n v="74520"/>
    <n v="0"/>
    <x v="0"/>
    <x v="0"/>
    <n v="13"/>
    <n v="74087"/>
    <n v="0"/>
    <n v="1.6"/>
    <n v="13"/>
    <n v="1.6"/>
    <m/>
    <n v="0"/>
    <n v="0"/>
    <n v="74087"/>
    <n v="7948.8"/>
    <x v="0"/>
    <n v="0"/>
    <n v="13"/>
    <n v="74087"/>
    <n v="20154.621848739498"/>
    <n v="4.7"/>
    <n v="13"/>
    <n v="0"/>
    <m/>
    <n v="0"/>
    <n v="0"/>
    <n v="74087"/>
    <n v="0"/>
    <n v="0"/>
    <n v="0"/>
    <n v="13"/>
    <n v="74087"/>
    <n v="0"/>
    <n v="5"/>
    <n v="15"/>
    <n v="5"/>
    <n v="0"/>
    <n v="0"/>
    <n v="0"/>
    <n v="85485"/>
    <n v="24840"/>
    <n v="0"/>
    <n v="0"/>
    <n v="15"/>
    <n v="74087"/>
    <n v="62983.193277310929"/>
    <n v="5"/>
    <n v="10"/>
    <n v="5"/>
    <n v="0"/>
    <n v="0"/>
    <n v="0"/>
    <n v="56990"/>
    <n v="24840"/>
    <n v="0"/>
    <n v="0"/>
    <n v="10"/>
    <n v="56990"/>
    <n v="62983.193277310929"/>
    <n v="5"/>
    <n v="5"/>
    <n v="5"/>
    <n v="0"/>
    <n v="0"/>
    <m/>
    <n v="24840"/>
    <n v="24840"/>
    <n v="0"/>
    <n v="0"/>
    <n v="5"/>
    <n v="24840"/>
    <n v="62983.19327731092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E"/>
    <x v="374"/>
    <x v="278"/>
    <x v="0"/>
    <x v="0"/>
    <n v="1"/>
    <x v="197"/>
    <n v="24"/>
    <m/>
    <n v="0"/>
    <n v="5676"/>
    <n v="136224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1610070756727574"/>
    <n v="2"/>
    <s v=""/>
    <n v="1"/>
    <s v=""/>
    <n v="0"/>
    <s v=""/>
    <n v="0"/>
    <s v=""/>
    <n v="0"/>
    <n v="0"/>
    <s v=""/>
    <n v="0"/>
    <n v="0"/>
    <s v=""/>
    <n v="0"/>
    <n v="0"/>
    <s v=""/>
    <n v="0"/>
    <n v="1.3"/>
    <n v="19"/>
    <n v="1.3"/>
    <n v="0"/>
    <n v="0"/>
    <n v="0"/>
    <n v="15892.8"/>
    <n v="94392"/>
    <n v="7378.8"/>
    <n v="0"/>
    <n v="24"/>
    <n v="136224"/>
    <n v="13761.033825294826"/>
    <n v="1.17"/>
    <n v="23"/>
    <n v="1.5"/>
    <n v="0"/>
    <n v="0"/>
    <n v="0"/>
    <n v="8514"/>
    <n v="114264"/>
    <n v="8514"/>
    <n v="0"/>
    <n v="24"/>
    <n v="136224"/>
    <n v="15878.115952263261"/>
    <n v="2.1059999999999999"/>
    <n v="22"/>
    <n v="0"/>
    <n v="0"/>
    <n v="0"/>
    <n v="7948.8"/>
    <n v="124872"/>
    <n v="0"/>
    <n v="0"/>
    <n v="24"/>
    <n v="136224"/>
    <n v="0"/>
    <n v="1.55"/>
    <n v="24"/>
    <n v="0"/>
    <n v="0"/>
    <n v="0"/>
    <n v="119232"/>
    <n v="0"/>
    <x v="0"/>
    <x v="0"/>
    <n v="24"/>
    <n v="136224"/>
    <n v="0"/>
    <n v="1.6"/>
    <n v="24"/>
    <n v="1.6"/>
    <m/>
    <n v="0"/>
    <n v="0"/>
    <n v="136224"/>
    <n v="7948.8"/>
    <x v="0"/>
    <n v="0"/>
    <n v="24"/>
    <n v="136224"/>
    <n v="20154.621848739498"/>
    <n v="4.7"/>
    <n v="24"/>
    <n v="0"/>
    <m/>
    <n v="0"/>
    <n v="0"/>
    <n v="136224"/>
    <n v="0"/>
    <n v="0"/>
    <n v="0"/>
    <n v="24"/>
    <n v="136224"/>
    <n v="0"/>
    <n v="8"/>
    <n v="24"/>
    <n v="8"/>
    <n v="0"/>
    <n v="0"/>
    <n v="0"/>
    <n v="136224"/>
    <n v="39744"/>
    <n v="0"/>
    <n v="0"/>
    <n v="24"/>
    <n v="136224"/>
    <n v="100773.10924369749"/>
    <n v="8"/>
    <n v="16"/>
    <n v="8"/>
    <n v="0"/>
    <n v="0"/>
    <n v="0"/>
    <n v="90816"/>
    <n v="39744"/>
    <n v="0"/>
    <n v="0"/>
    <n v="16"/>
    <n v="90816"/>
    <n v="100773.10924369749"/>
    <n v="8"/>
    <n v="8"/>
    <n v="8"/>
    <n v="0"/>
    <n v="0"/>
    <m/>
    <n v="39744"/>
    <n v="39744"/>
    <n v="0"/>
    <n v="0"/>
    <n v="8"/>
    <n v="39744"/>
    <n v="100773.1092436974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E"/>
    <x v="375"/>
    <x v="278"/>
    <x v="0"/>
    <x v="0"/>
    <n v="1"/>
    <x v="198"/>
    <n v="48"/>
    <m/>
    <n v="0"/>
    <n v="5356"/>
    <n v="257088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14917184265010353"/>
    <n v="10"/>
    <n v="0.47413678380951407"/>
    <n v="5"/>
    <s v=""/>
    <n v="3"/>
    <s v=""/>
    <n v="0"/>
    <s v=""/>
    <n v="0"/>
    <s v=""/>
    <n v="0"/>
    <n v="0"/>
    <s v=""/>
    <n v="0"/>
    <n v="2"/>
    <s v=""/>
    <n v="0.2040816326530612"/>
    <n v="0"/>
    <s v=""/>
    <n v="0"/>
    <n v="4"/>
    <n v="56"/>
    <n v="4"/>
    <n v="0"/>
    <n v="0"/>
    <n v="0"/>
    <n v="45526"/>
    <n v="278208"/>
    <n v="21424"/>
    <n v="0"/>
    <n v="48"/>
    <n v="257088"/>
    <n v="42341.642539368695"/>
    <n v="4"/>
    <n v="52"/>
    <n v="4.5"/>
    <n v="0"/>
    <n v="0"/>
    <n v="0"/>
    <n v="24102"/>
    <n v="258336"/>
    <n v="24102"/>
    <n v="0"/>
    <n v="48"/>
    <n v="257088"/>
    <n v="47634.347856789784"/>
    <n v="4.5360000000000005"/>
    <n v="49"/>
    <n v="0"/>
    <n v="0"/>
    <n v="0"/>
    <n v="16394.399999999998"/>
    <n v="262444"/>
    <n v="0"/>
    <n v="0"/>
    <n v="48"/>
    <n v="257088"/>
    <n v="0"/>
    <n v="3.25"/>
    <n v="49"/>
    <n v="0"/>
    <n v="0"/>
    <n v="0"/>
    <n v="243432"/>
    <n v="0"/>
    <x v="0"/>
    <x v="0"/>
    <n v="48"/>
    <n v="257088"/>
    <n v="0"/>
    <n v="3.3"/>
    <n v="48"/>
    <n v="3.3"/>
    <m/>
    <n v="0"/>
    <n v="0"/>
    <n v="257088"/>
    <n v="16394.399999999998"/>
    <x v="0"/>
    <n v="0"/>
    <n v="48"/>
    <n v="257088"/>
    <n v="41568.907563025212"/>
    <n v="9.8000000000000007"/>
    <n v="50"/>
    <n v="2"/>
    <m/>
    <n v="0"/>
    <n v="0"/>
    <n v="267800"/>
    <n v="9936"/>
    <n v="0"/>
    <n v="0"/>
    <n v="50"/>
    <n v="257088"/>
    <n v="25193.277310924372"/>
    <n v="17"/>
    <n v="48"/>
    <n v="17"/>
    <n v="0"/>
    <n v="0"/>
    <n v="0"/>
    <n v="257088"/>
    <n v="84456"/>
    <n v="0"/>
    <n v="0"/>
    <n v="48"/>
    <n v="257088"/>
    <n v="214142.85714285716"/>
    <n v="17"/>
    <n v="31"/>
    <n v="17"/>
    <n v="0"/>
    <n v="0"/>
    <n v="0"/>
    <n v="166036"/>
    <n v="84456"/>
    <n v="0"/>
    <n v="0"/>
    <n v="31"/>
    <n v="166036"/>
    <n v="214142.85714285716"/>
    <n v="17"/>
    <n v="14"/>
    <n v="17"/>
    <n v="0"/>
    <n v="0"/>
    <m/>
    <n v="69552"/>
    <n v="84456"/>
    <n v="0"/>
    <n v="0"/>
    <n v="14"/>
    <n v="69552"/>
    <n v="214142.8571428571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E"/>
    <x v="376"/>
    <x v="278"/>
    <x v="0"/>
    <x v="0"/>
    <n v="1"/>
    <x v="199"/>
    <n v="34"/>
    <m/>
    <n v="0"/>
    <n v="5548"/>
    <n v="188632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24"/>
    <n v="0.42528435577102369"/>
    <n v="1"/>
    <s v=""/>
    <n v="4"/>
    <s v=""/>
    <n v="3"/>
    <s v=""/>
    <n v="0"/>
    <s v=""/>
    <n v="0"/>
    <n v="0"/>
    <s v=""/>
    <n v="0"/>
    <n v="0"/>
    <s v=""/>
    <n v="0"/>
    <n v="1"/>
    <s v=""/>
    <n v="8.3333333333333329E-2"/>
    <n v="6"/>
    <n v="28"/>
    <n v="6"/>
    <n v="0"/>
    <n v="0"/>
    <n v="0"/>
    <n v="83220"/>
    <n v="139104"/>
    <n v="33288"/>
    <n v="0"/>
    <n v="34"/>
    <n v="188632"/>
    <n v="63512.463809053042"/>
    <n v="2.0699999999999998"/>
    <n v="42"/>
    <n v="6"/>
    <n v="0"/>
    <n v="0"/>
    <n v="0"/>
    <n v="49932"/>
    <n v="208656"/>
    <n v="33288"/>
    <n v="0"/>
    <n v="34"/>
    <n v="188632"/>
    <n v="63512.463809053042"/>
    <n v="3.726"/>
    <n v="38"/>
    <n v="3"/>
    <n v="0"/>
    <n v="0"/>
    <n v="31548"/>
    <n v="210824"/>
    <n v="16644"/>
    <n v="0"/>
    <n v="34"/>
    <n v="188632"/>
    <n v="37789.915966386558"/>
    <n v="3"/>
    <n v="35"/>
    <n v="0"/>
    <n v="0"/>
    <n v="0"/>
    <n v="173880"/>
    <n v="0"/>
    <x v="0"/>
    <x v="0"/>
    <n v="34"/>
    <n v="188632"/>
    <n v="0"/>
    <n v="3"/>
    <n v="34"/>
    <n v="3"/>
    <m/>
    <n v="0"/>
    <n v="0"/>
    <n v="188632"/>
    <n v="14904"/>
    <x v="0"/>
    <n v="0"/>
    <n v="34"/>
    <n v="188632"/>
    <n v="37789.915966386558"/>
    <n v="9"/>
    <n v="34"/>
    <n v="0"/>
    <m/>
    <n v="0"/>
    <n v="0"/>
    <n v="188632"/>
    <n v="0"/>
    <n v="0"/>
    <n v="0"/>
    <n v="34"/>
    <n v="188632"/>
    <n v="0"/>
    <n v="12"/>
    <n v="35"/>
    <n v="12"/>
    <n v="0"/>
    <n v="0"/>
    <n v="0"/>
    <n v="194180"/>
    <n v="59616"/>
    <n v="0"/>
    <n v="0"/>
    <n v="35"/>
    <n v="188632"/>
    <n v="151159.66386554623"/>
    <n v="12"/>
    <n v="23"/>
    <n v="12"/>
    <n v="0"/>
    <n v="0"/>
    <n v="0"/>
    <n v="127604"/>
    <n v="59616"/>
    <n v="0"/>
    <n v="0"/>
    <n v="23"/>
    <n v="127604"/>
    <n v="151159.66386554623"/>
    <n v="12"/>
    <n v="11"/>
    <n v="12"/>
    <n v="0"/>
    <n v="0"/>
    <m/>
    <n v="54648"/>
    <n v="59616"/>
    <n v="0"/>
    <n v="0"/>
    <n v="11"/>
    <n v="54648"/>
    <n v="151159.6638655462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E"/>
    <x v="377"/>
    <x v="278"/>
    <x v="0"/>
    <x v="0"/>
    <n v="1"/>
    <x v="200"/>
    <n v="6"/>
    <m/>
    <n v="0"/>
    <n v="6077"/>
    <n v="36462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5934744268077603"/>
    <n v="13"/>
    <n v="0.44621903790498463"/>
    <n v="7"/>
    <s v=""/>
    <n v="1"/>
    <s v=""/>
    <n v="0"/>
    <s v=""/>
    <n v="2"/>
    <s v=""/>
    <n v="1.3333333333333333"/>
    <n v="1"/>
    <s v=""/>
    <n v="0.66666666666666663"/>
    <n v="0"/>
    <s v=""/>
    <n v="0"/>
    <n v="1"/>
    <s v=""/>
    <n v="0.5"/>
    <n v="4"/>
    <n v="11"/>
    <n v="4"/>
    <n v="0"/>
    <n v="0"/>
    <n v="0"/>
    <n v="33423.5"/>
    <n v="54648"/>
    <n v="24308"/>
    <n v="0"/>
    <n v="6"/>
    <n v="36462"/>
    <n v="42341.642539368695"/>
    <n v="4"/>
    <n v="8"/>
    <n v="1.5"/>
    <n v="0"/>
    <n v="0"/>
    <n v="0"/>
    <n v="21269.5"/>
    <n v="39744"/>
    <n v="9115.5"/>
    <n v="0"/>
    <n v="6"/>
    <n v="36462"/>
    <n v="15878.115952263261"/>
    <n v="1.9440000000000002"/>
    <n v="7"/>
    <n v="0"/>
    <n v="0"/>
    <n v="0"/>
    <n v="19606"/>
    <n v="42539"/>
    <n v="0"/>
    <n v="0"/>
    <n v="6"/>
    <n v="36462"/>
    <n v="0"/>
    <n v="1.5"/>
    <n v="9"/>
    <n v="2"/>
    <n v="0"/>
    <n v="0"/>
    <n v="44712"/>
    <n v="12154"/>
    <x v="0"/>
    <x v="0"/>
    <n v="6"/>
    <n v="36462"/>
    <n v="25193.277310924372"/>
    <n v="1.5"/>
    <n v="7"/>
    <n v="1.5"/>
    <m/>
    <n v="0"/>
    <n v="0"/>
    <n v="42539"/>
    <n v="7452"/>
    <x v="0"/>
    <n v="0"/>
    <n v="6"/>
    <n v="36462"/>
    <n v="18894.957983193279"/>
    <n v="4.5"/>
    <n v="6"/>
    <n v="0"/>
    <m/>
    <n v="0"/>
    <n v="0"/>
    <n v="36462"/>
    <n v="0"/>
    <n v="0"/>
    <n v="0"/>
    <n v="6"/>
    <n v="36462"/>
    <n v="0"/>
    <n v="2"/>
    <n v="7"/>
    <n v="2"/>
    <n v="0"/>
    <n v="0"/>
    <n v="0"/>
    <n v="42539"/>
    <n v="9936"/>
    <n v="0"/>
    <n v="0"/>
    <n v="7"/>
    <n v="36462"/>
    <n v="25193.277310924372"/>
    <n v="2"/>
    <n v="5"/>
    <n v="2"/>
    <n v="0"/>
    <n v="0"/>
    <n v="0"/>
    <n v="30385"/>
    <n v="9936"/>
    <n v="0"/>
    <n v="0"/>
    <n v="5"/>
    <n v="30385"/>
    <n v="25193.277310924372"/>
    <n v="2"/>
    <n v="3"/>
    <n v="2"/>
    <n v="0"/>
    <n v="0"/>
    <m/>
    <n v="14904"/>
    <n v="9936"/>
    <n v="0"/>
    <n v="0"/>
    <n v="3"/>
    <n v="14904"/>
    <n v="25193.277310924372"/>
    <n v="0"/>
    <n v="1"/>
    <n v="0"/>
    <n v="0"/>
    <n v="0"/>
    <n v="0"/>
    <m/>
    <n v="4968"/>
    <n v="0"/>
    <n v="0"/>
    <n v="0"/>
    <n v="1"/>
    <n v="4968"/>
    <n v="0"/>
    <n v="0"/>
    <n v="1"/>
    <n v="0"/>
    <n v="0"/>
    <n v="0"/>
    <n v="4968"/>
    <n v="0"/>
    <n v="0"/>
    <n v="0"/>
    <n v="1"/>
    <n v="4968"/>
    <n v="0"/>
    <n v="0"/>
    <n v="1"/>
    <n v="0"/>
    <n v="0"/>
    <n v="0"/>
    <n v="4968"/>
    <n v="0"/>
    <n v="0"/>
    <n v="1"/>
    <n v="4968"/>
    <n v="0"/>
    <n v="0"/>
    <n v="1"/>
    <n v="0"/>
    <n v="0"/>
    <m/>
    <n v="4968"/>
    <n v="0"/>
    <n v="0"/>
    <n v="1"/>
    <n v="4968"/>
    <n v="0"/>
  </r>
  <r>
    <m/>
    <x v="1"/>
    <x v="16"/>
    <x v="38"/>
    <s v="LTS26-MTS02BL"/>
    <x v="378"/>
    <x v="279"/>
    <x v="0"/>
    <x v="0"/>
    <n v="1"/>
    <x v="201"/>
    <n v="29"/>
    <m/>
    <n v="0"/>
    <n v="5355"/>
    <n v="155295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8599159495697419"/>
    <n v="3"/>
    <s v=""/>
    <n v="0"/>
    <s v=""/>
    <n v="0"/>
    <s v=""/>
    <n v="0"/>
    <s v=""/>
    <n v="0"/>
    <n v="0"/>
    <s v=""/>
    <n v="0"/>
    <n v="0"/>
    <s v=""/>
    <n v="0"/>
    <n v="0"/>
    <s v=""/>
    <n v="0"/>
    <n v="1.3"/>
    <n v="25"/>
    <n v="1.3"/>
    <n v="0"/>
    <n v="0"/>
    <n v="0"/>
    <n v="6961.5"/>
    <n v="124200"/>
    <n v="6961.5"/>
    <n v="0"/>
    <n v="29"/>
    <n v="155295"/>
    <n v="13761.033825294826"/>
    <n v="1.17"/>
    <n v="26"/>
    <n v="0"/>
    <n v="0"/>
    <n v="0"/>
    <n v="0"/>
    <n v="0"/>
    <n v="129168"/>
    <n v="0"/>
    <n v="0"/>
    <n v="29"/>
    <n v="155295"/>
    <n v="0"/>
    <n v="2.1059999999999999"/>
    <n v="26"/>
    <n v="0"/>
    <n v="0"/>
    <n v="0"/>
    <n v="7948.8"/>
    <n v="139230"/>
    <n v="0"/>
    <n v="0"/>
    <n v="29"/>
    <n v="155295"/>
    <n v="0"/>
    <n v="1.55"/>
    <n v="29"/>
    <n v="0"/>
    <n v="0"/>
    <n v="0"/>
    <n v="144072"/>
    <n v="0"/>
    <x v="0"/>
    <x v="0"/>
    <n v="29"/>
    <n v="155295"/>
    <n v="0"/>
    <n v="1.6"/>
    <n v="29"/>
    <n v="1.6"/>
    <m/>
    <n v="0"/>
    <n v="0"/>
    <n v="155295"/>
    <n v="7948.8"/>
    <x v="0"/>
    <n v="0"/>
    <n v="29"/>
    <n v="155295"/>
    <n v="20154.621848739498"/>
    <n v="4.7"/>
    <n v="29"/>
    <n v="0"/>
    <m/>
    <n v="0"/>
    <n v="0"/>
    <n v="155295"/>
    <n v="0"/>
    <n v="0"/>
    <n v="0"/>
    <n v="29"/>
    <n v="155295"/>
    <n v="0"/>
    <n v="10"/>
    <n v="29"/>
    <n v="10"/>
    <n v="0"/>
    <n v="0"/>
    <n v="0"/>
    <n v="155295"/>
    <n v="49680"/>
    <n v="0"/>
    <n v="0"/>
    <n v="29"/>
    <n v="155295"/>
    <n v="125966.38655462186"/>
    <n v="10"/>
    <n v="19"/>
    <n v="10"/>
    <n v="0"/>
    <n v="0"/>
    <n v="0"/>
    <n v="101745"/>
    <n v="49680"/>
    <n v="0"/>
    <n v="0"/>
    <n v="19"/>
    <n v="101745"/>
    <n v="125966.38655462186"/>
    <n v="10"/>
    <n v="9"/>
    <n v="10"/>
    <n v="0"/>
    <n v="0"/>
    <m/>
    <n v="44712"/>
    <n v="49680"/>
    <n v="0"/>
    <n v="0"/>
    <n v="9"/>
    <n v="44712"/>
    <n v="125966.3865546218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L"/>
    <x v="379"/>
    <x v="279"/>
    <x v="0"/>
    <x v="0"/>
    <n v="1"/>
    <x v="202"/>
    <n v="52"/>
    <m/>
    <n v="0"/>
    <n v="5262"/>
    <n v="273624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7237823739916297"/>
    <n v="9"/>
    <n v="0.3924225300286488"/>
    <n v="2"/>
    <s v=""/>
    <n v="1"/>
    <s v=""/>
    <n v="2"/>
    <s v=""/>
    <n v="0"/>
    <s v=""/>
    <n v="0"/>
    <n v="1"/>
    <s v=""/>
    <n v="0.29411764705882354"/>
    <n v="1"/>
    <s v=""/>
    <n v="9.9009900990099015E-2"/>
    <n v="1"/>
    <s v=""/>
    <n v="5.5555555555555552E-2"/>
    <n v="3"/>
    <n v="50"/>
    <n v="3"/>
    <n v="0"/>
    <n v="0"/>
    <n v="0"/>
    <n v="34203"/>
    <n v="248400"/>
    <n v="15786"/>
    <n v="0"/>
    <n v="52"/>
    <n v="273624"/>
    <n v="31756.231904526521"/>
    <n v="2.7"/>
    <n v="52"/>
    <n v="1.5"/>
    <n v="0"/>
    <n v="0"/>
    <n v="0"/>
    <n v="18417"/>
    <n v="258336"/>
    <n v="7893"/>
    <n v="0"/>
    <n v="52"/>
    <n v="273624"/>
    <n v="15878.115952263261"/>
    <n v="4.8600000000000003"/>
    <n v="51"/>
    <n v="2"/>
    <n v="0"/>
    <n v="0"/>
    <n v="27415.200000000001"/>
    <n v="268362"/>
    <n v="10524"/>
    <n v="0"/>
    <n v="52"/>
    <n v="273624"/>
    <n v="25193.277310924372"/>
    <n v="3.35"/>
    <n v="53"/>
    <n v="0"/>
    <n v="0"/>
    <n v="0"/>
    <n v="263304"/>
    <n v="0"/>
    <x v="0"/>
    <x v="0"/>
    <n v="52"/>
    <n v="273624"/>
    <n v="0"/>
    <n v="3.4"/>
    <n v="53"/>
    <n v="3.4"/>
    <m/>
    <n v="0"/>
    <n v="0"/>
    <n v="278886"/>
    <n v="16891.2"/>
    <x v="0"/>
    <n v="0"/>
    <n v="52"/>
    <n v="273624"/>
    <n v="42828.571428571428"/>
    <n v="10.1"/>
    <n v="53"/>
    <n v="1"/>
    <m/>
    <n v="0"/>
    <n v="0"/>
    <n v="278886"/>
    <n v="4968"/>
    <n v="0"/>
    <n v="0"/>
    <n v="53"/>
    <n v="273624"/>
    <n v="12596.638655462186"/>
    <n v="18"/>
    <n v="53"/>
    <n v="18"/>
    <n v="0"/>
    <n v="0"/>
    <n v="0"/>
    <n v="278886"/>
    <n v="89424"/>
    <n v="0"/>
    <n v="0"/>
    <n v="53"/>
    <n v="273624"/>
    <n v="226739.49579831935"/>
    <n v="18"/>
    <n v="35"/>
    <n v="18"/>
    <n v="0"/>
    <n v="0"/>
    <n v="0"/>
    <n v="184170"/>
    <n v="89424"/>
    <n v="0"/>
    <n v="0"/>
    <n v="35"/>
    <n v="184170"/>
    <n v="226739.49579831935"/>
    <n v="18"/>
    <n v="17"/>
    <n v="18"/>
    <n v="0"/>
    <n v="0"/>
    <m/>
    <n v="84456"/>
    <n v="89424"/>
    <n v="0"/>
    <n v="0"/>
    <n v="17"/>
    <n v="84456"/>
    <n v="226739.4957983193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L"/>
    <x v="380"/>
    <x v="279"/>
    <x v="0"/>
    <x v="0"/>
    <n v="1"/>
    <x v="203"/>
    <n v="35"/>
    <m/>
    <n v="0"/>
    <n v="5239"/>
    <n v="183365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6984789008832186"/>
    <n v="23"/>
    <n v="0.37383207288183201"/>
    <n v="4"/>
    <s v=""/>
    <n v="1"/>
    <s v=""/>
    <n v="0"/>
    <s v=""/>
    <n v="0"/>
    <s v=""/>
    <n v="0"/>
    <n v="1"/>
    <s v=""/>
    <n v="0.30303030303030304"/>
    <n v="1"/>
    <s v=""/>
    <n v="0.10101010101010101"/>
    <n v="0"/>
    <s v=""/>
    <n v="0"/>
    <n v="5"/>
    <n v="25"/>
    <n v="5"/>
    <n v="0"/>
    <n v="0"/>
    <n v="0"/>
    <n v="34053.5"/>
    <n v="124200"/>
    <n v="26195"/>
    <n v="0"/>
    <n v="35"/>
    <n v="183365"/>
    <n v="52927.053174210872"/>
    <n v="2.6100000000000003"/>
    <n v="33"/>
    <n v="1.5"/>
    <n v="0"/>
    <n v="0"/>
    <n v="0"/>
    <n v="7858.5"/>
    <n v="163944"/>
    <n v="7858.5"/>
    <n v="0"/>
    <n v="35"/>
    <n v="183365"/>
    <n v="15878.115952263261"/>
    <n v="4.6980000000000004"/>
    <n v="32"/>
    <n v="0"/>
    <n v="0"/>
    <n v="0"/>
    <n v="16394.399999999998"/>
    <n v="167648"/>
    <n v="0"/>
    <n v="0"/>
    <n v="35"/>
    <n v="183365"/>
    <n v="0"/>
    <n v="3.3"/>
    <n v="35"/>
    <n v="0"/>
    <n v="0"/>
    <n v="0"/>
    <n v="173880"/>
    <n v="0"/>
    <x v="0"/>
    <x v="0"/>
    <n v="35"/>
    <n v="183365"/>
    <n v="0"/>
    <n v="3.3"/>
    <n v="36"/>
    <n v="3.3"/>
    <m/>
    <n v="0"/>
    <n v="0"/>
    <n v="188604"/>
    <n v="16394.399999999998"/>
    <x v="0"/>
    <n v="0"/>
    <n v="35"/>
    <n v="183365"/>
    <n v="41568.907563025212"/>
    <n v="9.9"/>
    <n v="36"/>
    <n v="1"/>
    <m/>
    <n v="0"/>
    <n v="0"/>
    <n v="188604"/>
    <n v="4968"/>
    <n v="0"/>
    <n v="0"/>
    <n v="36"/>
    <n v="183365"/>
    <n v="12596.638655462186"/>
    <n v="12"/>
    <n v="35"/>
    <n v="12"/>
    <n v="0"/>
    <n v="0"/>
    <n v="0"/>
    <n v="183365"/>
    <n v="59616"/>
    <n v="0"/>
    <n v="0"/>
    <n v="35"/>
    <n v="183365"/>
    <n v="151159.66386554623"/>
    <n v="12"/>
    <n v="23"/>
    <n v="12"/>
    <n v="0"/>
    <n v="0"/>
    <n v="0"/>
    <n v="120497"/>
    <n v="59616"/>
    <n v="0"/>
    <n v="0"/>
    <n v="23"/>
    <n v="120497"/>
    <n v="151159.66386554623"/>
    <n v="12"/>
    <n v="11"/>
    <n v="12"/>
    <n v="0"/>
    <n v="0"/>
    <m/>
    <n v="54648"/>
    <n v="59616"/>
    <n v="0"/>
    <n v="0"/>
    <n v="11"/>
    <n v="54648"/>
    <n v="151159.6638655462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L"/>
    <x v="381"/>
    <x v="279"/>
    <x v="0"/>
    <x v="0"/>
    <n v="1"/>
    <x v="204"/>
    <n v="17"/>
    <m/>
    <n v="0"/>
    <n v="5290"/>
    <n v="89930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700176366843034"/>
    <n v="9"/>
    <n v="0.39361785845443575"/>
    <n v="4"/>
    <s v=""/>
    <n v="0"/>
    <s v=""/>
    <n v="2"/>
    <s v=""/>
    <n v="1"/>
    <s v=""/>
    <n v="0.64516129032258063"/>
    <n v="0"/>
    <s v=""/>
    <n v="0"/>
    <n v="3"/>
    <s v=""/>
    <n v="0.63829787234042545"/>
    <n v="0"/>
    <s v=""/>
    <n v="0"/>
    <n v="4"/>
    <n v="16"/>
    <n v="4"/>
    <n v="0"/>
    <n v="0"/>
    <n v="0"/>
    <n v="31740"/>
    <n v="79488"/>
    <n v="21160"/>
    <n v="0"/>
    <n v="17"/>
    <n v="89930"/>
    <n v="42341.642539368695"/>
    <n v="3"/>
    <n v="19"/>
    <n v="0"/>
    <n v="0"/>
    <n v="0"/>
    <n v="0"/>
    <n v="15870"/>
    <n v="94392"/>
    <n v="0"/>
    <n v="0"/>
    <n v="17"/>
    <n v="89930"/>
    <n v="0"/>
    <n v="2.1059999999999999"/>
    <n v="19"/>
    <n v="2"/>
    <n v="0"/>
    <n v="0"/>
    <n v="23818.799999999999"/>
    <n v="100510"/>
    <n v="10580"/>
    <n v="0"/>
    <n v="17"/>
    <n v="89930"/>
    <n v="25193.277310924372"/>
    <n v="1.55"/>
    <n v="20"/>
    <n v="1"/>
    <n v="0"/>
    <n v="0"/>
    <n v="99360"/>
    <n v="5290"/>
    <x v="0"/>
    <x v="0"/>
    <n v="17"/>
    <n v="89930"/>
    <n v="12596.638655462186"/>
    <n v="1.6"/>
    <n v="17"/>
    <n v="1.6"/>
    <m/>
    <n v="0"/>
    <n v="0"/>
    <n v="89930"/>
    <n v="7948.8"/>
    <x v="0"/>
    <n v="0"/>
    <n v="17"/>
    <n v="89930"/>
    <n v="20154.621848739498"/>
    <n v="4.7"/>
    <n v="20"/>
    <n v="3"/>
    <m/>
    <n v="0"/>
    <n v="0"/>
    <n v="105800"/>
    <n v="14904"/>
    <n v="0"/>
    <n v="0"/>
    <n v="20"/>
    <n v="89930"/>
    <n v="37789.915966386558"/>
    <n v="7"/>
    <n v="17"/>
    <n v="7"/>
    <n v="0"/>
    <n v="0"/>
    <n v="0"/>
    <n v="89930"/>
    <n v="34776"/>
    <n v="0"/>
    <n v="0"/>
    <n v="17"/>
    <n v="89930"/>
    <n v="88176.470588235301"/>
    <n v="7"/>
    <n v="10"/>
    <n v="7"/>
    <n v="0"/>
    <n v="0"/>
    <n v="0"/>
    <n v="52900"/>
    <n v="34776"/>
    <n v="0"/>
    <n v="0"/>
    <n v="10"/>
    <n v="52900"/>
    <n v="88176.470588235301"/>
    <n v="7"/>
    <n v="3"/>
    <n v="7"/>
    <n v="0"/>
    <n v="0"/>
    <m/>
    <n v="14904"/>
    <n v="34776"/>
    <n v="0"/>
    <n v="0"/>
    <n v="3"/>
    <n v="14904"/>
    <n v="88176.47058823530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U"/>
    <x v="382"/>
    <x v="280"/>
    <x v="0"/>
    <x v="0"/>
    <n v="1"/>
    <x v="205"/>
    <n v="8"/>
    <m/>
    <n v="0"/>
    <n v="5341"/>
    <n v="42728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0194834278889219"/>
    <n v="2"/>
    <s v=""/>
    <n v="1"/>
    <s v=""/>
    <n v="0"/>
    <s v=""/>
    <n v="0"/>
    <s v=""/>
    <n v="0"/>
    <n v="0"/>
    <s v=""/>
    <n v="0"/>
    <n v="0"/>
    <s v=""/>
    <n v="0"/>
    <n v="0"/>
    <s v=""/>
    <n v="0"/>
    <n v="3"/>
    <n v="7"/>
    <n v="3"/>
    <n v="0"/>
    <n v="0"/>
    <n v="0"/>
    <n v="24034.5"/>
    <n v="34776"/>
    <n v="16023"/>
    <n v="0"/>
    <n v="8"/>
    <n v="42728"/>
    <n v="31756.231904526521"/>
    <n v="2"/>
    <n v="7"/>
    <n v="1.5"/>
    <n v="0"/>
    <n v="0"/>
    <n v="0"/>
    <n v="8011.5"/>
    <n v="34776"/>
    <n v="8011.5"/>
    <n v="0"/>
    <n v="8"/>
    <n v="42728"/>
    <n v="15878.115952263261"/>
    <n v="2.1059999999999999"/>
    <n v="6"/>
    <n v="0"/>
    <n v="0"/>
    <n v="0"/>
    <n v="7948.8"/>
    <n v="32046"/>
    <n v="0"/>
    <n v="0"/>
    <n v="8"/>
    <n v="42728"/>
    <n v="0"/>
    <n v="1.55"/>
    <n v="8"/>
    <n v="0"/>
    <n v="0"/>
    <n v="0"/>
    <n v="39744"/>
    <n v="0"/>
    <x v="0"/>
    <x v="0"/>
    <n v="8"/>
    <n v="42728"/>
    <n v="0"/>
    <n v="1.6"/>
    <n v="8"/>
    <n v="1.6"/>
    <m/>
    <n v="0"/>
    <n v="0"/>
    <n v="42728"/>
    <n v="7948.8"/>
    <x v="0"/>
    <n v="0"/>
    <n v="8"/>
    <n v="42728"/>
    <n v="20154.621848739498"/>
    <n v="4.7"/>
    <n v="8"/>
    <n v="0"/>
    <m/>
    <n v="0"/>
    <n v="0"/>
    <n v="42728"/>
    <n v="0"/>
    <n v="0"/>
    <n v="0"/>
    <n v="8"/>
    <n v="42728"/>
    <n v="0"/>
    <n v="3"/>
    <n v="8"/>
    <n v="3"/>
    <n v="0"/>
    <n v="0"/>
    <n v="0"/>
    <n v="42728"/>
    <n v="14904"/>
    <n v="0"/>
    <n v="0"/>
    <n v="8"/>
    <n v="42728"/>
    <n v="37789.915966386558"/>
    <n v="3"/>
    <n v="5"/>
    <n v="3"/>
    <n v="0"/>
    <n v="0"/>
    <n v="0"/>
    <n v="26705"/>
    <n v="14904"/>
    <n v="0"/>
    <n v="0"/>
    <n v="5"/>
    <n v="26705"/>
    <n v="37789.915966386558"/>
    <n v="3"/>
    <n v="2"/>
    <n v="3"/>
    <n v="0"/>
    <n v="0"/>
    <m/>
    <n v="9936"/>
    <n v="14904"/>
    <n v="0"/>
    <n v="0"/>
    <n v="2"/>
    <n v="9936"/>
    <n v="37789.91596638655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U"/>
    <x v="383"/>
    <x v="280"/>
    <x v="0"/>
    <x v="0"/>
    <n v="1"/>
    <x v="206"/>
    <n v="13"/>
    <m/>
    <n v="0"/>
    <n v="5187"/>
    <n v="67431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"/>
    <n v="0.44662341063167388"/>
    <n v="6"/>
    <s v=""/>
    <n v="1"/>
    <s v=""/>
    <n v="0"/>
    <s v=""/>
    <n v="0"/>
    <s v=""/>
    <n v="0"/>
    <n v="0"/>
    <s v=""/>
    <n v="0"/>
    <n v="1"/>
    <s v=""/>
    <n v="9.9009900990099015E-2"/>
    <n v="1"/>
    <s v=""/>
    <n v="0.2"/>
    <n v="4"/>
    <n v="17"/>
    <n v="4"/>
    <n v="0"/>
    <n v="0"/>
    <n v="0"/>
    <n v="28528.5"/>
    <n v="84456"/>
    <n v="20748"/>
    <n v="0"/>
    <n v="13"/>
    <n v="67431"/>
    <n v="42341.642539368695"/>
    <n v="2.7"/>
    <n v="14"/>
    <n v="1.5"/>
    <n v="0"/>
    <n v="0"/>
    <n v="0"/>
    <n v="7780.5"/>
    <n v="69552"/>
    <n v="7780.5"/>
    <n v="0"/>
    <n v="13"/>
    <n v="67431"/>
    <n v="15878.115952263261"/>
    <n v="4.8600000000000003"/>
    <n v="13"/>
    <n v="0"/>
    <n v="0"/>
    <n v="0"/>
    <n v="16891.2"/>
    <n v="67431"/>
    <n v="0"/>
    <n v="0"/>
    <n v="13"/>
    <n v="67431"/>
    <n v="0"/>
    <n v="3.35"/>
    <n v="14"/>
    <n v="0"/>
    <n v="0"/>
    <n v="0"/>
    <n v="69552"/>
    <n v="0"/>
    <x v="0"/>
    <x v="0"/>
    <n v="13"/>
    <n v="67431"/>
    <n v="0"/>
    <n v="3.4"/>
    <n v="13"/>
    <n v="3.4"/>
    <m/>
    <n v="0"/>
    <n v="0"/>
    <n v="67431"/>
    <n v="16891.2"/>
    <x v="0"/>
    <n v="0"/>
    <n v="13"/>
    <n v="67431"/>
    <n v="42828.571428571428"/>
    <n v="10.1"/>
    <n v="14"/>
    <n v="1"/>
    <m/>
    <n v="0"/>
    <n v="0"/>
    <n v="72618"/>
    <n v="4968"/>
    <n v="0"/>
    <n v="0"/>
    <n v="14"/>
    <n v="67431"/>
    <n v="12596.638655462186"/>
    <n v="5"/>
    <n v="14"/>
    <n v="5"/>
    <n v="0"/>
    <n v="0"/>
    <n v="0"/>
    <n v="72618"/>
    <n v="24840"/>
    <n v="0"/>
    <n v="0"/>
    <n v="14"/>
    <n v="67431"/>
    <n v="62983.193277310929"/>
    <n v="5"/>
    <n v="9"/>
    <n v="5"/>
    <n v="0"/>
    <n v="0"/>
    <n v="0"/>
    <n v="46683"/>
    <n v="24840"/>
    <n v="0"/>
    <n v="0"/>
    <n v="9"/>
    <n v="46683"/>
    <n v="62983.193277310929"/>
    <n v="5"/>
    <n v="4"/>
    <n v="5"/>
    <n v="0"/>
    <n v="0"/>
    <m/>
    <n v="19872"/>
    <n v="24840"/>
    <n v="0"/>
    <n v="0"/>
    <n v="4"/>
    <n v="19872"/>
    <n v="62983.19327731092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U"/>
    <x v="384"/>
    <x v="280"/>
    <x v="0"/>
    <x v="0"/>
    <n v="1"/>
    <x v="207"/>
    <n v="2"/>
    <m/>
    <n v="0"/>
    <n v="5137"/>
    <n v="10274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5114907915174185"/>
    <n v="16"/>
    <n v="0.45584428481578337"/>
    <n v="6"/>
    <s v=""/>
    <n v="2"/>
    <s v=""/>
    <n v="1"/>
    <s v=""/>
    <n v="1"/>
    <s v=""/>
    <n v="0.29850746268656714"/>
    <n v="1"/>
    <s v=""/>
    <n v="0.29411764705882354"/>
    <n v="1"/>
    <s v=""/>
    <n v="9.9009900990099015E-2"/>
    <n v="0"/>
    <s v=""/>
    <n v="0"/>
    <n v="5"/>
    <n v="3"/>
    <n v="5"/>
    <n v="0"/>
    <n v="0"/>
    <n v="0"/>
    <n v="46233"/>
    <n v="14904"/>
    <n v="25685"/>
    <n v="0"/>
    <n v="2"/>
    <n v="10274"/>
    <n v="52927.053174210872"/>
    <n v="2.7"/>
    <n v="9"/>
    <n v="3"/>
    <n v="0"/>
    <n v="0"/>
    <n v="0"/>
    <n v="25685"/>
    <n v="44712"/>
    <n v="15411"/>
    <n v="0"/>
    <n v="2"/>
    <n v="10274"/>
    <n v="31756.231904526521"/>
    <n v="4.8600000000000003"/>
    <n v="7"/>
    <n v="1"/>
    <n v="0"/>
    <n v="0"/>
    <n v="27165.200000000001"/>
    <n v="35959"/>
    <n v="5137"/>
    <n v="0"/>
    <n v="2"/>
    <n v="10274"/>
    <n v="12596.638655462186"/>
    <n v="3.35"/>
    <n v="6"/>
    <n v="1"/>
    <n v="0"/>
    <n v="0"/>
    <n v="29808"/>
    <n v="5137"/>
    <x v="0"/>
    <x v="0"/>
    <n v="2"/>
    <n v="10274"/>
    <n v="12596.638655462186"/>
    <n v="3.4"/>
    <n v="3"/>
    <n v="3.4"/>
    <m/>
    <n v="0"/>
    <n v="0"/>
    <n v="15411"/>
    <n v="16891.2"/>
    <x v="0"/>
    <n v="0"/>
    <n v="2"/>
    <n v="10274"/>
    <n v="42828.571428571428"/>
    <n v="10.1"/>
    <n v="3"/>
    <n v="1"/>
    <m/>
    <n v="0"/>
    <n v="0"/>
    <n v="15411"/>
    <n v="4968"/>
    <n v="0"/>
    <n v="0"/>
    <n v="3"/>
    <n v="10274"/>
    <n v="12596.638655462186"/>
    <n v="1"/>
    <n v="2"/>
    <n v="1"/>
    <n v="0"/>
    <n v="0"/>
    <n v="0"/>
    <n v="10274"/>
    <n v="4968"/>
    <n v="0"/>
    <n v="0"/>
    <n v="2"/>
    <n v="10274"/>
    <n v="12596.638655462186"/>
    <n v="1"/>
    <n v="1"/>
    <n v="1"/>
    <n v="0"/>
    <n v="0"/>
    <n v="0"/>
    <n v="5137"/>
    <n v="4968"/>
    <n v="0"/>
    <n v="0"/>
    <n v="1"/>
    <n v="5137"/>
    <n v="12596.638655462186"/>
    <n v="1"/>
    <n v="0"/>
    <n v="1"/>
    <n v="0"/>
    <n v="0"/>
    <m/>
    <n v="0"/>
    <n v="4968"/>
    <n v="0"/>
    <n v="0"/>
    <n v="0"/>
    <n v="0"/>
    <n v="12596.63865546218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U"/>
    <x v="385"/>
    <x v="280"/>
    <x v="0"/>
    <x v="0"/>
    <n v="1"/>
    <x v="208"/>
    <n v="1"/>
    <m/>
    <n v="0"/>
    <n v="5242"/>
    <n v="5242"/>
    <n v="4.8"/>
    <n v="5244"/>
    <n v="12596.638655462186"/>
    <n v="8394.95798319327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0896919130704401"/>
    <n v="2"/>
    <s v=""/>
    <n v="0"/>
    <s v=""/>
    <n v="0"/>
    <s v=""/>
    <n v="2"/>
    <s v=""/>
    <n v="1.2903225806451613"/>
    <n v="1"/>
    <s v=""/>
    <n v="0.625"/>
    <n v="1"/>
    <s v=""/>
    <n v="0.21276595744680851"/>
    <n v="1"/>
    <s v=""/>
    <n v="1"/>
    <n v="5"/>
    <n v="3"/>
    <n v="5"/>
    <n v="0"/>
    <n v="0"/>
    <n v="0"/>
    <n v="26210"/>
    <n v="14904"/>
    <n v="26210"/>
    <n v="0"/>
    <n v="1"/>
    <n v="5242"/>
    <n v="52927.053174210872"/>
    <n v="2"/>
    <n v="3"/>
    <n v="0"/>
    <n v="0"/>
    <n v="0"/>
    <n v="0"/>
    <n v="10484"/>
    <n v="14904"/>
    <n v="0"/>
    <n v="0"/>
    <n v="1"/>
    <n v="5242"/>
    <n v="0"/>
    <n v="2.1059999999999999"/>
    <n v="3"/>
    <n v="0"/>
    <n v="0"/>
    <n v="0"/>
    <n v="18432.8"/>
    <n v="15726"/>
    <n v="0"/>
    <n v="0"/>
    <n v="1"/>
    <n v="5242"/>
    <n v="0"/>
    <n v="1.55"/>
    <n v="3"/>
    <n v="2"/>
    <n v="0"/>
    <n v="0"/>
    <n v="14904"/>
    <n v="10484"/>
    <x v="0"/>
    <x v="0"/>
    <n v="1"/>
    <n v="5242"/>
    <n v="25193.277310924372"/>
    <n v="1.6"/>
    <n v="2"/>
    <n v="1.6"/>
    <m/>
    <n v="0"/>
    <n v="0"/>
    <n v="10484"/>
    <n v="7948.8"/>
    <x v="0"/>
    <n v="0"/>
    <n v="1"/>
    <n v="5242"/>
    <n v="20154.621848739498"/>
    <n v="4.7"/>
    <n v="2"/>
    <n v="1"/>
    <m/>
    <n v="0"/>
    <n v="0"/>
    <n v="10484"/>
    <n v="4968"/>
    <n v="0"/>
    <n v="0"/>
    <n v="2"/>
    <n v="5242"/>
    <n v="12596.638655462186"/>
    <n v="1"/>
    <n v="2"/>
    <n v="1"/>
    <n v="0"/>
    <n v="0"/>
    <n v="0"/>
    <n v="10484"/>
    <n v="4968"/>
    <n v="0"/>
    <n v="0"/>
    <n v="2"/>
    <n v="5242"/>
    <n v="12596.638655462186"/>
    <n v="1"/>
    <n v="1"/>
    <n v="1"/>
    <n v="0"/>
    <n v="0"/>
    <n v="0"/>
    <n v="5242"/>
    <n v="4968"/>
    <n v="0"/>
    <n v="0"/>
    <n v="1"/>
    <n v="5242"/>
    <n v="12596.638655462186"/>
    <n v="1"/>
    <n v="0"/>
    <n v="1"/>
    <n v="0"/>
    <n v="0"/>
    <m/>
    <n v="0"/>
    <n v="4968"/>
    <n v="0"/>
    <n v="0"/>
    <n v="0"/>
    <n v="0"/>
    <n v="12596.63865546218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OR"/>
    <x v="386"/>
    <x v="281"/>
    <x v="0"/>
    <x v="1"/>
    <n v="1"/>
    <x v="209"/>
    <n v="28"/>
    <m/>
    <n v="0"/>
    <n v="8355"/>
    <n v="233940"/>
    <n v="7.5"/>
    <n v="8193.75"/>
    <n v="16798.319327731093"/>
    <n v="12596.638655462186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0003986843416724"/>
    <n v="1"/>
    <s v=""/>
    <n v="0"/>
    <s v=""/>
    <n v="0"/>
    <s v=""/>
    <n v="1"/>
    <s v=""/>
    <n v="0.625"/>
    <n v="1"/>
    <s v=""/>
    <n v="0.625"/>
    <n v="0"/>
    <s v=""/>
    <n v="0"/>
    <n v="1"/>
    <s v=""/>
    <n v="0.1"/>
    <n v="2"/>
    <n v="31"/>
    <n v="2"/>
    <n v="0"/>
    <n v="0"/>
    <n v="0"/>
    <n v="16710"/>
    <n v="240637.49999999997"/>
    <n v="16710"/>
    <n v="0"/>
    <n v="28"/>
    <n v="233940"/>
    <n v="28232.469458371586"/>
    <n v="2"/>
    <n v="29"/>
    <n v="0"/>
    <n v="0"/>
    <n v="0"/>
    <n v="0"/>
    <n v="8355"/>
    <n v="225112.49999999997"/>
    <n v="0"/>
    <n v="0"/>
    <n v="28"/>
    <n v="233940"/>
    <n v="0"/>
    <n v="2.2680000000000002"/>
    <n v="29"/>
    <n v="0"/>
    <n v="0"/>
    <n v="0"/>
    <n v="20775"/>
    <n v="242295"/>
    <n v="0"/>
    <n v="0"/>
    <n v="28"/>
    <n v="233940"/>
    <n v="0"/>
    <n v="1.6"/>
    <n v="31"/>
    <n v="1"/>
    <n v="0"/>
    <n v="0"/>
    <n v="240637.49999999997"/>
    <n v="8355"/>
    <x v="0"/>
    <x v="0"/>
    <n v="28"/>
    <n v="233940"/>
    <n v="16798.319327731093"/>
    <n v="1.6"/>
    <n v="29"/>
    <n v="1.6"/>
    <m/>
    <n v="0"/>
    <n v="0"/>
    <n v="242295"/>
    <n v="12420"/>
    <x v="0"/>
    <n v="0"/>
    <n v="28"/>
    <n v="233940"/>
    <n v="26877.310924369751"/>
    <n v="4.8"/>
    <n v="28"/>
    <n v="0"/>
    <m/>
    <n v="0"/>
    <n v="0"/>
    <n v="233940"/>
    <n v="0"/>
    <n v="0"/>
    <n v="0"/>
    <n v="28"/>
    <n v="233940"/>
    <n v="0"/>
    <n v="10"/>
    <n v="29"/>
    <n v="10"/>
    <n v="0"/>
    <n v="0"/>
    <n v="0"/>
    <n v="242295"/>
    <n v="77624.999999999985"/>
    <n v="0"/>
    <n v="0"/>
    <n v="29"/>
    <n v="233940"/>
    <n v="167983.19327731093"/>
    <n v="10"/>
    <n v="19"/>
    <n v="10"/>
    <n v="0"/>
    <n v="0"/>
    <n v="0"/>
    <n v="158745"/>
    <n v="77624.999999999985"/>
    <n v="0"/>
    <n v="0"/>
    <n v="19"/>
    <n v="158745"/>
    <n v="167983.19327731093"/>
    <n v="10"/>
    <n v="9"/>
    <n v="10"/>
    <n v="0"/>
    <n v="0"/>
    <m/>
    <n v="69862.499999999985"/>
    <n v="77624.999999999985"/>
    <n v="0"/>
    <n v="0"/>
    <n v="9"/>
    <n v="69862.499999999985"/>
    <n v="167983.1932773109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OR"/>
    <x v="387"/>
    <x v="281"/>
    <x v="0"/>
    <x v="1"/>
    <n v="1"/>
    <x v="210"/>
    <n v="57"/>
    <m/>
    <n v="0"/>
    <n v="8174"/>
    <n v="465918"/>
    <n v="7.5"/>
    <n v="8193.75"/>
    <n v="16798.319327731093"/>
    <n v="12596.638655462186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0003986843416724"/>
    <n v="6"/>
    <s v=""/>
    <n v="1"/>
    <s v=""/>
    <n v="1"/>
    <s v=""/>
    <n v="0"/>
    <s v=""/>
    <n v="0"/>
    <n v="2"/>
    <s v=""/>
    <n v="0.5"/>
    <n v="3"/>
    <s v=""/>
    <n v="0.28846153846153844"/>
    <n v="0"/>
    <s v=""/>
    <n v="0"/>
    <n v="3.2"/>
    <n v="69"/>
    <n v="3.2"/>
    <n v="0"/>
    <n v="0"/>
    <n v="0"/>
    <n v="46591.8"/>
    <n v="535612.49999999988"/>
    <n v="26156.800000000003"/>
    <n v="0"/>
    <n v="57"/>
    <n v="465918"/>
    <n v="45171.951133394541"/>
    <n v="3"/>
    <n v="63"/>
    <n v="1.5"/>
    <n v="0"/>
    <n v="0"/>
    <n v="0"/>
    <n v="20435"/>
    <n v="489037.49999999994"/>
    <n v="12261"/>
    <n v="0"/>
    <n v="57"/>
    <n v="465918"/>
    <n v="21174.352093778689"/>
    <n v="4"/>
    <n v="62"/>
    <n v="1"/>
    <n v="0"/>
    <n v="0"/>
    <n v="39224"/>
    <n v="506788"/>
    <n v="8174"/>
    <n v="0"/>
    <n v="57"/>
    <n v="465918"/>
    <n v="16798.319327731093"/>
    <n v="3.45"/>
    <n v="62"/>
    <n v="0"/>
    <n v="0"/>
    <n v="0"/>
    <n v="481274.99999999994"/>
    <n v="0"/>
    <x v="0"/>
    <x v="0"/>
    <n v="57"/>
    <n v="465918"/>
    <n v="0"/>
    <n v="4"/>
    <n v="59"/>
    <n v="4"/>
    <m/>
    <n v="0"/>
    <n v="0"/>
    <n v="482266"/>
    <n v="31049.999999999996"/>
    <x v="0"/>
    <n v="0"/>
    <n v="57"/>
    <n v="465918"/>
    <n v="67193.277310924372"/>
    <n v="10.4"/>
    <n v="60"/>
    <n v="3"/>
    <m/>
    <n v="0"/>
    <n v="0"/>
    <n v="490440"/>
    <n v="23287.499999999996"/>
    <n v="0"/>
    <n v="0"/>
    <n v="60"/>
    <n v="465918"/>
    <n v="50394.957983193279"/>
    <n v="21"/>
    <n v="57"/>
    <n v="21"/>
    <n v="0"/>
    <n v="0"/>
    <n v="0"/>
    <n v="465918"/>
    <n v="163012.49999999997"/>
    <n v="0"/>
    <n v="0"/>
    <n v="57"/>
    <n v="465918"/>
    <n v="352764.70588235295"/>
    <n v="21"/>
    <n v="36"/>
    <n v="21"/>
    <n v="0"/>
    <n v="0"/>
    <n v="0"/>
    <n v="294264"/>
    <n v="163012.49999999997"/>
    <n v="0"/>
    <n v="0"/>
    <n v="36"/>
    <n v="294264"/>
    <n v="352764.70588235295"/>
    <n v="21"/>
    <n v="15"/>
    <n v="21"/>
    <n v="0"/>
    <n v="0"/>
    <m/>
    <n v="116437.49999999999"/>
    <n v="163012.49999999997"/>
    <n v="0"/>
    <n v="0"/>
    <n v="15"/>
    <n v="116437.49999999999"/>
    <n v="352764.7058823529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OR"/>
    <x v="388"/>
    <x v="281"/>
    <x v="0"/>
    <x v="1"/>
    <n v="1"/>
    <x v="211"/>
    <n v="57"/>
    <m/>
    <n v="0"/>
    <n v="8172"/>
    <n v="465804"/>
    <n v="7.5"/>
    <n v="8193.75"/>
    <n v="16798.319327731093"/>
    <n v="12596.638655462186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"/>
    <n v="2"/>
    <n v="0"/>
    <n v="6"/>
    <s v=""/>
    <n v="0"/>
    <s v=""/>
    <n v="0"/>
    <s v=""/>
    <n v="1"/>
    <s v=""/>
    <n v="0.33333333333333331"/>
    <n v="2"/>
    <s v=""/>
    <n v="0.46511627906976744"/>
    <n v="8"/>
    <s v=""/>
    <n v="0.625"/>
    <n v="0"/>
    <s v=""/>
    <n v="0"/>
    <n v="3"/>
    <n v="71"/>
    <n v="3"/>
    <n v="0"/>
    <n v="0"/>
    <n v="0"/>
    <n v="24516"/>
    <n v="551137.49999999988"/>
    <n v="24516"/>
    <n v="0"/>
    <n v="57"/>
    <n v="465804"/>
    <n v="42348.704187557378"/>
    <n v="3"/>
    <n v="64"/>
    <n v="0"/>
    <n v="0"/>
    <n v="0"/>
    <n v="0"/>
    <n v="8172"/>
    <n v="496799.99999999994"/>
    <n v="0"/>
    <n v="0"/>
    <n v="57"/>
    <n v="465804"/>
    <n v="0"/>
    <n v="4"/>
    <n v="64"/>
    <n v="0"/>
    <n v="0"/>
    <n v="0"/>
    <n v="41550.749999999993"/>
    <n v="523008"/>
    <n v="0"/>
    <n v="0"/>
    <n v="57"/>
    <n v="465804"/>
    <n v="0"/>
    <n v="3"/>
    <n v="66"/>
    <n v="1"/>
    <n v="0"/>
    <n v="0"/>
    <n v="512324.99999999994"/>
    <n v="8172"/>
    <x v="0"/>
    <x v="0"/>
    <n v="57"/>
    <n v="465804"/>
    <n v="16798.319327731093"/>
    <n v="4.3"/>
    <n v="59"/>
    <n v="4.3"/>
    <m/>
    <n v="0"/>
    <n v="0"/>
    <n v="482148"/>
    <n v="33378.749999999993"/>
    <x v="0"/>
    <n v="0"/>
    <n v="57"/>
    <n v="465804"/>
    <n v="72232.773109243702"/>
    <n v="12.8"/>
    <n v="65"/>
    <n v="8"/>
    <m/>
    <n v="0"/>
    <n v="0"/>
    <n v="531180"/>
    <n v="62099.999999999993"/>
    <n v="0"/>
    <n v="0"/>
    <n v="65"/>
    <n v="465804"/>
    <n v="134386.55462184874"/>
    <n v="22"/>
    <n v="57"/>
    <n v="22"/>
    <n v="0"/>
    <n v="0"/>
    <n v="0"/>
    <n v="465804"/>
    <n v="170774.99999999997"/>
    <n v="0"/>
    <n v="0"/>
    <n v="57"/>
    <n v="465804"/>
    <n v="369563.02521008404"/>
    <n v="22"/>
    <n v="35"/>
    <n v="22"/>
    <n v="0"/>
    <n v="0"/>
    <n v="0"/>
    <n v="286020"/>
    <n v="170774.99999999997"/>
    <n v="0"/>
    <n v="0"/>
    <n v="35"/>
    <n v="286020"/>
    <n v="369563.02521008404"/>
    <n v="22"/>
    <n v="13"/>
    <n v="22"/>
    <n v="0"/>
    <n v="0"/>
    <m/>
    <n v="100912.49999999999"/>
    <n v="170774.99999999997"/>
    <n v="0"/>
    <n v="0"/>
    <n v="13"/>
    <n v="100912.49999999999"/>
    <n v="369563.0252100840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OR"/>
    <x v="389"/>
    <x v="281"/>
    <x v="0"/>
    <x v="1"/>
    <n v="1"/>
    <x v="212"/>
    <n v="21"/>
    <m/>
    <n v="0"/>
    <n v="8265"/>
    <n v="173565"/>
    <n v="7.5"/>
    <n v="8193.75"/>
    <n v="16798.319327731093"/>
    <n v="12596.638655462186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19998796340876263"/>
    <n v="2"/>
    <n v="0.48022722839867371"/>
    <n v="5"/>
    <s v=""/>
    <n v="1"/>
    <s v=""/>
    <n v="0"/>
    <s v=""/>
    <n v="0"/>
    <s v=""/>
    <n v="0"/>
    <n v="2"/>
    <s v=""/>
    <n v="0.5"/>
    <n v="9"/>
    <s v=""/>
    <n v="0.9"/>
    <n v="1"/>
    <s v=""/>
    <n v="9.0909090909090912E-2"/>
    <n v="2.3000000000000003"/>
    <n v="40"/>
    <n v="2.3000000000000003"/>
    <n v="0"/>
    <n v="0"/>
    <n v="0"/>
    <n v="31407.000000000004"/>
    <n v="310499.99999999994"/>
    <n v="19009.500000000004"/>
    <n v="0"/>
    <n v="21"/>
    <n v="173565"/>
    <n v="32467.339877127328"/>
    <n v="2"/>
    <n v="32"/>
    <n v="1.5"/>
    <n v="0"/>
    <n v="0"/>
    <n v="0"/>
    <n v="12397.5"/>
    <n v="248399.99999999997"/>
    <n v="12397.5"/>
    <n v="0"/>
    <n v="21"/>
    <n v="173565"/>
    <n v="21174.352093778689"/>
    <n v="2"/>
    <n v="31"/>
    <n v="0"/>
    <n v="0"/>
    <n v="0"/>
    <n v="31049.999999999996"/>
    <n v="256215"/>
    <n v="0"/>
    <n v="0"/>
    <n v="21"/>
    <n v="173565"/>
    <n v="0"/>
    <n v="3"/>
    <n v="33"/>
    <n v="0"/>
    <n v="0"/>
    <n v="0"/>
    <n v="256162.49999999997"/>
    <n v="0"/>
    <x v="0"/>
    <x v="0"/>
    <n v="21"/>
    <n v="173565"/>
    <n v="0"/>
    <n v="4"/>
    <n v="23"/>
    <n v="4"/>
    <m/>
    <n v="0"/>
    <n v="0"/>
    <n v="190095"/>
    <n v="31049.999999999996"/>
    <x v="0"/>
    <n v="0"/>
    <n v="21"/>
    <n v="173565"/>
    <n v="67193.277310924372"/>
    <n v="10"/>
    <n v="30"/>
    <n v="9"/>
    <m/>
    <n v="0"/>
    <n v="0"/>
    <n v="247950"/>
    <n v="69862.499999999985"/>
    <n v="0"/>
    <n v="0"/>
    <n v="30"/>
    <n v="173565"/>
    <n v="151184.87394957984"/>
    <n v="11"/>
    <n v="22"/>
    <n v="11"/>
    <n v="0"/>
    <n v="0"/>
    <n v="0"/>
    <n v="181830"/>
    <n v="85387.499999999985"/>
    <n v="0"/>
    <n v="0"/>
    <n v="22"/>
    <n v="173565"/>
    <n v="184781.51260504202"/>
    <n v="11"/>
    <n v="11"/>
    <n v="11"/>
    <n v="0"/>
    <n v="0"/>
    <n v="0"/>
    <n v="90915"/>
    <n v="85387.499999999985"/>
    <n v="0"/>
    <n v="0"/>
    <n v="11"/>
    <n v="90915"/>
    <n v="184781.51260504202"/>
    <n v="11"/>
    <n v="0"/>
    <n v="11"/>
    <n v="0"/>
    <n v="0"/>
    <m/>
    <n v="0"/>
    <n v="85387.499999999985"/>
    <n v="0"/>
    <n v="0"/>
    <n v="0"/>
    <n v="0"/>
    <n v="184781.5126050420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MY"/>
    <x v="390"/>
    <x v="282"/>
    <x v="0"/>
    <x v="1"/>
    <n v="1"/>
    <x v="213"/>
    <n v="13"/>
    <m/>
    <n v="0"/>
    <n v="8026"/>
    <n v="104338"/>
    <n v="7.5"/>
    <n v="8193.75"/>
    <n v="16798.319327731093"/>
    <n v="12596.638655462186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3"/>
    <s v=""/>
    <n v="0"/>
    <s v=""/>
    <n v="0"/>
    <s v=""/>
    <n v="1"/>
    <s v=""/>
    <n v="0.5"/>
    <n v="1"/>
    <s v=""/>
    <n v="0.5"/>
    <n v="1"/>
    <s v=""/>
    <n v="0.2"/>
    <n v="1"/>
    <s v=""/>
    <n v="0.2"/>
    <n v="2"/>
    <n v="22"/>
    <n v="2"/>
    <n v="0"/>
    <n v="0"/>
    <n v="0"/>
    <n v="16052"/>
    <n v="170774.99999999997"/>
    <n v="16052"/>
    <n v="0"/>
    <n v="13"/>
    <n v="104338"/>
    <n v="28232.469458371586"/>
    <n v="1"/>
    <n v="15"/>
    <n v="0"/>
    <n v="0"/>
    <n v="0"/>
    <n v="0"/>
    <n v="8026"/>
    <n v="116437.49999999999"/>
    <n v="0"/>
    <n v="0"/>
    <n v="13"/>
    <n v="104338"/>
    <n v="0"/>
    <n v="2"/>
    <n v="15"/>
    <n v="0"/>
    <n v="0"/>
    <n v="0"/>
    <n v="23551"/>
    <n v="120390"/>
    <n v="0"/>
    <n v="0"/>
    <n v="13"/>
    <n v="104338"/>
    <n v="0"/>
    <n v="2"/>
    <n v="17"/>
    <n v="1"/>
    <n v="0"/>
    <n v="0"/>
    <n v="131962.49999999997"/>
    <n v="8026"/>
    <x v="0"/>
    <x v="0"/>
    <n v="13"/>
    <n v="104338"/>
    <n v="16798.319327731093"/>
    <n v="2"/>
    <n v="14"/>
    <n v="2"/>
    <m/>
    <n v="0"/>
    <n v="0"/>
    <n v="112364"/>
    <n v="15524.999999999998"/>
    <x v="0"/>
    <n v="0"/>
    <n v="13"/>
    <n v="104338"/>
    <n v="33596.638655462186"/>
    <n v="5"/>
    <n v="14"/>
    <n v="1"/>
    <m/>
    <n v="0"/>
    <n v="0"/>
    <n v="112364"/>
    <n v="7762.4999999999991"/>
    <n v="0"/>
    <n v="0"/>
    <n v="14"/>
    <n v="104338"/>
    <n v="16798.319327731093"/>
    <n v="5"/>
    <n v="14"/>
    <n v="5"/>
    <n v="0"/>
    <n v="0"/>
    <n v="0"/>
    <n v="112364"/>
    <n v="38812.499999999993"/>
    <n v="0"/>
    <n v="0"/>
    <n v="14"/>
    <n v="104338"/>
    <n v="83991.596638655465"/>
    <n v="5"/>
    <n v="9"/>
    <n v="5"/>
    <n v="0"/>
    <n v="0"/>
    <n v="0"/>
    <n v="72234"/>
    <n v="38812.499999999993"/>
    <n v="0"/>
    <n v="0"/>
    <n v="9"/>
    <n v="72234"/>
    <n v="83991.596638655465"/>
    <n v="5"/>
    <n v="4"/>
    <n v="5"/>
    <n v="0"/>
    <n v="0"/>
    <m/>
    <n v="31049.999999999996"/>
    <n v="38812.499999999993"/>
    <n v="0"/>
    <n v="0"/>
    <n v="4"/>
    <n v="31049.999999999996"/>
    <n v="83991.59663865546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MY"/>
    <x v="391"/>
    <x v="282"/>
    <x v="0"/>
    <x v="1"/>
    <n v="1"/>
    <x v="214"/>
    <n v="43"/>
    <m/>
    <n v="0"/>
    <n v="8030"/>
    <n v="345290"/>
    <n v="7.5"/>
    <n v="8193.75"/>
    <n v="16798.319327731093"/>
    <n v="12596.638655462186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1049309237816971"/>
    <n v="3"/>
    <s v=""/>
    <n v="0"/>
    <s v=""/>
    <n v="0"/>
    <s v=""/>
    <n v="0"/>
    <s v=""/>
    <n v="0"/>
    <n v="1"/>
    <s v=""/>
    <n v="0.25"/>
    <n v="2"/>
    <s v=""/>
    <n v="0.25"/>
    <n v="1"/>
    <s v=""/>
    <n v="6.6666666666666666E-2"/>
    <n v="3"/>
    <n v="48"/>
    <n v="3"/>
    <n v="0"/>
    <n v="0"/>
    <n v="0"/>
    <n v="24090"/>
    <n v="372599.99999999994"/>
    <n v="24090"/>
    <n v="0"/>
    <n v="43"/>
    <n v="345290"/>
    <n v="42348.704187557378"/>
    <n v="2"/>
    <n v="45"/>
    <n v="0"/>
    <n v="0"/>
    <n v="0"/>
    <n v="0"/>
    <n v="0"/>
    <n v="349312.49999999994"/>
    <n v="0"/>
    <n v="0"/>
    <n v="43"/>
    <n v="345290"/>
    <n v="0"/>
    <n v="1.9440000000000002"/>
    <n v="45"/>
    <n v="0"/>
    <n v="0"/>
    <n v="0"/>
    <n v="31049.999999999996"/>
    <n v="361350"/>
    <n v="0"/>
    <n v="0"/>
    <n v="43"/>
    <n v="345290"/>
    <n v="0"/>
    <n v="3"/>
    <n v="47"/>
    <n v="0"/>
    <n v="0"/>
    <n v="0"/>
    <n v="364837.49999999994"/>
    <n v="0"/>
    <x v="0"/>
    <x v="0"/>
    <n v="43"/>
    <n v="345290"/>
    <n v="0"/>
    <n v="4"/>
    <n v="44"/>
    <n v="4"/>
    <m/>
    <n v="0"/>
    <n v="0"/>
    <n v="353320"/>
    <n v="31049.999999999996"/>
    <x v="0"/>
    <n v="0"/>
    <n v="43"/>
    <n v="345290"/>
    <n v="67193.277310924372"/>
    <n v="8"/>
    <n v="45"/>
    <n v="2"/>
    <m/>
    <n v="0"/>
    <n v="0"/>
    <n v="361350"/>
    <n v="15524.999999999998"/>
    <n v="0"/>
    <n v="0"/>
    <n v="45"/>
    <n v="345290"/>
    <n v="33596.638655462186"/>
    <n v="15"/>
    <n v="44"/>
    <n v="15"/>
    <n v="0"/>
    <n v="0"/>
    <n v="0"/>
    <n v="353320"/>
    <n v="116437.49999999999"/>
    <n v="0"/>
    <n v="0"/>
    <n v="44"/>
    <n v="345290"/>
    <n v="251974.78991596639"/>
    <n v="15"/>
    <n v="29"/>
    <n v="15"/>
    <n v="0"/>
    <n v="0"/>
    <n v="0"/>
    <n v="232870"/>
    <n v="116437.49999999999"/>
    <n v="0"/>
    <n v="0"/>
    <n v="29"/>
    <n v="232870"/>
    <n v="251974.78991596639"/>
    <n v="15"/>
    <n v="14"/>
    <n v="15"/>
    <n v="0"/>
    <n v="0"/>
    <m/>
    <n v="108674.99999999999"/>
    <n v="116437.49999999999"/>
    <n v="0"/>
    <n v="0"/>
    <n v="14"/>
    <n v="108674.99999999999"/>
    <n v="251974.7899159663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MY"/>
    <x v="392"/>
    <x v="282"/>
    <x v="0"/>
    <x v="1"/>
    <n v="1"/>
    <x v="215"/>
    <n v="32"/>
    <m/>
    <n v="0"/>
    <n v="8032"/>
    <n v="257024"/>
    <n v="7.5"/>
    <n v="8193.75"/>
    <n v="16798.319327731093"/>
    <n v="12596.638655462186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1213512135121353"/>
    <n v="1"/>
    <n v="0"/>
    <n v="5"/>
    <s v=""/>
    <n v="0"/>
    <s v=""/>
    <n v="2"/>
    <s v=""/>
    <n v="1"/>
    <s v=""/>
    <n v="0.33333333333333331"/>
    <n v="1"/>
    <s v=""/>
    <n v="0.25"/>
    <n v="3"/>
    <s v=""/>
    <n v="0.375"/>
    <n v="0"/>
    <s v=""/>
    <n v="0"/>
    <n v="3"/>
    <n v="37"/>
    <n v="3"/>
    <n v="0"/>
    <n v="0"/>
    <n v="0"/>
    <n v="40160"/>
    <n v="287212.49999999994"/>
    <n v="24096"/>
    <n v="0"/>
    <n v="32"/>
    <n v="257024"/>
    <n v="42348.704187557378"/>
    <n v="2"/>
    <n v="37"/>
    <n v="0"/>
    <n v="0"/>
    <n v="0"/>
    <n v="0"/>
    <n v="24096"/>
    <n v="287212.49999999994"/>
    <n v="0"/>
    <n v="0"/>
    <n v="32"/>
    <n v="257024"/>
    <n v="0"/>
    <n v="1.9440000000000002"/>
    <n v="37"/>
    <n v="2"/>
    <n v="0"/>
    <n v="0"/>
    <n v="55146"/>
    <n v="297184"/>
    <n v="16064"/>
    <n v="0"/>
    <n v="32"/>
    <n v="257024"/>
    <n v="33596.638655462186"/>
    <n v="3"/>
    <n v="37"/>
    <n v="1"/>
    <n v="0"/>
    <n v="0"/>
    <n v="287212.49999999994"/>
    <n v="8032"/>
    <x v="0"/>
    <x v="0"/>
    <n v="32"/>
    <n v="257024"/>
    <n v="16798.319327731093"/>
    <n v="4"/>
    <n v="33"/>
    <n v="4"/>
    <m/>
    <n v="0"/>
    <n v="0"/>
    <n v="265056"/>
    <n v="31049.999999999996"/>
    <x v="0"/>
    <n v="0"/>
    <n v="32"/>
    <n v="257024"/>
    <n v="67193.277310924372"/>
    <n v="8"/>
    <n v="35"/>
    <n v="3"/>
    <m/>
    <n v="0"/>
    <n v="0"/>
    <n v="281120"/>
    <n v="23287.499999999996"/>
    <n v="0"/>
    <n v="0"/>
    <n v="35"/>
    <n v="257024"/>
    <n v="50394.957983193279"/>
    <n v="12"/>
    <n v="32"/>
    <n v="12"/>
    <n v="0"/>
    <n v="0"/>
    <n v="0"/>
    <n v="257024"/>
    <n v="93149.999999999985"/>
    <n v="0"/>
    <n v="0"/>
    <n v="32"/>
    <n v="257024"/>
    <n v="201579.83193277312"/>
    <n v="12"/>
    <n v="20"/>
    <n v="12"/>
    <n v="0"/>
    <n v="0"/>
    <n v="0"/>
    <n v="160640"/>
    <n v="93149.999999999985"/>
    <n v="0"/>
    <n v="0"/>
    <n v="20"/>
    <n v="160640"/>
    <n v="201579.83193277312"/>
    <n v="12"/>
    <n v="8"/>
    <n v="12"/>
    <n v="0"/>
    <n v="0"/>
    <m/>
    <n v="62099.999999999993"/>
    <n v="93149.999999999985"/>
    <n v="0"/>
    <n v="0"/>
    <n v="8"/>
    <n v="62099.999999999993"/>
    <n v="201579.8319327731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MY"/>
    <x v="393"/>
    <x v="282"/>
    <x v="0"/>
    <x v="1"/>
    <n v="1"/>
    <x v="216"/>
    <n v="15"/>
    <m/>
    <n v="0"/>
    <n v="8059"/>
    <n v="120885"/>
    <n v="7.5"/>
    <n v="8193.75"/>
    <n v="16798.319327731093"/>
    <n v="12596.638655462186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522012578616353"/>
    <n v="5"/>
    <s v=""/>
    <n v="0"/>
    <s v=""/>
    <n v="0"/>
    <s v=""/>
    <n v="0"/>
    <s v=""/>
    <n v="0"/>
    <n v="1"/>
    <s v=""/>
    <n v="0.5"/>
    <n v="2"/>
    <s v=""/>
    <n v="0.4"/>
    <n v="0"/>
    <s v=""/>
    <n v="0"/>
    <n v="2"/>
    <n v="24"/>
    <n v="2"/>
    <n v="0"/>
    <n v="0"/>
    <n v="0"/>
    <n v="16118"/>
    <n v="186299.99999999997"/>
    <n v="16118"/>
    <n v="0"/>
    <n v="15"/>
    <n v="120885"/>
    <n v="28232.469458371586"/>
    <n v="2"/>
    <n v="16"/>
    <n v="0"/>
    <n v="0"/>
    <n v="0"/>
    <n v="0"/>
    <n v="0"/>
    <n v="124199.99999999999"/>
    <n v="0"/>
    <n v="0"/>
    <n v="15"/>
    <n v="120885"/>
    <n v="0"/>
    <n v="2"/>
    <n v="16"/>
    <n v="0"/>
    <n v="0"/>
    <n v="0"/>
    <n v="15524.999999999998"/>
    <n v="128944"/>
    <n v="0"/>
    <n v="0"/>
    <n v="15"/>
    <n v="120885"/>
    <n v="0"/>
    <n v="3"/>
    <n v="17"/>
    <n v="0"/>
    <n v="0"/>
    <n v="0"/>
    <n v="131962.49999999997"/>
    <n v="0"/>
    <x v="0"/>
    <x v="0"/>
    <n v="15"/>
    <n v="120885"/>
    <n v="0"/>
    <n v="2"/>
    <n v="16"/>
    <n v="2"/>
    <m/>
    <n v="0"/>
    <n v="0"/>
    <n v="128944"/>
    <n v="15524.999999999998"/>
    <x v="0"/>
    <n v="0"/>
    <n v="15"/>
    <n v="120885"/>
    <n v="33596.638655462186"/>
    <n v="5"/>
    <n v="17"/>
    <n v="2"/>
    <m/>
    <n v="0"/>
    <n v="0"/>
    <n v="137003"/>
    <n v="15524.999999999998"/>
    <n v="0"/>
    <n v="0"/>
    <n v="17"/>
    <n v="120885"/>
    <n v="33596.638655462186"/>
    <n v="6"/>
    <n v="15"/>
    <n v="6"/>
    <n v="0"/>
    <n v="0"/>
    <n v="0"/>
    <n v="120885"/>
    <n v="46574.999999999993"/>
    <n v="0"/>
    <n v="0"/>
    <n v="15"/>
    <n v="120885"/>
    <n v="100789.91596638656"/>
    <n v="6"/>
    <n v="9"/>
    <n v="6"/>
    <n v="0"/>
    <n v="0"/>
    <n v="0"/>
    <n v="72531"/>
    <n v="46574.999999999993"/>
    <n v="0"/>
    <n v="0"/>
    <n v="9"/>
    <n v="72531"/>
    <n v="100789.91596638656"/>
    <n v="6"/>
    <n v="3"/>
    <n v="6"/>
    <n v="0"/>
    <n v="0"/>
    <m/>
    <n v="23287.499999999996"/>
    <n v="46574.999999999993"/>
    <n v="0"/>
    <n v="0"/>
    <n v="3"/>
    <n v="23287.499999999996"/>
    <n v="100789.915966386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MWS06"/>
    <x v="394"/>
    <x v="283"/>
    <x v="0"/>
    <x v="1"/>
    <n v="1"/>
    <x v="217"/>
    <n v="9"/>
    <m/>
    <n v="0"/>
    <n v="12521"/>
    <n v="112689"/>
    <n v="11.7"/>
    <n v="12782.249999999998"/>
    <n v="22680.672268907565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s v=""/>
    <n v="1"/>
    <s v=""/>
    <n v="0"/>
    <s v=""/>
    <n v="0"/>
    <s v=""/>
    <n v="0"/>
    <n v="0"/>
    <s v=""/>
    <n v="0"/>
    <n v="0"/>
    <s v=""/>
    <n v="0"/>
    <n v="0"/>
    <s v=""/>
    <n v="0"/>
    <n v="5"/>
    <n v="15"/>
    <n v="5"/>
    <n v="0"/>
    <n v="0"/>
    <n v="0"/>
    <n v="81386.5"/>
    <n v="181642.49999999997"/>
    <n v="62605"/>
    <n v="0"/>
    <n v="9"/>
    <n v="112689"/>
    <n v="95296.942306334313"/>
    <n v="3"/>
    <n v="10"/>
    <n v="1.5"/>
    <n v="0"/>
    <n v="0"/>
    <n v="0"/>
    <n v="18781.5"/>
    <n v="121094.99999999999"/>
    <n v="18781.5"/>
    <n v="0"/>
    <n v="9"/>
    <n v="112689"/>
    <n v="28589.082691900294"/>
    <n v="2"/>
    <n v="9"/>
    <n v="0"/>
    <n v="0"/>
    <n v="0"/>
    <n v="12109.499999999998"/>
    <n v="112689"/>
    <n v="0"/>
    <n v="0"/>
    <n v="9"/>
    <n v="112689"/>
    <n v="0"/>
    <n v="1"/>
    <n v="9"/>
    <n v="0"/>
    <n v="0"/>
    <n v="0"/>
    <n v="108985.49999999999"/>
    <n v="0"/>
    <x v="0"/>
    <x v="0"/>
    <n v="9"/>
    <n v="112689"/>
    <n v="0"/>
    <n v="1"/>
    <n v="9"/>
    <n v="1"/>
    <m/>
    <n v="0"/>
    <n v="0"/>
    <n v="112689"/>
    <n v="12109.499999999998"/>
    <x v="0"/>
    <n v="0"/>
    <n v="9"/>
    <n v="112689"/>
    <n v="22680.672268907565"/>
    <n v="1"/>
    <n v="9"/>
    <n v="0"/>
    <m/>
    <n v="0"/>
    <n v="0"/>
    <n v="112689"/>
    <n v="0"/>
    <n v="0"/>
    <n v="0"/>
    <n v="9"/>
    <n v="112689"/>
    <n v="0"/>
    <n v="3"/>
    <n v="9"/>
    <n v="3"/>
    <n v="0"/>
    <n v="0"/>
    <n v="0"/>
    <n v="112689"/>
    <n v="36328.499999999993"/>
    <n v="0"/>
    <n v="0"/>
    <n v="9"/>
    <n v="112689"/>
    <n v="68042.016806722691"/>
    <n v="3"/>
    <n v="6"/>
    <n v="3"/>
    <n v="0"/>
    <n v="0"/>
    <n v="0"/>
    <n v="75126"/>
    <n v="36328.499999999993"/>
    <n v="0"/>
    <n v="0"/>
    <n v="6"/>
    <n v="75126"/>
    <n v="68042.016806722691"/>
    <n v="3"/>
    <n v="3"/>
    <n v="3"/>
    <n v="0"/>
    <n v="0"/>
    <m/>
    <n v="36328.499999999993"/>
    <n v="36328.499999999993"/>
    <n v="0"/>
    <n v="0"/>
    <n v="3"/>
    <n v="36328.499999999993"/>
    <n v="68042.01680672269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MWS06"/>
    <x v="395"/>
    <x v="283"/>
    <x v="0"/>
    <x v="1"/>
    <n v="1"/>
    <x v="218"/>
    <n v="19"/>
    <m/>
    <n v="0"/>
    <n v="12521"/>
    <n v="237899"/>
    <n v="11.7"/>
    <n v="12782.249999999998"/>
    <n v="22680.672268907565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2"/>
    <n v="0.4226495135334532"/>
    <n v="6"/>
    <s v=""/>
    <n v="1"/>
    <s v=""/>
    <n v="0"/>
    <s v=""/>
    <n v="0"/>
    <s v=""/>
    <n v="0"/>
    <n v="0"/>
    <s v=""/>
    <n v="0"/>
    <n v="0"/>
    <s v=""/>
    <n v="0"/>
    <n v="0"/>
    <s v=""/>
    <n v="0"/>
    <n v="15"/>
    <n v="27"/>
    <n v="15"/>
    <n v="0"/>
    <n v="0"/>
    <n v="0"/>
    <n v="206596.5"/>
    <n v="326956.49999999994"/>
    <n v="187815"/>
    <n v="0"/>
    <n v="19"/>
    <n v="237899"/>
    <n v="285890.82691900292"/>
    <n v="5"/>
    <n v="21"/>
    <n v="1.5"/>
    <n v="0"/>
    <n v="0"/>
    <n v="0"/>
    <n v="18781.5"/>
    <n v="254299.49999999997"/>
    <n v="18781.5"/>
    <n v="0"/>
    <n v="19"/>
    <n v="237899"/>
    <n v="28589.082691900294"/>
    <n v="4"/>
    <n v="20"/>
    <n v="0"/>
    <n v="0"/>
    <n v="0"/>
    <n v="24218.999999999996"/>
    <n v="250420"/>
    <n v="0"/>
    <n v="0"/>
    <n v="19"/>
    <n v="237899"/>
    <n v="0"/>
    <n v="2"/>
    <n v="20"/>
    <n v="0"/>
    <n v="0"/>
    <n v="0"/>
    <n v="242189.99999999997"/>
    <n v="0"/>
    <x v="0"/>
    <x v="0"/>
    <n v="19"/>
    <n v="237899"/>
    <n v="0"/>
    <n v="2"/>
    <n v="19"/>
    <n v="2"/>
    <m/>
    <n v="0"/>
    <n v="0"/>
    <n v="237899"/>
    <n v="24218.999999999996"/>
    <x v="0"/>
    <n v="0"/>
    <n v="19"/>
    <n v="237899"/>
    <n v="45361.34453781513"/>
    <n v="1"/>
    <n v="19"/>
    <n v="0"/>
    <m/>
    <n v="0"/>
    <n v="0"/>
    <n v="237899"/>
    <n v="0"/>
    <n v="0"/>
    <n v="0"/>
    <n v="19"/>
    <n v="237899"/>
    <n v="0"/>
    <n v="7"/>
    <n v="19"/>
    <n v="7"/>
    <n v="0"/>
    <n v="0"/>
    <n v="0"/>
    <n v="237899"/>
    <n v="84766.499999999985"/>
    <n v="0"/>
    <n v="0"/>
    <n v="19"/>
    <n v="237899"/>
    <n v="158764.70588235295"/>
    <n v="7"/>
    <n v="12"/>
    <n v="7"/>
    <n v="0"/>
    <n v="0"/>
    <n v="0"/>
    <n v="150252"/>
    <n v="84766.499999999985"/>
    <n v="0"/>
    <n v="0"/>
    <n v="12"/>
    <n v="150252"/>
    <n v="158764.70588235295"/>
    <n v="7"/>
    <n v="5"/>
    <n v="7"/>
    <n v="0"/>
    <n v="0"/>
    <m/>
    <n v="60547.499999999993"/>
    <n v="84766.499999999985"/>
    <n v="0"/>
    <n v="0"/>
    <n v="5"/>
    <n v="60547.499999999993"/>
    <n v="158764.7058823529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MWS06"/>
    <x v="396"/>
    <x v="283"/>
    <x v="0"/>
    <x v="1"/>
    <n v="1"/>
    <x v="219"/>
    <n v="9"/>
    <m/>
    <n v="0"/>
    <n v="12521"/>
    <n v="112689"/>
    <n v="11.7"/>
    <n v="12782.249999999998"/>
    <n v="22680.672268907565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6097550475698479"/>
    <n v="14"/>
    <s v=""/>
    <n v="1"/>
    <s v=""/>
    <n v="1"/>
    <s v=""/>
    <n v="0"/>
    <s v=""/>
    <n v="0"/>
    <n v="0"/>
    <s v=""/>
    <n v="0"/>
    <n v="1"/>
    <s v=""/>
    <n v="1"/>
    <n v="0"/>
    <s v=""/>
    <n v="0"/>
    <n v="15"/>
    <n v="26"/>
    <n v="15"/>
    <n v="0"/>
    <n v="0"/>
    <n v="0"/>
    <n v="219117.5"/>
    <n v="314846.99999999994"/>
    <n v="187815"/>
    <n v="0"/>
    <n v="9"/>
    <n v="112689"/>
    <n v="285890.82691900292"/>
    <n v="5"/>
    <n v="10"/>
    <n v="1.5"/>
    <n v="0"/>
    <n v="0"/>
    <n v="0"/>
    <n v="31302.5"/>
    <n v="121094.99999999999"/>
    <n v="18781.5"/>
    <n v="0"/>
    <n v="9"/>
    <n v="112689"/>
    <n v="28589.082691900294"/>
    <n v="4"/>
    <n v="9"/>
    <n v="1"/>
    <n v="0"/>
    <n v="0"/>
    <n v="36740"/>
    <n v="112689"/>
    <n v="12521"/>
    <n v="0"/>
    <n v="9"/>
    <n v="112689"/>
    <n v="22680.672268907565"/>
    <n v="2"/>
    <n v="10"/>
    <n v="0"/>
    <n v="0"/>
    <n v="0"/>
    <n v="121094.99999999999"/>
    <n v="0"/>
    <x v="0"/>
    <x v="0"/>
    <n v="9"/>
    <n v="112689"/>
    <n v="0"/>
    <n v="2"/>
    <n v="9"/>
    <n v="2"/>
    <m/>
    <n v="0"/>
    <n v="0"/>
    <n v="112689"/>
    <n v="24218.999999999996"/>
    <x v="0"/>
    <n v="0"/>
    <n v="9"/>
    <n v="112689"/>
    <n v="45361.34453781513"/>
    <n v="1"/>
    <n v="10"/>
    <n v="1"/>
    <m/>
    <n v="0"/>
    <n v="0"/>
    <n v="125210"/>
    <n v="12109.499999999998"/>
    <n v="0"/>
    <n v="0"/>
    <n v="10"/>
    <n v="112689"/>
    <n v="22680.672268907565"/>
    <n v="4"/>
    <n v="9"/>
    <n v="4"/>
    <n v="0"/>
    <n v="0"/>
    <n v="0"/>
    <n v="112689"/>
    <n v="48437.999999999993"/>
    <n v="0"/>
    <n v="0"/>
    <n v="9"/>
    <n v="112689"/>
    <n v="90722.68907563026"/>
    <n v="4"/>
    <n v="5"/>
    <n v="4"/>
    <n v="0"/>
    <n v="0"/>
    <n v="0"/>
    <n v="62605"/>
    <n v="48437.999999999993"/>
    <n v="0"/>
    <n v="0"/>
    <n v="5"/>
    <n v="62605"/>
    <n v="90722.68907563026"/>
    <n v="4"/>
    <n v="1"/>
    <n v="4"/>
    <n v="0"/>
    <n v="0"/>
    <m/>
    <n v="12109.499999999998"/>
    <n v="48437.999999999993"/>
    <n v="0"/>
    <n v="0"/>
    <n v="1"/>
    <n v="12109.499999999998"/>
    <n v="90722.689075630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MWS06"/>
    <x v="397"/>
    <x v="283"/>
    <x v="0"/>
    <x v="1"/>
    <n v="1"/>
    <x v="220"/>
    <n v="4"/>
    <m/>
    <n v="0"/>
    <n v="12521"/>
    <n v="50084"/>
    <n v="11.7"/>
    <n v="12782.249999999998"/>
    <n v="22680.672268907565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5709578112127652"/>
    <n v="0"/>
    <s v=""/>
    <n v="6"/>
    <s v=""/>
    <n v="2"/>
    <s v=""/>
    <n v="0"/>
    <s v=""/>
    <n v="1"/>
    <s v=""/>
    <n v="1"/>
    <n v="0"/>
    <s v=""/>
    <n v="0"/>
    <n v="0"/>
    <s v=""/>
    <n v="0"/>
    <n v="0"/>
    <s v=""/>
    <n v="0"/>
    <n v="5"/>
    <n v="13"/>
    <n v="5"/>
    <n v="0"/>
    <n v="0"/>
    <n v="0"/>
    <n v="100168"/>
    <n v="157423.49999999997"/>
    <n v="62605"/>
    <n v="0"/>
    <n v="4"/>
    <n v="50084"/>
    <n v="95296.942306334313"/>
    <n v="3"/>
    <n v="6"/>
    <n v="3"/>
    <n v="0"/>
    <n v="0"/>
    <n v="0"/>
    <n v="50084"/>
    <n v="72656.999999999985"/>
    <n v="37563"/>
    <n v="0"/>
    <n v="4"/>
    <n v="50084"/>
    <n v="57178.165383800588"/>
    <n v="2"/>
    <n v="4"/>
    <n v="0"/>
    <n v="0"/>
    <n v="0"/>
    <n v="24630.5"/>
    <n v="50084"/>
    <n v="0"/>
    <n v="0"/>
    <n v="4"/>
    <n v="50084"/>
    <n v="0"/>
    <n v="1"/>
    <n v="4"/>
    <n v="1"/>
    <n v="0"/>
    <n v="0"/>
    <n v="48437.999999999993"/>
    <n v="12521"/>
    <x v="0"/>
    <x v="0"/>
    <n v="4"/>
    <n v="50084"/>
    <n v="22680.672268907565"/>
    <n v="1"/>
    <n v="4"/>
    <n v="1"/>
    <m/>
    <n v="0"/>
    <n v="0"/>
    <n v="50084"/>
    <n v="12109.499999999998"/>
    <x v="0"/>
    <n v="0"/>
    <n v="4"/>
    <n v="50084"/>
    <n v="22680.672268907565"/>
    <n v="1"/>
    <n v="4"/>
    <n v="0"/>
    <m/>
    <n v="0"/>
    <n v="0"/>
    <n v="50084"/>
    <n v="0"/>
    <n v="0"/>
    <n v="0"/>
    <n v="4"/>
    <n v="50084"/>
    <n v="0"/>
    <n v="1"/>
    <n v="4"/>
    <n v="1"/>
    <n v="0"/>
    <n v="0"/>
    <n v="0"/>
    <n v="50084"/>
    <n v="12109.499999999998"/>
    <n v="0"/>
    <n v="0"/>
    <n v="4"/>
    <n v="50084"/>
    <n v="22680.672268907565"/>
    <n v="1"/>
    <n v="3"/>
    <n v="1"/>
    <n v="0"/>
    <n v="0"/>
    <n v="0"/>
    <n v="37563"/>
    <n v="12109.499999999998"/>
    <n v="0"/>
    <n v="0"/>
    <n v="3"/>
    <n v="37563"/>
    <n v="22680.672268907565"/>
    <n v="1"/>
    <n v="2"/>
    <n v="1"/>
    <n v="0"/>
    <n v="0"/>
    <m/>
    <n v="24218.999999999996"/>
    <n v="12109.499999999998"/>
    <n v="0"/>
    <n v="0"/>
    <n v="2"/>
    <n v="24218.999999999996"/>
    <n v="22680.672268907565"/>
    <n v="0"/>
    <n v="1"/>
    <n v="0"/>
    <n v="0"/>
    <n v="0"/>
    <n v="0"/>
    <m/>
    <n v="12109.499999999998"/>
    <n v="0"/>
    <n v="0"/>
    <n v="0"/>
    <n v="1"/>
    <n v="12109.499999999998"/>
    <n v="0"/>
    <n v="0"/>
    <n v="1"/>
    <n v="0"/>
    <n v="0"/>
    <n v="0"/>
    <n v="12109.499999999998"/>
    <n v="0"/>
    <n v="0"/>
    <n v="0"/>
    <n v="1"/>
    <n v="12109.499999999998"/>
    <n v="0"/>
    <n v="0"/>
    <n v="1"/>
    <n v="0"/>
    <n v="0"/>
    <n v="0"/>
    <n v="12109.499999999998"/>
    <n v="0"/>
    <n v="0"/>
    <n v="1"/>
    <n v="12109.499999999998"/>
    <n v="0"/>
    <n v="0"/>
    <n v="1"/>
    <n v="0"/>
    <n v="0"/>
    <m/>
    <n v="12109.499999999998"/>
    <n v="0"/>
    <n v="0"/>
    <n v="1"/>
    <n v="12109.499999999998"/>
    <n v="0"/>
  </r>
  <r>
    <m/>
    <x v="1"/>
    <x v="16"/>
    <x v="41"/>
    <s v="LTS26-MWS06"/>
    <x v="398"/>
    <x v="283"/>
    <x v="0"/>
    <x v="6"/>
    <n v="1"/>
    <x v="12"/>
    <n v="16"/>
    <m/>
    <n v="0"/>
    <n v="12521"/>
    <n v="200336"/>
    <n v="11.7"/>
    <n v="12782.249999999998"/>
    <n v="22680.672268907565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5"/>
    <n v="17"/>
    <n v="5"/>
    <n v="0"/>
    <n v="0"/>
    <n v="0"/>
    <n v="62605"/>
    <n v="205861.49999999997"/>
    <n v="62605"/>
    <n v="0"/>
    <n v="16"/>
    <n v="200336"/>
    <n v="95296.942306334313"/>
    <n v="2"/>
    <n v="16"/>
    <n v="0"/>
    <n v="0"/>
    <n v="0"/>
    <n v="0"/>
    <n v="0"/>
    <n v="193751.99999999997"/>
    <n v="0"/>
    <n v="0"/>
    <n v="16"/>
    <n v="200336"/>
    <n v="0"/>
    <n v="2"/>
    <n v="16"/>
    <n v="0"/>
    <n v="0"/>
    <n v="0"/>
    <n v="8476.6499999999978"/>
    <n v="200336"/>
    <n v="0"/>
    <n v="0"/>
    <n v="16"/>
    <n v="200336"/>
    <n v="0"/>
    <n v="0.65"/>
    <n v="16"/>
    <n v="0"/>
    <n v="0"/>
    <n v="0"/>
    <n v="193751.99999999997"/>
    <n v="0"/>
    <x v="0"/>
    <x v="0"/>
    <n v="16"/>
    <n v="200336"/>
    <n v="0"/>
    <n v="0.7"/>
    <n v="16"/>
    <n v="0.7"/>
    <m/>
    <n v="0"/>
    <n v="0"/>
    <n v="200336"/>
    <n v="8476.6499999999978"/>
    <x v="0"/>
    <n v="0"/>
    <n v="16"/>
    <n v="200336"/>
    <n v="15876.470588235294"/>
    <n v="1"/>
    <n v="16"/>
    <n v="0"/>
    <m/>
    <n v="0"/>
    <n v="0"/>
    <n v="200336"/>
    <n v="0"/>
    <n v="0"/>
    <n v="0"/>
    <n v="16"/>
    <n v="200336"/>
    <n v="0"/>
    <n v="5"/>
    <n v="16"/>
    <n v="5"/>
    <n v="0"/>
    <n v="0"/>
    <n v="0"/>
    <n v="200336"/>
    <n v="60547.499999999993"/>
    <n v="0"/>
    <n v="0"/>
    <n v="16"/>
    <n v="200336"/>
    <n v="113403.36134453783"/>
    <n v="5"/>
    <n v="11"/>
    <n v="5"/>
    <n v="0"/>
    <n v="0"/>
    <n v="0"/>
    <n v="137731"/>
    <n v="60547.499999999993"/>
    <n v="0"/>
    <n v="0"/>
    <n v="11"/>
    <n v="137731"/>
    <n v="113403.36134453783"/>
    <n v="5"/>
    <n v="6"/>
    <n v="5"/>
    <n v="0"/>
    <n v="0"/>
    <m/>
    <n v="72656.999999999985"/>
    <n v="60547.499999999993"/>
    <n v="0"/>
    <n v="0"/>
    <n v="6"/>
    <n v="72656.999999999985"/>
    <n v="113403.36134453783"/>
    <n v="0"/>
    <n v="1"/>
    <n v="0"/>
    <n v="0"/>
    <n v="0"/>
    <n v="0"/>
    <m/>
    <n v="12109.499999999998"/>
    <n v="0"/>
    <n v="0"/>
    <n v="0"/>
    <n v="1"/>
    <n v="12109.499999999998"/>
    <n v="0"/>
    <n v="0"/>
    <n v="1"/>
    <n v="0"/>
    <n v="0"/>
    <n v="0"/>
    <n v="12109.499999999998"/>
    <n v="0"/>
    <n v="0"/>
    <n v="0"/>
    <n v="1"/>
    <n v="12109.499999999998"/>
    <n v="0"/>
    <n v="0"/>
    <n v="1"/>
    <n v="0"/>
    <n v="0"/>
    <n v="0"/>
    <n v="12109.499999999998"/>
    <n v="0"/>
    <n v="0"/>
    <n v="1"/>
    <n v="12109.499999999998"/>
    <n v="0"/>
    <n v="0"/>
    <n v="1"/>
    <n v="0"/>
    <n v="0"/>
    <m/>
    <n v="12109.499999999998"/>
    <n v="0"/>
    <n v="0"/>
    <n v="1"/>
    <n v="12109.499999999998"/>
    <n v="0"/>
  </r>
  <r>
    <m/>
    <x v="1"/>
    <x v="16"/>
    <x v="41"/>
    <s v="LTS26-MWS06"/>
    <x v="399"/>
    <x v="283"/>
    <x v="0"/>
    <x v="1"/>
    <n v="1"/>
    <x v="221"/>
    <n v="28"/>
    <m/>
    <n v="0"/>
    <n v="12521"/>
    <n v="350588"/>
    <n v="11.7"/>
    <n v="12782.249999999998"/>
    <n v="22680.672268907565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0"/>
    <s v=""/>
    <n v="0"/>
    <n v="0"/>
    <s v=""/>
    <n v="0"/>
    <n v="0"/>
    <s v=""/>
    <n v="0"/>
    <n v="0"/>
    <s v=""/>
    <n v="0"/>
    <n v="15"/>
    <n v="30"/>
    <n v="15"/>
    <n v="0"/>
    <n v="0"/>
    <n v="0"/>
    <n v="206596.5"/>
    <n v="363284.99999999994"/>
    <n v="187815"/>
    <n v="0"/>
    <n v="28"/>
    <n v="350588"/>
    <n v="285890.82691900292"/>
    <n v="4"/>
    <n v="29"/>
    <n v="1.5"/>
    <n v="0"/>
    <n v="0"/>
    <n v="0"/>
    <n v="18781.5"/>
    <n v="351175.49999999994"/>
    <n v="18781.5"/>
    <n v="0"/>
    <n v="28"/>
    <n v="350588"/>
    <n v="28589.082691900294"/>
    <n v="3"/>
    <n v="27"/>
    <n v="0"/>
    <n v="0"/>
    <n v="0"/>
    <n v="16953.299999999996"/>
    <n v="338067"/>
    <n v="0"/>
    <n v="0"/>
    <n v="28"/>
    <n v="350588"/>
    <n v="0"/>
    <n v="1.35"/>
    <n v="27"/>
    <n v="0"/>
    <n v="0"/>
    <n v="0"/>
    <n v="326956.49999999994"/>
    <n v="0"/>
    <x v="0"/>
    <x v="0"/>
    <n v="28"/>
    <n v="350588"/>
    <n v="0"/>
    <n v="1.4"/>
    <n v="28"/>
    <n v="1.4"/>
    <m/>
    <n v="0"/>
    <n v="0"/>
    <n v="350588"/>
    <n v="16953.299999999996"/>
    <x v="0"/>
    <n v="0"/>
    <n v="28"/>
    <n v="350588"/>
    <n v="31752.941176470587"/>
    <n v="1"/>
    <n v="28"/>
    <n v="0"/>
    <m/>
    <n v="0"/>
    <n v="0"/>
    <n v="350588"/>
    <n v="0"/>
    <n v="0"/>
    <n v="0"/>
    <n v="28"/>
    <n v="350588"/>
    <n v="0"/>
    <n v="9"/>
    <n v="28"/>
    <n v="9"/>
    <n v="0"/>
    <n v="0"/>
    <n v="0"/>
    <n v="350588"/>
    <n v="108985.49999999999"/>
    <n v="0"/>
    <n v="0"/>
    <n v="28"/>
    <n v="350588"/>
    <n v="204126.05042016809"/>
    <n v="9"/>
    <n v="19"/>
    <n v="9"/>
    <n v="0"/>
    <n v="0"/>
    <n v="0"/>
    <n v="237899"/>
    <n v="108985.49999999999"/>
    <n v="0"/>
    <n v="0"/>
    <n v="19"/>
    <n v="237899"/>
    <n v="204126.05042016809"/>
    <n v="9"/>
    <n v="10"/>
    <n v="9"/>
    <n v="0"/>
    <n v="0"/>
    <m/>
    <n v="121094.99999999999"/>
    <n v="108985.49999999999"/>
    <n v="0"/>
    <n v="0"/>
    <n v="10"/>
    <n v="121094.99999999999"/>
    <n v="204126.05042016809"/>
    <n v="0"/>
    <n v="1"/>
    <n v="0"/>
    <n v="0"/>
    <n v="0"/>
    <n v="0"/>
    <m/>
    <n v="12109.499999999998"/>
    <n v="0"/>
    <n v="0"/>
    <n v="0"/>
    <n v="1"/>
    <n v="12109.499999999998"/>
    <n v="0"/>
    <n v="0"/>
    <n v="1"/>
    <n v="0"/>
    <n v="0"/>
    <n v="0"/>
    <n v="12109.499999999998"/>
    <n v="0"/>
    <n v="0"/>
    <n v="0"/>
    <n v="1"/>
    <n v="12109.499999999998"/>
    <n v="0"/>
    <n v="0"/>
    <n v="1"/>
    <n v="0"/>
    <n v="0"/>
    <n v="0"/>
    <n v="12109.499999999998"/>
    <n v="0"/>
    <n v="0"/>
    <n v="1"/>
    <n v="12109.499999999998"/>
    <n v="0"/>
    <n v="0"/>
    <n v="1"/>
    <n v="0"/>
    <n v="0"/>
    <m/>
    <n v="12109.499999999998"/>
    <n v="0"/>
    <n v="0"/>
    <n v="1"/>
    <n v="12109.499999999998"/>
    <n v="0"/>
  </r>
  <r>
    <m/>
    <x v="1"/>
    <x v="16"/>
    <x v="41"/>
    <s v="LTS26-MWS06"/>
    <x v="400"/>
    <x v="283"/>
    <x v="0"/>
    <x v="1"/>
    <n v="1"/>
    <x v="222"/>
    <n v="19"/>
    <m/>
    <n v="0"/>
    <n v="12521"/>
    <n v="237899"/>
    <n v="11.7"/>
    <n v="12782.249999999998"/>
    <n v="22680.672268907565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740663591727419"/>
    <n v="1"/>
    <n v="0.40860570564897036"/>
    <n v="5"/>
    <s v=""/>
    <n v="1"/>
    <s v=""/>
    <n v="1"/>
    <s v=""/>
    <n v="0"/>
    <s v=""/>
    <n v="0"/>
    <n v="0"/>
    <s v=""/>
    <n v="0"/>
    <n v="0"/>
    <s v=""/>
    <n v="0"/>
    <n v="0"/>
    <s v=""/>
    <n v="0"/>
    <n v="15"/>
    <n v="27"/>
    <n v="15"/>
    <n v="0"/>
    <n v="0"/>
    <n v="0"/>
    <n v="219117.5"/>
    <n v="326956.49999999994"/>
    <n v="187815"/>
    <n v="0"/>
    <n v="19"/>
    <n v="237899"/>
    <n v="285890.82691900292"/>
    <n v="4"/>
    <n v="21"/>
    <n v="1.5"/>
    <n v="0"/>
    <n v="0"/>
    <n v="0"/>
    <n v="31302.5"/>
    <n v="254299.49999999997"/>
    <n v="18781.5"/>
    <n v="0"/>
    <n v="19"/>
    <n v="237899"/>
    <n v="28589.082691900294"/>
    <n v="3"/>
    <n v="20"/>
    <n v="1"/>
    <n v="0"/>
    <n v="0"/>
    <n v="29474.299999999996"/>
    <n v="250420"/>
    <n v="12521"/>
    <n v="0"/>
    <n v="19"/>
    <n v="237899"/>
    <n v="22680.672268907565"/>
    <n v="1.4"/>
    <n v="19"/>
    <n v="0"/>
    <n v="0"/>
    <n v="0"/>
    <n v="230080.49999999997"/>
    <n v="0"/>
    <x v="0"/>
    <x v="0"/>
    <n v="19"/>
    <n v="237899"/>
    <n v="0"/>
    <n v="1.4"/>
    <n v="19"/>
    <n v="1.4"/>
    <m/>
    <n v="0"/>
    <n v="0"/>
    <n v="237899"/>
    <n v="16953.299999999996"/>
    <x v="0"/>
    <n v="0"/>
    <n v="19"/>
    <n v="237899"/>
    <n v="31752.941176470587"/>
    <n v="1"/>
    <n v="19"/>
    <n v="0"/>
    <m/>
    <n v="0"/>
    <n v="0"/>
    <n v="237899"/>
    <n v="0"/>
    <n v="0"/>
    <n v="0"/>
    <n v="19"/>
    <n v="237899"/>
    <n v="0"/>
    <n v="6"/>
    <n v="19"/>
    <n v="6"/>
    <n v="0"/>
    <n v="0"/>
    <n v="0"/>
    <n v="237899"/>
    <n v="72656.999999999985"/>
    <n v="0"/>
    <n v="0"/>
    <n v="19"/>
    <n v="237899"/>
    <n v="136084.03361344538"/>
    <n v="6"/>
    <n v="13"/>
    <n v="6"/>
    <n v="0"/>
    <n v="0"/>
    <n v="0"/>
    <n v="162773"/>
    <n v="72656.999999999985"/>
    <n v="0"/>
    <n v="0"/>
    <n v="13"/>
    <n v="162773"/>
    <n v="136084.03361344538"/>
    <n v="6"/>
    <n v="7"/>
    <n v="6"/>
    <n v="0"/>
    <n v="0"/>
    <m/>
    <n v="84766.499999999985"/>
    <n v="72656.999999999985"/>
    <n v="0"/>
    <n v="0"/>
    <n v="7"/>
    <n v="84766.499999999985"/>
    <n v="136084.03361344538"/>
    <n v="0"/>
    <n v="1"/>
    <n v="0"/>
    <n v="0"/>
    <n v="0"/>
    <n v="0"/>
    <m/>
    <n v="12109.499999999998"/>
    <n v="0"/>
    <n v="0"/>
    <n v="0"/>
    <n v="1"/>
    <n v="12109.499999999998"/>
    <n v="0"/>
    <n v="0"/>
    <n v="1"/>
    <n v="0"/>
    <n v="0"/>
    <n v="0"/>
    <n v="12109.499999999998"/>
    <n v="0"/>
    <n v="0"/>
    <n v="0"/>
    <n v="1"/>
    <n v="12109.499999999998"/>
    <n v="0"/>
    <n v="0"/>
    <n v="1"/>
    <n v="0"/>
    <n v="0"/>
    <n v="0"/>
    <n v="12109.499999999998"/>
    <n v="0"/>
    <n v="0"/>
    <n v="1"/>
    <n v="12109.499999999998"/>
    <n v="0"/>
    <n v="0"/>
    <n v="1"/>
    <n v="0"/>
    <n v="0"/>
    <m/>
    <n v="12109.499999999998"/>
    <n v="0"/>
    <n v="0"/>
    <n v="1"/>
    <n v="12109.499999999998"/>
    <n v="0"/>
  </r>
  <r>
    <m/>
    <x v="1"/>
    <x v="16"/>
    <x v="41"/>
    <s v="LTS26-MWS06"/>
    <x v="401"/>
    <x v="283"/>
    <x v="0"/>
    <x v="1"/>
    <n v="1"/>
    <x v="223"/>
    <n v="10"/>
    <m/>
    <n v="0"/>
    <n v="12521"/>
    <n v="125210"/>
    <n v="11.7"/>
    <n v="12782.249999999998"/>
    <n v="22680.672268907565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s v=""/>
    <n v="1"/>
    <s v=""/>
    <n v="0"/>
    <s v=""/>
    <n v="1"/>
    <s v=""/>
    <n v="1.4285714285714286"/>
    <n v="0"/>
    <s v=""/>
    <n v="0"/>
    <n v="1"/>
    <s v=""/>
    <n v="1"/>
    <n v="0"/>
    <s v=""/>
    <n v="0"/>
    <n v="5"/>
    <n v="15"/>
    <n v="5"/>
    <n v="0"/>
    <n v="0"/>
    <n v="0"/>
    <n v="81386.5"/>
    <n v="181642.49999999997"/>
    <n v="62605"/>
    <n v="0"/>
    <n v="10"/>
    <n v="125210"/>
    <n v="95296.942306334313"/>
    <n v="1.536"/>
    <n v="10"/>
    <n v="1.5"/>
    <n v="0"/>
    <n v="0"/>
    <n v="0"/>
    <n v="31302.5"/>
    <n v="121094.99999999999"/>
    <n v="18781.5"/>
    <n v="0"/>
    <n v="10"/>
    <n v="125210"/>
    <n v="28589.082691900294"/>
    <n v="2"/>
    <n v="9"/>
    <n v="0"/>
    <n v="0"/>
    <n v="0"/>
    <n v="20997.649999999998"/>
    <n v="112689"/>
    <n v="0"/>
    <n v="0"/>
    <n v="10"/>
    <n v="125210"/>
    <n v="0"/>
    <n v="0.7"/>
    <n v="9"/>
    <n v="1"/>
    <n v="0"/>
    <n v="0"/>
    <n v="108985.49999999999"/>
    <n v="12521"/>
    <x v="0"/>
    <x v="0"/>
    <n v="10"/>
    <n v="125210"/>
    <n v="22680.672268907565"/>
    <n v="0.7"/>
    <n v="10"/>
    <n v="0.7"/>
    <m/>
    <n v="0"/>
    <n v="0"/>
    <n v="125210"/>
    <n v="8476.6499999999978"/>
    <x v="0"/>
    <n v="0"/>
    <n v="10"/>
    <n v="125210"/>
    <n v="15876.470588235294"/>
    <n v="1"/>
    <n v="11"/>
    <n v="1"/>
    <m/>
    <n v="0"/>
    <n v="0"/>
    <n v="137731"/>
    <n v="12109.499999999998"/>
    <n v="0"/>
    <n v="0"/>
    <n v="11"/>
    <n v="125210"/>
    <n v="22680.672268907565"/>
    <n v="4"/>
    <n v="10"/>
    <n v="4"/>
    <n v="0"/>
    <n v="0"/>
    <n v="0"/>
    <n v="125210"/>
    <n v="48437.999999999993"/>
    <n v="0"/>
    <n v="0"/>
    <n v="10"/>
    <n v="125210"/>
    <n v="90722.68907563026"/>
    <n v="4"/>
    <n v="6"/>
    <n v="4"/>
    <n v="0"/>
    <n v="0"/>
    <n v="0"/>
    <n v="75126"/>
    <n v="48437.999999999993"/>
    <n v="0"/>
    <n v="0"/>
    <n v="6"/>
    <n v="75126"/>
    <n v="90722.68907563026"/>
    <n v="4"/>
    <n v="2"/>
    <n v="4"/>
    <n v="0"/>
    <n v="0"/>
    <m/>
    <n v="24218.999999999996"/>
    <n v="48437.999999999993"/>
    <n v="0"/>
    <n v="0"/>
    <n v="2"/>
    <n v="24218.999999999996"/>
    <n v="90722.689075630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2"/>
    <x v="284"/>
    <x v="0"/>
    <x v="1"/>
    <n v="1"/>
    <x v="224"/>
    <n v="16"/>
    <m/>
    <n v="0"/>
    <n v="6314"/>
    <n v="101024"/>
    <n v="5.9"/>
    <n v="6445.7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412191927610428"/>
    <n v="4"/>
    <n v="0.47023534840793724"/>
    <n v="0"/>
    <s v=""/>
    <n v="1"/>
    <s v=""/>
    <n v="1"/>
    <s v=""/>
    <n v="0"/>
    <s v=""/>
    <n v="0"/>
    <n v="0"/>
    <s v=""/>
    <n v="0"/>
    <n v="1"/>
    <s v=""/>
    <n v="0.2"/>
    <n v="1"/>
    <s v=""/>
    <n v="0.16666666666666666"/>
    <n v="3"/>
    <n v="17"/>
    <n v="3"/>
    <n v="0"/>
    <n v="0"/>
    <n v="0"/>
    <n v="34727"/>
    <n v="103810.49999999999"/>
    <n v="18942"/>
    <n v="0"/>
    <n v="16"/>
    <n v="101024"/>
    <n v="31756.231904526521"/>
    <n v="2"/>
    <n v="16"/>
    <n v="1.5"/>
    <n v="0"/>
    <n v="0"/>
    <n v="0"/>
    <n v="15785"/>
    <n v="97703.999999999985"/>
    <n v="9471"/>
    <n v="0"/>
    <n v="16"/>
    <n v="101024"/>
    <n v="15878.115952263261"/>
    <n v="2"/>
    <n v="17"/>
    <n v="1"/>
    <n v="0"/>
    <n v="0"/>
    <n v="18527"/>
    <n v="107338"/>
    <n v="6314"/>
    <n v="0"/>
    <n v="16"/>
    <n v="101024"/>
    <n v="12596.638655462186"/>
    <n v="2"/>
    <n v="16"/>
    <n v="0"/>
    <n v="0"/>
    <n v="0"/>
    <n v="97703.999999999985"/>
    <n v="0"/>
    <x v="0"/>
    <x v="0"/>
    <n v="16"/>
    <n v="101024"/>
    <n v="0"/>
    <n v="2"/>
    <n v="16"/>
    <n v="2"/>
    <m/>
    <n v="0"/>
    <n v="0"/>
    <n v="101024"/>
    <n v="12212.999999999998"/>
    <x v="0"/>
    <n v="0"/>
    <n v="16"/>
    <n v="101024"/>
    <n v="25193.277310924372"/>
    <n v="5"/>
    <n v="17"/>
    <n v="1"/>
    <m/>
    <n v="0"/>
    <n v="0"/>
    <n v="107338"/>
    <n v="6106.4999999999991"/>
    <n v="0"/>
    <n v="0"/>
    <n v="17"/>
    <n v="101024"/>
    <n v="12596.638655462186"/>
    <n v="6"/>
    <n v="17"/>
    <n v="6"/>
    <n v="0"/>
    <n v="0"/>
    <n v="0"/>
    <n v="107338"/>
    <n v="36638.999999999993"/>
    <n v="0"/>
    <n v="0"/>
    <n v="17"/>
    <n v="101024"/>
    <n v="75579.831932773115"/>
    <n v="6"/>
    <n v="11"/>
    <n v="6"/>
    <n v="0"/>
    <n v="0"/>
    <n v="0"/>
    <n v="69454"/>
    <n v="36638.999999999993"/>
    <n v="0"/>
    <n v="0"/>
    <n v="11"/>
    <n v="69454"/>
    <n v="75579.831932773115"/>
    <n v="6"/>
    <n v="5"/>
    <n v="6"/>
    <n v="0"/>
    <n v="0"/>
    <m/>
    <n v="30532.499999999996"/>
    <n v="36638.999999999993"/>
    <n v="0"/>
    <n v="0"/>
    <n v="5"/>
    <n v="30532.499999999996"/>
    <n v="75579.83193277311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3"/>
    <x v="284"/>
    <x v="0"/>
    <x v="1"/>
    <n v="1"/>
    <x v="225"/>
    <n v="26"/>
    <m/>
    <n v="0"/>
    <n v="6314"/>
    <n v="164164"/>
    <n v="5.9"/>
    <n v="6445.7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7.6945567954778027E-2"/>
    <n v="4"/>
    <n v="0.2514966510580286"/>
    <n v="1"/>
    <s v=""/>
    <n v="0"/>
    <s v=""/>
    <n v="1"/>
    <s v=""/>
    <n v="0"/>
    <s v=""/>
    <n v="0"/>
    <n v="1"/>
    <s v=""/>
    <n v="0.33333333333333331"/>
    <n v="2"/>
    <s v=""/>
    <n v="0.33333333333333331"/>
    <n v="0"/>
    <s v=""/>
    <n v="0"/>
    <n v="5"/>
    <n v="28"/>
    <n v="5"/>
    <n v="0"/>
    <n v="0"/>
    <n v="0"/>
    <n v="37884"/>
    <n v="170981.99999999997"/>
    <n v="31570"/>
    <n v="0"/>
    <n v="26"/>
    <n v="164164"/>
    <n v="52927.053174210872"/>
    <n v="3"/>
    <n v="26"/>
    <n v="0"/>
    <n v="0"/>
    <n v="0"/>
    <n v="0"/>
    <n v="6314"/>
    <n v="158768.99999999997"/>
    <n v="0"/>
    <n v="0"/>
    <n v="26"/>
    <n v="164164"/>
    <n v="0"/>
    <n v="3"/>
    <n v="28"/>
    <n v="1"/>
    <n v="0"/>
    <n v="0"/>
    <n v="24633.499999999996"/>
    <n v="176792"/>
    <n v="6314"/>
    <n v="0"/>
    <n v="26"/>
    <n v="164164"/>
    <n v="12596.638655462186"/>
    <n v="3"/>
    <n v="28"/>
    <n v="0"/>
    <n v="0"/>
    <n v="0"/>
    <n v="170981.99999999997"/>
    <n v="0"/>
    <x v="0"/>
    <x v="0"/>
    <n v="26"/>
    <n v="164164"/>
    <n v="0"/>
    <n v="3"/>
    <n v="27"/>
    <n v="3"/>
    <m/>
    <n v="0"/>
    <n v="0"/>
    <n v="170478"/>
    <n v="18319.499999999996"/>
    <x v="0"/>
    <n v="0"/>
    <n v="26"/>
    <n v="164164"/>
    <n v="37789.915966386558"/>
    <n v="6"/>
    <n v="28"/>
    <n v="2"/>
    <m/>
    <n v="0"/>
    <n v="0"/>
    <n v="176792"/>
    <n v="12212.999999999998"/>
    <n v="0"/>
    <n v="0"/>
    <n v="28"/>
    <n v="164164"/>
    <n v="25193.277310924372"/>
    <n v="9"/>
    <n v="26"/>
    <n v="9"/>
    <n v="0"/>
    <n v="0"/>
    <n v="0"/>
    <n v="164164"/>
    <n v="54958.499999999993"/>
    <n v="0"/>
    <n v="0"/>
    <n v="26"/>
    <n v="164164"/>
    <n v="113369.74789915967"/>
    <n v="9"/>
    <n v="17"/>
    <n v="9"/>
    <n v="0"/>
    <n v="0"/>
    <n v="0"/>
    <n v="107338"/>
    <n v="54958.499999999993"/>
    <n v="0"/>
    <n v="0"/>
    <n v="17"/>
    <n v="107338"/>
    <n v="113369.74789915967"/>
    <n v="9"/>
    <n v="8"/>
    <n v="9"/>
    <n v="0"/>
    <n v="0"/>
    <m/>
    <n v="48851.999999999993"/>
    <n v="54958.499999999993"/>
    <n v="0"/>
    <n v="0"/>
    <n v="8"/>
    <n v="48851.999999999993"/>
    <n v="113369.7478991596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4"/>
    <x v="284"/>
    <x v="0"/>
    <x v="1"/>
    <n v="1"/>
    <x v="226"/>
    <n v="17"/>
    <m/>
    <n v="0"/>
    <n v="6645"/>
    <n v="112965"/>
    <n v="5.9"/>
    <n v="6445.7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2"/>
    <s v=""/>
    <n v="0"/>
    <s v=""/>
    <n v="0"/>
    <s v=""/>
    <n v="2"/>
    <s v=""/>
    <n v="0.66666666666666663"/>
    <n v="1"/>
    <s v=""/>
    <n v="0.33333333333333331"/>
    <n v="1"/>
    <s v=""/>
    <n v="0.16666666666666666"/>
    <n v="1"/>
    <s v=""/>
    <n v="0.16666666666666666"/>
    <n v="5"/>
    <n v="24"/>
    <n v="5"/>
    <n v="0"/>
    <n v="0"/>
    <n v="0"/>
    <n v="33225"/>
    <n v="146555.99999999997"/>
    <n v="33225"/>
    <n v="0"/>
    <n v="17"/>
    <n v="112965"/>
    <n v="52927.053174210872"/>
    <n v="3"/>
    <n v="21"/>
    <n v="0"/>
    <n v="0"/>
    <n v="0"/>
    <n v="0"/>
    <n v="13290"/>
    <n v="128236.49999999999"/>
    <n v="0"/>
    <n v="0"/>
    <n v="17"/>
    <n v="112965"/>
    <n v="0"/>
    <n v="3"/>
    <n v="22"/>
    <n v="0"/>
    <n v="0"/>
    <n v="0"/>
    <n v="31609.499999999996"/>
    <n v="146190"/>
    <n v="0"/>
    <n v="0"/>
    <n v="17"/>
    <n v="112965"/>
    <n v="0"/>
    <n v="3"/>
    <n v="21"/>
    <n v="2"/>
    <n v="0"/>
    <n v="0"/>
    <n v="128236.49999999999"/>
    <n v="13290"/>
    <x v="0"/>
    <x v="0"/>
    <n v="17"/>
    <n v="112965"/>
    <n v="25193.277310924372"/>
    <n v="3"/>
    <n v="18"/>
    <n v="3"/>
    <m/>
    <n v="0"/>
    <n v="0"/>
    <n v="119610"/>
    <n v="18319.499999999996"/>
    <x v="0"/>
    <n v="0"/>
    <n v="17"/>
    <n v="112965"/>
    <n v="37789.915966386558"/>
    <n v="6"/>
    <n v="18"/>
    <n v="1"/>
    <m/>
    <n v="0"/>
    <n v="0"/>
    <n v="119610"/>
    <n v="6106.4999999999991"/>
    <n v="0"/>
    <n v="0"/>
    <n v="18"/>
    <n v="112965"/>
    <n v="12596.638655462186"/>
    <n v="6"/>
    <n v="18"/>
    <n v="6"/>
    <n v="0"/>
    <n v="0"/>
    <n v="0"/>
    <n v="119610"/>
    <n v="36638.999999999993"/>
    <n v="0"/>
    <n v="0"/>
    <n v="18"/>
    <n v="112965"/>
    <n v="75579.831932773115"/>
    <n v="6"/>
    <n v="12"/>
    <n v="6"/>
    <n v="0"/>
    <n v="0"/>
    <n v="0"/>
    <n v="79740"/>
    <n v="36638.999999999993"/>
    <n v="0"/>
    <n v="0"/>
    <n v="12"/>
    <n v="79740"/>
    <n v="75579.831932773115"/>
    <n v="6"/>
    <n v="6"/>
    <n v="6"/>
    <n v="0"/>
    <n v="0"/>
    <m/>
    <n v="36638.999999999993"/>
    <n v="36638.999999999993"/>
    <n v="0"/>
    <n v="0"/>
    <n v="6"/>
    <n v="36638.999999999993"/>
    <n v="75579.83193277311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5"/>
    <x v="284"/>
    <x v="0"/>
    <x v="1"/>
    <n v="1"/>
    <x v="227"/>
    <n v="11"/>
    <m/>
    <n v="0"/>
    <n v="6378"/>
    <n v="70158"/>
    <n v="5.9"/>
    <n v="6445.7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.5"/>
    <n v="0"/>
    <s v=""/>
    <n v="0"/>
    <n v="1"/>
    <s v=""/>
    <n v="0.16666666666666666"/>
    <n v="1"/>
    <s v=""/>
    <n v="0.2"/>
    <n v="2"/>
    <n v="14"/>
    <n v="2"/>
    <n v="0"/>
    <n v="0"/>
    <n v="0"/>
    <n v="12756"/>
    <n v="85490.999999999985"/>
    <n v="12756"/>
    <n v="0"/>
    <n v="11"/>
    <n v="70158"/>
    <n v="21170.821269684347"/>
    <n v="2"/>
    <n v="13"/>
    <n v="0"/>
    <n v="0"/>
    <n v="0"/>
    <n v="0"/>
    <n v="6378"/>
    <n v="79384.499999999985"/>
    <n v="0"/>
    <n v="0"/>
    <n v="11"/>
    <n v="70158"/>
    <n v="0"/>
    <n v="2"/>
    <n v="14"/>
    <n v="0"/>
    <n v="0"/>
    <n v="0"/>
    <n v="18591"/>
    <n v="89292"/>
    <n v="0"/>
    <n v="0"/>
    <n v="11"/>
    <n v="70158"/>
    <n v="0"/>
    <n v="2"/>
    <n v="14"/>
    <n v="1"/>
    <n v="0"/>
    <n v="0"/>
    <n v="85490.999999999985"/>
    <n v="6378"/>
    <x v="0"/>
    <x v="0"/>
    <n v="11"/>
    <n v="70158"/>
    <n v="12596.638655462186"/>
    <n v="2"/>
    <n v="11"/>
    <n v="2"/>
    <m/>
    <n v="0"/>
    <n v="0"/>
    <n v="70158"/>
    <n v="12212.999999999998"/>
    <x v="0"/>
    <n v="0"/>
    <n v="11"/>
    <n v="70158"/>
    <n v="25193.277310924372"/>
    <n v="6"/>
    <n v="12"/>
    <n v="1"/>
    <m/>
    <n v="0"/>
    <n v="0"/>
    <n v="76536"/>
    <n v="6106.4999999999991"/>
    <n v="0"/>
    <n v="0"/>
    <n v="12"/>
    <n v="70158"/>
    <n v="12596.638655462186"/>
    <n v="5"/>
    <n v="12"/>
    <n v="5"/>
    <n v="0"/>
    <n v="0"/>
    <n v="0"/>
    <n v="76536"/>
    <n v="30532.499999999996"/>
    <n v="0"/>
    <n v="0"/>
    <n v="12"/>
    <n v="70158"/>
    <n v="62983.193277310929"/>
    <n v="5"/>
    <n v="7"/>
    <n v="5"/>
    <n v="0"/>
    <n v="0"/>
    <n v="0"/>
    <n v="44646"/>
    <n v="30532.499999999996"/>
    <n v="0"/>
    <n v="0"/>
    <n v="7"/>
    <n v="44646"/>
    <n v="62983.193277310929"/>
    <n v="5"/>
    <n v="2"/>
    <n v="5"/>
    <n v="0"/>
    <n v="0"/>
    <m/>
    <n v="12212.999999999998"/>
    <n v="30532.499999999996"/>
    <n v="0"/>
    <n v="0"/>
    <n v="2"/>
    <n v="12212.999999999998"/>
    <n v="62983.19327731092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6"/>
    <x v="284"/>
    <x v="0"/>
    <x v="1"/>
    <n v="1"/>
    <x v="228"/>
    <n v="22"/>
    <m/>
    <n v="0"/>
    <n v="6314"/>
    <n v="138908"/>
    <n v="5.9"/>
    <n v="6445.7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43050419410119961"/>
    <n v="0"/>
    <s v=""/>
    <n v="0"/>
    <s v=""/>
    <n v="0"/>
    <s v=""/>
    <n v="0"/>
    <s v=""/>
    <n v="0"/>
    <n v="0"/>
    <s v=""/>
    <n v="0"/>
    <n v="0"/>
    <s v=""/>
    <n v="0"/>
    <n v="1"/>
    <s v=""/>
    <n v="0.125"/>
    <n v="3"/>
    <n v="20"/>
    <n v="3"/>
    <n v="0"/>
    <n v="0"/>
    <n v="0"/>
    <n v="18942"/>
    <n v="122129.99999999999"/>
    <n v="18942"/>
    <n v="0"/>
    <n v="22"/>
    <n v="138908"/>
    <n v="31756.231904526521"/>
    <n v="2"/>
    <n v="22"/>
    <n v="0"/>
    <n v="0"/>
    <n v="0"/>
    <n v="0"/>
    <n v="0"/>
    <n v="134342.99999999997"/>
    <n v="0"/>
    <n v="0"/>
    <n v="22"/>
    <n v="138908"/>
    <n v="0"/>
    <n v="2"/>
    <n v="23"/>
    <n v="0"/>
    <n v="0"/>
    <n v="0"/>
    <n v="12212.999999999998"/>
    <n v="145222"/>
    <n v="0"/>
    <n v="0"/>
    <n v="22"/>
    <n v="138908"/>
    <n v="0"/>
    <n v="2"/>
    <n v="23"/>
    <n v="0"/>
    <n v="0"/>
    <n v="0"/>
    <n v="140449.49999999997"/>
    <n v="0"/>
    <x v="0"/>
    <x v="0"/>
    <n v="22"/>
    <n v="138908"/>
    <n v="0"/>
    <n v="2"/>
    <n v="22"/>
    <n v="2"/>
    <m/>
    <n v="0"/>
    <n v="0"/>
    <n v="138908"/>
    <n v="12212.999999999998"/>
    <x v="0"/>
    <n v="0"/>
    <n v="22"/>
    <n v="138908"/>
    <n v="25193.277310924372"/>
    <n v="5"/>
    <n v="22"/>
    <n v="0"/>
    <m/>
    <n v="0"/>
    <n v="0"/>
    <n v="138908"/>
    <n v="0"/>
    <n v="0"/>
    <n v="0"/>
    <n v="22"/>
    <n v="138908"/>
    <n v="0"/>
    <n v="8"/>
    <n v="23"/>
    <n v="8"/>
    <n v="0"/>
    <n v="0"/>
    <n v="0"/>
    <n v="145222"/>
    <n v="48851.999999999993"/>
    <n v="0"/>
    <n v="0"/>
    <n v="23"/>
    <n v="138908"/>
    <n v="100773.10924369749"/>
    <n v="8"/>
    <n v="15"/>
    <n v="8"/>
    <n v="0"/>
    <n v="0"/>
    <n v="0"/>
    <n v="94710"/>
    <n v="48851.999999999993"/>
    <n v="0"/>
    <n v="0"/>
    <n v="15"/>
    <n v="94710"/>
    <n v="100773.10924369749"/>
    <n v="8"/>
    <n v="7"/>
    <n v="8"/>
    <n v="0"/>
    <n v="0"/>
    <m/>
    <n v="42745.499999999993"/>
    <n v="48851.999999999993"/>
    <n v="0"/>
    <n v="0"/>
    <n v="7"/>
    <n v="42745.499999999993"/>
    <n v="100773.1092436974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7"/>
    <x v="284"/>
    <x v="0"/>
    <x v="1"/>
    <n v="1"/>
    <x v="229"/>
    <n v="30"/>
    <m/>
    <n v="0"/>
    <n v="6314"/>
    <n v="189420"/>
    <n v="5.9"/>
    <n v="6445.7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4"/>
    <n v="0.33522846915140031"/>
    <n v="0"/>
    <s v=""/>
    <n v="0"/>
    <s v=""/>
    <n v="0"/>
    <s v=""/>
    <n v="0"/>
    <s v=""/>
    <n v="0"/>
    <n v="0"/>
    <s v=""/>
    <n v="0"/>
    <n v="1"/>
    <s v=""/>
    <n v="0.16666666666666666"/>
    <n v="0"/>
    <s v=""/>
    <n v="0"/>
    <n v="5"/>
    <n v="29"/>
    <n v="5"/>
    <n v="0"/>
    <n v="0"/>
    <n v="0"/>
    <n v="31570"/>
    <n v="177088.49999999997"/>
    <n v="31570"/>
    <n v="0"/>
    <n v="30"/>
    <n v="189420"/>
    <n v="52927.053174210872"/>
    <n v="3"/>
    <n v="30"/>
    <n v="0"/>
    <n v="0"/>
    <n v="0"/>
    <n v="0"/>
    <n v="0"/>
    <n v="183194.99999999997"/>
    <n v="0"/>
    <n v="0"/>
    <n v="30"/>
    <n v="189420"/>
    <n v="0"/>
    <n v="3"/>
    <n v="31"/>
    <n v="0"/>
    <n v="0"/>
    <n v="0"/>
    <n v="18319.499999999996"/>
    <n v="195734"/>
    <n v="0"/>
    <n v="0"/>
    <n v="30"/>
    <n v="189420"/>
    <n v="0"/>
    <n v="3"/>
    <n v="31"/>
    <n v="0"/>
    <n v="0"/>
    <n v="0"/>
    <n v="189301.49999999997"/>
    <n v="0"/>
    <x v="0"/>
    <x v="0"/>
    <n v="30"/>
    <n v="189420"/>
    <n v="0"/>
    <n v="3"/>
    <n v="30"/>
    <n v="3"/>
    <m/>
    <n v="0"/>
    <n v="0"/>
    <n v="189420"/>
    <n v="18319.499999999996"/>
    <x v="0"/>
    <n v="0"/>
    <n v="30"/>
    <n v="189420"/>
    <n v="37789.915966386558"/>
    <n v="6"/>
    <n v="31"/>
    <n v="1"/>
    <m/>
    <n v="0"/>
    <n v="0"/>
    <n v="195734"/>
    <n v="6106.4999999999991"/>
    <n v="0"/>
    <n v="0"/>
    <n v="31"/>
    <n v="189420"/>
    <n v="12596.638655462186"/>
    <n v="10"/>
    <n v="30"/>
    <n v="10"/>
    <n v="0"/>
    <n v="0"/>
    <n v="0"/>
    <n v="189420"/>
    <n v="61064.999999999993"/>
    <n v="0"/>
    <n v="0"/>
    <n v="30"/>
    <n v="189420"/>
    <n v="125966.38655462186"/>
    <n v="10"/>
    <n v="20"/>
    <n v="10"/>
    <n v="0"/>
    <n v="0"/>
    <n v="0"/>
    <n v="126280"/>
    <n v="61064.999999999993"/>
    <n v="0"/>
    <n v="0"/>
    <n v="20"/>
    <n v="126280"/>
    <n v="125966.38655462186"/>
    <n v="10"/>
    <n v="10"/>
    <n v="10"/>
    <n v="0"/>
    <n v="0"/>
    <m/>
    <n v="61064.999999999993"/>
    <n v="61064.999999999993"/>
    <n v="0"/>
    <n v="0"/>
    <n v="10"/>
    <n v="61064.999999999993"/>
    <n v="125966.3865546218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8"/>
    <x v="284"/>
    <x v="0"/>
    <x v="1"/>
    <n v="1"/>
    <x v="230"/>
    <n v="27"/>
    <m/>
    <n v="0"/>
    <n v="6487"/>
    <n v="175149"/>
    <n v="5.9"/>
    <n v="6445.7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563283602997825"/>
    <n v="0"/>
    <s v=""/>
    <n v="0"/>
    <s v=""/>
    <n v="0"/>
    <s v=""/>
    <n v="0"/>
    <s v=""/>
    <n v="0"/>
    <n v="0"/>
    <s v=""/>
    <n v="0"/>
    <n v="0"/>
    <s v=""/>
    <n v="0"/>
    <n v="0"/>
    <s v=""/>
    <n v="0"/>
    <n v="5"/>
    <n v="24"/>
    <n v="5"/>
    <n v="0"/>
    <n v="0"/>
    <n v="0"/>
    <n v="32435"/>
    <n v="146555.99999999997"/>
    <n v="32435"/>
    <n v="0"/>
    <n v="27"/>
    <n v="175149"/>
    <n v="52927.053174210872"/>
    <n v="3"/>
    <n v="25"/>
    <n v="0"/>
    <n v="0"/>
    <n v="0"/>
    <n v="0"/>
    <n v="0"/>
    <n v="152662.49999999997"/>
    <n v="0"/>
    <n v="0"/>
    <n v="27"/>
    <n v="175149"/>
    <n v="0"/>
    <n v="3"/>
    <n v="26"/>
    <n v="0"/>
    <n v="0"/>
    <n v="0"/>
    <n v="18319.499999999996"/>
    <n v="168662"/>
    <n v="0"/>
    <n v="0"/>
    <n v="27"/>
    <n v="175149"/>
    <n v="0"/>
    <n v="3"/>
    <n v="26"/>
    <n v="0"/>
    <n v="0"/>
    <n v="0"/>
    <n v="158768.99999999997"/>
    <n v="0"/>
    <x v="0"/>
    <x v="0"/>
    <n v="27"/>
    <n v="175149"/>
    <n v="0"/>
    <n v="3"/>
    <n v="27"/>
    <n v="3"/>
    <m/>
    <n v="0"/>
    <n v="0"/>
    <n v="175149"/>
    <n v="18319.499999999996"/>
    <x v="0"/>
    <n v="0"/>
    <n v="27"/>
    <n v="175149"/>
    <n v="37789.915966386558"/>
    <n v="6"/>
    <n v="27"/>
    <n v="0"/>
    <m/>
    <n v="0"/>
    <n v="0"/>
    <n v="175149"/>
    <n v="0"/>
    <n v="0"/>
    <n v="0"/>
    <n v="27"/>
    <n v="175149"/>
    <n v="0"/>
    <n v="9"/>
    <n v="27"/>
    <n v="9"/>
    <n v="0"/>
    <n v="0"/>
    <n v="0"/>
    <n v="175149"/>
    <n v="54958.499999999993"/>
    <n v="0"/>
    <n v="0"/>
    <n v="27"/>
    <n v="175149"/>
    <n v="113369.74789915967"/>
    <n v="9"/>
    <n v="18"/>
    <n v="9"/>
    <n v="0"/>
    <n v="0"/>
    <n v="0"/>
    <n v="116766"/>
    <n v="54958.499999999993"/>
    <n v="0"/>
    <n v="0"/>
    <n v="18"/>
    <n v="116766"/>
    <n v="113369.74789915967"/>
    <n v="9"/>
    <n v="9"/>
    <n v="9"/>
    <n v="0"/>
    <n v="0"/>
    <m/>
    <n v="54958.499999999993"/>
    <n v="54958.499999999993"/>
    <n v="0"/>
    <n v="0"/>
    <n v="9"/>
    <n v="54958.499999999993"/>
    <n v="113369.7478991596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9"/>
    <x v="284"/>
    <x v="0"/>
    <x v="1"/>
    <n v="1"/>
    <x v="231"/>
    <n v="11"/>
    <m/>
    <n v="0"/>
    <n v="6374"/>
    <n v="70114"/>
    <n v="5.9"/>
    <n v="6445.7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3050419410119961"/>
    <n v="0"/>
    <s v=""/>
    <n v="0"/>
    <s v=""/>
    <n v="0"/>
    <s v=""/>
    <n v="0"/>
    <s v=""/>
    <n v="0"/>
    <n v="0"/>
    <s v=""/>
    <n v="0"/>
    <n v="1"/>
    <s v=""/>
    <n v="0.16666666666666666"/>
    <n v="0"/>
    <s v=""/>
    <n v="0"/>
    <n v="2"/>
    <n v="13"/>
    <n v="2"/>
    <n v="0"/>
    <n v="0"/>
    <n v="0"/>
    <n v="12748"/>
    <n v="79384.499999999985"/>
    <n v="12748"/>
    <n v="0"/>
    <n v="11"/>
    <n v="70114"/>
    <n v="21170.821269684347"/>
    <n v="2"/>
    <n v="12"/>
    <n v="0"/>
    <n v="0"/>
    <n v="0"/>
    <n v="0"/>
    <n v="0"/>
    <n v="73277.999999999985"/>
    <n v="0"/>
    <n v="0"/>
    <n v="11"/>
    <n v="70114"/>
    <n v="0"/>
    <n v="2"/>
    <n v="12"/>
    <n v="0"/>
    <n v="0"/>
    <n v="0"/>
    <n v="12212.999999999998"/>
    <n v="76488"/>
    <n v="0"/>
    <n v="0"/>
    <n v="11"/>
    <n v="70114"/>
    <n v="0"/>
    <n v="2"/>
    <n v="12"/>
    <n v="0"/>
    <n v="0"/>
    <n v="0"/>
    <n v="73277.999999999985"/>
    <n v="0"/>
    <x v="0"/>
    <x v="0"/>
    <n v="11"/>
    <n v="70114"/>
    <n v="0"/>
    <n v="2"/>
    <n v="11"/>
    <n v="2"/>
    <m/>
    <n v="0"/>
    <n v="0"/>
    <n v="70114"/>
    <n v="12212.999999999998"/>
    <x v="0"/>
    <n v="0"/>
    <n v="11"/>
    <n v="70114"/>
    <n v="25193.277310924372"/>
    <n v="6"/>
    <n v="12"/>
    <n v="1"/>
    <m/>
    <n v="0"/>
    <n v="0"/>
    <n v="76488"/>
    <n v="6106.4999999999991"/>
    <n v="0"/>
    <n v="0"/>
    <n v="12"/>
    <n v="70114"/>
    <n v="12596.638655462186"/>
    <n v="4"/>
    <n v="11"/>
    <n v="4"/>
    <n v="0"/>
    <n v="0"/>
    <n v="0"/>
    <n v="70114"/>
    <n v="24425.999999999996"/>
    <n v="0"/>
    <n v="0"/>
    <n v="11"/>
    <n v="70114"/>
    <n v="50386.554621848743"/>
    <n v="4"/>
    <n v="7"/>
    <n v="4"/>
    <n v="0"/>
    <n v="0"/>
    <n v="0"/>
    <n v="44618"/>
    <n v="24425.999999999996"/>
    <n v="0"/>
    <n v="0"/>
    <n v="7"/>
    <n v="44618"/>
    <n v="50386.554621848743"/>
    <n v="4"/>
    <n v="3"/>
    <n v="4"/>
    <n v="0"/>
    <n v="0"/>
    <m/>
    <n v="18319.499999999996"/>
    <n v="24425.999999999996"/>
    <n v="0"/>
    <n v="0"/>
    <n v="3"/>
    <n v="18319.499999999996"/>
    <n v="50386.55462184874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0"/>
    <x v="285"/>
    <x v="0"/>
    <x v="1"/>
    <n v="1"/>
    <x v="232"/>
    <n v="12"/>
    <m/>
    <n v="0"/>
    <n v="9203"/>
    <n v="110436"/>
    <n v="8.6"/>
    <n v="9395.5"/>
    <n v="16798.319327731093"/>
    <n v="15117.6470588235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3373123307900568"/>
    <n v="5"/>
    <n v="0.16321149299872703"/>
    <n v="0"/>
    <s v=""/>
    <n v="0"/>
    <s v=""/>
    <n v="3"/>
    <s v=""/>
    <n v="0"/>
    <s v=""/>
    <n v="0"/>
    <n v="-2"/>
    <s v=""/>
    <n v="-1"/>
    <n v="0"/>
    <s v=""/>
    <n v="0"/>
    <n v="1"/>
    <s v=""/>
    <n v="0.25"/>
    <n v="3"/>
    <n v="12"/>
    <n v="3"/>
    <n v="0"/>
    <n v="0"/>
    <n v="0"/>
    <n v="55218"/>
    <n v="106812"/>
    <n v="27609"/>
    <n v="0"/>
    <n v="12"/>
    <n v="110436"/>
    <n v="42348.704187557378"/>
    <n v="2"/>
    <n v="13"/>
    <n v="0"/>
    <n v="0"/>
    <n v="0"/>
    <n v="0"/>
    <n v="27609"/>
    <n v="115713"/>
    <n v="0"/>
    <n v="0"/>
    <n v="12"/>
    <n v="110436"/>
    <n v="0"/>
    <n v="2"/>
    <n v="15"/>
    <n v="3"/>
    <n v="0"/>
    <n v="0"/>
    <n v="45411"/>
    <n v="138045"/>
    <n v="27609"/>
    <n v="0"/>
    <n v="12"/>
    <n v="110436"/>
    <n v="50394.957983193279"/>
    <n v="2"/>
    <n v="14"/>
    <n v="0"/>
    <n v="0"/>
    <n v="0"/>
    <n v="124614"/>
    <n v="0"/>
    <x v="0"/>
    <x v="0"/>
    <n v="12"/>
    <n v="110436"/>
    <n v="0"/>
    <n v="2"/>
    <n v="10"/>
    <n v="2"/>
    <m/>
    <n v="0"/>
    <n v="0"/>
    <n v="92030"/>
    <n v="17802"/>
    <x v="0"/>
    <n v="0"/>
    <n v="12"/>
    <n v="110436"/>
    <n v="33596.638655462186"/>
    <n v="5"/>
    <n v="12"/>
    <n v="0"/>
    <m/>
    <n v="0"/>
    <n v="0"/>
    <n v="110436"/>
    <n v="0"/>
    <n v="0"/>
    <n v="0"/>
    <n v="12"/>
    <n v="110436"/>
    <n v="0"/>
    <n v="4"/>
    <n v="13"/>
    <n v="4"/>
    <n v="0"/>
    <n v="0"/>
    <n v="0"/>
    <n v="119639"/>
    <n v="35604"/>
    <n v="0"/>
    <n v="0"/>
    <n v="13"/>
    <n v="110436"/>
    <n v="67193.277310924372"/>
    <n v="4"/>
    <n v="9"/>
    <n v="4"/>
    <n v="0"/>
    <n v="0"/>
    <n v="0"/>
    <n v="82827"/>
    <n v="35604"/>
    <n v="0"/>
    <n v="0"/>
    <n v="9"/>
    <n v="82827"/>
    <n v="67193.277310924372"/>
    <n v="4"/>
    <n v="5"/>
    <n v="4"/>
    <n v="0"/>
    <n v="0"/>
    <m/>
    <n v="44505"/>
    <n v="35604"/>
    <n v="0"/>
    <n v="0"/>
    <n v="5"/>
    <n v="44505"/>
    <n v="67193.277310924372"/>
    <n v="0"/>
    <n v="1"/>
    <n v="0"/>
    <n v="0"/>
    <n v="0"/>
    <n v="0"/>
    <m/>
    <n v="8901"/>
    <n v="0"/>
    <n v="0"/>
    <n v="0"/>
    <n v="1"/>
    <n v="8901"/>
    <n v="0"/>
    <n v="0"/>
    <n v="1"/>
    <n v="0"/>
    <n v="0"/>
    <n v="0"/>
    <n v="8901"/>
    <n v="0"/>
    <n v="0"/>
    <n v="0"/>
    <n v="1"/>
    <n v="8901"/>
    <n v="0"/>
    <n v="0"/>
    <n v="1"/>
    <n v="0"/>
    <n v="0"/>
    <n v="0"/>
    <n v="8901"/>
    <n v="0"/>
    <n v="0"/>
    <n v="1"/>
    <n v="8901"/>
    <n v="0"/>
    <n v="0"/>
    <n v="1"/>
    <n v="0"/>
    <n v="0"/>
    <m/>
    <n v="8901"/>
    <n v="0"/>
    <n v="0"/>
    <n v="1"/>
    <n v="8901"/>
    <n v="0"/>
  </r>
  <r>
    <m/>
    <x v="1"/>
    <x v="16"/>
    <x v="42"/>
    <s v="LTS26-WLG03"/>
    <x v="411"/>
    <x v="285"/>
    <x v="0"/>
    <x v="1"/>
    <n v="1"/>
    <x v="233"/>
    <n v="13"/>
    <m/>
    <n v="0"/>
    <n v="9203"/>
    <n v="119639"/>
    <n v="8.6"/>
    <n v="9395.5"/>
    <n v="16798.319327731093"/>
    <n v="15117.6470588235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10"/>
    <n v="0.26139054085506302"/>
    <n v="0"/>
    <s v=""/>
    <n v="0"/>
    <s v=""/>
    <n v="0"/>
    <s v=""/>
    <n v="1"/>
    <s v=""/>
    <n v="0.33333333333333331"/>
    <n v="1"/>
    <s v=""/>
    <n v="0.33333333333333331"/>
    <n v="4"/>
    <s v=""/>
    <n v="0.66666666666666663"/>
    <n v="0"/>
    <s v=""/>
    <n v="0"/>
    <n v="5"/>
    <n v="19"/>
    <n v="5"/>
    <n v="0"/>
    <n v="0"/>
    <n v="0"/>
    <n v="46015"/>
    <n v="169119"/>
    <n v="46015"/>
    <n v="0"/>
    <n v="13"/>
    <n v="119639"/>
    <n v="70581.173645928968"/>
    <n v="3"/>
    <n v="17"/>
    <n v="0"/>
    <n v="0"/>
    <n v="0"/>
    <n v="0"/>
    <n v="9203"/>
    <n v="151317"/>
    <n v="0"/>
    <n v="0"/>
    <n v="13"/>
    <n v="119639"/>
    <n v="0"/>
    <n v="3"/>
    <n v="19"/>
    <n v="0"/>
    <n v="0"/>
    <n v="0"/>
    <n v="35906"/>
    <n v="174857"/>
    <n v="0"/>
    <n v="0"/>
    <n v="13"/>
    <n v="119639"/>
    <n v="0"/>
    <n v="3"/>
    <n v="19"/>
    <n v="1"/>
    <n v="0"/>
    <n v="0"/>
    <n v="169119"/>
    <n v="9203"/>
    <x v="0"/>
    <x v="0"/>
    <n v="13"/>
    <n v="119639"/>
    <n v="16798.319327731093"/>
    <n v="3"/>
    <n v="14"/>
    <n v="3"/>
    <m/>
    <n v="0"/>
    <n v="0"/>
    <n v="128842"/>
    <n v="26703"/>
    <x v="0"/>
    <n v="0"/>
    <n v="13"/>
    <n v="119639"/>
    <n v="50394.957983193279"/>
    <n v="6"/>
    <n v="17"/>
    <n v="4"/>
    <m/>
    <n v="0"/>
    <n v="0"/>
    <n v="156451"/>
    <n v="35604"/>
    <n v="0"/>
    <n v="0"/>
    <n v="17"/>
    <n v="119639"/>
    <n v="67193.277310924372"/>
    <n v="6"/>
    <n v="13"/>
    <n v="6"/>
    <n v="0"/>
    <n v="0"/>
    <n v="0"/>
    <n v="119639"/>
    <n v="53406"/>
    <n v="0"/>
    <n v="0"/>
    <n v="13"/>
    <n v="119639"/>
    <n v="100789.91596638656"/>
    <n v="6"/>
    <n v="7"/>
    <n v="6"/>
    <n v="0"/>
    <n v="0"/>
    <n v="0"/>
    <n v="64421"/>
    <n v="53406"/>
    <n v="0"/>
    <n v="0"/>
    <n v="7"/>
    <n v="64421"/>
    <n v="100789.91596638656"/>
    <n v="6"/>
    <n v="1"/>
    <n v="6"/>
    <n v="0"/>
    <n v="0"/>
    <m/>
    <n v="8901"/>
    <n v="53406"/>
    <n v="0"/>
    <n v="0"/>
    <n v="1"/>
    <n v="8901"/>
    <n v="100789.915966386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2"/>
    <x v="285"/>
    <x v="0"/>
    <x v="1"/>
    <n v="1"/>
    <x v="234"/>
    <n v="15"/>
    <m/>
    <n v="0"/>
    <n v="9466"/>
    <n v="141990"/>
    <n v="8.6"/>
    <n v="9395.5"/>
    <n v="16798.319327731093"/>
    <n v="15117.6470588235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28884102975057596"/>
    <n v="0"/>
    <s v=""/>
    <n v="0"/>
    <s v=""/>
    <n v="1"/>
    <s v=""/>
    <n v="0"/>
    <s v=""/>
    <n v="0"/>
    <n v="2"/>
    <s v=""/>
    <n v="0.66666666666666663"/>
    <n v="4"/>
    <s v=""/>
    <n v="0.66666666666666663"/>
    <n v="1"/>
    <s v=""/>
    <n v="0.14285714285714285"/>
    <n v="5"/>
    <n v="13"/>
    <n v="5"/>
    <n v="0"/>
    <n v="0"/>
    <n v="0"/>
    <n v="56796"/>
    <n v="115713"/>
    <n v="47330"/>
    <n v="0"/>
    <n v="15"/>
    <n v="141990"/>
    <n v="70581.173645928968"/>
    <n v="3"/>
    <n v="23"/>
    <n v="0"/>
    <n v="0"/>
    <n v="0"/>
    <n v="0"/>
    <n v="9466"/>
    <n v="204723"/>
    <n v="0"/>
    <n v="0"/>
    <n v="15"/>
    <n v="141990"/>
    <n v="0"/>
    <n v="3"/>
    <n v="24"/>
    <n v="1"/>
    <n v="0"/>
    <n v="0"/>
    <n v="36169"/>
    <n v="227184"/>
    <n v="9466"/>
    <n v="0"/>
    <n v="15"/>
    <n v="141990"/>
    <n v="16798.319327731093"/>
    <n v="3"/>
    <n v="23"/>
    <n v="0"/>
    <n v="0"/>
    <n v="0"/>
    <n v="204723"/>
    <n v="0"/>
    <x v="0"/>
    <x v="0"/>
    <n v="15"/>
    <n v="141990"/>
    <n v="0"/>
    <n v="3"/>
    <n v="17"/>
    <n v="3"/>
    <m/>
    <n v="0"/>
    <n v="0"/>
    <n v="160922"/>
    <n v="26703"/>
    <x v="0"/>
    <n v="0"/>
    <n v="15"/>
    <n v="141990"/>
    <n v="50394.957983193279"/>
    <n v="6"/>
    <n v="19"/>
    <n v="4"/>
    <m/>
    <n v="0"/>
    <n v="0"/>
    <n v="179854"/>
    <n v="35604"/>
    <n v="0"/>
    <n v="0"/>
    <n v="19"/>
    <n v="141990"/>
    <n v="67193.277310924372"/>
    <n v="7"/>
    <n v="16"/>
    <n v="7"/>
    <n v="0"/>
    <n v="0"/>
    <n v="0"/>
    <n v="151456"/>
    <n v="62307"/>
    <n v="0"/>
    <n v="0"/>
    <n v="16"/>
    <n v="141990"/>
    <n v="117588.23529411765"/>
    <n v="7"/>
    <n v="9"/>
    <n v="7"/>
    <n v="0"/>
    <n v="0"/>
    <n v="0"/>
    <n v="85194"/>
    <n v="62307"/>
    <n v="0"/>
    <n v="0"/>
    <n v="9"/>
    <n v="85194"/>
    <n v="117588.23529411765"/>
    <n v="7"/>
    <n v="2"/>
    <n v="7"/>
    <n v="0"/>
    <n v="0"/>
    <m/>
    <n v="17802"/>
    <n v="62307"/>
    <n v="0"/>
    <n v="0"/>
    <n v="2"/>
    <n v="17802"/>
    <n v="117588.2352941176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3"/>
    <x v="285"/>
    <x v="0"/>
    <x v="1"/>
    <n v="1"/>
    <x v="235"/>
    <n v="4"/>
    <m/>
    <n v="0"/>
    <n v="9296"/>
    <n v="37184"/>
    <n v="8.6"/>
    <n v="9395.5"/>
    <n v="16798.319327731093"/>
    <n v="15117.6470588235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0411293606624135"/>
    <n v="1"/>
    <s v=""/>
    <n v="2"/>
    <s v=""/>
    <n v="0"/>
    <s v=""/>
    <n v="2"/>
    <s v=""/>
    <n v="1"/>
    <n v="0"/>
    <s v=""/>
    <n v="0"/>
    <n v="1"/>
    <s v=""/>
    <n v="0.16666666666666666"/>
    <n v="1"/>
    <s v=""/>
    <n v="0.5"/>
    <n v="2"/>
    <n v="12"/>
    <n v="2"/>
    <n v="0"/>
    <n v="0"/>
    <n v="0"/>
    <n v="46480"/>
    <n v="106812"/>
    <n v="18592"/>
    <n v="0"/>
    <n v="4"/>
    <n v="37184"/>
    <n v="28232.469458371586"/>
    <n v="2"/>
    <n v="7"/>
    <n v="3"/>
    <n v="0"/>
    <n v="0"/>
    <n v="0"/>
    <n v="46480"/>
    <n v="62307"/>
    <n v="27888"/>
    <n v="0"/>
    <n v="4"/>
    <n v="37184"/>
    <n v="42348.704187557378"/>
    <n v="2"/>
    <n v="6"/>
    <n v="0"/>
    <n v="0"/>
    <n v="0"/>
    <n v="36394"/>
    <n v="55776"/>
    <n v="0"/>
    <n v="0"/>
    <n v="4"/>
    <n v="37184"/>
    <n v="0"/>
    <n v="2"/>
    <n v="6"/>
    <n v="2"/>
    <n v="0"/>
    <n v="0"/>
    <n v="53406"/>
    <n v="18592"/>
    <x v="0"/>
    <x v="0"/>
    <n v="4"/>
    <n v="37184"/>
    <n v="33596.638655462186"/>
    <n v="2"/>
    <n v="4"/>
    <n v="2"/>
    <m/>
    <n v="0"/>
    <n v="0"/>
    <n v="37184"/>
    <n v="17802"/>
    <x v="0"/>
    <n v="0"/>
    <n v="4"/>
    <n v="37184"/>
    <n v="33596.638655462186"/>
    <n v="6"/>
    <n v="5"/>
    <n v="1"/>
    <m/>
    <n v="0"/>
    <n v="0"/>
    <n v="46480"/>
    <n v="8901"/>
    <n v="0"/>
    <n v="0"/>
    <n v="5"/>
    <n v="37184"/>
    <n v="16798.319327731093"/>
    <n v="2"/>
    <n v="5"/>
    <n v="2"/>
    <n v="0"/>
    <n v="0"/>
    <n v="0"/>
    <n v="46480"/>
    <n v="17802"/>
    <n v="0"/>
    <n v="0"/>
    <n v="5"/>
    <n v="37184"/>
    <n v="33596.638655462186"/>
    <n v="2"/>
    <n v="3"/>
    <n v="2"/>
    <n v="0"/>
    <n v="0"/>
    <n v="0"/>
    <n v="27888"/>
    <n v="17802"/>
    <n v="0"/>
    <n v="0"/>
    <n v="3"/>
    <n v="27888"/>
    <n v="33596.638655462186"/>
    <n v="2"/>
    <n v="1"/>
    <n v="2"/>
    <n v="0"/>
    <n v="0"/>
    <m/>
    <n v="8901"/>
    <n v="17802"/>
    <n v="0"/>
    <n v="0"/>
    <n v="1"/>
    <n v="8901"/>
    <n v="33596.63865546218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4"/>
    <x v="285"/>
    <x v="0"/>
    <x v="1"/>
    <n v="1"/>
    <x v="236"/>
    <n v="19"/>
    <m/>
    <n v="0"/>
    <n v="9203"/>
    <n v="174857"/>
    <n v="8.6"/>
    <n v="9395.5"/>
    <n v="16798.319327731093"/>
    <n v="15117.6470588235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0945240041220996"/>
    <n v="0"/>
    <s v=""/>
    <n v="0"/>
    <s v=""/>
    <n v="0"/>
    <s v=""/>
    <n v="1"/>
    <s v=""/>
    <n v="0.5"/>
    <n v="0"/>
    <s v=""/>
    <n v="0"/>
    <n v="0"/>
    <s v=""/>
    <n v="0"/>
    <n v="1"/>
    <s v=""/>
    <n v="0.14285714285714285"/>
    <n v="3"/>
    <n v="18"/>
    <n v="3"/>
    <n v="0"/>
    <n v="0"/>
    <n v="0"/>
    <n v="27609"/>
    <n v="160218"/>
    <n v="27609"/>
    <n v="0"/>
    <n v="19"/>
    <n v="174857"/>
    <n v="42348.704187557378"/>
    <n v="2"/>
    <n v="19"/>
    <n v="0"/>
    <n v="0"/>
    <n v="0"/>
    <n v="0"/>
    <n v="9203"/>
    <n v="169119"/>
    <n v="0"/>
    <n v="0"/>
    <n v="19"/>
    <n v="174857"/>
    <n v="0"/>
    <n v="2"/>
    <n v="21"/>
    <n v="0"/>
    <n v="0"/>
    <n v="0"/>
    <n v="27005"/>
    <n v="193263"/>
    <n v="0"/>
    <n v="0"/>
    <n v="19"/>
    <n v="174857"/>
    <n v="0"/>
    <n v="2"/>
    <n v="21"/>
    <n v="1"/>
    <n v="0"/>
    <n v="0"/>
    <n v="186921"/>
    <n v="9203"/>
    <x v="0"/>
    <x v="0"/>
    <n v="19"/>
    <n v="174857"/>
    <n v="16798.319327731093"/>
    <n v="2"/>
    <n v="19"/>
    <n v="2"/>
    <m/>
    <n v="0"/>
    <n v="0"/>
    <n v="174857"/>
    <n v="17802"/>
    <x v="0"/>
    <n v="0"/>
    <n v="19"/>
    <n v="174857"/>
    <n v="33596.638655462186"/>
    <n v="5"/>
    <n v="19"/>
    <n v="0"/>
    <m/>
    <n v="0"/>
    <n v="0"/>
    <n v="174857"/>
    <n v="0"/>
    <n v="0"/>
    <n v="0"/>
    <n v="19"/>
    <n v="174857"/>
    <n v="0"/>
    <n v="7"/>
    <n v="20"/>
    <n v="7"/>
    <n v="0"/>
    <n v="0"/>
    <n v="0"/>
    <n v="184060"/>
    <n v="62307"/>
    <n v="0"/>
    <n v="0"/>
    <n v="20"/>
    <n v="174857"/>
    <n v="117588.23529411765"/>
    <n v="7"/>
    <n v="13"/>
    <n v="7"/>
    <n v="0"/>
    <n v="0"/>
    <n v="0"/>
    <n v="119639"/>
    <n v="62307"/>
    <n v="0"/>
    <n v="0"/>
    <n v="13"/>
    <n v="119639"/>
    <n v="117588.23529411765"/>
    <n v="7"/>
    <n v="6"/>
    <n v="7"/>
    <n v="0"/>
    <n v="0"/>
    <m/>
    <n v="53406"/>
    <n v="62307"/>
    <n v="0"/>
    <n v="0"/>
    <n v="6"/>
    <n v="53406"/>
    <n v="117588.2352941176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5"/>
    <x v="285"/>
    <x v="0"/>
    <x v="1"/>
    <n v="1"/>
    <x v="237"/>
    <n v="25"/>
    <m/>
    <n v="0"/>
    <n v="9203"/>
    <n v="230075"/>
    <n v="8.6"/>
    <n v="9395.5"/>
    <n v="16798.319327731093"/>
    <n v="15117.6470588235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7"/>
    <n v="0.43069866911751709"/>
    <n v="0"/>
    <s v=""/>
    <n v="1"/>
    <s v=""/>
    <n v="0"/>
    <s v=""/>
    <n v="0"/>
    <s v=""/>
    <n v="0"/>
    <n v="1"/>
    <s v=""/>
    <n v="0.33333333333333331"/>
    <n v="1"/>
    <s v=""/>
    <n v="0.16666666666666666"/>
    <n v="0"/>
    <s v=""/>
    <n v="0"/>
    <n v="5"/>
    <n v="28"/>
    <n v="5"/>
    <n v="0"/>
    <n v="0"/>
    <n v="0"/>
    <n v="59819.5"/>
    <n v="249228"/>
    <n v="46015"/>
    <n v="0"/>
    <n v="25"/>
    <n v="230075"/>
    <n v="70581.173645928968"/>
    <n v="3"/>
    <n v="26"/>
    <n v="1.5"/>
    <n v="0"/>
    <n v="0"/>
    <n v="0"/>
    <n v="13804.5"/>
    <n v="231426"/>
    <n v="13804.5"/>
    <n v="0"/>
    <n v="25"/>
    <n v="230075"/>
    <n v="21174.352093778689"/>
    <n v="3"/>
    <n v="27"/>
    <n v="0"/>
    <n v="0"/>
    <n v="0"/>
    <n v="26703"/>
    <n v="248481"/>
    <n v="0"/>
    <n v="0"/>
    <n v="25"/>
    <n v="230075"/>
    <n v="0"/>
    <n v="3"/>
    <n v="27"/>
    <n v="0"/>
    <n v="0"/>
    <n v="0"/>
    <n v="240327"/>
    <n v="0"/>
    <x v="0"/>
    <x v="0"/>
    <n v="25"/>
    <n v="230075"/>
    <n v="0"/>
    <n v="3"/>
    <n v="26"/>
    <n v="3"/>
    <m/>
    <n v="0"/>
    <n v="0"/>
    <n v="239278"/>
    <n v="26703"/>
    <x v="0"/>
    <n v="0"/>
    <n v="25"/>
    <n v="230075"/>
    <n v="50394.957983193279"/>
    <n v="6"/>
    <n v="26"/>
    <n v="1"/>
    <m/>
    <n v="0"/>
    <n v="0"/>
    <n v="239278"/>
    <n v="8901"/>
    <n v="0"/>
    <n v="0"/>
    <n v="26"/>
    <n v="230075"/>
    <n v="16798.319327731093"/>
    <n v="9"/>
    <n v="25"/>
    <n v="9"/>
    <n v="0"/>
    <n v="0"/>
    <n v="0"/>
    <n v="230075"/>
    <n v="80109"/>
    <n v="0"/>
    <n v="0"/>
    <n v="25"/>
    <n v="230075"/>
    <n v="151184.87394957984"/>
    <n v="9"/>
    <n v="16"/>
    <n v="9"/>
    <n v="0"/>
    <n v="0"/>
    <n v="0"/>
    <n v="147248"/>
    <n v="80109"/>
    <n v="0"/>
    <n v="0"/>
    <n v="16"/>
    <n v="147248"/>
    <n v="151184.87394957984"/>
    <n v="9"/>
    <n v="7"/>
    <n v="9"/>
    <n v="0"/>
    <n v="0"/>
    <m/>
    <n v="62307"/>
    <n v="80109"/>
    <n v="0"/>
    <n v="0"/>
    <n v="7"/>
    <n v="62307"/>
    <n v="151184.8739495798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6"/>
    <x v="285"/>
    <x v="0"/>
    <x v="6"/>
    <n v="1"/>
    <x v="12"/>
    <n v="24"/>
    <m/>
    <n v="0"/>
    <n v="9466"/>
    <n v="227184"/>
    <n v="8.6"/>
    <n v="9395.5"/>
    <n v="16798.319327731093"/>
    <n v="15117.6470588235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5"/>
    <n v="24"/>
    <n v="5"/>
    <n v="0"/>
    <n v="0"/>
    <n v="0"/>
    <n v="47330"/>
    <n v="213624"/>
    <n v="47330"/>
    <n v="0"/>
    <n v="24"/>
    <n v="227184"/>
    <n v="70581.173645928968"/>
    <n v="3"/>
    <n v="23"/>
    <n v="0"/>
    <n v="0"/>
    <n v="0"/>
    <n v="0"/>
    <n v="0"/>
    <n v="204723"/>
    <n v="0"/>
    <n v="0"/>
    <n v="24"/>
    <n v="227184"/>
    <n v="0"/>
    <n v="3"/>
    <n v="24"/>
    <n v="0"/>
    <n v="0"/>
    <n v="0"/>
    <n v="26703"/>
    <n v="227184"/>
    <n v="0"/>
    <n v="0"/>
    <n v="24"/>
    <n v="227184"/>
    <n v="0"/>
    <n v="3"/>
    <n v="24"/>
    <n v="0"/>
    <n v="0"/>
    <n v="0"/>
    <n v="213624"/>
    <n v="0"/>
    <x v="0"/>
    <x v="0"/>
    <n v="24"/>
    <n v="227184"/>
    <n v="0"/>
    <n v="3"/>
    <n v="24"/>
    <n v="3"/>
    <m/>
    <n v="0"/>
    <n v="0"/>
    <n v="227184"/>
    <n v="26703"/>
    <x v="0"/>
    <n v="0"/>
    <n v="24"/>
    <n v="227184"/>
    <n v="50394.957983193279"/>
    <n v="6"/>
    <n v="24"/>
    <n v="0"/>
    <m/>
    <n v="0"/>
    <n v="0"/>
    <n v="227184"/>
    <n v="0"/>
    <n v="0"/>
    <n v="0"/>
    <n v="24"/>
    <n v="227184"/>
    <n v="0"/>
    <n v="8"/>
    <n v="24"/>
    <n v="8"/>
    <n v="0"/>
    <n v="0"/>
    <n v="0"/>
    <n v="227184"/>
    <n v="71208"/>
    <n v="0"/>
    <n v="0"/>
    <n v="24"/>
    <n v="227184"/>
    <n v="134386.55462184874"/>
    <n v="8"/>
    <n v="16"/>
    <n v="8"/>
    <n v="0"/>
    <n v="0"/>
    <n v="0"/>
    <n v="151456"/>
    <n v="71208"/>
    <n v="0"/>
    <n v="0"/>
    <n v="16"/>
    <n v="151456"/>
    <n v="134386.55462184874"/>
    <n v="8"/>
    <n v="8"/>
    <n v="8"/>
    <n v="0"/>
    <n v="0"/>
    <m/>
    <n v="71208"/>
    <n v="71208"/>
    <n v="0"/>
    <n v="0"/>
    <n v="8"/>
    <n v="71208"/>
    <n v="134386.5546218487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7"/>
    <x v="285"/>
    <x v="0"/>
    <x v="1"/>
    <n v="1"/>
    <x v="238"/>
    <n v="11"/>
    <m/>
    <n v="0"/>
    <n v="9296"/>
    <n v="102256"/>
    <n v="8.6"/>
    <n v="9395.5"/>
    <n v="16798.319327731093"/>
    <n v="15117.6470588235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0"/>
    <n v="0"/>
    <s v=""/>
    <n v="0"/>
    <n v="0"/>
    <s v=""/>
    <n v="0"/>
    <n v="0"/>
    <s v=""/>
    <n v="0"/>
    <n v="2"/>
    <n v="14"/>
    <n v="2"/>
    <n v="0"/>
    <n v="0"/>
    <n v="0"/>
    <n v="27888"/>
    <n v="124614"/>
    <n v="18592"/>
    <n v="0"/>
    <n v="11"/>
    <n v="102256"/>
    <n v="28232.469458371586"/>
    <n v="2"/>
    <n v="12"/>
    <n v="0"/>
    <n v="0"/>
    <n v="0"/>
    <n v="0"/>
    <n v="9296"/>
    <n v="106812"/>
    <n v="0"/>
    <n v="0"/>
    <n v="11"/>
    <n v="102256"/>
    <n v="0"/>
    <n v="2"/>
    <n v="12"/>
    <n v="1"/>
    <n v="0"/>
    <n v="0"/>
    <n v="27098"/>
    <n v="111552"/>
    <n v="9296"/>
    <n v="0"/>
    <n v="11"/>
    <n v="102256"/>
    <n v="16798.319327731093"/>
    <n v="2"/>
    <n v="11"/>
    <n v="0"/>
    <n v="0"/>
    <n v="0"/>
    <n v="97911"/>
    <n v="0"/>
    <x v="0"/>
    <x v="0"/>
    <n v="11"/>
    <n v="102256"/>
    <n v="0"/>
    <n v="2"/>
    <n v="11"/>
    <n v="2"/>
    <m/>
    <n v="0"/>
    <n v="0"/>
    <n v="102256"/>
    <n v="17802"/>
    <x v="0"/>
    <n v="0"/>
    <n v="11"/>
    <n v="102256"/>
    <n v="33596.638655462186"/>
    <n v="6"/>
    <n v="11"/>
    <n v="0"/>
    <m/>
    <n v="0"/>
    <n v="0"/>
    <n v="102256"/>
    <n v="0"/>
    <n v="0"/>
    <n v="0"/>
    <n v="11"/>
    <n v="102256"/>
    <n v="0"/>
    <n v="4"/>
    <n v="11"/>
    <n v="4"/>
    <n v="0"/>
    <n v="0"/>
    <n v="0"/>
    <n v="102256"/>
    <n v="35604"/>
    <n v="0"/>
    <n v="0"/>
    <n v="11"/>
    <n v="102256"/>
    <n v="67193.277310924372"/>
    <n v="4"/>
    <n v="7"/>
    <n v="4"/>
    <n v="0"/>
    <n v="0"/>
    <n v="0"/>
    <n v="65072"/>
    <n v="35604"/>
    <n v="0"/>
    <n v="0"/>
    <n v="7"/>
    <n v="65072"/>
    <n v="67193.277310924372"/>
    <n v="4"/>
    <n v="3"/>
    <n v="4"/>
    <n v="0"/>
    <n v="0"/>
    <m/>
    <n v="26703"/>
    <n v="35604"/>
    <n v="0"/>
    <n v="0"/>
    <n v="3"/>
    <n v="26703"/>
    <n v="67193.2773109243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18"/>
    <x v="286"/>
    <x v="0"/>
    <x v="1"/>
    <n v="1"/>
    <x v="239"/>
    <n v="24"/>
    <m/>
    <n v="0"/>
    <n v="15945"/>
    <n v="382680"/>
    <n v="14.9"/>
    <n v="16278.249999999998"/>
    <n v="33605.042016806721"/>
    <n v="29403.361344537818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3"/>
    <s v=""/>
    <n v="1"/>
    <s v=""/>
    <n v="0.5"/>
    <n v="1"/>
    <s v=""/>
    <n v="0.5"/>
    <n v="1"/>
    <s v=""/>
    <n v="0.2857142857142857"/>
    <n v="4"/>
    <s v=""/>
    <n v="0.44444444444444442"/>
    <n v="1.8"/>
    <n v="25"/>
    <n v="1.8"/>
    <n v="0"/>
    <n v="0"/>
    <n v="0"/>
    <n v="100453.5"/>
    <n v="385537.49999999994"/>
    <n v="28701"/>
    <n v="0"/>
    <n v="24"/>
    <n v="382680"/>
    <n v="50831.155991808489"/>
    <n v="2"/>
    <n v="32"/>
    <n v="1.5"/>
    <n v="0"/>
    <n v="0"/>
    <n v="0"/>
    <n v="87697.5"/>
    <n v="493487.99999999994"/>
    <n v="23917.5"/>
    <n v="0"/>
    <n v="24"/>
    <n v="382680"/>
    <n v="42359.296659840409"/>
    <n v="2"/>
    <n v="31"/>
    <n v="3"/>
    <n v="0"/>
    <n v="0"/>
    <n v="94623"/>
    <n v="494295"/>
    <n v="47835"/>
    <n v="0"/>
    <n v="24"/>
    <n v="382680"/>
    <n v="100815.12605042016"/>
    <n v="2"/>
    <n v="30"/>
    <n v="1"/>
    <n v="0"/>
    <n v="0"/>
    <n v="462644.99999999994"/>
    <n v="15945"/>
    <x v="0"/>
    <x v="0"/>
    <n v="24"/>
    <n v="382680"/>
    <n v="33605.042016806721"/>
    <n v="2"/>
    <n v="25"/>
    <n v="2"/>
    <m/>
    <n v="0"/>
    <n v="0"/>
    <n v="398625"/>
    <n v="30842.999999999996"/>
    <x v="0"/>
    <n v="0"/>
    <n v="24"/>
    <n v="382680"/>
    <n v="67210.084033613442"/>
    <n v="3.5"/>
    <n v="25"/>
    <n v="1"/>
    <m/>
    <n v="0"/>
    <n v="0"/>
    <n v="398625"/>
    <n v="15421.499999999998"/>
    <n v="0"/>
    <n v="0"/>
    <n v="25"/>
    <n v="382680"/>
    <n v="33605.042016806721"/>
    <n v="9"/>
    <n v="28"/>
    <n v="9"/>
    <n v="0"/>
    <n v="0"/>
    <n v="0"/>
    <n v="446460"/>
    <n v="138793.49999999997"/>
    <n v="0"/>
    <n v="0"/>
    <n v="28"/>
    <n v="382680"/>
    <n v="302445.37815126049"/>
    <n v="9"/>
    <n v="19"/>
    <n v="9"/>
    <n v="0"/>
    <n v="0"/>
    <n v="0"/>
    <n v="302955"/>
    <n v="138793.49999999997"/>
    <n v="0"/>
    <n v="0"/>
    <n v="19"/>
    <n v="302955"/>
    <n v="302445.37815126049"/>
    <n v="9"/>
    <n v="10"/>
    <n v="9"/>
    <n v="0"/>
    <n v="0"/>
    <m/>
    <n v="154214.99999999997"/>
    <n v="138793.49999999997"/>
    <n v="0"/>
    <n v="0"/>
    <n v="10"/>
    <n v="154214.99999999997"/>
    <n v="302445.37815126049"/>
    <n v="0"/>
    <n v="1"/>
    <n v="0"/>
    <n v="0"/>
    <n v="0"/>
    <n v="0"/>
    <m/>
    <n v="15421.499999999998"/>
    <n v="0"/>
    <n v="0"/>
    <n v="0"/>
    <n v="1"/>
    <n v="15421.499999999998"/>
    <n v="0"/>
    <n v="0"/>
    <n v="1"/>
    <n v="0"/>
    <n v="0"/>
    <n v="0"/>
    <n v="15421.499999999998"/>
    <n v="0"/>
    <n v="0"/>
    <n v="0"/>
    <n v="1"/>
    <n v="15421.499999999998"/>
    <n v="0"/>
    <n v="0"/>
    <n v="1"/>
    <n v="0"/>
    <n v="0"/>
    <n v="0"/>
    <n v="15421.499999999998"/>
    <n v="0"/>
    <n v="0"/>
    <n v="1"/>
    <n v="15421.499999999998"/>
    <n v="0"/>
    <n v="0"/>
    <n v="1"/>
    <n v="0"/>
    <n v="0"/>
    <m/>
    <n v="15421.499999999998"/>
    <n v="0"/>
    <n v="0"/>
    <n v="1"/>
    <n v="15421.499999999998"/>
    <n v="0"/>
  </r>
  <r>
    <m/>
    <x v="1"/>
    <x v="16"/>
    <x v="41"/>
    <s v="LTS26-WPT06"/>
    <x v="419"/>
    <x v="286"/>
    <x v="0"/>
    <x v="1"/>
    <n v="1"/>
    <x v="240"/>
    <n v="27"/>
    <m/>
    <n v="0"/>
    <n v="15945"/>
    <n v="430515"/>
    <n v="14.9"/>
    <n v="16278.249999999998"/>
    <n v="33605.042016806721"/>
    <n v="29403.361344537818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0673078711885846"/>
    <n v="0"/>
    <s v=""/>
    <n v="0"/>
    <s v=""/>
    <n v="1"/>
    <s v=""/>
    <n v="2"/>
    <s v=""/>
    <n v="0.66666666666666663"/>
    <n v="1"/>
    <s v=""/>
    <n v="0.33333333333333331"/>
    <n v="1"/>
    <s v=""/>
    <n v="0.18518518518518517"/>
    <n v="5"/>
    <s v=""/>
    <n v="0.5"/>
    <n v="3"/>
    <n v="39"/>
    <n v="3"/>
    <n v="0"/>
    <n v="0"/>
    <n v="0"/>
    <n v="63780"/>
    <n v="601438.49999999988"/>
    <n v="47835"/>
    <n v="0"/>
    <n v="27"/>
    <n v="430515"/>
    <n v="84718.593319680818"/>
    <n v="3"/>
    <n v="36"/>
    <n v="0"/>
    <n v="0"/>
    <n v="0"/>
    <n v="0"/>
    <n v="47835"/>
    <n v="555173.99999999988"/>
    <n v="0"/>
    <n v="0"/>
    <n v="27"/>
    <n v="430515"/>
    <n v="0"/>
    <n v="2.88"/>
    <n v="36"/>
    <n v="1"/>
    <n v="0"/>
    <n v="0"/>
    <n v="94099.5"/>
    <n v="574020"/>
    <n v="15945"/>
    <n v="0"/>
    <n v="27"/>
    <n v="430515"/>
    <n v="33605.042016806721"/>
    <n v="3"/>
    <n v="34"/>
    <n v="2"/>
    <n v="0"/>
    <n v="0"/>
    <n v="524330.99999999988"/>
    <n v="31890"/>
    <x v="0"/>
    <x v="0"/>
    <n v="27"/>
    <n v="430515"/>
    <n v="67210.084033613442"/>
    <n v="3"/>
    <n v="28"/>
    <n v="3"/>
    <m/>
    <n v="0"/>
    <n v="0"/>
    <n v="446460"/>
    <n v="46264.499999999993"/>
    <x v="0"/>
    <n v="0"/>
    <n v="27"/>
    <n v="430515"/>
    <n v="100815.12605042016"/>
    <n v="5.4"/>
    <n v="28"/>
    <n v="1"/>
    <m/>
    <n v="0"/>
    <n v="0"/>
    <n v="446460"/>
    <n v="15421.499999999998"/>
    <n v="0"/>
    <n v="0"/>
    <n v="28"/>
    <n v="430515"/>
    <n v="33605.042016806721"/>
    <n v="10"/>
    <n v="32"/>
    <n v="10"/>
    <n v="0"/>
    <n v="0"/>
    <n v="0"/>
    <n v="510240"/>
    <n v="154214.99999999997"/>
    <n v="0"/>
    <n v="0"/>
    <n v="32"/>
    <n v="430515"/>
    <n v="336050.42016806721"/>
    <n v="10"/>
    <n v="22"/>
    <n v="10"/>
    <n v="0"/>
    <n v="0"/>
    <n v="0"/>
    <n v="350790"/>
    <n v="154214.99999999997"/>
    <n v="0"/>
    <n v="0"/>
    <n v="22"/>
    <n v="350790"/>
    <n v="336050.42016806721"/>
    <n v="10"/>
    <n v="12"/>
    <n v="10"/>
    <n v="0"/>
    <n v="0"/>
    <m/>
    <n v="185057.99999999997"/>
    <n v="154214.99999999997"/>
    <n v="0"/>
    <n v="0"/>
    <n v="12"/>
    <n v="185057.99999999997"/>
    <n v="336050.42016806721"/>
    <n v="0"/>
    <n v="2"/>
    <n v="0"/>
    <n v="0"/>
    <n v="0"/>
    <n v="0"/>
    <m/>
    <n v="30842.999999999996"/>
    <n v="0"/>
    <n v="0"/>
    <n v="0"/>
    <n v="2"/>
    <n v="30842.999999999996"/>
    <n v="0"/>
    <n v="0"/>
    <n v="2"/>
    <n v="0"/>
    <n v="0"/>
    <n v="0"/>
    <n v="30842.999999999996"/>
    <n v="0"/>
    <n v="0"/>
    <n v="0"/>
    <n v="2"/>
    <n v="30842.999999999996"/>
    <n v="0"/>
    <n v="0"/>
    <n v="2"/>
    <n v="0"/>
    <n v="0"/>
    <n v="0"/>
    <n v="30842.999999999996"/>
    <n v="0"/>
    <n v="0"/>
    <n v="2"/>
    <n v="30842.999999999996"/>
    <n v="0"/>
    <n v="0"/>
    <n v="2"/>
    <n v="0"/>
    <n v="0"/>
    <m/>
    <n v="30842.999999999996"/>
    <n v="0"/>
    <n v="0"/>
    <n v="2"/>
    <n v="30842.999999999996"/>
    <n v="0"/>
  </r>
  <r>
    <m/>
    <x v="1"/>
    <x v="16"/>
    <x v="41"/>
    <s v="LTS26-WPT06"/>
    <x v="420"/>
    <x v="286"/>
    <x v="0"/>
    <x v="1"/>
    <n v="1"/>
    <x v="241"/>
    <n v="11"/>
    <m/>
    <n v="0"/>
    <n v="15945"/>
    <n v="175395"/>
    <n v="14.9"/>
    <n v="16278.249999999998"/>
    <n v="33605.042016806721"/>
    <n v="29403.361344537818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1"/>
    <s v=""/>
    <n v="2"/>
    <s v=""/>
    <n v="0.66666666666666663"/>
    <n v="2"/>
    <s v=""/>
    <n v="0.66666666666666663"/>
    <n v="4"/>
    <s v=""/>
    <n v="1.3333333333333333"/>
    <n v="4"/>
    <s v=""/>
    <n v="0.66666666666666663"/>
    <n v="3"/>
    <n v="27"/>
    <n v="3"/>
    <n v="0"/>
    <n v="0"/>
    <n v="0"/>
    <n v="63780"/>
    <n v="416380.49999999994"/>
    <n v="47835"/>
    <n v="0"/>
    <n v="11"/>
    <n v="175395"/>
    <n v="84718.593319680818"/>
    <n v="3"/>
    <n v="25"/>
    <n v="0"/>
    <n v="0"/>
    <n v="0"/>
    <n v="0"/>
    <n v="47835"/>
    <n v="385537.49999999994"/>
    <n v="0"/>
    <n v="0"/>
    <n v="11"/>
    <n v="175395"/>
    <n v="0"/>
    <n v="3"/>
    <n v="25"/>
    <n v="1"/>
    <n v="0"/>
    <n v="0"/>
    <n v="94099.5"/>
    <n v="398625"/>
    <n v="15945"/>
    <n v="0"/>
    <n v="11"/>
    <n v="175395"/>
    <n v="33605.042016806721"/>
    <n v="3"/>
    <n v="23"/>
    <n v="2"/>
    <n v="0"/>
    <n v="0"/>
    <n v="354694.49999999994"/>
    <n v="31890"/>
    <x v="0"/>
    <x v="0"/>
    <n v="11"/>
    <n v="175395"/>
    <n v="67210.084033613442"/>
    <n v="3"/>
    <n v="13"/>
    <n v="3"/>
    <m/>
    <n v="0"/>
    <n v="0"/>
    <n v="207285"/>
    <n v="46264.499999999993"/>
    <x v="0"/>
    <n v="0"/>
    <n v="11"/>
    <n v="175395"/>
    <n v="100815.12605042016"/>
    <n v="3"/>
    <n v="15"/>
    <n v="4"/>
    <m/>
    <n v="0"/>
    <n v="0"/>
    <n v="239175"/>
    <n v="61685.999999999993"/>
    <n v="0"/>
    <n v="0"/>
    <n v="15"/>
    <n v="175395"/>
    <n v="134420.16806722688"/>
    <n v="6"/>
    <n v="15"/>
    <n v="6"/>
    <n v="0"/>
    <n v="0"/>
    <n v="0"/>
    <n v="239175"/>
    <n v="92528.999999999985"/>
    <n v="0"/>
    <n v="0"/>
    <n v="15"/>
    <n v="175395"/>
    <n v="201630.25210084033"/>
    <n v="6"/>
    <n v="9"/>
    <n v="6"/>
    <n v="0"/>
    <n v="0"/>
    <n v="0"/>
    <n v="143505"/>
    <n v="92528.999999999985"/>
    <n v="0"/>
    <n v="0"/>
    <n v="9"/>
    <n v="143505"/>
    <n v="201630.25210084033"/>
    <n v="6"/>
    <n v="3"/>
    <n v="6"/>
    <n v="0"/>
    <n v="0"/>
    <m/>
    <n v="46264.499999999993"/>
    <n v="92528.999999999985"/>
    <n v="0"/>
    <n v="0"/>
    <n v="3"/>
    <n v="46264.499999999993"/>
    <n v="201630.2521008403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1"/>
    <x v="286"/>
    <x v="0"/>
    <x v="1"/>
    <n v="1"/>
    <x v="242"/>
    <n v="1"/>
    <m/>
    <n v="0"/>
    <n v="15945"/>
    <n v="15945"/>
    <n v="14.9"/>
    <n v="16278.249999999998"/>
    <n v="33605.042016806721"/>
    <n v="29403.361344537818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1"/>
    <s v=""/>
    <n v="0.33333333333333331"/>
    <n v="2"/>
    <s v=""/>
    <n v="1"/>
    <n v="3"/>
    <s v=""/>
    <n v="1.5"/>
    <n v="7"/>
    <s v=""/>
    <n v="1.75"/>
    <n v="2"/>
    <n v="15"/>
    <n v="2"/>
    <n v="0"/>
    <n v="0"/>
    <n v="0"/>
    <n v="55807.5"/>
    <n v="231322.49999999997"/>
    <n v="31890"/>
    <n v="0"/>
    <n v="1"/>
    <n v="15945"/>
    <n v="56479.062213120545"/>
    <n v="2"/>
    <n v="13"/>
    <n v="1.5"/>
    <n v="0"/>
    <n v="0"/>
    <n v="0"/>
    <n v="39862.5"/>
    <n v="200479.49999999997"/>
    <n v="23917.5"/>
    <n v="0"/>
    <n v="1"/>
    <n v="15945"/>
    <n v="42359.296659840409"/>
    <n v="2"/>
    <n v="13"/>
    <n v="0"/>
    <n v="0"/>
    <n v="0"/>
    <n v="46788"/>
    <n v="207285"/>
    <n v="0"/>
    <n v="0"/>
    <n v="1"/>
    <n v="15945"/>
    <n v="0"/>
    <n v="3"/>
    <n v="13"/>
    <n v="1"/>
    <n v="0"/>
    <n v="0"/>
    <n v="200479.49999999997"/>
    <n v="15945"/>
    <x v="0"/>
    <x v="0"/>
    <n v="1"/>
    <n v="15945"/>
    <n v="33605.042016806721"/>
    <n v="2"/>
    <n v="3"/>
    <n v="2"/>
    <m/>
    <n v="0"/>
    <n v="0"/>
    <n v="47835"/>
    <n v="30842.999999999996"/>
    <x v="0"/>
    <n v="0"/>
    <n v="1"/>
    <n v="15945"/>
    <n v="67210.084033613442"/>
    <n v="2"/>
    <n v="4"/>
    <n v="3"/>
    <m/>
    <n v="0"/>
    <n v="0"/>
    <n v="63780"/>
    <n v="46264.499999999993"/>
    <n v="0"/>
    <n v="0"/>
    <n v="4"/>
    <n v="15945"/>
    <n v="100815.12605042016"/>
    <n v="4"/>
    <n v="8"/>
    <n v="4"/>
    <n v="0"/>
    <n v="0"/>
    <n v="0"/>
    <n v="127560"/>
    <n v="61685.999999999993"/>
    <n v="0"/>
    <n v="0"/>
    <n v="8"/>
    <n v="15945"/>
    <n v="134420.16806722688"/>
    <n v="4"/>
    <n v="4"/>
    <n v="4"/>
    <n v="0"/>
    <n v="0"/>
    <n v="0"/>
    <n v="63780"/>
    <n v="61685.999999999993"/>
    <n v="0"/>
    <n v="0"/>
    <n v="4"/>
    <n v="63780"/>
    <n v="134420.16806722688"/>
    <n v="4"/>
    <n v="0"/>
    <n v="4"/>
    <n v="0"/>
    <n v="0"/>
    <m/>
    <n v="0"/>
    <n v="61685.999999999993"/>
    <n v="0"/>
    <n v="0"/>
    <n v="0"/>
    <n v="0"/>
    <n v="134420.1680672268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2"/>
    <x v="286"/>
    <x v="0"/>
    <x v="1"/>
    <n v="1"/>
    <x v="243"/>
    <n v="20"/>
    <m/>
    <n v="0"/>
    <n v="15945"/>
    <n v="318900"/>
    <n v="14.9"/>
    <n v="16278.249999999998"/>
    <n v="33605.042016806721"/>
    <n v="29403.361344537818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s v=""/>
    <n v="0"/>
    <s v=""/>
    <n v="0"/>
    <s v=""/>
    <n v="0"/>
    <n v="0"/>
    <s v=""/>
    <n v="0"/>
    <n v="2"/>
    <s v=""/>
    <n v="0.60606060606060608"/>
    <n v="1"/>
    <s v=""/>
    <n v="0.125"/>
    <n v="1.6"/>
    <n v="25"/>
    <n v="1.6"/>
    <n v="0"/>
    <n v="0"/>
    <n v="0"/>
    <n v="73347"/>
    <n v="385537.49999999994"/>
    <n v="25512"/>
    <n v="0"/>
    <n v="20"/>
    <n v="318900"/>
    <n v="45183.249770496441"/>
    <n v="2"/>
    <n v="25"/>
    <n v="3"/>
    <n v="0"/>
    <n v="0"/>
    <n v="0"/>
    <n v="47835"/>
    <n v="385537.49999999994"/>
    <n v="47835"/>
    <n v="0"/>
    <n v="20"/>
    <n v="318900"/>
    <n v="84718.593319680818"/>
    <n v="2"/>
    <n v="23"/>
    <n v="0"/>
    <n v="0"/>
    <n v="0"/>
    <n v="30842.999999999996"/>
    <n v="366735"/>
    <n v="0"/>
    <n v="0"/>
    <n v="20"/>
    <n v="318900"/>
    <n v="0"/>
    <n v="2"/>
    <n v="23"/>
    <n v="0"/>
    <n v="0"/>
    <n v="0"/>
    <n v="354694.49999999994"/>
    <n v="0"/>
    <x v="0"/>
    <x v="0"/>
    <n v="20"/>
    <n v="318900"/>
    <n v="0"/>
    <n v="2"/>
    <n v="20"/>
    <n v="2"/>
    <m/>
    <n v="0"/>
    <n v="0"/>
    <n v="318900"/>
    <n v="30842.999999999996"/>
    <x v="0"/>
    <n v="0"/>
    <n v="20"/>
    <n v="318900"/>
    <n v="67210.084033613442"/>
    <n v="3.3"/>
    <n v="22"/>
    <n v="2"/>
    <m/>
    <n v="0"/>
    <n v="0"/>
    <n v="350790"/>
    <n v="30842.999999999996"/>
    <n v="0"/>
    <n v="0"/>
    <n v="22"/>
    <n v="318900"/>
    <n v="67210.084033613442"/>
    <n v="8"/>
    <n v="21"/>
    <n v="8"/>
    <n v="0"/>
    <n v="0"/>
    <n v="0"/>
    <n v="334845"/>
    <n v="123371.99999999999"/>
    <n v="0"/>
    <n v="0"/>
    <n v="21"/>
    <n v="318900"/>
    <n v="268840.33613445377"/>
    <n v="8"/>
    <n v="13"/>
    <n v="8"/>
    <n v="0"/>
    <n v="0"/>
    <n v="0"/>
    <n v="207285"/>
    <n v="123371.99999999999"/>
    <n v="0"/>
    <n v="0"/>
    <n v="13"/>
    <n v="207285"/>
    <n v="268840.33613445377"/>
    <n v="8"/>
    <n v="5"/>
    <n v="8"/>
    <n v="0"/>
    <n v="0"/>
    <m/>
    <n v="77107.499999999985"/>
    <n v="123371.99999999999"/>
    <n v="0"/>
    <n v="0"/>
    <n v="5"/>
    <n v="77107.499999999985"/>
    <n v="268840.336134453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3"/>
    <x v="286"/>
    <x v="0"/>
    <x v="1"/>
    <n v="1"/>
    <x v="244"/>
    <n v="35"/>
    <m/>
    <n v="0"/>
    <n v="15945"/>
    <n v="558075"/>
    <n v="14.9"/>
    <n v="16278.249999999998"/>
    <n v="33605.042016806721"/>
    <n v="29403.361344537818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0"/>
    <n v="0"/>
    <s v=""/>
    <n v="0"/>
    <n v="3"/>
    <s v=""/>
    <n v="0.6"/>
    <n v="3"/>
    <s v=""/>
    <n v="0.23076923076923078"/>
    <n v="3"/>
    <n v="40"/>
    <n v="3"/>
    <n v="0"/>
    <n v="0"/>
    <n v="0"/>
    <n v="63780"/>
    <n v="616859.99999999988"/>
    <n v="47835"/>
    <n v="0"/>
    <n v="35"/>
    <n v="558075"/>
    <n v="84718.593319680818"/>
    <n v="3"/>
    <n v="40"/>
    <n v="0"/>
    <n v="0"/>
    <n v="0"/>
    <n v="0"/>
    <n v="15945"/>
    <n v="616859.99999999988"/>
    <n v="0"/>
    <n v="0"/>
    <n v="35"/>
    <n v="558075"/>
    <n v="0"/>
    <n v="3"/>
    <n v="40"/>
    <n v="1"/>
    <n v="0"/>
    <n v="0"/>
    <n v="62209.499999999993"/>
    <n v="637800"/>
    <n v="15945"/>
    <n v="0"/>
    <n v="35"/>
    <n v="558075"/>
    <n v="33605.042016806721"/>
    <n v="2"/>
    <n v="39"/>
    <n v="0"/>
    <n v="0"/>
    <n v="0"/>
    <n v="601438.49999999988"/>
    <n v="0"/>
    <x v="0"/>
    <x v="0"/>
    <n v="35"/>
    <n v="558075"/>
    <n v="0"/>
    <n v="3"/>
    <n v="35"/>
    <n v="3"/>
    <m/>
    <n v="0"/>
    <n v="0"/>
    <n v="558075"/>
    <n v="46264.499999999993"/>
    <x v="0"/>
    <n v="0"/>
    <n v="35"/>
    <n v="558075"/>
    <n v="100815.12605042016"/>
    <n v="5"/>
    <n v="38"/>
    <n v="3"/>
    <m/>
    <n v="0"/>
    <n v="0"/>
    <n v="605910"/>
    <n v="46264.499999999993"/>
    <n v="0"/>
    <n v="0"/>
    <n v="38"/>
    <n v="558075"/>
    <n v="100815.12605042016"/>
    <n v="13"/>
    <n v="38"/>
    <n v="13"/>
    <n v="0"/>
    <n v="0"/>
    <n v="0"/>
    <n v="605910"/>
    <n v="200479.49999999997"/>
    <n v="0"/>
    <n v="0"/>
    <n v="38"/>
    <n v="558075"/>
    <n v="436865.54621848738"/>
    <n v="13"/>
    <n v="25"/>
    <n v="13"/>
    <n v="0"/>
    <n v="0"/>
    <n v="0"/>
    <n v="398625"/>
    <n v="200479.49999999997"/>
    <n v="0"/>
    <n v="0"/>
    <n v="25"/>
    <n v="398625"/>
    <n v="436865.54621848738"/>
    <n v="13"/>
    <n v="12"/>
    <n v="13"/>
    <n v="0"/>
    <n v="0"/>
    <m/>
    <n v="185057.99999999997"/>
    <n v="200479.49999999997"/>
    <n v="0"/>
    <n v="0"/>
    <n v="12"/>
    <n v="185057.99999999997"/>
    <n v="436865.546218487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4"/>
    <x v="286"/>
    <x v="0"/>
    <x v="1"/>
    <n v="1"/>
    <x v="245"/>
    <n v="9"/>
    <m/>
    <n v="0"/>
    <n v="15945"/>
    <n v="143505"/>
    <n v="14.9"/>
    <n v="16278.249999999998"/>
    <n v="33605.042016806721"/>
    <n v="29403.361344537818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2"/>
    <s v=""/>
    <n v="1"/>
    <s v=""/>
    <n v="0.33333333333333331"/>
    <n v="0"/>
    <s v=""/>
    <n v="0"/>
    <n v="10"/>
    <s v=""/>
    <n v="3.3333333333333335"/>
    <n v="3"/>
    <s v=""/>
    <n v="0.42857142857142855"/>
    <n v="3"/>
    <n v="27"/>
    <n v="3"/>
    <n v="0"/>
    <n v="0"/>
    <n v="0"/>
    <n v="79725"/>
    <n v="416380.49999999994"/>
    <n v="47835"/>
    <n v="0"/>
    <n v="9"/>
    <n v="143505"/>
    <n v="84718.593319680818"/>
    <n v="3"/>
    <n v="24"/>
    <n v="0"/>
    <n v="0"/>
    <n v="0"/>
    <n v="0"/>
    <n v="47835"/>
    <n v="370115.99999999994"/>
    <n v="0"/>
    <n v="0"/>
    <n v="9"/>
    <n v="143505"/>
    <n v="0"/>
    <n v="3"/>
    <n v="24"/>
    <n v="2"/>
    <n v="0"/>
    <n v="0"/>
    <n v="94099.5"/>
    <n v="382680"/>
    <n v="31890"/>
    <n v="0"/>
    <n v="9"/>
    <n v="143505"/>
    <n v="67210.084033613442"/>
    <n v="3"/>
    <n v="22"/>
    <n v="1"/>
    <n v="0"/>
    <n v="0"/>
    <n v="339272.99999999994"/>
    <n v="15945"/>
    <x v="0"/>
    <x v="0"/>
    <n v="9"/>
    <n v="143505"/>
    <n v="33605.042016806721"/>
    <n v="3"/>
    <n v="9"/>
    <n v="3"/>
    <m/>
    <n v="0"/>
    <n v="0"/>
    <n v="143505"/>
    <n v="46264.499999999993"/>
    <x v="0"/>
    <n v="0"/>
    <n v="9"/>
    <n v="143505"/>
    <n v="100815.12605042016"/>
    <n v="3"/>
    <n v="19"/>
    <n v="10"/>
    <m/>
    <n v="0"/>
    <n v="0"/>
    <n v="302955"/>
    <n v="154214.99999999997"/>
    <n v="0"/>
    <n v="0"/>
    <n v="19"/>
    <n v="143505"/>
    <n v="336050.42016806721"/>
    <n v="7"/>
    <n v="12"/>
    <n v="7"/>
    <n v="0"/>
    <n v="0"/>
    <n v="0"/>
    <n v="191340"/>
    <n v="107950.49999999999"/>
    <n v="0"/>
    <n v="0"/>
    <n v="12"/>
    <n v="143505"/>
    <n v="235235.29411764705"/>
    <n v="7"/>
    <n v="5"/>
    <n v="7"/>
    <n v="0"/>
    <n v="0"/>
    <n v="0"/>
    <n v="79725"/>
    <n v="107950.49999999999"/>
    <n v="0"/>
    <n v="0"/>
    <n v="5"/>
    <n v="79725"/>
    <n v="235235.29411764705"/>
    <n v="7"/>
    <n v="0"/>
    <n v="7"/>
    <n v="0"/>
    <n v="0"/>
    <m/>
    <n v="0"/>
    <n v="107950.49999999999"/>
    <n v="0"/>
    <n v="0"/>
    <n v="0"/>
    <n v="0"/>
    <n v="235235.2941176470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5"/>
    <x v="286"/>
    <x v="0"/>
    <x v="1"/>
    <n v="1"/>
    <x v="246"/>
    <n v="8"/>
    <m/>
    <n v="0"/>
    <n v="15945"/>
    <n v="127560"/>
    <n v="14.9"/>
    <n v="16278.249999999998"/>
    <n v="33605.042016806721"/>
    <n v="29403.361344537818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1"/>
    <s v=""/>
    <n v="0.33333333333333331"/>
    <n v="1"/>
    <s v=""/>
    <n v="1"/>
    <n v="4"/>
    <s v=""/>
    <n v="2"/>
    <n v="0"/>
    <s v=""/>
    <n v="0"/>
    <n v="2"/>
    <n v="16"/>
    <n v="2"/>
    <n v="0"/>
    <n v="0"/>
    <n v="0"/>
    <n v="55807.5"/>
    <n v="246743.99999999997"/>
    <n v="31890"/>
    <n v="0"/>
    <n v="8"/>
    <n v="127560"/>
    <n v="56479.062213120545"/>
    <n v="2"/>
    <n v="16"/>
    <n v="1.5"/>
    <n v="0"/>
    <n v="0"/>
    <n v="0"/>
    <n v="39862.5"/>
    <n v="246743.99999999997"/>
    <n v="23917.5"/>
    <n v="0"/>
    <n v="8"/>
    <n v="127560"/>
    <n v="42359.296659840409"/>
    <n v="2"/>
    <n v="15"/>
    <n v="0"/>
    <n v="0"/>
    <n v="0"/>
    <n v="31366.5"/>
    <n v="239175"/>
    <n v="0"/>
    <n v="0"/>
    <n v="8"/>
    <n v="127560"/>
    <n v="0"/>
    <n v="3"/>
    <n v="15"/>
    <n v="1"/>
    <n v="0"/>
    <n v="0"/>
    <n v="231322.49999999997"/>
    <n v="15945"/>
    <x v="0"/>
    <x v="0"/>
    <n v="8"/>
    <n v="127560"/>
    <n v="33605.042016806721"/>
    <n v="1"/>
    <n v="9"/>
    <n v="1"/>
    <m/>
    <n v="0"/>
    <n v="0"/>
    <n v="143505"/>
    <n v="15421.499999999998"/>
    <x v="0"/>
    <n v="0"/>
    <n v="8"/>
    <n v="127560"/>
    <n v="33605.042016806721"/>
    <n v="2"/>
    <n v="12"/>
    <n v="4"/>
    <m/>
    <n v="0"/>
    <n v="0"/>
    <n v="191340"/>
    <n v="61685.999999999993"/>
    <n v="0"/>
    <n v="0"/>
    <n v="12"/>
    <n v="127560"/>
    <n v="134420.16806722688"/>
    <n v="5"/>
    <n v="8"/>
    <n v="5"/>
    <n v="0"/>
    <n v="0"/>
    <n v="0"/>
    <n v="127560"/>
    <n v="77107.499999999985"/>
    <n v="0"/>
    <n v="0"/>
    <n v="8"/>
    <n v="127560"/>
    <n v="168025.21008403361"/>
    <n v="5"/>
    <n v="3"/>
    <n v="5"/>
    <n v="0"/>
    <n v="0"/>
    <n v="0"/>
    <n v="47835"/>
    <n v="77107.499999999985"/>
    <n v="0"/>
    <n v="0"/>
    <n v="3"/>
    <n v="47835"/>
    <n v="168025.21008403361"/>
    <n v="5"/>
    <n v="0"/>
    <n v="5"/>
    <n v="0"/>
    <n v="0"/>
    <m/>
    <n v="0"/>
    <n v="77107.499999999985"/>
    <n v="0"/>
    <n v="0"/>
    <n v="0"/>
    <n v="0"/>
    <n v="168025.2100840336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26"/>
    <x v="287"/>
    <x v="0"/>
    <x v="0"/>
    <n v="1"/>
    <x v="247"/>
    <n v="0"/>
    <m/>
    <n v="0"/>
    <n v="9096"/>
    <n v="0"/>
    <n v="8.5"/>
    <n v="9286.25"/>
    <n v="25201.680672268907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2932599315578039"/>
    <n v="0"/>
    <s v=""/>
    <n v="0"/>
    <s v=""/>
    <n v="1"/>
    <s v=""/>
    <n v="11"/>
    <s v=""/>
    <n v="5.5"/>
    <n v="1"/>
    <s v=""/>
    <n v="0.5"/>
    <n v="9"/>
    <s v=""/>
    <n v="2.25"/>
    <n v="1"/>
    <s v=""/>
    <n v="0.33333333333333331"/>
    <n v="1.8"/>
    <n v="22"/>
    <n v="1.8"/>
    <n v="0"/>
    <n v="0"/>
    <n v="0"/>
    <n v="25468.800000000003"/>
    <n v="193545"/>
    <n v="16372.800000000001"/>
    <n v="0"/>
    <n v="0"/>
    <n v="0"/>
    <n v="38120.189252171462"/>
    <n v="2"/>
    <n v="22"/>
    <n v="0"/>
    <n v="0"/>
    <n v="0"/>
    <n v="0"/>
    <n v="109152"/>
    <n v="193545"/>
    <n v="0"/>
    <n v="0"/>
    <n v="0"/>
    <n v="0"/>
    <n v="0"/>
    <n v="1.728"/>
    <n v="22"/>
    <n v="1"/>
    <n v="0"/>
    <n v="0"/>
    <n v="126747"/>
    <n v="200112"/>
    <n v="9096"/>
    <n v="0"/>
    <n v="0"/>
    <n v="0"/>
    <n v="25201.680672268907"/>
    <n v="2"/>
    <n v="21"/>
    <n v="11"/>
    <n v="0"/>
    <n v="0"/>
    <n v="184747.5"/>
    <n v="100056"/>
    <x v="0"/>
    <x v="0"/>
    <n v="0"/>
    <n v="0"/>
    <n v="277218.48739495798"/>
    <n v="2"/>
    <n v="1"/>
    <n v="2"/>
    <m/>
    <n v="0"/>
    <n v="0"/>
    <n v="9096"/>
    <n v="17595"/>
    <x v="0"/>
    <n v="0"/>
    <n v="0"/>
    <n v="0"/>
    <n v="50403.361344537814"/>
    <n v="4"/>
    <n v="9"/>
    <n v="9"/>
    <m/>
    <n v="0"/>
    <n v="0"/>
    <n v="81864"/>
    <n v="79177.5"/>
    <n v="0"/>
    <n v="0"/>
    <n v="9"/>
    <n v="0"/>
    <n v="226815.12605042016"/>
    <n v="3"/>
    <n v="1"/>
    <n v="3"/>
    <n v="0"/>
    <n v="0"/>
    <n v="0"/>
    <n v="9096"/>
    <n v="26392.5"/>
    <n v="0"/>
    <n v="0"/>
    <n v="1"/>
    <n v="0"/>
    <n v="75605.042016806721"/>
    <n v="3"/>
    <n v="0"/>
    <n v="3"/>
    <n v="0"/>
    <n v="0"/>
    <n v="0"/>
    <n v="0"/>
    <n v="26392.5"/>
    <n v="0"/>
    <n v="0"/>
    <n v="0"/>
    <n v="0"/>
    <n v="75605.042016806721"/>
    <n v="3"/>
    <n v="0"/>
    <n v="3"/>
    <n v="0"/>
    <n v="0"/>
    <m/>
    <n v="0"/>
    <n v="26392.5"/>
    <n v="0"/>
    <n v="0"/>
    <n v="0"/>
    <n v="0"/>
    <n v="75605.04201680672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27"/>
    <x v="287"/>
    <x v="0"/>
    <x v="0"/>
    <n v="1"/>
    <x v="248"/>
    <n v="0"/>
    <m/>
    <n v="0"/>
    <n v="9096"/>
    <n v="0"/>
    <n v="8.5"/>
    <n v="9286.25"/>
    <n v="25201.680672268907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4140898090884648"/>
    <n v="0"/>
    <s v=""/>
    <n v="0"/>
    <s v=""/>
    <n v="2"/>
    <s v=""/>
    <n v="13"/>
    <s v=""/>
    <n v="7.2222222222222223"/>
    <n v="1"/>
    <s v=""/>
    <n v="0.33333333333333331"/>
    <n v="11"/>
    <s v=""/>
    <n v="2.2000000000000002"/>
    <n v="2"/>
    <s v=""/>
    <n v="0.4"/>
    <n v="3"/>
    <n v="33"/>
    <n v="3"/>
    <n v="0"/>
    <n v="0"/>
    <n v="0"/>
    <n v="45480"/>
    <n v="290317.5"/>
    <n v="27288"/>
    <n v="0"/>
    <n v="0"/>
    <n v="0"/>
    <n v="63533.648753619098"/>
    <n v="3"/>
    <n v="32"/>
    <n v="0"/>
    <n v="0"/>
    <n v="0"/>
    <n v="0"/>
    <n v="136440"/>
    <n v="281520"/>
    <n v="0"/>
    <n v="0"/>
    <n v="0"/>
    <n v="0"/>
    <n v="0"/>
    <n v="2.88"/>
    <n v="32"/>
    <n v="2"/>
    <n v="0"/>
    <n v="0"/>
    <n v="162832.5"/>
    <n v="291072"/>
    <n v="18192"/>
    <n v="0"/>
    <n v="0"/>
    <n v="0"/>
    <n v="50403.361344537814"/>
    <n v="1.8"/>
    <n v="31"/>
    <n v="13"/>
    <n v="0"/>
    <n v="0"/>
    <n v="272722.5"/>
    <n v="118248"/>
    <x v="0"/>
    <x v="0"/>
    <n v="0"/>
    <n v="0"/>
    <n v="327621.84873949579"/>
    <n v="3"/>
    <n v="1"/>
    <n v="3"/>
    <m/>
    <n v="0"/>
    <n v="0"/>
    <n v="9096"/>
    <n v="26392.5"/>
    <x v="0"/>
    <n v="0"/>
    <n v="0"/>
    <n v="0"/>
    <n v="75605.042016806721"/>
    <n v="5"/>
    <n v="11"/>
    <n v="11"/>
    <m/>
    <n v="0"/>
    <n v="0"/>
    <n v="100056"/>
    <n v="96772.5"/>
    <n v="0"/>
    <n v="0"/>
    <n v="11"/>
    <n v="0"/>
    <n v="277218.48739495798"/>
    <n v="5"/>
    <n v="2"/>
    <n v="5"/>
    <n v="0"/>
    <n v="0"/>
    <n v="0"/>
    <n v="18192"/>
    <n v="43987.5"/>
    <n v="0"/>
    <n v="0"/>
    <n v="2"/>
    <n v="0"/>
    <n v="126008.40336134454"/>
    <n v="5"/>
    <n v="0"/>
    <n v="5"/>
    <n v="0"/>
    <n v="0"/>
    <n v="0"/>
    <n v="0"/>
    <n v="43987.5"/>
    <n v="0"/>
    <n v="0"/>
    <n v="0"/>
    <n v="0"/>
    <n v="126008.40336134454"/>
    <n v="5"/>
    <n v="0"/>
    <n v="5"/>
    <n v="0"/>
    <n v="0"/>
    <m/>
    <n v="0"/>
    <n v="43987.5"/>
    <n v="0"/>
    <n v="0"/>
    <n v="0"/>
    <n v="0"/>
    <n v="126008.403361344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28"/>
    <x v="287"/>
    <x v="0"/>
    <x v="6"/>
    <n v="1"/>
    <x v="12"/>
    <n v="0"/>
    <m/>
    <n v="0"/>
    <n v="9096"/>
    <n v="0"/>
    <n v="8.5"/>
    <n v="9286.25"/>
    <n v="25201.680672268907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s v=""/>
    <n v="2"/>
    <n v="1"/>
    <s v=""/>
    <n v="0.5"/>
    <n v="12"/>
    <s v=""/>
    <n v="4"/>
    <n v="-1"/>
    <s v=""/>
    <n v="-0.25"/>
    <n v="3"/>
    <n v="21"/>
    <n v="3"/>
    <n v="0"/>
    <n v="0"/>
    <n v="0"/>
    <n v="27288"/>
    <n v="184747.5"/>
    <n v="27288"/>
    <n v="0"/>
    <n v="0"/>
    <n v="0"/>
    <n v="63533.648753619098"/>
    <n v="3"/>
    <n v="21"/>
    <n v="0"/>
    <n v="0"/>
    <n v="0"/>
    <n v="0"/>
    <n v="54576"/>
    <n v="184747.5"/>
    <n v="0"/>
    <n v="0"/>
    <n v="0"/>
    <n v="0"/>
    <n v="0"/>
    <n v="2"/>
    <n v="21"/>
    <n v="0"/>
    <n v="0"/>
    <n v="0"/>
    <n v="72171"/>
    <n v="191016"/>
    <n v="0"/>
    <n v="0"/>
    <n v="0"/>
    <n v="0"/>
    <n v="0"/>
    <n v="3"/>
    <n v="20"/>
    <n v="6"/>
    <n v="0"/>
    <n v="0"/>
    <n v="175950"/>
    <n v="54576"/>
    <x v="0"/>
    <x v="0"/>
    <n v="0"/>
    <n v="0"/>
    <n v="151210.08403361344"/>
    <n v="2"/>
    <n v="1"/>
    <n v="2"/>
    <m/>
    <n v="0"/>
    <n v="0"/>
    <n v="9096"/>
    <n v="17595"/>
    <x v="0"/>
    <n v="0"/>
    <n v="0"/>
    <n v="0"/>
    <n v="50403.361344537814"/>
    <n v="3"/>
    <n v="12"/>
    <n v="12"/>
    <m/>
    <n v="0"/>
    <n v="0"/>
    <n v="109152"/>
    <n v="105570"/>
    <n v="0"/>
    <n v="0"/>
    <n v="12"/>
    <n v="0"/>
    <n v="302420.16806722688"/>
    <n v="4"/>
    <n v="-1"/>
    <n v="4"/>
    <n v="0"/>
    <n v="0"/>
    <n v="0"/>
    <n v="-9096"/>
    <n v="35190"/>
    <n v="0"/>
    <n v="0"/>
    <n v="-1"/>
    <n v="0"/>
    <n v="100806.72268907563"/>
    <n v="4"/>
    <n v="0"/>
    <n v="4"/>
    <n v="0"/>
    <n v="0"/>
    <n v="0"/>
    <n v="0"/>
    <n v="35190"/>
    <n v="0"/>
    <n v="0"/>
    <n v="0"/>
    <n v="0"/>
    <n v="100806.72268907563"/>
    <n v="4"/>
    <n v="0"/>
    <n v="4"/>
    <n v="0"/>
    <n v="0"/>
    <m/>
    <n v="0"/>
    <n v="35190"/>
    <n v="0"/>
    <n v="0"/>
    <n v="0"/>
    <n v="0"/>
    <n v="100806.7226890756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29"/>
    <x v="287"/>
    <x v="0"/>
    <x v="6"/>
    <n v="1"/>
    <x v="12"/>
    <n v="0"/>
    <m/>
    <n v="0"/>
    <n v="9096"/>
    <n v="0"/>
    <n v="8.5"/>
    <n v="9286.25"/>
    <n v="25201.680672268907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s v=""/>
    <n v="0"/>
    <s v=""/>
    <n v="1"/>
    <s v=""/>
    <n v="0"/>
    <s v=""/>
    <n v="0"/>
    <n v="0"/>
    <s v=""/>
    <n v="0"/>
    <n v="7"/>
    <s v=""/>
    <n v="4.666666666666667"/>
    <n v="4"/>
    <s v=""/>
    <n v="1.3333333333333333"/>
    <n v="2"/>
    <n v="13"/>
    <n v="2"/>
    <n v="0"/>
    <n v="0"/>
    <n v="0"/>
    <n v="27288"/>
    <n v="114367.5"/>
    <n v="18192"/>
    <n v="0"/>
    <n v="0"/>
    <n v="0"/>
    <n v="42355.765835746068"/>
    <n v="2"/>
    <n v="11"/>
    <n v="0"/>
    <n v="0"/>
    <n v="0"/>
    <n v="0"/>
    <n v="9096"/>
    <n v="96772.5"/>
    <n v="0"/>
    <n v="0"/>
    <n v="0"/>
    <n v="0"/>
    <n v="0"/>
    <n v="3"/>
    <n v="11"/>
    <n v="1"/>
    <n v="0"/>
    <n v="0"/>
    <n v="17893.5"/>
    <n v="100056"/>
    <n v="9096"/>
    <n v="0"/>
    <n v="0"/>
    <n v="0"/>
    <n v="25201.680672268907"/>
    <n v="3"/>
    <n v="10"/>
    <n v="0"/>
    <n v="0"/>
    <n v="0"/>
    <n v="87975"/>
    <n v="0"/>
    <x v="0"/>
    <x v="0"/>
    <n v="0"/>
    <n v="0"/>
    <n v="0"/>
    <n v="1"/>
    <n v="0"/>
    <n v="1"/>
    <m/>
    <n v="0"/>
    <n v="0"/>
    <n v="0"/>
    <n v="8797.5"/>
    <x v="0"/>
    <n v="0"/>
    <n v="0"/>
    <n v="0"/>
    <n v="25201.680672268907"/>
    <n v="1.5"/>
    <n v="7"/>
    <n v="7"/>
    <m/>
    <n v="0"/>
    <n v="0"/>
    <n v="63672"/>
    <n v="61582.5"/>
    <n v="0"/>
    <n v="0"/>
    <n v="7"/>
    <n v="0"/>
    <n v="176411.76470588235"/>
    <n v="3"/>
    <n v="4"/>
    <n v="3"/>
    <n v="0"/>
    <n v="0"/>
    <n v="0"/>
    <n v="36384"/>
    <n v="26392.5"/>
    <n v="0"/>
    <n v="0"/>
    <n v="4"/>
    <n v="0"/>
    <n v="75605.042016806721"/>
    <n v="3"/>
    <n v="1"/>
    <n v="3"/>
    <n v="0"/>
    <n v="0"/>
    <n v="0"/>
    <n v="9096"/>
    <n v="26392.5"/>
    <n v="0"/>
    <n v="0"/>
    <n v="1"/>
    <n v="9096"/>
    <n v="75605.042016806721"/>
    <n v="3"/>
    <n v="0"/>
    <n v="3"/>
    <n v="0"/>
    <n v="0"/>
    <m/>
    <n v="0"/>
    <n v="26392.5"/>
    <n v="0"/>
    <n v="0"/>
    <n v="0"/>
    <n v="0"/>
    <n v="75605.04201680672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30"/>
    <x v="287"/>
    <x v="0"/>
    <x v="0"/>
    <n v="1"/>
    <x v="249"/>
    <n v="2"/>
    <m/>
    <n v="0"/>
    <n v="9096"/>
    <n v="18192"/>
    <n v="8.5"/>
    <n v="9286.25"/>
    <n v="25201.680672268907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0"/>
    <s v=""/>
    <n v="0"/>
    <n v="3"/>
    <s v=""/>
    <n v="1.5"/>
    <n v="7"/>
    <s v=""/>
    <n v="2.1212121212121211"/>
    <n v="8"/>
    <s v=""/>
    <n v="1.3333333333333333"/>
    <n v="2"/>
    <n v="22"/>
    <n v="2"/>
    <n v="0"/>
    <n v="0"/>
    <n v="0"/>
    <n v="45480"/>
    <n v="193545"/>
    <n v="18192"/>
    <n v="0"/>
    <n v="2"/>
    <n v="18192"/>
    <n v="42355.765835746068"/>
    <n v="2"/>
    <n v="22"/>
    <n v="0"/>
    <n v="0"/>
    <n v="0"/>
    <n v="0"/>
    <n v="27288"/>
    <n v="193545"/>
    <n v="0"/>
    <n v="0"/>
    <n v="2"/>
    <n v="18192"/>
    <n v="0"/>
    <n v="1.536"/>
    <n v="22"/>
    <n v="3"/>
    <n v="0"/>
    <n v="0"/>
    <n v="44883"/>
    <n v="200112"/>
    <n v="27288"/>
    <n v="0"/>
    <n v="2"/>
    <n v="18192"/>
    <n v="75605.042016806721"/>
    <n v="2"/>
    <n v="19"/>
    <n v="0"/>
    <n v="0"/>
    <n v="0"/>
    <n v="167152.5"/>
    <n v="0"/>
    <x v="0"/>
    <x v="0"/>
    <n v="2"/>
    <n v="18192"/>
    <n v="0"/>
    <n v="2"/>
    <n v="5"/>
    <n v="2"/>
    <m/>
    <n v="0"/>
    <n v="0"/>
    <n v="45480"/>
    <n v="17595"/>
    <x v="0"/>
    <n v="0"/>
    <n v="2"/>
    <n v="18192"/>
    <n v="50403.361344537814"/>
    <n v="3.3"/>
    <n v="9"/>
    <n v="7"/>
    <m/>
    <n v="0"/>
    <n v="0"/>
    <n v="81864"/>
    <n v="61582.5"/>
    <n v="0"/>
    <n v="0"/>
    <n v="9"/>
    <n v="18192"/>
    <n v="176411.76470588235"/>
    <n v="6"/>
    <n v="10"/>
    <n v="6"/>
    <n v="0"/>
    <n v="0"/>
    <n v="0"/>
    <n v="90960"/>
    <n v="52785"/>
    <n v="0"/>
    <n v="0"/>
    <n v="10"/>
    <n v="18192"/>
    <n v="151210.08403361344"/>
    <n v="6"/>
    <n v="4"/>
    <n v="6"/>
    <n v="0"/>
    <n v="0"/>
    <n v="0"/>
    <n v="36384"/>
    <n v="52785"/>
    <n v="0"/>
    <n v="0"/>
    <n v="4"/>
    <n v="36384"/>
    <n v="151210.08403361344"/>
    <n v="6"/>
    <n v="0"/>
    <n v="6"/>
    <n v="0"/>
    <n v="0"/>
    <m/>
    <n v="0"/>
    <n v="52785"/>
    <n v="0"/>
    <n v="0"/>
    <n v="0"/>
    <n v="0"/>
    <n v="151210.0840336134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31"/>
    <x v="287"/>
    <x v="0"/>
    <x v="6"/>
    <n v="1"/>
    <x v="12"/>
    <n v="2"/>
    <m/>
    <n v="0"/>
    <n v="9096"/>
    <n v="18192"/>
    <n v="8.5"/>
    <n v="9286.25"/>
    <n v="25201.680672268907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21903023569558"/>
    <n v="4"/>
    <n v="0.54252951604994148"/>
    <n v="1"/>
    <s v=""/>
    <n v="2"/>
    <s v=""/>
    <n v="1"/>
    <s v=""/>
    <n v="1"/>
    <s v=""/>
    <n v="0.5"/>
    <n v="8"/>
    <s v=""/>
    <n v="2.6666666666666665"/>
    <n v="12"/>
    <s v=""/>
    <n v="2.2222222222222219"/>
    <n v="9"/>
    <s v=""/>
    <n v="1.2857142857142858"/>
    <n v="3"/>
    <n v="31"/>
    <n v="3"/>
    <n v="0"/>
    <n v="0"/>
    <n v="0"/>
    <n v="63672"/>
    <n v="272722.5"/>
    <n v="27288"/>
    <n v="0"/>
    <n v="2"/>
    <n v="18192"/>
    <n v="63533.648753619098"/>
    <n v="3"/>
    <n v="31"/>
    <n v="3"/>
    <n v="0"/>
    <n v="0"/>
    <n v="0"/>
    <n v="45480"/>
    <n v="272722.5"/>
    <n v="27288"/>
    <n v="0"/>
    <n v="2"/>
    <n v="18192"/>
    <n v="63533.648753619098"/>
    <n v="2"/>
    <n v="29"/>
    <n v="1"/>
    <n v="0"/>
    <n v="0"/>
    <n v="44584.5"/>
    <n v="263784"/>
    <n v="9096"/>
    <n v="0"/>
    <n v="2"/>
    <n v="18192"/>
    <n v="25201.680672268907"/>
    <n v="2"/>
    <n v="29"/>
    <n v="1"/>
    <n v="0"/>
    <n v="0"/>
    <n v="255127.5"/>
    <n v="9096"/>
    <x v="0"/>
    <x v="0"/>
    <n v="2"/>
    <n v="18192"/>
    <n v="25201.680672268907"/>
    <n v="3"/>
    <n v="10"/>
    <n v="3"/>
    <m/>
    <n v="0"/>
    <n v="0"/>
    <n v="90960"/>
    <n v="26392.5"/>
    <x v="0"/>
    <n v="0"/>
    <n v="2"/>
    <n v="18192"/>
    <n v="75605.042016806721"/>
    <n v="5.4"/>
    <n v="14"/>
    <n v="12"/>
    <m/>
    <n v="0"/>
    <n v="0"/>
    <n v="127344"/>
    <n v="105570"/>
    <n v="0"/>
    <n v="0"/>
    <n v="14"/>
    <n v="18192"/>
    <n v="302420.16806722688"/>
    <n v="7"/>
    <n v="11"/>
    <n v="7"/>
    <n v="0"/>
    <n v="0"/>
    <n v="0"/>
    <n v="100056"/>
    <n v="61582.5"/>
    <n v="0"/>
    <n v="0"/>
    <n v="11"/>
    <n v="18192"/>
    <n v="176411.76470588235"/>
    <n v="7"/>
    <n v="4"/>
    <n v="7"/>
    <n v="0"/>
    <n v="0"/>
    <n v="0"/>
    <n v="36384"/>
    <n v="61582.5"/>
    <n v="0"/>
    <n v="0"/>
    <n v="4"/>
    <n v="36384"/>
    <n v="176411.76470588235"/>
    <n v="7"/>
    <n v="0"/>
    <n v="7"/>
    <n v="0"/>
    <n v="0"/>
    <m/>
    <n v="0"/>
    <n v="61582.5"/>
    <n v="0"/>
    <n v="0"/>
    <n v="0"/>
    <n v="0"/>
    <n v="176411.7647058823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32"/>
    <x v="287"/>
    <x v="0"/>
    <x v="6"/>
    <n v="1"/>
    <x v="12"/>
    <n v="2"/>
    <m/>
    <n v="0"/>
    <n v="9096"/>
    <n v="18192"/>
    <n v="8.5"/>
    <n v="9286.25"/>
    <n v="25201.680672268907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2659232318374467"/>
    <n v="0"/>
    <s v=""/>
    <n v="1"/>
    <s v=""/>
    <n v="2"/>
    <s v=""/>
    <n v="1"/>
    <s v=""/>
    <n v="0.33333333333333331"/>
    <n v="1"/>
    <s v=""/>
    <n v="0.5"/>
    <n v="15"/>
    <s v=""/>
    <n v="3.9473684210526319"/>
    <n v="6"/>
    <s v=""/>
    <n v="0.75"/>
    <n v="3"/>
    <n v="26"/>
    <n v="3"/>
    <n v="0"/>
    <n v="0"/>
    <n v="0"/>
    <n v="59124"/>
    <n v="228735"/>
    <n v="27288"/>
    <n v="0"/>
    <n v="2"/>
    <n v="18192"/>
    <n v="63533.648753619098"/>
    <n v="3"/>
    <n v="27"/>
    <n v="1.5"/>
    <n v="0"/>
    <n v="0"/>
    <n v="0"/>
    <n v="40932"/>
    <n v="237532.5"/>
    <n v="13644"/>
    <n v="0"/>
    <n v="2"/>
    <n v="18192"/>
    <n v="31766.824376809549"/>
    <n v="3"/>
    <n v="26"/>
    <n v="2"/>
    <n v="0"/>
    <n v="0"/>
    <n v="44883"/>
    <n v="236496"/>
    <n v="18192"/>
    <n v="0"/>
    <n v="2"/>
    <n v="18192"/>
    <n v="50403.361344537814"/>
    <n v="3"/>
    <n v="24"/>
    <n v="1"/>
    <n v="0"/>
    <n v="0"/>
    <n v="211140"/>
    <n v="9096"/>
    <x v="0"/>
    <x v="0"/>
    <n v="2"/>
    <n v="18192"/>
    <n v="25201.680672268907"/>
    <n v="2"/>
    <n v="3"/>
    <n v="2"/>
    <m/>
    <n v="0"/>
    <n v="0"/>
    <n v="27288"/>
    <n v="17595"/>
    <x v="0"/>
    <n v="0"/>
    <n v="2"/>
    <n v="18192"/>
    <n v="50403.361344537814"/>
    <n v="3.8"/>
    <n v="17"/>
    <n v="15"/>
    <m/>
    <n v="0"/>
    <n v="0"/>
    <n v="154632"/>
    <n v="131962.5"/>
    <n v="0"/>
    <n v="0"/>
    <n v="17"/>
    <n v="18192"/>
    <n v="378025.21008403361"/>
    <n v="8"/>
    <n v="8"/>
    <n v="8"/>
    <n v="0"/>
    <n v="0"/>
    <n v="0"/>
    <n v="72768"/>
    <n v="70380"/>
    <n v="0"/>
    <n v="0"/>
    <n v="8"/>
    <n v="18192"/>
    <n v="201613.44537815126"/>
    <n v="8"/>
    <n v="0"/>
    <n v="8"/>
    <n v="0"/>
    <n v="0"/>
    <n v="0"/>
    <n v="0"/>
    <n v="70380"/>
    <n v="0"/>
    <n v="0"/>
    <n v="0"/>
    <n v="0"/>
    <n v="201613.44537815126"/>
    <n v="8"/>
    <n v="0"/>
    <n v="8"/>
    <n v="0"/>
    <n v="0"/>
    <m/>
    <n v="0"/>
    <n v="70380"/>
    <n v="0"/>
    <n v="0"/>
    <n v="0"/>
    <n v="0"/>
    <n v="201613.445378151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33"/>
    <x v="287"/>
    <x v="0"/>
    <x v="6"/>
    <n v="1"/>
    <x v="12"/>
    <n v="0"/>
    <m/>
    <n v="0"/>
    <n v="9096"/>
    <n v="0"/>
    <n v="8.5"/>
    <n v="9286.25"/>
    <n v="25201.680672268907"/>
    <n v="21000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4"/>
    <s v=""/>
    <n v="3"/>
    <s v=""/>
    <n v="1"/>
    <n v="2"/>
    <s v=""/>
    <n v="2"/>
    <n v="3"/>
    <s v=""/>
    <n v="2"/>
    <n v="0"/>
    <s v=""/>
    <n v="0"/>
    <n v="2"/>
    <n v="13"/>
    <n v="2"/>
    <n v="0"/>
    <n v="0"/>
    <n v="0"/>
    <n v="68220"/>
    <n v="114367.5"/>
    <n v="18192"/>
    <n v="0"/>
    <n v="0"/>
    <n v="0"/>
    <n v="42355.765835746068"/>
    <n v="2"/>
    <n v="13"/>
    <n v="1.5"/>
    <n v="0"/>
    <n v="0"/>
    <n v="0"/>
    <n v="77316"/>
    <n v="114367.5"/>
    <n v="13644"/>
    <n v="0"/>
    <n v="0"/>
    <n v="0"/>
    <n v="31766.824376809549"/>
    <n v="3"/>
    <n v="12"/>
    <n v="4"/>
    <n v="0"/>
    <n v="0"/>
    <n v="72469.5"/>
    <n v="109152"/>
    <n v="36384"/>
    <n v="0"/>
    <n v="0"/>
    <n v="0"/>
    <n v="100806.72268907563"/>
    <n v="3"/>
    <n v="7"/>
    <n v="3"/>
    <n v="0"/>
    <n v="0"/>
    <n v="61582.5"/>
    <n v="27288"/>
    <x v="0"/>
    <x v="0"/>
    <n v="0"/>
    <n v="0"/>
    <n v="75605.042016806721"/>
    <n v="1"/>
    <n v="2"/>
    <n v="1"/>
    <m/>
    <n v="0"/>
    <n v="0"/>
    <n v="18192"/>
    <n v="8797.5"/>
    <x v="0"/>
    <n v="0"/>
    <n v="0"/>
    <n v="0"/>
    <n v="25201.680672268907"/>
    <n v="1.5"/>
    <n v="3"/>
    <n v="3"/>
    <m/>
    <n v="0"/>
    <n v="0"/>
    <n v="27288"/>
    <n v="26392.5"/>
    <n v="0"/>
    <n v="0"/>
    <n v="3"/>
    <n v="0"/>
    <n v="75605.042016806721"/>
    <n v="1"/>
    <n v="0"/>
    <n v="1"/>
    <n v="0"/>
    <n v="0"/>
    <n v="0"/>
    <n v="0"/>
    <n v="8797.5"/>
    <n v="0"/>
    <n v="0"/>
    <n v="0"/>
    <n v="0"/>
    <n v="25201.680672268907"/>
    <n v="1"/>
    <n v="0"/>
    <n v="1"/>
    <n v="0"/>
    <n v="0"/>
    <n v="0"/>
    <n v="0"/>
    <n v="8797.5"/>
    <n v="0"/>
    <n v="0"/>
    <n v="0"/>
    <n v="0"/>
    <n v="25201.680672268907"/>
    <n v="1"/>
    <n v="0"/>
    <n v="1"/>
    <n v="0"/>
    <n v="0"/>
    <m/>
    <n v="0"/>
    <n v="8797.5"/>
    <n v="0"/>
    <n v="0"/>
    <n v="0"/>
    <n v="0"/>
    <n v="25201.68067226890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4"/>
    <x v="288"/>
    <x v="0"/>
    <x v="1"/>
    <n v="1"/>
    <x v="250"/>
    <n v="18"/>
    <m/>
    <n v="0"/>
    <n v="6100"/>
    <n v="109800"/>
    <n v="5.7"/>
    <n v="6227.2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3686153113465893"/>
    <n v="6"/>
    <n v="0.50950830217504928"/>
    <n v="0"/>
    <s v=""/>
    <n v="1"/>
    <s v=""/>
    <n v="0"/>
    <s v=""/>
    <n v="0"/>
    <s v=""/>
    <n v="0"/>
    <n v="0"/>
    <s v=""/>
    <n v="0"/>
    <n v="0"/>
    <s v=""/>
    <n v="0"/>
    <n v="0"/>
    <s v=""/>
    <n v="0"/>
    <n v="3"/>
    <n v="15"/>
    <n v="3"/>
    <n v="0"/>
    <n v="0"/>
    <n v="0"/>
    <n v="27450"/>
    <n v="88492.499999999985"/>
    <n v="18300"/>
    <n v="0"/>
    <n v="18"/>
    <n v="109800"/>
    <n v="31756.231904526521"/>
    <n v="2"/>
    <n v="16"/>
    <n v="1.5"/>
    <n v="0"/>
    <n v="0"/>
    <n v="0"/>
    <n v="9150"/>
    <n v="94391.999999999985"/>
    <n v="9150"/>
    <n v="0"/>
    <n v="18"/>
    <n v="109800"/>
    <n v="15878.115952263261"/>
    <n v="2"/>
    <n v="18"/>
    <n v="0"/>
    <n v="0"/>
    <n v="0"/>
    <n v="11798.999999999998"/>
    <n v="109800"/>
    <n v="0"/>
    <n v="0"/>
    <n v="18"/>
    <n v="109800"/>
    <n v="0"/>
    <n v="2"/>
    <n v="18"/>
    <n v="0"/>
    <n v="0"/>
    <n v="0"/>
    <n v="106190.99999999999"/>
    <n v="0"/>
    <x v="0"/>
    <x v="0"/>
    <n v="18"/>
    <n v="109800"/>
    <n v="0"/>
    <n v="2"/>
    <n v="18"/>
    <n v="2"/>
    <m/>
    <n v="0"/>
    <n v="0"/>
    <n v="109800"/>
    <n v="11798.999999999998"/>
    <x v="0"/>
    <n v="0"/>
    <n v="18"/>
    <n v="109800"/>
    <n v="25193.277310924372"/>
    <n v="5"/>
    <n v="18"/>
    <n v="0"/>
    <m/>
    <n v="0"/>
    <n v="0"/>
    <n v="109800"/>
    <n v="0"/>
    <n v="0"/>
    <n v="0"/>
    <n v="18"/>
    <n v="109800"/>
    <n v="0"/>
    <n v="6"/>
    <n v="18"/>
    <n v="6"/>
    <n v="0"/>
    <n v="0"/>
    <n v="0"/>
    <n v="109800"/>
    <n v="35396.999999999993"/>
    <n v="0"/>
    <n v="0"/>
    <n v="18"/>
    <n v="109800"/>
    <n v="75579.831932773115"/>
    <n v="6"/>
    <n v="12"/>
    <n v="6"/>
    <n v="0"/>
    <n v="0"/>
    <n v="0"/>
    <n v="73200"/>
    <n v="35396.999999999993"/>
    <n v="0"/>
    <n v="0"/>
    <n v="12"/>
    <n v="73200"/>
    <n v="75579.831932773115"/>
    <n v="6"/>
    <n v="6"/>
    <n v="6"/>
    <n v="0"/>
    <n v="0"/>
    <m/>
    <n v="35396.999999999993"/>
    <n v="35396.999999999993"/>
    <n v="0"/>
    <n v="0"/>
    <n v="6"/>
    <n v="35396.999999999993"/>
    <n v="75579.83193277311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5"/>
    <x v="288"/>
    <x v="0"/>
    <x v="1"/>
    <n v="1"/>
    <x v="251"/>
    <n v="33"/>
    <m/>
    <n v="0"/>
    <n v="6100"/>
    <n v="201300"/>
    <n v="5.7"/>
    <n v="6227.2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111111111111111"/>
    <n v="1"/>
    <s v=""/>
    <n v="0"/>
    <s v=""/>
    <n v="1"/>
    <s v=""/>
    <n v="1"/>
    <s v=""/>
    <n v="0.33333333333333331"/>
    <n v="1"/>
    <s v=""/>
    <n v="0.33333333333333331"/>
    <n v="0"/>
    <s v=""/>
    <n v="0"/>
    <n v="0"/>
    <s v=""/>
    <n v="0"/>
    <n v="5"/>
    <n v="34"/>
    <n v="5"/>
    <n v="0"/>
    <n v="0"/>
    <n v="0"/>
    <n v="36600"/>
    <n v="200582.99999999997"/>
    <n v="30500"/>
    <n v="0"/>
    <n v="33"/>
    <n v="201300"/>
    <n v="52927.053174210872"/>
    <n v="3"/>
    <n v="34"/>
    <n v="0"/>
    <n v="0"/>
    <n v="0"/>
    <n v="0"/>
    <n v="12200"/>
    <n v="200582.99999999997"/>
    <n v="0"/>
    <n v="0"/>
    <n v="33"/>
    <n v="201300"/>
    <n v="0"/>
    <n v="3"/>
    <n v="34"/>
    <n v="1"/>
    <n v="0"/>
    <n v="0"/>
    <n v="29898.499999999996"/>
    <n v="207400"/>
    <n v="6100"/>
    <n v="0"/>
    <n v="33"/>
    <n v="201300"/>
    <n v="12596.638655462186"/>
    <n v="3"/>
    <n v="35"/>
    <n v="1"/>
    <n v="0"/>
    <n v="0"/>
    <n v="206482.49999999997"/>
    <n v="6100"/>
    <x v="0"/>
    <x v="0"/>
    <n v="33"/>
    <n v="201300"/>
    <n v="12596.638655462186"/>
    <n v="3"/>
    <n v="34"/>
    <n v="3"/>
    <m/>
    <n v="0"/>
    <n v="0"/>
    <n v="207400"/>
    <n v="17698.499999999996"/>
    <x v="0"/>
    <n v="0"/>
    <n v="33"/>
    <n v="201300"/>
    <n v="37789.915966386558"/>
    <n v="6"/>
    <n v="33"/>
    <n v="0"/>
    <m/>
    <n v="0"/>
    <n v="0"/>
    <n v="201300"/>
    <n v="0"/>
    <n v="0"/>
    <n v="0"/>
    <n v="33"/>
    <n v="201300"/>
    <n v="0"/>
    <n v="11"/>
    <n v="33"/>
    <n v="11"/>
    <n v="0"/>
    <n v="0"/>
    <n v="0"/>
    <n v="201300"/>
    <n v="64894.499999999993"/>
    <n v="0"/>
    <n v="0"/>
    <n v="33"/>
    <n v="201300"/>
    <n v="138563.02521008404"/>
    <n v="11"/>
    <n v="22"/>
    <n v="11"/>
    <n v="0"/>
    <n v="0"/>
    <n v="0"/>
    <n v="134200"/>
    <n v="64894.499999999993"/>
    <n v="0"/>
    <n v="0"/>
    <n v="22"/>
    <n v="134200"/>
    <n v="138563.02521008404"/>
    <n v="11"/>
    <n v="11"/>
    <n v="11"/>
    <n v="0"/>
    <n v="0"/>
    <m/>
    <n v="64894.499999999993"/>
    <n v="64894.499999999993"/>
    <n v="0"/>
    <n v="0"/>
    <n v="11"/>
    <n v="64894.499999999993"/>
    <n v="138563.0252100840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6"/>
    <x v="288"/>
    <x v="0"/>
    <x v="1"/>
    <n v="1"/>
    <x v="252"/>
    <n v="19"/>
    <m/>
    <n v="0"/>
    <n v="6274"/>
    <n v="119206"/>
    <n v="5.7"/>
    <n v="6227.2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605519366813756"/>
    <n v="0"/>
    <s v=""/>
    <n v="1"/>
    <s v=""/>
    <n v="0"/>
    <s v=""/>
    <n v="0"/>
    <s v=""/>
    <n v="0"/>
    <n v="0"/>
    <s v=""/>
    <n v="0"/>
    <n v="1"/>
    <s v=""/>
    <n v="0.16666666666666666"/>
    <n v="0"/>
    <s v=""/>
    <n v="0"/>
    <n v="5"/>
    <n v="14"/>
    <n v="5"/>
    <n v="0"/>
    <n v="0"/>
    <n v="0"/>
    <n v="40781"/>
    <n v="82592.999999999985"/>
    <n v="31370"/>
    <n v="0"/>
    <n v="19"/>
    <n v="119206"/>
    <n v="52927.053174210872"/>
    <n v="3"/>
    <n v="20"/>
    <n v="1.5"/>
    <n v="0"/>
    <n v="0"/>
    <n v="0"/>
    <n v="9411"/>
    <n v="117989.99999999999"/>
    <n v="9411"/>
    <n v="0"/>
    <n v="19"/>
    <n v="119206"/>
    <n v="15878.115952263261"/>
    <n v="3"/>
    <n v="20"/>
    <n v="0"/>
    <n v="0"/>
    <n v="0"/>
    <n v="17698.499999999996"/>
    <n v="125480"/>
    <n v="0"/>
    <n v="0"/>
    <n v="19"/>
    <n v="119206"/>
    <n v="0"/>
    <n v="3"/>
    <n v="20"/>
    <n v="0"/>
    <n v="0"/>
    <n v="0"/>
    <n v="117989.99999999999"/>
    <n v="0"/>
    <x v="0"/>
    <x v="0"/>
    <n v="19"/>
    <n v="119206"/>
    <n v="0"/>
    <n v="3"/>
    <n v="19"/>
    <n v="3"/>
    <m/>
    <n v="0"/>
    <n v="0"/>
    <n v="119206"/>
    <n v="17698.499999999996"/>
    <x v="0"/>
    <n v="0"/>
    <n v="19"/>
    <n v="119206"/>
    <n v="37789.915966386558"/>
    <n v="6"/>
    <n v="20"/>
    <n v="1"/>
    <m/>
    <n v="0"/>
    <n v="0"/>
    <n v="125480"/>
    <n v="5899.4999999999991"/>
    <n v="0"/>
    <n v="0"/>
    <n v="20"/>
    <n v="119206"/>
    <n v="12596.638655462186"/>
    <n v="7"/>
    <n v="19"/>
    <n v="7"/>
    <n v="0"/>
    <n v="0"/>
    <n v="0"/>
    <n v="119206"/>
    <n v="41296.499999999993"/>
    <n v="0"/>
    <n v="0"/>
    <n v="19"/>
    <n v="119206"/>
    <n v="88176.470588235301"/>
    <n v="7"/>
    <n v="12"/>
    <n v="7"/>
    <n v="0"/>
    <n v="0"/>
    <n v="0"/>
    <n v="75288"/>
    <n v="41296.499999999993"/>
    <n v="0"/>
    <n v="0"/>
    <n v="12"/>
    <n v="75288"/>
    <n v="88176.470588235301"/>
    <n v="7"/>
    <n v="5"/>
    <n v="7"/>
    <n v="0"/>
    <n v="0"/>
    <m/>
    <n v="29497.499999999996"/>
    <n v="41296.499999999993"/>
    <n v="0"/>
    <n v="0"/>
    <n v="5"/>
    <n v="29497.499999999996"/>
    <n v="88176.47058823530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7"/>
    <x v="288"/>
    <x v="0"/>
    <x v="1"/>
    <n v="1"/>
    <x v="253"/>
    <n v="5"/>
    <m/>
    <n v="0"/>
    <n v="6177"/>
    <n v="30885"/>
    <n v="5.7"/>
    <n v="6227.2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1"/>
    <s v=""/>
    <n v="1"/>
    <s v=""/>
    <n v="0"/>
    <s v=""/>
    <n v="0"/>
    <n v="0"/>
    <s v=""/>
    <n v="0"/>
    <n v="3"/>
    <s v=""/>
    <n v="0.5"/>
    <n v="1"/>
    <s v=""/>
    <n v="0.33333333333333331"/>
    <n v="2"/>
    <n v="14"/>
    <n v="2"/>
    <n v="0"/>
    <n v="0"/>
    <n v="0"/>
    <n v="27796.5"/>
    <n v="82592.999999999985"/>
    <n v="12354"/>
    <n v="0"/>
    <n v="5"/>
    <n v="30885"/>
    <n v="21170.821269684347"/>
    <n v="2"/>
    <n v="11"/>
    <n v="1.5"/>
    <n v="0"/>
    <n v="0"/>
    <n v="0"/>
    <n v="15442.5"/>
    <n v="64894.499999999993"/>
    <n v="9265.5"/>
    <n v="0"/>
    <n v="5"/>
    <n v="30885"/>
    <n v="15878.115952263261"/>
    <n v="2"/>
    <n v="10"/>
    <n v="1"/>
    <n v="0"/>
    <n v="0"/>
    <n v="17976"/>
    <n v="61770"/>
    <n v="6177"/>
    <n v="0"/>
    <n v="5"/>
    <n v="30885"/>
    <n v="12596.638655462186"/>
    <n v="2"/>
    <n v="9"/>
    <n v="0"/>
    <n v="0"/>
    <n v="0"/>
    <n v="53095.499999999993"/>
    <n v="0"/>
    <x v="0"/>
    <x v="0"/>
    <n v="5"/>
    <n v="30885"/>
    <n v="0"/>
    <n v="2"/>
    <n v="5"/>
    <n v="2"/>
    <m/>
    <n v="0"/>
    <n v="0"/>
    <n v="30885"/>
    <n v="11798.999999999998"/>
    <x v="0"/>
    <n v="0"/>
    <n v="5"/>
    <n v="30885"/>
    <n v="25193.277310924372"/>
    <n v="6"/>
    <n v="8"/>
    <n v="3"/>
    <m/>
    <n v="0"/>
    <n v="0"/>
    <n v="49416"/>
    <n v="17698.499999999996"/>
    <n v="0"/>
    <n v="0"/>
    <n v="8"/>
    <n v="30885"/>
    <n v="37789.915966386558"/>
    <n v="3"/>
    <n v="6"/>
    <n v="3"/>
    <n v="0"/>
    <n v="0"/>
    <n v="0"/>
    <n v="37062"/>
    <n v="17698.499999999996"/>
    <n v="0"/>
    <n v="0"/>
    <n v="6"/>
    <n v="30885"/>
    <n v="37789.915966386558"/>
    <n v="3"/>
    <n v="3"/>
    <n v="3"/>
    <n v="0"/>
    <n v="0"/>
    <n v="0"/>
    <n v="18531"/>
    <n v="17698.499999999996"/>
    <n v="0"/>
    <n v="0"/>
    <n v="3"/>
    <n v="18531"/>
    <n v="37789.915966386558"/>
    <n v="3"/>
    <n v="0"/>
    <n v="3"/>
    <n v="0"/>
    <n v="0"/>
    <m/>
    <n v="0"/>
    <n v="17698.499999999996"/>
    <n v="0"/>
    <n v="0"/>
    <n v="0"/>
    <n v="0"/>
    <n v="37789.91596638655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8"/>
    <x v="288"/>
    <x v="0"/>
    <x v="1"/>
    <n v="1"/>
    <x v="254"/>
    <n v="19"/>
    <m/>
    <n v="0"/>
    <n v="6100"/>
    <n v="115900"/>
    <n v="5.7"/>
    <n v="6227.2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32637623543702721"/>
    <n v="0"/>
    <s v=""/>
    <n v="0"/>
    <s v=""/>
    <n v="0"/>
    <s v=""/>
    <n v="0"/>
    <s v=""/>
    <n v="0"/>
    <n v="0"/>
    <s v=""/>
    <n v="0"/>
    <n v="1"/>
    <s v=""/>
    <n v="0.2"/>
    <n v="0"/>
    <s v=""/>
    <n v="0"/>
    <n v="3"/>
    <n v="20"/>
    <n v="3"/>
    <n v="0"/>
    <n v="0"/>
    <n v="0"/>
    <n v="18300"/>
    <n v="117989.99999999999"/>
    <n v="18300"/>
    <n v="0"/>
    <n v="19"/>
    <n v="115900"/>
    <n v="31756.231904526521"/>
    <n v="2"/>
    <n v="19"/>
    <n v="0"/>
    <n v="0"/>
    <n v="0"/>
    <n v="0"/>
    <n v="0"/>
    <n v="112090.49999999999"/>
    <n v="0"/>
    <n v="0"/>
    <n v="19"/>
    <n v="115900"/>
    <n v="0"/>
    <n v="2"/>
    <n v="20"/>
    <n v="0"/>
    <n v="0"/>
    <n v="0"/>
    <n v="11798.999999999998"/>
    <n v="122000"/>
    <n v="0"/>
    <n v="0"/>
    <n v="19"/>
    <n v="115900"/>
    <n v="0"/>
    <n v="2"/>
    <n v="20"/>
    <n v="0"/>
    <n v="0"/>
    <n v="0"/>
    <n v="117989.99999999999"/>
    <n v="0"/>
    <x v="0"/>
    <x v="0"/>
    <n v="19"/>
    <n v="115900"/>
    <n v="0"/>
    <n v="2"/>
    <n v="19"/>
    <n v="2"/>
    <m/>
    <n v="0"/>
    <n v="0"/>
    <n v="115900"/>
    <n v="11798.999999999998"/>
    <x v="0"/>
    <n v="0"/>
    <n v="19"/>
    <n v="115900"/>
    <n v="25193.277310924372"/>
    <n v="5"/>
    <n v="20"/>
    <n v="1"/>
    <m/>
    <n v="0"/>
    <n v="0"/>
    <n v="122000"/>
    <n v="5899.4999999999991"/>
    <n v="0"/>
    <n v="0"/>
    <n v="20"/>
    <n v="115900"/>
    <n v="12596.638655462186"/>
    <n v="7"/>
    <n v="19"/>
    <n v="7"/>
    <n v="0"/>
    <n v="0"/>
    <n v="0"/>
    <n v="115900"/>
    <n v="41296.499999999993"/>
    <n v="0"/>
    <n v="0"/>
    <n v="19"/>
    <n v="115900"/>
    <n v="88176.470588235301"/>
    <n v="7"/>
    <n v="12"/>
    <n v="7"/>
    <n v="0"/>
    <n v="0"/>
    <n v="0"/>
    <n v="73200"/>
    <n v="41296.499999999993"/>
    <n v="0"/>
    <n v="0"/>
    <n v="12"/>
    <n v="73200"/>
    <n v="88176.470588235301"/>
    <n v="7"/>
    <n v="5"/>
    <n v="7"/>
    <n v="0"/>
    <n v="0"/>
    <m/>
    <n v="29497.499999999996"/>
    <n v="41296.499999999993"/>
    <n v="0"/>
    <n v="0"/>
    <n v="5"/>
    <n v="29497.499999999996"/>
    <n v="88176.47058823530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9"/>
    <x v="288"/>
    <x v="0"/>
    <x v="1"/>
    <n v="1"/>
    <x v="255"/>
    <n v="31"/>
    <m/>
    <n v="0"/>
    <n v="6100"/>
    <n v="189100"/>
    <n v="5.7"/>
    <n v="6227.2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3"/>
    <n v="0"/>
    <n v="0"/>
    <s v=""/>
    <n v="1"/>
    <s v=""/>
    <n v="1"/>
    <s v=""/>
    <n v="0"/>
    <s v=""/>
    <n v="0"/>
    <n v="0"/>
    <s v=""/>
    <n v="0"/>
    <n v="1"/>
    <s v=""/>
    <n v="0.16666666666666666"/>
    <n v="0"/>
    <s v=""/>
    <n v="0"/>
    <n v="5"/>
    <n v="32"/>
    <n v="5"/>
    <n v="0"/>
    <n v="0"/>
    <n v="0"/>
    <n v="45750"/>
    <n v="188783.99999999997"/>
    <n v="30500"/>
    <n v="0"/>
    <n v="31"/>
    <n v="189100"/>
    <n v="52927.053174210872"/>
    <n v="3"/>
    <n v="30"/>
    <n v="1.5"/>
    <n v="0"/>
    <n v="0"/>
    <n v="0"/>
    <n v="15250"/>
    <n v="176984.99999999997"/>
    <n v="9150"/>
    <n v="0"/>
    <n v="31"/>
    <n v="189100"/>
    <n v="15878.115952263261"/>
    <n v="3"/>
    <n v="31"/>
    <n v="1"/>
    <n v="0"/>
    <n v="0"/>
    <n v="23798.499999999996"/>
    <n v="189100"/>
    <n v="6100"/>
    <n v="0"/>
    <n v="31"/>
    <n v="189100"/>
    <n v="12596.638655462186"/>
    <n v="3"/>
    <n v="30"/>
    <n v="0"/>
    <n v="0"/>
    <n v="0"/>
    <n v="176984.99999999997"/>
    <n v="0"/>
    <x v="0"/>
    <x v="0"/>
    <n v="31"/>
    <n v="189100"/>
    <n v="0"/>
    <n v="3"/>
    <n v="31"/>
    <n v="3"/>
    <m/>
    <n v="0"/>
    <n v="0"/>
    <n v="189100"/>
    <n v="17698.499999999996"/>
    <x v="0"/>
    <n v="0"/>
    <n v="31"/>
    <n v="189100"/>
    <n v="37789.915966386558"/>
    <n v="6"/>
    <n v="32"/>
    <n v="1"/>
    <m/>
    <n v="0"/>
    <n v="0"/>
    <n v="195200"/>
    <n v="5899.4999999999991"/>
    <n v="0"/>
    <n v="0"/>
    <n v="32"/>
    <n v="189100"/>
    <n v="12596.638655462186"/>
    <n v="10"/>
    <n v="31"/>
    <n v="10"/>
    <n v="0"/>
    <n v="0"/>
    <n v="0"/>
    <n v="189100"/>
    <n v="58994.999999999993"/>
    <n v="0"/>
    <n v="0"/>
    <n v="31"/>
    <n v="189100"/>
    <n v="125966.38655462186"/>
    <n v="10"/>
    <n v="21"/>
    <n v="10"/>
    <n v="0"/>
    <n v="0"/>
    <n v="0"/>
    <n v="128100"/>
    <n v="58994.999999999993"/>
    <n v="0"/>
    <n v="0"/>
    <n v="21"/>
    <n v="128100"/>
    <n v="125966.38655462186"/>
    <n v="10"/>
    <n v="11"/>
    <n v="10"/>
    <n v="0"/>
    <n v="0"/>
    <m/>
    <n v="64894.499999999993"/>
    <n v="58994.999999999993"/>
    <n v="0"/>
    <n v="0"/>
    <n v="11"/>
    <n v="64894.499999999993"/>
    <n v="125966.38655462186"/>
    <n v="0"/>
    <n v="1"/>
    <n v="0"/>
    <n v="0"/>
    <n v="0"/>
    <n v="0"/>
    <m/>
    <n v="5899.4999999999991"/>
    <n v="0"/>
    <n v="0"/>
    <n v="0"/>
    <n v="1"/>
    <n v="5899.4999999999991"/>
    <n v="0"/>
    <n v="0"/>
    <n v="1"/>
    <n v="0"/>
    <n v="0"/>
    <n v="0"/>
    <n v="5899.4999999999991"/>
    <n v="0"/>
    <n v="0"/>
    <n v="0"/>
    <n v="1"/>
    <n v="5899.4999999999991"/>
    <n v="0"/>
    <n v="0"/>
    <n v="1"/>
    <n v="0"/>
    <n v="0"/>
    <n v="0"/>
    <n v="5899.4999999999991"/>
    <n v="0"/>
    <n v="0"/>
    <n v="1"/>
    <n v="5899.4999999999991"/>
    <n v="0"/>
    <n v="0"/>
    <n v="1"/>
    <n v="0"/>
    <n v="0"/>
    <m/>
    <n v="5899.4999999999991"/>
    <n v="0"/>
    <n v="0"/>
    <n v="1"/>
    <n v="5899.4999999999991"/>
    <n v="0"/>
  </r>
  <r>
    <m/>
    <x v="1"/>
    <x v="16"/>
    <x v="41"/>
    <s v="LTS26-WLG02"/>
    <x v="440"/>
    <x v="288"/>
    <x v="0"/>
    <x v="6"/>
    <n v="1"/>
    <x v="12"/>
    <n v="25"/>
    <m/>
    <n v="0"/>
    <n v="6434"/>
    <n v="160850"/>
    <n v="5.7"/>
    <n v="6227.2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5"/>
    <n v="25"/>
    <n v="5"/>
    <n v="0"/>
    <n v="0"/>
    <n v="0"/>
    <n v="32170"/>
    <n v="147487.49999999997"/>
    <n v="32170"/>
    <n v="0"/>
    <n v="25"/>
    <n v="160850"/>
    <n v="52927.053174210872"/>
    <n v="3"/>
    <n v="24"/>
    <n v="0"/>
    <n v="0"/>
    <n v="0"/>
    <n v="0"/>
    <n v="0"/>
    <n v="141587.99999999997"/>
    <n v="0"/>
    <n v="0"/>
    <n v="25"/>
    <n v="160850"/>
    <n v="0"/>
    <n v="3"/>
    <n v="25"/>
    <n v="0"/>
    <n v="0"/>
    <n v="0"/>
    <n v="17698.499999999996"/>
    <n v="160850"/>
    <n v="0"/>
    <n v="0"/>
    <n v="25"/>
    <n v="160850"/>
    <n v="0"/>
    <n v="3"/>
    <n v="25"/>
    <n v="0"/>
    <n v="0"/>
    <n v="0"/>
    <n v="147487.49999999997"/>
    <n v="0"/>
    <x v="0"/>
    <x v="0"/>
    <n v="25"/>
    <n v="160850"/>
    <n v="0"/>
    <n v="3"/>
    <n v="25"/>
    <n v="3"/>
    <m/>
    <n v="0"/>
    <n v="0"/>
    <n v="160850"/>
    <n v="17698.499999999996"/>
    <x v="0"/>
    <n v="0"/>
    <n v="25"/>
    <n v="160850"/>
    <n v="37789.915966386558"/>
    <n v="6"/>
    <n v="25"/>
    <n v="0"/>
    <m/>
    <n v="0"/>
    <n v="0"/>
    <n v="160850"/>
    <n v="0"/>
    <n v="0"/>
    <n v="0"/>
    <n v="25"/>
    <n v="160850"/>
    <n v="0"/>
    <n v="8"/>
    <n v="25"/>
    <n v="8"/>
    <n v="0"/>
    <n v="0"/>
    <n v="0"/>
    <n v="160850"/>
    <n v="47195.999999999993"/>
    <n v="0"/>
    <n v="0"/>
    <n v="25"/>
    <n v="160850"/>
    <n v="100773.10924369749"/>
    <n v="8"/>
    <n v="17"/>
    <n v="8"/>
    <n v="0"/>
    <n v="0"/>
    <n v="0"/>
    <n v="109378"/>
    <n v="47195.999999999993"/>
    <n v="0"/>
    <n v="0"/>
    <n v="17"/>
    <n v="109378"/>
    <n v="100773.10924369749"/>
    <n v="8"/>
    <n v="9"/>
    <n v="8"/>
    <n v="0"/>
    <n v="0"/>
    <m/>
    <n v="53095.499999999993"/>
    <n v="47195.999999999993"/>
    <n v="0"/>
    <n v="0"/>
    <n v="9"/>
    <n v="53095.499999999993"/>
    <n v="100773.10924369749"/>
    <n v="0"/>
    <n v="1"/>
    <n v="0"/>
    <n v="0"/>
    <n v="0"/>
    <n v="0"/>
    <m/>
    <n v="5899.4999999999991"/>
    <n v="0"/>
    <n v="0"/>
    <n v="0"/>
    <n v="1"/>
    <n v="5899.4999999999991"/>
    <n v="0"/>
    <n v="0"/>
    <n v="1"/>
    <n v="0"/>
    <n v="0"/>
    <n v="0"/>
    <n v="5899.4999999999991"/>
    <n v="0"/>
    <n v="0"/>
    <n v="0"/>
    <n v="1"/>
    <n v="5899.4999999999991"/>
    <n v="0"/>
    <n v="0"/>
    <n v="1"/>
    <n v="0"/>
    <n v="0"/>
    <n v="0"/>
    <n v="5899.4999999999991"/>
    <n v="0"/>
    <n v="0"/>
    <n v="1"/>
    <n v="5899.4999999999991"/>
    <n v="0"/>
    <n v="0"/>
    <n v="1"/>
    <n v="0"/>
    <n v="0"/>
    <m/>
    <n v="5899.4999999999991"/>
    <n v="0"/>
    <n v="0"/>
    <n v="1"/>
    <n v="5899.4999999999991"/>
    <n v="0"/>
  </r>
  <r>
    <m/>
    <x v="1"/>
    <x v="16"/>
    <x v="41"/>
    <s v="LTS26-WLG02"/>
    <x v="441"/>
    <x v="288"/>
    <x v="0"/>
    <x v="1"/>
    <n v="1"/>
    <x v="256"/>
    <n v="10"/>
    <m/>
    <n v="0"/>
    <n v="6166"/>
    <n v="61660"/>
    <n v="5.7"/>
    <n v="6227.2499999999991"/>
    <n v="12596.638655462186"/>
    <n v="10915.966386554623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21322121388727"/>
    <n v="1"/>
    <s v=""/>
    <n v="0"/>
    <s v=""/>
    <n v="0"/>
    <s v=""/>
    <n v="0"/>
    <s v=""/>
    <n v="0"/>
    <n v="0"/>
    <s v=""/>
    <n v="0"/>
    <n v="0"/>
    <s v=""/>
    <n v="0"/>
    <n v="1"/>
    <s v=""/>
    <n v="0.25"/>
    <n v="2"/>
    <n v="13"/>
    <n v="2"/>
    <n v="0"/>
    <n v="0"/>
    <n v="0"/>
    <n v="12332"/>
    <n v="76693.499999999985"/>
    <n v="12332"/>
    <n v="0"/>
    <n v="10"/>
    <n v="61660"/>
    <n v="21170.821269684347"/>
    <n v="2"/>
    <n v="11"/>
    <n v="0"/>
    <n v="0"/>
    <n v="0"/>
    <n v="0"/>
    <n v="0"/>
    <n v="64894.499999999993"/>
    <n v="0"/>
    <n v="0"/>
    <n v="10"/>
    <n v="61660"/>
    <n v="0"/>
    <n v="2"/>
    <n v="11"/>
    <n v="0"/>
    <n v="0"/>
    <n v="0"/>
    <n v="11798.999999999998"/>
    <n v="67826"/>
    <n v="0"/>
    <n v="0"/>
    <n v="10"/>
    <n v="61660"/>
    <n v="0"/>
    <n v="2"/>
    <n v="11"/>
    <n v="0"/>
    <n v="0"/>
    <n v="0"/>
    <n v="64894.499999999993"/>
    <n v="0"/>
    <x v="0"/>
    <x v="0"/>
    <n v="10"/>
    <n v="61660"/>
    <n v="0"/>
    <n v="2"/>
    <n v="10"/>
    <n v="2"/>
    <m/>
    <n v="0"/>
    <n v="0"/>
    <n v="61660"/>
    <n v="11798.999999999998"/>
    <x v="0"/>
    <n v="0"/>
    <n v="10"/>
    <n v="61660"/>
    <n v="25193.277310924372"/>
    <n v="6"/>
    <n v="10"/>
    <n v="0"/>
    <m/>
    <n v="0"/>
    <n v="0"/>
    <n v="61660"/>
    <n v="0"/>
    <n v="0"/>
    <n v="0"/>
    <n v="10"/>
    <n v="61660"/>
    <n v="0"/>
    <n v="4"/>
    <n v="11"/>
    <n v="4"/>
    <n v="0"/>
    <n v="0"/>
    <n v="0"/>
    <n v="67826"/>
    <n v="23597.999999999996"/>
    <n v="0"/>
    <n v="0"/>
    <n v="11"/>
    <n v="61660"/>
    <n v="50386.554621848743"/>
    <n v="4"/>
    <n v="7"/>
    <n v="4"/>
    <n v="0"/>
    <n v="0"/>
    <n v="0"/>
    <n v="43162"/>
    <n v="23597.999999999996"/>
    <n v="0"/>
    <n v="0"/>
    <n v="7"/>
    <n v="43162"/>
    <n v="50386.554621848743"/>
    <n v="4"/>
    <n v="3"/>
    <n v="4"/>
    <n v="0"/>
    <n v="0"/>
    <m/>
    <n v="17698.499999999996"/>
    <n v="23597.999999999996"/>
    <n v="0"/>
    <n v="0"/>
    <n v="3"/>
    <n v="17698.499999999996"/>
    <n v="50386.55462184874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Menaje de Cocina"/>
    <x v="2"/>
    <x v="17"/>
    <x v="43"/>
    <n v="1635956574926"/>
    <x v="442"/>
    <x v="289"/>
    <x v="0"/>
    <x v="3"/>
    <n v="1"/>
    <x v="257"/>
    <n v="458"/>
    <m/>
    <n v="0"/>
    <n v="25101.434778918509"/>
    <n v="11496457.128744677"/>
    <n v="24.95"/>
    <n v="27257.874999999996"/>
    <n v="63016.806722689078"/>
    <n v="50411.764705882357"/>
    <s v="Ningbo"/>
    <x v="2"/>
    <n v="45"/>
    <n v="600"/>
    <n v="152"/>
    <n v="0.52668061419552159"/>
    <n v="84"/>
    <n v="0.56577971246185121"/>
    <n v="82"/>
    <n v="0.55133730644332402"/>
    <n v="66"/>
    <n v="0.56110146369103042"/>
    <n v="78"/>
    <n v="0.5378628735646519"/>
    <n v="395"/>
    <n v="0.56890285707853061"/>
    <n v="218"/>
    <n v="0.5584280717526876"/>
    <n v="95"/>
    <n v="0.56275700297873721"/>
    <n v="25"/>
    <n v="0.63862398524769615"/>
    <n v="19"/>
    <n v="0.61933127184597847"/>
    <n v="68"/>
    <n v="0.59918240990741034"/>
    <n v="56"/>
    <n v="0.61019933764168777"/>
    <n v="57"/>
    <n v="0.52465312086527183"/>
    <n v="63"/>
    <n v="0.55790975453868508"/>
    <n v="122"/>
    <n v="0.54441208949325703"/>
    <n v="96"/>
    <n v="0.56114179348091631"/>
    <n v="1.0666666666666667"/>
    <n v="82"/>
    <n v="0.54773842162931907"/>
    <n v="1.1714285714285715"/>
    <n v="211"/>
    <n v="0.56570712249216493"/>
    <n v="1.0549999999999999"/>
    <n v="20"/>
    <n v="0.55990119583589282"/>
    <n v="0.23529411764705882"/>
    <n v="120"/>
    <n v="492"/>
    <n v="60"/>
    <n v="600"/>
    <n v="400"/>
    <n v="0"/>
    <n v="6940546.7163709681"/>
    <n v="12705038.999999998"/>
    <n v="1506086.0867351105"/>
    <n v="0"/>
    <n v="458"/>
    <n v="11496457.128744677"/>
    <n v="3177317.9860179368"/>
    <n v="80"/>
    <n v="905"/>
    <n v="94.5"/>
    <n v="0"/>
    <n v="0"/>
    <n v="0"/>
    <n v="7844198.3684120346"/>
    <n v="23370041.249999996"/>
    <n v="2372085.5866077989"/>
    <n v="0"/>
    <n v="458"/>
    <n v="11496457.128744677"/>
    <n v="5004275.8279782506"/>
    <n v="130"/>
    <n v="836"/>
    <n v="122"/>
    <n v="0"/>
    <n v="0"/>
    <n v="7279740.2818042347"/>
    <n v="20984799.475175872"/>
    <n v="3062375.043028058"/>
    <n v="0"/>
    <n v="458"/>
    <n v="11496457.128744677"/>
    <n v="7688050.4201680673"/>
    <n v="90"/>
    <n v="689"/>
    <n v="96"/>
    <n v="0"/>
    <n v="0"/>
    <n v="17792219.249999996"/>
    <n v="2409737.7387761767"/>
    <x v="0"/>
    <x v="0"/>
    <n v="458"/>
    <n v="11496457.128744677"/>
    <n v="6049613.4453781517"/>
    <n v="70"/>
    <n v="540"/>
    <n v="70"/>
    <n v="0"/>
    <n v="0"/>
    <n v="0"/>
    <n v="13554774.780615995"/>
    <n v="1807627.4999999998"/>
    <x v="0"/>
    <n v="0"/>
    <n v="458"/>
    <n v="11496457.128744677"/>
    <n v="4411176.4705882352"/>
    <n v="200"/>
    <n v="669"/>
    <n v="211"/>
    <m/>
    <n v="0"/>
    <n v="0"/>
    <n v="16792859.867096484"/>
    <n v="5448705.7499999991"/>
    <n v="0"/>
    <n v="0"/>
    <n v="669"/>
    <n v="11496457.128744677"/>
    <n v="13296546.218487395"/>
    <n v="85"/>
    <n v="478"/>
    <n v="85"/>
    <n v="0"/>
    <n v="142"/>
    <n v="0"/>
    <n v="11998485.824323047"/>
    <n v="2194976.2499999995"/>
    <n v="0"/>
    <n v="0"/>
    <n v="478"/>
    <n v="11496457.128744677"/>
    <n v="5356428.5714285718"/>
    <n v="85"/>
    <n v="393"/>
    <n v="85"/>
    <n v="0"/>
    <n v="0"/>
    <n v="0"/>
    <n v="9864863.8681149743"/>
    <n v="2194976.2499999995"/>
    <n v="0"/>
    <n v="0"/>
    <n v="393"/>
    <n v="9864863.8681149743"/>
    <n v="5356428.5714285718"/>
    <n v="55"/>
    <n v="308"/>
    <n v="55"/>
    <n v="0"/>
    <n v="0"/>
    <m/>
    <n v="7953560.9999999991"/>
    <n v="1420278.7499999998"/>
    <n v="0"/>
    <n v="0"/>
    <n v="308"/>
    <n v="7953560.9999999991"/>
    <n v="3465924.3697478995"/>
    <n v="100"/>
    <n v="253"/>
    <n v="100"/>
    <n v="0"/>
    <n v="0"/>
    <n v="0"/>
    <m/>
    <n v="6533282.2499999991"/>
    <n v="2582324.9999999995"/>
    <n v="0"/>
    <n v="0"/>
    <n v="253"/>
    <n v="6533282.2499999991"/>
    <n v="5041176.4705882361"/>
    <n v="80"/>
    <n v="153"/>
    <n v="80"/>
    <n v="0"/>
    <n v="0"/>
    <n v="3950957.2499999995"/>
    <n v="2065859.9999999998"/>
    <n v="0"/>
    <n v="0"/>
    <n v="153"/>
    <n v="3950957.2499999995"/>
    <n v="4234588.2352941176"/>
    <n v="100"/>
    <n v="73"/>
    <n v="100"/>
    <n v="600"/>
    <n v="300"/>
    <n v="1885097.2499999998"/>
    <n v="2582324.9999999995"/>
    <n v="7746974.9999999991"/>
    <n v="373"/>
    <n v="9632072.2499999981"/>
    <n v="6301680.6722689075"/>
    <n v="48"/>
    <n v="273"/>
    <n v="48"/>
    <n v="0"/>
    <n v="300"/>
    <n v="7049747.2499999991"/>
    <n v="1204868.8693880884"/>
    <n v="7746974.9999999991"/>
    <n v="573"/>
    <n v="14796722.249999998"/>
    <n v="3024806.7226890759"/>
  </r>
  <r>
    <s v="Simplit-Menaje de Cocina"/>
    <x v="2"/>
    <x v="17"/>
    <x v="43"/>
    <n v="1634845754276"/>
    <x v="443"/>
    <x v="290"/>
    <x v="0"/>
    <x v="6"/>
    <n v="1"/>
    <x v="12"/>
    <n v="131"/>
    <m/>
    <n v="0"/>
    <n v="44152.295918367337"/>
    <n v="5783950.7653061207"/>
    <n v="41"/>
    <n v="44792.5"/>
    <n v="71420.168067226899"/>
    <n v="63016.806722689078"/>
    <s v="Ningbo"/>
    <x v="2"/>
    <n v="45"/>
    <n v="600"/>
    <n v="83"/>
    <n v="0.50342097736937885"/>
    <n v="69"/>
    <n v="0.33305679002865746"/>
    <n v="142"/>
    <n v="0.44934188308088313"/>
    <n v="70"/>
    <n v="0.47441019668154044"/>
    <n v="228"/>
    <n v="0.36677778376518416"/>
    <n v="106"/>
    <n v="0.46047057446075335"/>
    <n v="65"/>
    <n v="0.47714547005284008"/>
    <n v="54"/>
    <n v="0.47900776531754868"/>
    <n v="53"/>
    <n v="0.49658625410559337"/>
    <n v="122"/>
    <n v="0.42632702570824771"/>
    <n v="108"/>
    <n v="0.36106833535965033"/>
    <n v="62"/>
    <n v="0.40498320144039196"/>
    <n v="70"/>
    <n v="0.47553969154483505"/>
    <n v="59"/>
    <n v="0.47011807400305711"/>
    <n v="99"/>
    <n v="0.35281785325463849"/>
    <n v="79"/>
    <n v="0.47441019728515171"/>
    <n v="1.1285714285714286"/>
    <n v="86"/>
    <n v="0.36677779737909455"/>
    <n v="1.075"/>
    <n v="184"/>
    <n v="0.46047033289816308"/>
    <n v="1.9368421052631579"/>
    <n v="23"/>
    <n v="0.47714547520127715"/>
    <n v="0.38333333333333336"/>
    <n v="60"/>
    <n v="404"/>
    <n v="80"/>
    <n v="0"/>
    <n v="0"/>
    <n v="0"/>
    <n v="11810739.158163263"/>
    <n v="17143740"/>
    <n v="3532183.673469387"/>
    <n v="0"/>
    <n v="131"/>
    <n v="5783950.7653061207"/>
    <n v="4801355.8364522289"/>
    <n v="70"/>
    <n v="329"/>
    <n v="88.5"/>
    <n v="0"/>
    <n v="0"/>
    <n v="0"/>
    <n v="11766586.862244895"/>
    <n v="13961115"/>
    <n v="3907478.1887755096"/>
    <n v="0"/>
    <n v="131"/>
    <n v="5783950.7653061207"/>
    <n v="5311499.8940752782"/>
    <n v="100"/>
    <n v="230"/>
    <n v="99"/>
    <n v="0"/>
    <n v="0"/>
    <n v="11253908.673469385"/>
    <n v="10155028.061224487"/>
    <n v="4371077.2959183659"/>
    <n v="0"/>
    <n v="131"/>
    <n v="5783950.7653061207"/>
    <n v="7070596.6386554632"/>
    <n v="70"/>
    <n v="153"/>
    <n v="79"/>
    <n v="0"/>
    <n v="0"/>
    <n v="6492555"/>
    <n v="3488031.3775510197"/>
    <x v="0"/>
    <x v="0"/>
    <n v="131"/>
    <n v="5783950.7653061207"/>
    <n v="5642193.2773109246"/>
    <n v="80"/>
    <n v="217"/>
    <n v="80"/>
    <m/>
    <n v="0"/>
    <n v="0"/>
    <n v="9581048.2142857127"/>
    <n v="3394800"/>
    <x v="0"/>
    <n v="0"/>
    <n v="131"/>
    <n v="5783950.7653061207"/>
    <n v="5713613.4453781517"/>
    <n v="95"/>
    <n v="315"/>
    <n v="184"/>
    <m/>
    <n v="272"/>
    <n v="0"/>
    <n v="13907973.214285711"/>
    <n v="7808040"/>
    <n v="0"/>
    <n v="0"/>
    <n v="315"/>
    <n v="5783950.7653061207"/>
    <n v="13141310.924369749"/>
    <n v="60"/>
    <n v="154"/>
    <n v="60"/>
    <n v="0"/>
    <n v="0"/>
    <n v="0"/>
    <n v="6799453.57142857"/>
    <n v="2546100"/>
    <n v="0"/>
    <n v="0"/>
    <n v="154"/>
    <n v="5783950.7653061207"/>
    <n v="4285210.084033614"/>
    <n v="50"/>
    <n v="94"/>
    <n v="50"/>
    <n v="0"/>
    <n v="0"/>
    <n v="0"/>
    <n v="4150315.8163265297"/>
    <n v="2121750"/>
    <n v="0"/>
    <n v="0"/>
    <n v="94"/>
    <n v="4150315.8163265297"/>
    <n v="3571008.4033613452"/>
    <n v="31"/>
    <n v="44"/>
    <n v="31"/>
    <n v="0"/>
    <n v="0"/>
    <m/>
    <n v="1867140"/>
    <n v="1315485"/>
    <n v="0"/>
    <n v="0"/>
    <n v="44"/>
    <n v="1867140"/>
    <n v="2214025.2100840337"/>
    <n v="0"/>
    <n v="13"/>
    <n v="0"/>
    <n v="0"/>
    <n v="0"/>
    <n v="0"/>
    <m/>
    <n v="551655"/>
    <n v="0"/>
    <n v="0"/>
    <n v="0"/>
    <n v="13"/>
    <n v="551655"/>
    <n v="0"/>
    <n v="0"/>
    <n v="13"/>
    <n v="0"/>
    <n v="0"/>
    <n v="0"/>
    <n v="551655"/>
    <n v="0"/>
    <n v="0"/>
    <n v="0"/>
    <n v="13"/>
    <n v="551655"/>
    <n v="0"/>
    <n v="0"/>
    <n v="13"/>
    <n v="0"/>
    <n v="0"/>
    <n v="0"/>
    <n v="551655"/>
    <n v="0"/>
    <n v="0"/>
    <n v="13"/>
    <n v="551655"/>
    <n v="0"/>
    <n v="0"/>
    <n v="13"/>
    <n v="0"/>
    <n v="0"/>
    <m/>
    <n v="551655"/>
    <n v="0"/>
    <n v="0"/>
    <n v="13"/>
    <n v="551655"/>
    <n v="0"/>
  </r>
  <r>
    <s v="Simplit-Menaje de Cocina"/>
    <x v="2"/>
    <x v="17"/>
    <x v="43"/>
    <s v="SIMBATORG-BK"/>
    <x v="444"/>
    <x v="291"/>
    <x v="0"/>
    <x v="6"/>
    <n v="1"/>
    <x v="12"/>
    <n v="93"/>
    <m/>
    <n v="0"/>
    <n v="17822"/>
    <n v="1657446"/>
    <n v="15.98"/>
    <n v="17458.149999999998"/>
    <n v="36126.050420168067"/>
    <n v="33605.042016806721"/>
    <s v="Ningbo"/>
    <x v="2"/>
    <n v="45"/>
    <n v="600"/>
    <n v="32"/>
    <n v="0.64108639632294062"/>
    <n v="26"/>
    <n v="0.62810982869066201"/>
    <n v="8"/>
    <n v="0.57931531120845436"/>
    <n v="123"/>
    <n v="0.6537153906684543"/>
    <n v="22"/>
    <n v="0.6519971613330442"/>
    <n v="230"/>
    <n v="0.60789786973859383"/>
    <n v="54"/>
    <n v="0.52809377012717773"/>
    <n v="54"/>
    <n v="0.52535806172012323"/>
    <n v="46"/>
    <n v="0.5105301892292915"/>
    <n v="67"/>
    <n v="0.44181707898392131"/>
    <n v="40"/>
    <n v="0.49536910644471055"/>
    <n v="38"/>
    <n v="0.50862497034905552"/>
    <n v="61"/>
    <s v=""/>
    <n v="71"/>
    <s v=""/>
    <n v="87"/>
    <s v=""/>
    <n v="68"/>
    <s v=""/>
    <n v="1.1333333333333333"/>
    <n v="65"/>
    <s v=""/>
    <n v="1.3"/>
    <n v="103"/>
    <s v=""/>
    <n v="0.68666666666666665"/>
    <n v="14"/>
    <s v=""/>
    <n v="0.28000000000000003"/>
    <n v="35"/>
    <n v="363"/>
    <n v="60"/>
    <m/>
    <n v="200"/>
    <n v="0"/>
    <n v="4517877"/>
    <n v="6003765.8999999994"/>
    <n v="1069320"/>
    <n v="0"/>
    <n v="93"/>
    <n v="1657446"/>
    <n v="1821481.5337899867"/>
    <n v="50"/>
    <n v="507"/>
    <n v="106.5"/>
    <n v="0"/>
    <n v="0"/>
    <n v="0"/>
    <n v="4660453"/>
    <n v="8385425.0999999996"/>
    <n v="1898043"/>
    <n v="0"/>
    <n v="93"/>
    <n v="1657446"/>
    <n v="3233129.7224772265"/>
    <n v="70"/>
    <n v="180"/>
    <n v="87"/>
    <n v="0"/>
    <n v="0"/>
    <n v="3589375"/>
    <n v="3207960"/>
    <n v="1550514"/>
    <n v="0"/>
    <n v="93"/>
    <n v="1657446"/>
    <n v="3142966.3865546216"/>
    <n v="60"/>
    <n v="354"/>
    <n v="68"/>
    <n v="0"/>
    <n v="0"/>
    <n v="5854912.2000000002"/>
    <n v="1211896"/>
    <x v="0"/>
    <x v="0"/>
    <n v="93"/>
    <n v="1657446"/>
    <n v="2456571.4285714286"/>
    <n v="50"/>
    <n v="158"/>
    <n v="50"/>
    <m/>
    <n v="0"/>
    <n v="0"/>
    <n v="2815876"/>
    <n v="826965"/>
    <x v="0"/>
    <n v="0"/>
    <n v="93"/>
    <n v="1657446"/>
    <n v="1806302.5210084033"/>
    <n v="150"/>
    <n v="196"/>
    <n v="103"/>
    <m/>
    <n v="0"/>
    <n v="0"/>
    <n v="3493112"/>
    <n v="1703547.9"/>
    <n v="0"/>
    <n v="0"/>
    <n v="196"/>
    <n v="1657446"/>
    <n v="3720983.193277311"/>
    <n v="50"/>
    <n v="107"/>
    <n v="50"/>
    <n v="0"/>
    <n v="0"/>
    <n v="0"/>
    <n v="1906954"/>
    <n v="826965"/>
    <n v="0"/>
    <n v="0"/>
    <n v="107"/>
    <n v="1657446"/>
    <n v="1806302.5210084033"/>
    <n v="42"/>
    <n v="57"/>
    <n v="42"/>
    <n v="0"/>
    <n v="0"/>
    <n v="0"/>
    <n v="1015854"/>
    <n v="694650.6"/>
    <n v="0"/>
    <n v="0"/>
    <n v="57"/>
    <n v="1015854"/>
    <n v="1517294.1176470588"/>
    <n v="0"/>
    <n v="15"/>
    <n v="0"/>
    <n v="0"/>
    <n v="0"/>
    <m/>
    <n v="248089.5"/>
    <n v="0"/>
    <n v="0"/>
    <n v="0"/>
    <n v="15"/>
    <n v="248089.5"/>
    <n v="0"/>
    <n v="0"/>
    <n v="15"/>
    <n v="0"/>
    <n v="0"/>
    <n v="0"/>
    <n v="0"/>
    <m/>
    <n v="248089.5"/>
    <n v="0"/>
    <n v="0"/>
    <n v="0"/>
    <n v="15"/>
    <n v="248089.5"/>
    <n v="0"/>
    <n v="0"/>
    <n v="15"/>
    <n v="0"/>
    <n v="0"/>
    <n v="0"/>
    <n v="248089.5"/>
    <n v="0"/>
    <n v="0"/>
    <n v="0"/>
    <n v="15"/>
    <n v="248089.5"/>
    <n v="0"/>
    <n v="0"/>
    <n v="15"/>
    <n v="0"/>
    <n v="0"/>
    <n v="0"/>
    <n v="248089.5"/>
    <n v="0"/>
    <n v="0"/>
    <n v="15"/>
    <n v="248089.5"/>
    <n v="0"/>
    <n v="0"/>
    <n v="15"/>
    <n v="0"/>
    <n v="0"/>
    <m/>
    <n v="248089.5"/>
    <n v="0"/>
    <n v="0"/>
    <n v="15"/>
    <n v="248089.5"/>
    <n v="0"/>
  </r>
  <r>
    <s v="Simplit-Menaje de Cocina"/>
    <x v="2"/>
    <x v="17"/>
    <x v="43"/>
    <s v="SMBATCOPBK"/>
    <x v="445"/>
    <x v="292"/>
    <x v="0"/>
    <x v="3"/>
    <n v="1.2"/>
    <x v="258"/>
    <n v="524"/>
    <n v="300"/>
    <n v="7011000"/>
    <n v="24322"/>
    <n v="12744728"/>
    <n v="24.6"/>
    <n v="26875.499999999996"/>
    <n v="63016.806722689078"/>
    <n v="50411.764705882357"/>
    <s v="Ningbo"/>
    <x v="2"/>
    <n v="45"/>
    <n v="600"/>
    <n v="86"/>
    <n v="0.55451856258252374"/>
    <n v="83"/>
    <n v="0.63014586992215127"/>
    <n v="109"/>
    <n v="0.57326121501797156"/>
    <n v="118"/>
    <n v="0.52097068348308695"/>
    <n v="57"/>
    <n v="0.5573227267660773"/>
    <n v="116"/>
    <n v="0.50020470663051042"/>
    <n v="33"/>
    <n v="0.54144134644298525"/>
    <n v="53"/>
    <n v="0.5391298920765627"/>
    <n v="55"/>
    <n v="0.59617551350505282"/>
    <n v="329"/>
    <n v="0.58231420922032417"/>
    <n v="53"/>
    <n v="0.62440212026991015"/>
    <n v="26"/>
    <n v="0.59581105930384881"/>
    <n v="37"/>
    <s v=""/>
    <n v="41"/>
    <s v=""/>
    <n v="85"/>
    <s v=""/>
    <n v="44"/>
    <s v=""/>
    <n v="0.88"/>
    <n v="59"/>
    <s v=""/>
    <n v="1.18"/>
    <n v="165"/>
    <s v=""/>
    <n v="1.375"/>
    <n v="24"/>
    <s v=""/>
    <n v="0.34285714285714286"/>
    <n v="90"/>
    <n v="342"/>
    <n v="50"/>
    <n v="0"/>
    <n v="0"/>
    <n v="0"/>
    <n v="4779273"/>
    <n v="8707661.9999999981"/>
    <n v="1216100"/>
    <n v="0"/>
    <n v="524"/>
    <n v="12744728"/>
    <n v="2647764.9883482805"/>
    <n v="70"/>
    <n v="632"/>
    <n v="61.5"/>
    <n v="0"/>
    <n v="150"/>
    <n v="0"/>
    <n v="4633341"/>
    <n v="16091351.999999998"/>
    <n v="1495803"/>
    <n v="0"/>
    <n v="524"/>
    <n v="12744728"/>
    <n v="3256750.9356683851"/>
    <n v="120"/>
    <n v="543"/>
    <n v="85"/>
    <n v="0"/>
    <n v="0"/>
    <n v="4665198"/>
    <n v="13206846"/>
    <n v="2067370"/>
    <n v="0"/>
    <n v="524"/>
    <n v="12744728"/>
    <n v="5356428.5714285718"/>
    <n v="50"/>
    <n v="476"/>
    <n v="44"/>
    <n v="0"/>
    <n v="0"/>
    <n v="12119435.999999998"/>
    <n v="1070168"/>
    <x v="0"/>
    <x v="0"/>
    <n v="524"/>
    <n v="12744728"/>
    <n v="2772739.4957983196"/>
    <n v="50"/>
    <n v="583"/>
    <n v="60"/>
    <n v="600"/>
    <n v="0"/>
    <n v="0"/>
    <n v="14179726"/>
    <n v="1527659.9999999998"/>
    <x v="18"/>
    <n v="0"/>
    <n v="524"/>
    <n v="12744728"/>
    <n v="3781008.4033613447"/>
    <n v="120"/>
    <n v="689"/>
    <n v="165"/>
    <m/>
    <n v="300"/>
    <n v="0"/>
    <n v="16757858"/>
    <n v="4201064.9999999991"/>
    <n v="0"/>
    <n v="0"/>
    <n v="689"/>
    <n v="12744728"/>
    <n v="10397773.109243698"/>
    <n v="70"/>
    <n v="548"/>
    <n v="84"/>
    <n v="0"/>
    <n v="0"/>
    <n v="0"/>
    <n v="13328456"/>
    <n v="2138723.9999999995"/>
    <n v="0"/>
    <n v="0"/>
    <n v="548"/>
    <n v="12744728"/>
    <n v="5293411.7647058824"/>
    <n v="70"/>
    <n v="464"/>
    <n v="84"/>
    <n v="0"/>
    <n v="0"/>
    <n v="0"/>
    <n v="11285408"/>
    <n v="2138723.9999999995"/>
    <n v="0"/>
    <n v="0"/>
    <n v="464"/>
    <n v="11285408"/>
    <n v="5293411.7647058824"/>
    <n v="60"/>
    <n v="380"/>
    <n v="72"/>
    <n v="0"/>
    <n v="0"/>
    <m/>
    <n v="9675179.9999999981"/>
    <n v="1833191.9999999998"/>
    <n v="0"/>
    <n v="0"/>
    <n v="380"/>
    <n v="9675179.9999999981"/>
    <n v="4537210.084033614"/>
    <n v="120"/>
    <n v="308"/>
    <n v="144"/>
    <n v="0"/>
    <n v="0"/>
    <n v="0"/>
    <m/>
    <n v="7841987.9999999991"/>
    <n v="3666383.9999999995"/>
    <n v="0"/>
    <n v="0"/>
    <n v="308"/>
    <n v="7841987.9999999991"/>
    <n v="7259294.1176470593"/>
    <n v="65"/>
    <n v="164"/>
    <n v="78"/>
    <n v="0"/>
    <n v="300"/>
    <n v="4175603.9999999995"/>
    <n v="1985957.9999999998"/>
    <n v="0"/>
    <n v="6110640"/>
    <n v="464"/>
    <n v="10286244"/>
    <n v="4128723.5294117648"/>
    <n v="80"/>
    <n v="386"/>
    <n v="96"/>
    <n v="0"/>
    <n v="0"/>
    <n v="9827945.9999999981"/>
    <n v="2444255.9999999995"/>
    <n v="0"/>
    <n v="386"/>
    <n v="9827945.9999999981"/>
    <n v="6049613.4453781517"/>
    <n v="39"/>
    <n v="290"/>
    <n v="46.8"/>
    <n v="0"/>
    <m/>
    <n v="7383689.9999999991"/>
    <n v="1138269.5999999999"/>
    <n v="0"/>
    <n v="290"/>
    <n v="7383689.9999999991"/>
    <n v="2949186.5546218487"/>
  </r>
  <r>
    <s v="Simplit-Menaje de Cocina"/>
    <x v="2"/>
    <x v="17"/>
    <x v="43"/>
    <s v="SMBATSAV9-CR"/>
    <x v="446"/>
    <x v="293"/>
    <x v="0"/>
    <x v="3"/>
    <n v="1"/>
    <x v="259"/>
    <n v="302"/>
    <m/>
    <n v="0"/>
    <n v="30907"/>
    <n v="9333914"/>
    <n v="32.4"/>
    <n v="35287.749999999993"/>
    <n v="84025.210084033621"/>
    <n v="67218.487394957992"/>
    <s v="Ningbo"/>
    <x v="2"/>
    <n v="45"/>
    <n v="600"/>
    <n v="85"/>
    <n v="0.62054771744445025"/>
    <n v="91"/>
    <n v="0.64318437044755161"/>
    <n v="94"/>
    <n v="0.63877812236286735"/>
    <n v="30"/>
    <n v="0.61635180907403908"/>
    <n v="77"/>
    <n v="0.64658990980724929"/>
    <n v="494"/>
    <n v="0.55952009961966831"/>
    <n v="237"/>
    <n v="0.55887843458987885"/>
    <n v="186"/>
    <n v="0.5729914035939232"/>
    <n v="117"/>
    <n v="0.59284785111536387"/>
    <n v="281"/>
    <n v="0.52080991623573136"/>
    <n v="135"/>
    <n v="0.58295427720401716"/>
    <n v="146"/>
    <n v="0.56706074937646667"/>
    <n v="123"/>
    <s v=""/>
    <n v="130"/>
    <s v=""/>
    <n v="211"/>
    <s v=""/>
    <n v="129"/>
    <s v=""/>
    <n v="0.64500000000000002"/>
    <n v="257"/>
    <s v=""/>
    <n v="1.028"/>
    <n v="408"/>
    <s v=""/>
    <n v="1.02"/>
    <n v="32"/>
    <s v=""/>
    <n v="0.18823529411764706"/>
    <n v="150"/>
    <n v="324"/>
    <n v="120"/>
    <n v="600"/>
    <n v="600"/>
    <n v="0"/>
    <n v="16257082"/>
    <n v="10865016"/>
    <n v="3708840"/>
    <n v="0"/>
    <n v="302"/>
    <n v="9333914"/>
    <n v="8473130.4286420457"/>
    <n v="120"/>
    <n v="819"/>
    <n v="195"/>
    <n v="600"/>
    <n v="0"/>
    <n v="0"/>
    <n v="16535245"/>
    <n v="27464346"/>
    <n v="6026865"/>
    <n v="0"/>
    <n v="302"/>
    <n v="9333914"/>
    <n v="13768836.946543325"/>
    <n v="200"/>
    <n v="674"/>
    <n v="211"/>
    <n v="0"/>
    <n v="0"/>
    <n v="18891880"/>
    <n v="20831318"/>
    <n v="6521377"/>
    <n v="0"/>
    <n v="302"/>
    <n v="9333914"/>
    <n v="17729319.327731095"/>
    <n v="200"/>
    <n v="1055"/>
    <n v="129"/>
    <n v="0"/>
    <n v="0"/>
    <n v="35378370"/>
    <n v="3987003"/>
    <x v="0"/>
    <x v="0"/>
    <n v="302"/>
    <n v="9333914"/>
    <n v="10839252.100840338"/>
    <n v="250"/>
    <n v="559"/>
    <n v="250"/>
    <n v="0"/>
    <n v="0"/>
    <n v="0"/>
    <n v="17277013"/>
    <n v="8383500"/>
    <x v="0"/>
    <n v="0"/>
    <n v="302"/>
    <n v="9333914"/>
    <n v="21006302.521008406"/>
    <n v="400"/>
    <n v="710"/>
    <n v="408"/>
    <m/>
    <n v="0"/>
    <n v="0"/>
    <n v="21943970"/>
    <n v="13681872"/>
    <n v="0"/>
    <n v="0"/>
    <n v="710"/>
    <n v="9333914"/>
    <n v="34282285.714285716"/>
    <n v="170"/>
    <n v="334"/>
    <n v="170"/>
    <n v="0"/>
    <n v="0"/>
    <n v="0"/>
    <n v="10322938"/>
    <n v="5700780"/>
    <n v="0"/>
    <n v="0"/>
    <n v="334"/>
    <n v="9333914"/>
    <n v="14284285.714285716"/>
    <n v="200"/>
    <n v="164"/>
    <n v="200"/>
    <n v="600"/>
    <n v="440"/>
    <n v="0"/>
    <n v="5068748"/>
    <n v="6706800"/>
    <n v="20120400"/>
    <n v="0"/>
    <n v="604"/>
    <n v="25189148"/>
    <n v="16805042.016806725"/>
    <n v="120"/>
    <n v="0"/>
    <n v="120"/>
    <n v="0"/>
    <n v="0"/>
    <n v="540"/>
    <n v="0"/>
    <n v="4024080"/>
    <n v="0"/>
    <n v="18108360"/>
    <n v="540"/>
    <n v="18108360"/>
    <n v="10083025.210084034"/>
    <n v="250"/>
    <n v="480"/>
    <n v="250"/>
    <n v="0"/>
    <n v="0"/>
    <n v="0"/>
    <n v="60"/>
    <n v="16096320"/>
    <n v="8383500"/>
    <n v="0"/>
    <n v="2012040"/>
    <n v="480"/>
    <n v="18108360"/>
    <n v="16804621.848739497"/>
    <n v="150"/>
    <n v="230"/>
    <n v="150"/>
    <n v="600"/>
    <n v="300"/>
    <n v="7712820"/>
    <n v="5030100"/>
    <n v="20120400"/>
    <n v="10060200"/>
    <n v="530"/>
    <n v="17773020"/>
    <n v="10586911.764705883"/>
    <n v="150"/>
    <n v="380"/>
    <n v="150"/>
    <n v="0"/>
    <m/>
    <n v="12742920"/>
    <n v="5030100"/>
    <n v="0"/>
    <n v="380"/>
    <n v="12742920"/>
    <n v="12603781.512605043"/>
    <n v="90"/>
    <n v="230"/>
    <n v="90"/>
    <n v="0"/>
    <n v="300"/>
    <n v="7712820"/>
    <n v="2781630"/>
    <n v="10060200"/>
    <n v="530"/>
    <n v="17773020"/>
    <n v="7562268.9075630261"/>
  </r>
  <r>
    <s v="Simplit-Menaje de Cocina"/>
    <x v="2"/>
    <x v="17"/>
    <x v="43"/>
    <s v="SIMBATOTOUL"/>
    <x v="447"/>
    <x v="294"/>
    <x v="0"/>
    <x v="6"/>
    <n v="1"/>
    <x v="12"/>
    <n v="6"/>
    <m/>
    <n v="0"/>
    <n v="55088"/>
    <n v="330528"/>
    <n v="46.1"/>
    <n v="50364.249999999993"/>
    <n v="100831.93277310925"/>
    <n v="75621.848739495807"/>
    <s v="Ningbo"/>
    <x v="2"/>
    <n v="45"/>
    <n v="600"/>
    <n v="20"/>
    <n v="0.45738655815636831"/>
    <n v="15"/>
    <n v="0.52436968375547244"/>
    <n v="20"/>
    <n v="0.47880695256333605"/>
    <n v="15"/>
    <n v="0.40603514427749959"/>
    <n v="17"/>
    <n v="0.42479186837214966"/>
    <n v="70"/>
    <n v="0.2975717856360523"/>
    <n v="26"/>
    <n v="0.3361202592047749"/>
    <n v="54"/>
    <n v="0.2817806237253806"/>
    <n v="57"/>
    <n v="0.23125840119763313"/>
    <n v="264"/>
    <n v="-0.18692180513706888"/>
    <n v="17"/>
    <n v="0.45369586392103994"/>
    <n v="6"/>
    <n v="0.39286058718983785"/>
    <n v="1"/>
    <s v=""/>
    <n v="1"/>
    <s v=""/>
    <n v="2"/>
    <s v=""/>
    <n v="2"/>
    <s v=""/>
    <n v="0"/>
    <n v="2"/>
    <s v=""/>
    <n v="0"/>
    <n v="0"/>
    <s v=""/>
    <n v="0"/>
    <n v="0"/>
    <s v=""/>
    <n v="0"/>
    <n v="0"/>
    <n v="4"/>
    <n v="0"/>
    <n v="0"/>
    <n v="0"/>
    <n v="0"/>
    <n v="192808"/>
    <n v="190853.99999999997"/>
    <n v="0"/>
    <n v="0"/>
    <n v="6"/>
    <n v="330528"/>
    <n v="0"/>
    <n v="0"/>
    <n v="6"/>
    <n v="1.5"/>
    <n v="0"/>
    <n v="0"/>
    <n v="0"/>
    <n v="302984"/>
    <n v="286280.99999999994"/>
    <n v="82632"/>
    <n v="0"/>
    <n v="6"/>
    <n v="330528"/>
    <n v="127099.0749240873"/>
    <n v="0"/>
    <n v="8"/>
    <n v="2"/>
    <n v="0"/>
    <n v="0"/>
    <n v="220352"/>
    <n v="440704"/>
    <n v="110176"/>
    <n v="0"/>
    <n v="6"/>
    <n v="330528"/>
    <n v="201663.8655462185"/>
    <n v="0"/>
    <n v="8"/>
    <n v="2"/>
    <n v="0"/>
    <n v="0"/>
    <n v="381707.99999999994"/>
    <n v="110176"/>
    <x v="0"/>
    <x v="0"/>
    <n v="6"/>
    <n v="330528"/>
    <n v="201663.8655462185"/>
    <n v="0"/>
    <n v="8"/>
    <n v="0"/>
    <m/>
    <m/>
    <n v="0"/>
    <n v="440704"/>
    <n v="0"/>
    <x v="0"/>
    <n v="0"/>
    <n v="6"/>
    <n v="330528"/>
    <n v="0"/>
    <n v="0"/>
    <n v="6"/>
    <n v="0"/>
    <m/>
    <n v="0"/>
    <n v="0"/>
    <n v="330528"/>
    <n v="0"/>
    <n v="0"/>
    <n v="0"/>
    <n v="6"/>
    <n v="330528"/>
    <n v="0"/>
    <n v="6"/>
    <n v="6"/>
    <n v="6"/>
    <n v="0"/>
    <n v="0"/>
    <n v="0"/>
    <n v="330528"/>
    <n v="286280.99999999994"/>
    <n v="0"/>
    <n v="0"/>
    <n v="6"/>
    <n v="330528"/>
    <n v="604991.596638655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2"/>
    <x v="17"/>
    <x v="43"/>
    <s v="SMBATOXBK"/>
    <x v="448"/>
    <x v="295"/>
    <x v="0"/>
    <x v="3"/>
    <n v="1"/>
    <x v="260"/>
    <n v="135"/>
    <m/>
    <n v="0"/>
    <n v="25730"/>
    <n v="3473550"/>
    <n v="29.88"/>
    <n v="31136.249999999996"/>
    <n v="75621.848739495807"/>
    <n v="67218.487394957992"/>
    <s v="Ningbo"/>
    <x v="2"/>
    <n v="45"/>
    <n v="600"/>
    <n v="0"/>
    <s v=""/>
    <n v="0"/>
    <s v=""/>
    <n v="0"/>
    <s v=""/>
    <n v="0"/>
    <s v=""/>
    <n v="0"/>
    <s v=""/>
    <n v="0"/>
    <s v=""/>
    <n v="53"/>
    <n v="0.52073209466483883"/>
    <n v="166"/>
    <n v="0.52619615311833334"/>
    <n v="181"/>
    <n v="0.52582090747803301"/>
    <n v="194"/>
    <n v="0.39901457118886913"/>
    <n v="-1"/>
    <n v="0.50531033354161081"/>
    <n v="0"/>
    <s v=""/>
    <n v="1"/>
    <s v=""/>
    <n v="44"/>
    <s v=""/>
    <n v="391"/>
    <s v=""/>
    <n v="247"/>
    <s v=""/>
    <n v="1.2350000000000001"/>
    <n v="340"/>
    <s v=""/>
    <n v="1.36"/>
    <n v="611"/>
    <s v=""/>
    <n v="1.222"/>
    <n v="56"/>
    <s v=""/>
    <n v="0.18666666666666668"/>
    <n v="0"/>
    <n v="1"/>
    <n v="0"/>
    <n v="600"/>
    <n v="600"/>
    <n v="0"/>
    <n v="11758610"/>
    <n v="30925.8"/>
    <n v="0"/>
    <n v="0"/>
    <n v="135"/>
    <n v="3473550"/>
    <n v="0"/>
    <n v="150"/>
    <n v="595"/>
    <n v="66"/>
    <n v="600"/>
    <n v="0"/>
    <n v="0"/>
    <n v="18113920"/>
    <n v="18400851"/>
    <n v="1698180"/>
    <n v="0"/>
    <n v="135"/>
    <n v="3473550"/>
    <n v="4194152.9552997677"/>
    <n v="250"/>
    <n v="531"/>
    <n v="391"/>
    <n v="0"/>
    <n v="0"/>
    <n v="24147190"/>
    <n v="13662630"/>
    <n v="10060430"/>
    <n v="0"/>
    <n v="135"/>
    <n v="3473550"/>
    <n v="29568142.857142862"/>
    <n v="200"/>
    <n v="706"/>
    <n v="247"/>
    <n v="0"/>
    <n v="0"/>
    <n v="21833614.800000001"/>
    <n v="6355310"/>
    <x v="0"/>
    <x v="0"/>
    <n v="135"/>
    <n v="3473550"/>
    <n v="18678596.638655465"/>
    <n v="250"/>
    <n v="475"/>
    <n v="250"/>
    <n v="600"/>
    <n v="0"/>
    <n v="0"/>
    <n v="12221750"/>
    <n v="7731450"/>
    <x v="19"/>
    <n v="0"/>
    <n v="135"/>
    <n v="3473550"/>
    <n v="18905462.184873953"/>
    <n v="500"/>
    <n v="746"/>
    <n v="611"/>
    <m/>
    <n v="600"/>
    <n v="0"/>
    <n v="19194580"/>
    <n v="18895663.800000001"/>
    <n v="0"/>
    <n v="0"/>
    <n v="746"/>
    <n v="3473550"/>
    <n v="46204949.579831935"/>
    <n v="300"/>
    <n v="191"/>
    <n v="158"/>
    <n v="0"/>
    <n v="0"/>
    <n v="0"/>
    <n v="4914430"/>
    <n v="4886276.3999999994"/>
    <n v="0"/>
    <n v="0"/>
    <n v="191"/>
    <n v="3473550"/>
    <n v="11948252.100840338"/>
    <n v="300"/>
    <n v="33"/>
    <n v="300"/>
    <n v="600"/>
    <n v="600"/>
    <n v="300"/>
    <n v="849090"/>
    <n v="9277740"/>
    <n v="18555480"/>
    <n v="9277740"/>
    <n v="633"/>
    <n v="19404570"/>
    <n v="22686554.621848743"/>
    <n v="250"/>
    <n v="33"/>
    <n v="250"/>
    <n v="0"/>
    <n v="0"/>
    <n v="300"/>
    <n v="1020551.4"/>
    <n v="7731450"/>
    <n v="0"/>
    <n v="9277740"/>
    <n v="333"/>
    <n v="10298291.4"/>
    <n v="18905462.184873953"/>
    <n v="500"/>
    <n v="83"/>
    <n v="83"/>
    <n v="600"/>
    <n v="600"/>
    <n v="600"/>
    <n v="0"/>
    <n v="2566841.4"/>
    <n v="2566841.4"/>
    <n v="18555480"/>
    <n v="18555480"/>
    <n v="683"/>
    <n v="21122321.399999999"/>
    <n v="5579134.4537815135"/>
    <n v="300"/>
    <n v="600"/>
    <n v="300"/>
    <n v="600"/>
    <n v="600"/>
    <n v="18555480"/>
    <n v="9277740"/>
    <n v="18555480"/>
    <n v="18555480"/>
    <n v="1200"/>
    <n v="37110960"/>
    <n v="21173823.529411767"/>
    <n v="300"/>
    <n v="900"/>
    <n v="300"/>
    <n v="600"/>
    <n v="300"/>
    <n v="27833220"/>
    <n v="9277740"/>
    <n v="9277740"/>
    <n v="1200"/>
    <n v="37110960"/>
    <n v="22686554.621848743"/>
    <n v="180"/>
    <n v="900"/>
    <n v="180"/>
    <n v="0"/>
    <n v="300"/>
    <n v="27833220"/>
    <n v="4631400"/>
    <n v="9277740"/>
    <n v="1200"/>
    <n v="37110960"/>
    <n v="13611932.773109246"/>
  </r>
  <r>
    <m/>
    <x v="2"/>
    <x v="17"/>
    <x v="43"/>
    <s v="SMBATOXBG"/>
    <x v="449"/>
    <x v="296"/>
    <x v="0"/>
    <x v="3"/>
    <n v="1"/>
    <x v="12"/>
    <n v="0"/>
    <m/>
    <n v="0"/>
    <n v="31136.249999999996"/>
    <n v="0"/>
    <n v="29.88"/>
    <n v="31136.249999999996"/>
    <n v="78494.747899159658"/>
    <n v="66720.53571428571"/>
    <s v="Ningbo"/>
    <x v="2"/>
    <n v="45"/>
    <n v="600"/>
    <n v="0"/>
    <s v=""/>
    <n v="0"/>
    <s v=""/>
    <n v="0"/>
    <s v=""/>
    <n v="0"/>
    <s v=""/>
    <n v="0"/>
    <s v=""/>
    <n v="0"/>
    <s v=""/>
    <n v="0"/>
    <n v="0"/>
    <n v="0"/>
    <n v="0"/>
    <n v="0"/>
    <n v="0"/>
    <n v="0"/>
    <n v="0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1"/>
    <n v="0"/>
    <n v="600"/>
    <n v="600"/>
    <n v="0"/>
    <n v="0"/>
    <n v="30925.8"/>
    <n v="0"/>
    <n v="0"/>
    <n v="0"/>
    <n v="0"/>
    <n v="0"/>
    <n v="150"/>
    <n v="595"/>
    <n v="0"/>
    <n v="600"/>
    <n v="0"/>
    <n v="0"/>
    <n v="0"/>
    <n v="18400851"/>
    <n v="0"/>
    <n v="0"/>
    <n v="0"/>
    <n v="0"/>
    <n v="0"/>
    <n v="250"/>
    <n v="531"/>
    <n v="0"/>
    <n v="0"/>
    <n v="0"/>
    <n v="0"/>
    <n v="16533348.749999998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80"/>
    <n v="600"/>
    <n v="600"/>
    <n v="0"/>
    <n v="0"/>
    <n v="2474064"/>
    <n v="18555480"/>
    <n v="0"/>
    <n v="0"/>
    <n v="0"/>
    <n v="6279579.8319327729"/>
    <n v="150"/>
    <n v="600"/>
    <n v="150"/>
    <n v="0"/>
    <n v="0"/>
    <n v="0"/>
    <n v="600"/>
    <n v="18555480"/>
    <n v="4638870"/>
    <n v="0"/>
    <n v="18555480"/>
    <n v="600"/>
    <n v="37110960"/>
    <n v="10008080.357142856"/>
    <n v="150"/>
    <n v="450"/>
    <n v="150"/>
    <n v="0"/>
    <n v="0"/>
    <n v="13916610"/>
    <n v="4638870"/>
    <n v="0"/>
    <n v="0"/>
    <n v="450"/>
    <n v="13916610"/>
    <n v="10508484.375"/>
    <n v="180"/>
    <n v="300"/>
    <n v="180"/>
    <n v="600"/>
    <n v="300"/>
    <n v="9277740"/>
    <n v="5566644"/>
    <n v="9277740"/>
    <n v="600"/>
    <n v="18555480"/>
    <n v="14129054.621848738"/>
    <n v="90"/>
    <n v="420"/>
    <n v="90"/>
    <n v="0"/>
    <n v="300"/>
    <n v="12988836"/>
    <n v="2802262.4999999995"/>
    <n v="9277740"/>
    <n v="720"/>
    <n v="22266576"/>
    <n v="7064527.3109243689"/>
  </r>
  <r>
    <m/>
    <x v="2"/>
    <x v="17"/>
    <x v="43"/>
    <s v="SMBATPMGR"/>
    <x v="450"/>
    <x v="297"/>
    <x v="0"/>
    <x v="2"/>
    <n v="1"/>
    <x v="12"/>
    <n v="487"/>
    <m/>
    <n v="0"/>
    <n v="27313.649999999998"/>
    <n v="13301747.549999999"/>
    <n v="27.3"/>
    <n v="29825.249999999996"/>
    <n v="84025.210084033621"/>
    <n v="58815.126050420171"/>
    <s v="Ningbo"/>
    <x v="2"/>
    <n v="45"/>
    <n v="6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n v="54"/>
    <s v=""/>
    <n v="1.2"/>
    <n v="53"/>
    <s v=""/>
    <n v="0.53"/>
    <n v="21"/>
    <s v=""/>
    <n v="0.35"/>
    <n v="0"/>
    <n v="0"/>
    <n v="0"/>
    <n v="0"/>
    <n v="0"/>
    <n v="0"/>
    <n v="0"/>
    <n v="0"/>
    <n v="0"/>
    <n v="0"/>
    <n v="487"/>
    <n v="13301747.549999999"/>
    <n v="0"/>
    <n v="0"/>
    <n v="0"/>
    <n v="0"/>
    <n v="600"/>
    <n v="0"/>
    <n v="0"/>
    <n v="0"/>
    <n v="0"/>
    <n v="0"/>
    <n v="0"/>
    <n v="487"/>
    <n v="13301747.549999999"/>
    <n v="0"/>
    <n v="25"/>
    <n v="0"/>
    <n v="0"/>
    <n v="0"/>
    <n v="0"/>
    <n v="1271497.4999999998"/>
    <n v="0"/>
    <n v="0"/>
    <n v="0"/>
    <n v="487"/>
    <n v="13301747.549999999"/>
    <n v="0"/>
    <n v="0"/>
    <n v="0"/>
    <n v="0"/>
    <n v="0"/>
    <n v="0"/>
    <n v="0"/>
    <n v="0"/>
    <x v="0"/>
    <x v="0"/>
    <n v="487"/>
    <n v="13301747.549999999"/>
    <n v="0"/>
    <n v="45"/>
    <n v="541"/>
    <n v="45"/>
    <n v="0"/>
    <n v="0"/>
    <n v="0"/>
    <n v="14776684.649999999"/>
    <n v="1271497.4999999998"/>
    <x v="0"/>
    <n v="0"/>
    <n v="487"/>
    <n v="13301747.549999999"/>
    <n v="3781134.453781513"/>
    <n v="100"/>
    <n v="540"/>
    <n v="53"/>
    <m/>
    <n v="0"/>
    <n v="0"/>
    <n v="14749370.999999998"/>
    <n v="1497541.4999999998"/>
    <n v="0"/>
    <n v="0"/>
    <n v="540"/>
    <n v="13301747.549999999"/>
    <n v="4453336.1344537819"/>
    <n v="60"/>
    <n v="508"/>
    <n v="60"/>
    <n v="0"/>
    <n v="0"/>
    <n v="0"/>
    <n v="13875334.199999999"/>
    <n v="1695329.9999999998"/>
    <n v="0"/>
    <n v="0"/>
    <n v="508"/>
    <n v="13301747.549999999"/>
    <n v="5041512.6050420171"/>
    <n v="60"/>
    <n v="448"/>
    <n v="60"/>
    <n v="0"/>
    <n v="0"/>
    <n v="0"/>
    <n v="12236515.199999999"/>
    <n v="1695329.9999999998"/>
    <n v="0"/>
    <n v="0"/>
    <n v="448"/>
    <n v="12236515.199999999"/>
    <n v="5041512.6050420171"/>
    <n v="50"/>
    <n v="388"/>
    <n v="50"/>
    <n v="0"/>
    <n v="0"/>
    <m/>
    <n v="10963133.999999998"/>
    <n v="1412774.9999999998"/>
    <n v="0"/>
    <n v="0"/>
    <n v="388"/>
    <n v="10963133.999999998"/>
    <n v="4201260.5042016814"/>
    <n v="80"/>
    <n v="338"/>
    <n v="80"/>
    <n v="0"/>
    <n v="0"/>
    <n v="0"/>
    <m/>
    <n v="9550358.9999999981"/>
    <n v="2260439.9999999995"/>
    <n v="0"/>
    <n v="0"/>
    <n v="338"/>
    <n v="9550358.9999999981"/>
    <n v="4705210.084033614"/>
    <n v="60"/>
    <n v="258"/>
    <n v="60"/>
    <n v="0"/>
    <n v="0"/>
    <n v="7289918.9999999991"/>
    <n v="1695329.9999999998"/>
    <n v="0"/>
    <n v="0"/>
    <n v="258"/>
    <n v="7289918.9999999991"/>
    <n v="3705352.9411764708"/>
    <n v="70"/>
    <n v="198"/>
    <n v="70"/>
    <n v="0"/>
    <n v="0"/>
    <n v="5594588.9999999991"/>
    <n v="1977884.9999999998"/>
    <n v="0"/>
    <n v="198"/>
    <n v="5594588.9999999991"/>
    <n v="5881764.7058823537"/>
    <n v="36"/>
    <n v="128"/>
    <n v="36"/>
    <n v="0"/>
    <n v="0"/>
    <n v="3616703.9999999995"/>
    <n v="983291.39999999991"/>
    <n v="0"/>
    <n v="128"/>
    <n v="3616703.9999999995"/>
    <n v="3024907.5630252105"/>
  </r>
  <r>
    <m/>
    <x v="2"/>
    <x v="17"/>
    <x v="43"/>
    <s v="SMBATLCGR"/>
    <x v="451"/>
    <x v="298"/>
    <x v="0"/>
    <x v="2"/>
    <n v="1"/>
    <x v="12"/>
    <n v="412"/>
    <m/>
    <n v="0"/>
    <n v="34717.35"/>
    <n v="14303548.199999999"/>
    <n v="34.700000000000003"/>
    <n v="37909.75"/>
    <n v="100831.93277310925"/>
    <n v="84025.210084033621"/>
    <s v="Ningbo"/>
    <x v="2"/>
    <n v="45"/>
    <n v="6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n v="44"/>
    <s v=""/>
    <n v="0.97777777777777775"/>
    <n v="115"/>
    <s v=""/>
    <n v="1.4375"/>
    <n v="29"/>
    <s v=""/>
    <n v="0.36249999999999999"/>
    <n v="0"/>
    <n v="0"/>
    <n v="0"/>
    <n v="0"/>
    <n v="0"/>
    <n v="0"/>
    <n v="0"/>
    <n v="0"/>
    <n v="0"/>
    <n v="0"/>
    <n v="412"/>
    <n v="14303548.199999999"/>
    <n v="0"/>
    <n v="0"/>
    <n v="0"/>
    <n v="0"/>
    <n v="600"/>
    <n v="0"/>
    <n v="0"/>
    <n v="0"/>
    <n v="0"/>
    <n v="0"/>
    <n v="0"/>
    <n v="412"/>
    <n v="14303548.199999999"/>
    <n v="0"/>
    <n v="50"/>
    <n v="0"/>
    <n v="0"/>
    <n v="0"/>
    <n v="0"/>
    <n v="1616152.5"/>
    <n v="0"/>
    <n v="0"/>
    <n v="0"/>
    <n v="412"/>
    <n v="14303548.199999999"/>
    <n v="0"/>
    <n v="0"/>
    <n v="0"/>
    <n v="0"/>
    <n v="0"/>
    <n v="0"/>
    <n v="0"/>
    <n v="0"/>
    <x v="0"/>
    <x v="0"/>
    <n v="412"/>
    <n v="14303548.199999999"/>
    <n v="0"/>
    <n v="45"/>
    <n v="456"/>
    <n v="45"/>
    <n v="0"/>
    <n v="0"/>
    <n v="0"/>
    <n v="15831111.6"/>
    <n v="1616152.5"/>
    <x v="0"/>
    <n v="0"/>
    <n v="412"/>
    <n v="14303548.199999999"/>
    <n v="4537436.9747899165"/>
    <n v="80"/>
    <n v="527"/>
    <n v="115"/>
    <m/>
    <n v="0"/>
    <n v="0"/>
    <n v="18296043.449999999"/>
    <n v="4130167.5"/>
    <n v="0"/>
    <n v="0"/>
    <n v="527"/>
    <n v="14303548.199999999"/>
    <n v="11595672.268907564"/>
    <n v="80"/>
    <n v="441"/>
    <n v="80"/>
    <n v="0"/>
    <n v="0"/>
    <n v="0"/>
    <n v="15310351.35"/>
    <n v="2873160"/>
    <n v="0"/>
    <n v="0"/>
    <n v="441"/>
    <n v="14303548.199999999"/>
    <n v="8066554.6218487397"/>
    <n v="80"/>
    <n v="361"/>
    <n v="80"/>
    <n v="0"/>
    <n v="0"/>
    <n v="0"/>
    <n v="12532963.35"/>
    <n v="2873160"/>
    <n v="0"/>
    <n v="0"/>
    <n v="361"/>
    <n v="12532963.35"/>
    <n v="8066554.6218487397"/>
    <n v="70"/>
    <n v="281"/>
    <n v="70"/>
    <n v="0"/>
    <n v="0"/>
    <m/>
    <n v="10091974.5"/>
    <n v="2514015"/>
    <n v="0"/>
    <n v="0"/>
    <n v="281"/>
    <n v="10091974.5"/>
    <n v="7058235.2941176472"/>
    <n v="100"/>
    <n v="211"/>
    <n v="100"/>
    <n v="0"/>
    <n v="0"/>
    <n v="0"/>
    <m/>
    <n v="7577959.5"/>
    <n v="3591450"/>
    <n v="0"/>
    <n v="0"/>
    <n v="211"/>
    <n v="7577959.5"/>
    <n v="8402521.0084033627"/>
    <n v="60"/>
    <n v="111"/>
    <n v="60"/>
    <n v="600"/>
    <n v="300"/>
    <n v="3986509.5"/>
    <n v="2154870"/>
    <n v="21548700"/>
    <n v="10774350"/>
    <n v="411"/>
    <n v="14760859.5"/>
    <n v="5293588.2352941185"/>
    <n v="80"/>
    <n v="351"/>
    <n v="80"/>
    <n v="0"/>
    <n v="0"/>
    <n v="12605989.5"/>
    <n v="2873160"/>
    <n v="0"/>
    <n v="351"/>
    <n v="12605989.5"/>
    <n v="8066554.6218487397"/>
    <n v="36"/>
    <n v="271"/>
    <n v="36"/>
    <n v="0"/>
    <n v="300"/>
    <n v="9732829.5"/>
    <n v="1249824.5999999999"/>
    <n v="10774350"/>
    <n v="571"/>
    <n v="20507179.5"/>
    <n v="3629949.5798319331"/>
  </r>
  <r>
    <s v="Simplit-Menaje de Cocina"/>
    <x v="2"/>
    <x v="17"/>
    <x v="44"/>
    <n v="1660858101318"/>
    <x v="452"/>
    <x v="299"/>
    <x v="0"/>
    <x v="4"/>
    <n v="1"/>
    <x v="261"/>
    <n v="137"/>
    <m/>
    <n v="0"/>
    <n v="3079"/>
    <n v="421823"/>
    <n v="3"/>
    <n v="3277.4999999999995"/>
    <n v="7554.6218487394963"/>
    <n v="6714.2857142857147"/>
    <s v="Shenzhen"/>
    <x v="0"/>
    <n v="30"/>
    <n v="200"/>
    <n v="43"/>
    <n v="0.62214398580565156"/>
    <n v="48"/>
    <n v="0.65504743600824511"/>
    <n v="48"/>
    <n v="0.66814071322729041"/>
    <n v="40"/>
    <n v="0.65025490005536968"/>
    <n v="64"/>
    <n v="0.61624643525645229"/>
    <n v="94"/>
    <n v="0.585768684749986"/>
    <n v="67"/>
    <n v="0.57984203366555087"/>
    <n v="54"/>
    <n v="0.61222958064836985"/>
    <n v="41"/>
    <n v="0.57728772137352014"/>
    <n v="79"/>
    <n v="0.58451998035305808"/>
    <n v="20"/>
    <n v="0.55491067821888951"/>
    <n v="1"/>
    <n v="0.72378054158948579"/>
    <n v="32"/>
    <n v="0.61964767491904083"/>
    <n v="48"/>
    <n v="0.65204614539042605"/>
    <n v="100"/>
    <n v="0.67011212445340018"/>
    <n v="101"/>
    <n v="0.64918759514569147"/>
    <n v="1.4428571428571428"/>
    <n v="67"/>
    <n v="0.61677953516123285"/>
    <n v="1.0307692307692307"/>
    <n v="14"/>
    <n v="0.58848791844402193"/>
    <n v="0.14000000000000001"/>
    <n v="20"/>
    <n v="0.57974962963026166"/>
    <n v="0.2857142857142857"/>
    <n v="46.333333333333336"/>
    <n v="157"/>
    <n v="20"/>
    <n v="150"/>
    <n v="150"/>
    <n v="0"/>
    <n v="591168"/>
    <n v="487484.99999999994"/>
    <n v="61580"/>
    <n v="0"/>
    <n v="137"/>
    <n v="421823"/>
    <n v="126968.43443259658"/>
    <n v="35"/>
    <n v="250"/>
    <n v="72"/>
    <n v="0"/>
    <n v="0"/>
    <n v="0"/>
    <n v="840567"/>
    <n v="776249.99999999988"/>
    <n v="221688"/>
    <n v="0"/>
    <n v="137"/>
    <n v="421823"/>
    <n v="457086.3639573477"/>
    <n v="70"/>
    <n v="193"/>
    <n v="100"/>
    <n v="0"/>
    <n v="0"/>
    <n v="820704"/>
    <n v="594247"/>
    <n v="307900"/>
    <n v="0"/>
    <n v="137"/>
    <n v="421823"/>
    <n v="755462.18487394962"/>
    <n v="70"/>
    <n v="185"/>
    <n v="101"/>
    <n v="100"/>
    <n v="0"/>
    <n v="574424.99999999988"/>
    <n v="310979"/>
    <x v="54"/>
    <x v="0"/>
    <n v="137"/>
    <n v="421823"/>
    <n v="763016.80672268907"/>
    <n v="65"/>
    <n v="204"/>
    <n v="65"/>
    <m/>
    <n v="0"/>
    <n v="0"/>
    <n v="628116"/>
    <n v="201824.99999999997"/>
    <x v="0"/>
    <n v="0"/>
    <n v="137"/>
    <n v="421823"/>
    <n v="491050.42016806727"/>
    <n v="100"/>
    <n v="151"/>
    <n v="14"/>
    <m/>
    <n v="0"/>
    <n v="0"/>
    <n v="464929"/>
    <n v="43469.999999999993"/>
    <n v="0"/>
    <n v="0"/>
    <n v="151"/>
    <n v="421823"/>
    <n v="105764.70588235295"/>
    <n v="70"/>
    <n v="157"/>
    <n v="70"/>
    <n v="150"/>
    <n v="150"/>
    <n v="0"/>
    <n v="483403"/>
    <n v="217349.99999999997"/>
    <n v="450224.99999999994"/>
    <n v="0"/>
    <n v="157"/>
    <n v="421823"/>
    <n v="528823.5294117647"/>
    <n v="80"/>
    <n v="87"/>
    <n v="80"/>
    <n v="170"/>
    <n v="170"/>
    <n v="0"/>
    <n v="267873"/>
    <n v="248399.99999999997"/>
    <n v="527849.99999999988"/>
    <n v="0"/>
    <n v="257"/>
    <n v="795722.99999999988"/>
    <n v="604369.74789915967"/>
    <n v="50"/>
    <n v="7"/>
    <n v="50"/>
    <n v="0"/>
    <n v="0"/>
    <n v="170"/>
    <n v="21734.999999999996"/>
    <n v="155249.99999999997"/>
    <n v="0"/>
    <n v="527849.99999999988"/>
    <n v="177"/>
    <n v="549584.99999999988"/>
    <n v="377731.09243697481"/>
    <n v="80"/>
    <n v="127"/>
    <n v="80"/>
    <n v="0"/>
    <n v="0"/>
    <n v="0"/>
    <m/>
    <n v="394334.99999999994"/>
    <n v="248399.99999999997"/>
    <n v="0"/>
    <n v="0"/>
    <n v="127"/>
    <n v="394334.99999999994"/>
    <n v="537142.85714285716"/>
    <n v="60"/>
    <n v="47"/>
    <n v="60"/>
    <n v="150"/>
    <n v="150"/>
    <n v="145934.99999999997"/>
    <n v="186299.99999999997"/>
    <n v="465749.99999999994"/>
    <n v="465749.99999999994"/>
    <n v="197"/>
    <n v="611684.99999999988"/>
    <n v="423000.00000000006"/>
    <n v="100"/>
    <n v="137"/>
    <n v="100"/>
    <n v="0"/>
    <n v="0"/>
    <n v="425384.99999999994"/>
    <n v="310499.99999999994"/>
    <n v="0"/>
    <n v="137"/>
    <n v="425384.99999999994"/>
    <n v="755462.18487394962"/>
    <n v="36"/>
    <n v="37"/>
    <n v="36"/>
    <n v="0"/>
    <m/>
    <n v="114884.99999999999"/>
    <n v="110844"/>
    <n v="0"/>
    <n v="37"/>
    <n v="114884.99999999999"/>
    <n v="271966.38655462186"/>
  </r>
  <r>
    <s v="Simplit-Menaje de Cocina"/>
    <x v="2"/>
    <x v="17"/>
    <x v="44"/>
    <s v="SIMMANCC-BK"/>
    <x v="453"/>
    <x v="300"/>
    <x v="0"/>
    <x v="4"/>
    <n v="1"/>
    <x v="262"/>
    <n v="210"/>
    <m/>
    <n v="0"/>
    <n v="3255"/>
    <n v="683550"/>
    <n v="3.45"/>
    <n v="3769.1249999999995"/>
    <n v="8394.957983193277"/>
    <n v="7554.6218487394963"/>
    <s v="Shenzhen"/>
    <x v="0"/>
    <n v="30"/>
    <n v="200"/>
    <n v="0"/>
    <s v=""/>
    <n v="0"/>
    <s v=""/>
    <n v="2"/>
    <n v="0.6561011359472334"/>
    <n v="13"/>
    <n v="0.6373236844416742"/>
    <n v="23"/>
    <n v="0.66951008465194106"/>
    <n v="62"/>
    <n v="0.5840630805041207"/>
    <n v="65"/>
    <n v="0.55120658779124099"/>
    <n v="93"/>
    <n v="0.51738996336079146"/>
    <n v="67"/>
    <n v="0.53900543119850375"/>
    <n v="110"/>
    <n v="0.52677158768107879"/>
    <n v="63"/>
    <n v="0.55484251007136853"/>
    <n v="37"/>
    <n v="0.53176832940979202"/>
    <n v="28"/>
    <s v=""/>
    <n v="62"/>
    <s v=""/>
    <n v="94"/>
    <s v=""/>
    <n v="90"/>
    <s v=""/>
    <n v="1.5"/>
    <n v="14"/>
    <s v=""/>
    <n v="0.23333333333333334"/>
    <n v="41"/>
    <s v=""/>
    <n v="0.45555555555555555"/>
    <n v="12"/>
    <s v=""/>
    <n v="0.2"/>
    <n v="50"/>
    <n v="154"/>
    <n v="30"/>
    <n v="150"/>
    <n v="150"/>
    <n v="0"/>
    <n v="706335"/>
    <n v="549895.49999999988"/>
    <n v="97650"/>
    <n v="0"/>
    <n v="210"/>
    <n v="683550"/>
    <n v="211637.59621495657"/>
    <n v="40"/>
    <n v="371"/>
    <n v="93"/>
    <n v="0"/>
    <n v="0"/>
    <n v="0"/>
    <n v="901635"/>
    <n v="1324748.2499999998"/>
    <n v="302715"/>
    <n v="0"/>
    <n v="210"/>
    <n v="683550"/>
    <n v="656076.54826636543"/>
    <n v="80"/>
    <n v="310"/>
    <n v="94"/>
    <n v="0"/>
    <n v="0"/>
    <n v="813165"/>
    <n v="1009050"/>
    <n v="305970"/>
    <n v="0"/>
    <n v="210"/>
    <n v="683550"/>
    <n v="789126.05042016809"/>
    <n v="60"/>
    <n v="219"/>
    <n v="90"/>
    <n v="0"/>
    <n v="0"/>
    <n v="781994.24999999988"/>
    <n v="292950"/>
    <x v="0"/>
    <x v="0"/>
    <n v="210"/>
    <n v="683550"/>
    <n v="755546.21848739497"/>
    <n v="60"/>
    <n v="224"/>
    <n v="60"/>
    <m/>
    <n v="0"/>
    <n v="0"/>
    <n v="729120"/>
    <n v="214244.99999999997"/>
    <x v="0"/>
    <n v="0"/>
    <n v="210"/>
    <n v="683550"/>
    <n v="503697.47899159661"/>
    <n v="90"/>
    <n v="251"/>
    <n v="41"/>
    <m/>
    <n v="0"/>
    <n v="0"/>
    <n v="817005"/>
    <n v="146400.74999999997"/>
    <n v="0"/>
    <n v="0"/>
    <n v="251"/>
    <n v="683550"/>
    <n v="344193.27731092437"/>
    <n v="60"/>
    <n v="222"/>
    <n v="60"/>
    <n v="200"/>
    <n v="200"/>
    <n v="0"/>
    <n v="722610"/>
    <n v="214244.99999999997"/>
    <n v="690345"/>
    <n v="0"/>
    <n v="222"/>
    <n v="683550"/>
    <n v="503697.47899159661"/>
    <n v="95"/>
    <n v="162"/>
    <n v="95"/>
    <n v="100"/>
    <n v="100"/>
    <n v="0"/>
    <n v="527310"/>
    <n v="339221.24999999994"/>
    <n v="357074.99999999994"/>
    <n v="0"/>
    <n v="262"/>
    <n v="884385"/>
    <n v="797521.00840336131"/>
    <n v="70"/>
    <n v="67"/>
    <n v="70"/>
    <n v="0"/>
    <n v="0"/>
    <n v="100"/>
    <n v="239240.24999999997"/>
    <n v="249952.49999999997"/>
    <n v="0"/>
    <n v="357074.99999999994"/>
    <n v="167"/>
    <n v="596315.24999999988"/>
    <n v="587647.0588235294"/>
    <n v="110"/>
    <n v="97"/>
    <n v="97"/>
    <n v="250"/>
    <n v="250"/>
    <n v="250"/>
    <n v="0"/>
    <n v="346362.74999999994"/>
    <n v="346362.74999999994"/>
    <n v="892687.49999999988"/>
    <n v="892687.49999999988"/>
    <n v="347"/>
    <n v="1239050.2499999998"/>
    <n v="732798.31932773115"/>
    <n v="70"/>
    <n v="250"/>
    <n v="70"/>
    <n v="0"/>
    <n v="0"/>
    <n v="892687.49999999988"/>
    <n v="249952.49999999997"/>
    <n v="0"/>
    <n v="0"/>
    <n v="250"/>
    <n v="892687.49999999988"/>
    <n v="555264.70588235301"/>
    <n v="100"/>
    <n v="180"/>
    <n v="100"/>
    <n v="0"/>
    <n v="0"/>
    <n v="642734.99999999988"/>
    <n v="357074.99999999994"/>
    <n v="0"/>
    <n v="180"/>
    <n v="642734.99999999988"/>
    <n v="839495.79831932765"/>
    <n v="42"/>
    <n v="80"/>
    <n v="42"/>
    <n v="0"/>
    <m/>
    <n v="285659.99999999994"/>
    <n v="136710"/>
    <n v="0"/>
    <n v="80"/>
    <n v="285659.99999999994"/>
    <n v="352588.23529411765"/>
  </r>
  <r>
    <s v="Simplit-Menaje de Cocina"/>
    <x v="2"/>
    <x v="17"/>
    <x v="44"/>
    <n v="1660858118518"/>
    <x v="454"/>
    <x v="301"/>
    <x v="0"/>
    <x v="4"/>
    <n v="0.6"/>
    <x v="263"/>
    <n v="432"/>
    <m/>
    <n v="0"/>
    <n v="3134"/>
    <n v="1353888"/>
    <n v="3.45"/>
    <n v="3769.1249999999995"/>
    <n v="8394.957983193277"/>
    <n v="7554.6218487394963"/>
    <s v="Shenzhen"/>
    <x v="0"/>
    <n v="30"/>
    <n v="200"/>
    <n v="124"/>
    <n v="0.62282540517010476"/>
    <n v="111"/>
    <n v="0.59301714338069611"/>
    <n v="145"/>
    <n v="0.62614684676788224"/>
    <n v="50"/>
    <n v="0.62987703281810437"/>
    <n v="136"/>
    <n v="0.57072565602896175"/>
    <n v="221"/>
    <n v="0.58615065342229222"/>
    <n v="137"/>
    <n v="0.57779433544712488"/>
    <n v="145"/>
    <n v="0.55955699221440225"/>
    <n v="122"/>
    <n v="0.58215180099116892"/>
    <n v="229"/>
    <n v="0.53347345811625424"/>
    <n v="163"/>
    <n v="0.57808708297832212"/>
    <n v="104"/>
    <n v="0.55766678865760211"/>
    <n v="67"/>
    <n v="0.60659219490137972"/>
    <n v="88"/>
    <n v="0.6310674039176708"/>
    <n v="61"/>
    <n v="0.58803664389722987"/>
    <n v="29"/>
    <n v="0.63426318370389601"/>
    <n v="0.20714285714285716"/>
    <n v="150"/>
    <n v="0.57509121127706597"/>
    <n v="1.0714285714285714"/>
    <n v="22"/>
    <n v="0.58346822172513046"/>
    <n v="0.1"/>
    <n v="7"/>
    <n v="0.57944216153740491"/>
    <n v="5.3846153846153849E-2"/>
    <n v="120"/>
    <n v="118"/>
    <n v="70"/>
    <n v="150"/>
    <n v="150"/>
    <n v="0"/>
    <n v="824242"/>
    <n v="421348.49999999994"/>
    <n v="219380"/>
    <n v="0"/>
    <n v="432"/>
    <n v="1353888"/>
    <n v="493821.0578348987"/>
    <n v="90"/>
    <n v="218"/>
    <n v="132"/>
    <n v="100"/>
    <n v="100"/>
    <n v="0"/>
    <n v="695748"/>
    <n v="778423.49999999988"/>
    <n v="413688"/>
    <n v="0"/>
    <n v="432"/>
    <n v="1353888"/>
    <n v="931205.42334580887"/>
    <n v="150"/>
    <n v="107"/>
    <n v="61"/>
    <n v="0"/>
    <n v="0"/>
    <n v="582003"/>
    <n v="335338"/>
    <n v="191174"/>
    <n v="0"/>
    <n v="432"/>
    <n v="1353888"/>
    <n v="512092.43697478989"/>
    <n v="140"/>
    <n v="330"/>
    <n v="29"/>
    <n v="200"/>
    <n v="0"/>
    <n v="1178347.4999999998"/>
    <n v="90886"/>
    <x v="55"/>
    <x v="0"/>
    <n v="432"/>
    <n v="1353888"/>
    <n v="243453.78151260503"/>
    <n v="140"/>
    <n v="582"/>
    <n v="84"/>
    <m/>
    <n v="0"/>
    <n v="0"/>
    <n v="1823988"/>
    <n v="299942.99999999994"/>
    <x v="0"/>
    <n v="0"/>
    <n v="432"/>
    <n v="1353888"/>
    <n v="705176.4705882353"/>
    <n v="220"/>
    <n v="454"/>
    <n v="22"/>
    <m/>
    <n v="0"/>
    <n v="0"/>
    <n v="1422836"/>
    <n v="78556.499999999985"/>
    <n v="0"/>
    <n v="0"/>
    <n v="454"/>
    <n v="1353888"/>
    <n v="184689.0756302521"/>
    <n v="130"/>
    <n v="439"/>
    <n v="78"/>
    <n v="400"/>
    <n v="400"/>
    <n v="0"/>
    <n v="1375826"/>
    <n v="278518.49999999994"/>
    <n v="1380690"/>
    <n v="0"/>
    <n v="439"/>
    <n v="1353888"/>
    <n v="654806.72268907563"/>
    <n v="150"/>
    <n v="361"/>
    <n v="90"/>
    <n v="225"/>
    <n v="225"/>
    <n v="0"/>
    <n v="1131374"/>
    <n v="321367.49999999994"/>
    <n v="803418.74999999988"/>
    <n v="0"/>
    <n v="586"/>
    <n v="1934792.75"/>
    <n v="755546.21848739497"/>
    <n v="125"/>
    <n v="271"/>
    <n v="75"/>
    <n v="0"/>
    <n v="0"/>
    <n v="225"/>
    <n v="967673.24999999988"/>
    <n v="267806.24999999994"/>
    <n v="0"/>
    <n v="803418.74999999988"/>
    <n v="496"/>
    <n v="1771091.9999999998"/>
    <n v="629621.84873949573"/>
    <n v="180"/>
    <n v="421"/>
    <n v="108"/>
    <n v="0"/>
    <n v="0"/>
    <n v="0"/>
    <m/>
    <n v="1503285.7499999998"/>
    <n v="385640.99999999994"/>
    <n v="0"/>
    <n v="0"/>
    <n v="421"/>
    <n v="1503285.7499999998"/>
    <n v="815899.15966386558"/>
    <n v="150"/>
    <n v="313"/>
    <n v="90"/>
    <n v="0"/>
    <n v="0"/>
    <n v="1117644.7499999998"/>
    <n v="321367.49999999994"/>
    <n v="0"/>
    <n v="0"/>
    <n v="313"/>
    <n v="1117644.7499999998"/>
    <n v="713911.76470588241"/>
    <n v="150"/>
    <n v="223"/>
    <n v="90"/>
    <n v="0"/>
    <n v="0"/>
    <n v="796277.24999999988"/>
    <n v="321367.49999999994"/>
    <n v="0"/>
    <n v="223"/>
    <n v="796277.24999999988"/>
    <n v="755546.21848739497"/>
    <n v="90"/>
    <n v="133"/>
    <n v="54"/>
    <n v="0"/>
    <m/>
    <n v="474909.74999999994"/>
    <n v="169236"/>
    <n v="0"/>
    <n v="133"/>
    <n v="474909.74999999994"/>
    <n v="453327.73109243694"/>
  </r>
  <r>
    <s v="Simplit-Menaje de Cocina"/>
    <x v="2"/>
    <x v="17"/>
    <x v="45"/>
    <n v="1635956592996"/>
    <x v="455"/>
    <x v="302"/>
    <x v="0"/>
    <x v="1"/>
    <n v="0.7"/>
    <x v="264"/>
    <n v="434"/>
    <m/>
    <n v="0"/>
    <n v="8574.323529411764"/>
    <n v="3721256.4117647056"/>
    <n v="7.9"/>
    <n v="8630.75"/>
    <n v="18478.991596638658"/>
    <n v="16798.319327731093"/>
    <s v="Ningbo"/>
    <x v="1"/>
    <n v="30"/>
    <n v="600"/>
    <n v="43"/>
    <n v="0.42204818073140837"/>
    <n v="64"/>
    <n v="0.4058343838486746"/>
    <n v="122"/>
    <n v="0.51018785226033825"/>
    <n v="70"/>
    <n v="0.47509155836512251"/>
    <n v="77"/>
    <n v="0.50593390644740943"/>
    <n v="217"/>
    <n v="0.44384650009519938"/>
    <n v="96"/>
    <n v="0.49857142794847231"/>
    <n v="99"/>
    <n v="0.48204638598516347"/>
    <n v="57"/>
    <n v="0.50438123434384485"/>
    <n v="191"/>
    <n v="0.44036126976282891"/>
    <n v="66"/>
    <n v="0.51053509734248848"/>
    <n v="55"/>
    <n v="0.50403024209228187"/>
    <n v="16"/>
    <n v="0.42204817079613061"/>
    <n v="7"/>
    <n v="0.42333186395044964"/>
    <n v="1"/>
    <n v="0.48559673287132388"/>
    <n v="16"/>
    <n v="0.47581132003110466"/>
    <n v="0.32"/>
    <n v="40"/>
    <n v="0.51772288865634841"/>
    <n v="0.5714285714285714"/>
    <n v="85"/>
    <n v="0.44122443938380906"/>
    <n v="0.53125"/>
    <n v="18"/>
    <n v="0.50543031308621067"/>
    <n v="0.18"/>
    <n v="50"/>
    <n v="33"/>
    <n v="20"/>
    <n v="0"/>
    <n v="0"/>
    <n v="0"/>
    <n v="270091.19117647054"/>
    <n v="269824.49999999994"/>
    <n v="171486.47058823527"/>
    <n v="0"/>
    <n v="434"/>
    <n v="3721256.4117647056"/>
    <n v="310571.28733846487"/>
    <n v="13"/>
    <n v="26"/>
    <n v="10.5"/>
    <n v="600"/>
    <n v="300"/>
    <n v="0"/>
    <n v="235793.8970588235"/>
    <n v="212588.99999999997"/>
    <n v="90030.397058823524"/>
    <n v="0"/>
    <n v="434"/>
    <n v="3721256.4117647056"/>
    <n v="163049.92585269405"/>
    <n v="50"/>
    <n v="26"/>
    <n v="1"/>
    <n v="0"/>
    <n v="0"/>
    <n v="546412"/>
    <n v="222932.41176470587"/>
    <n v="8574.323529411764"/>
    <n v="0"/>
    <n v="434"/>
    <n v="3721256.4117647056"/>
    <n v="18478.991596638658"/>
    <n v="50"/>
    <n v="599"/>
    <n v="16"/>
    <n v="0"/>
    <n v="0"/>
    <n v="4897723.4999999991"/>
    <n v="137189.17647058822"/>
    <x v="0"/>
    <x v="0"/>
    <n v="434"/>
    <n v="3721256.4117647056"/>
    <n v="295663.86554621853"/>
    <n v="70"/>
    <n v="474"/>
    <n v="49"/>
    <m/>
    <n v="300"/>
    <n v="0"/>
    <n v="4064229.3529411759"/>
    <n v="400648.49999999994"/>
    <x v="0"/>
    <n v="0"/>
    <n v="434"/>
    <n v="3721256.4117647056"/>
    <n v="905470.58823529421"/>
    <n v="160"/>
    <n v="519"/>
    <n v="85"/>
    <m/>
    <n v="0"/>
    <n v="0"/>
    <n v="4450073.9117647056"/>
    <n v="695002.49999999988"/>
    <n v="0"/>
    <n v="0"/>
    <n v="519"/>
    <n v="3721256.4117647056"/>
    <n v="1570714.2857142859"/>
    <n v="100"/>
    <n v="452"/>
    <n v="70"/>
    <n v="0"/>
    <n v="0"/>
    <n v="0"/>
    <n v="3875594.2352941171"/>
    <n v="572354.99999999988"/>
    <n v="0"/>
    <n v="0"/>
    <n v="452"/>
    <n v="3721256.4117647056"/>
    <n v="1293529.411764706"/>
    <n v="95"/>
    <n v="382"/>
    <n v="66.5"/>
    <n v="0"/>
    <n v="0"/>
    <n v="0"/>
    <n v="3275391.588235294"/>
    <n v="543737.24999999988"/>
    <n v="0"/>
    <n v="0"/>
    <n v="382"/>
    <n v="3275391.588235294"/>
    <n v="1228852.9411764708"/>
    <n v="55"/>
    <n v="315.5"/>
    <n v="38.5"/>
    <n v="0"/>
    <n v="0"/>
    <m/>
    <n v="2579685.7499999995"/>
    <n v="314795.24999999994"/>
    <n v="0"/>
    <n v="0"/>
    <n v="315.5"/>
    <n v="2579685.7499999995"/>
    <n v="711441.17647058831"/>
    <n v="60"/>
    <n v="277"/>
    <n v="42"/>
    <n v="0"/>
    <n v="0"/>
    <n v="0"/>
    <m/>
    <n v="2264890.4999999995"/>
    <n v="343412.99999999994"/>
    <n v="0"/>
    <n v="0"/>
    <n v="277"/>
    <n v="2264890.4999999995"/>
    <n v="705529.4117647059"/>
    <n v="50"/>
    <n v="235"/>
    <n v="35"/>
    <n v="0"/>
    <n v="0"/>
    <n v="1921477.4999999998"/>
    <n v="286177.49999999994"/>
    <n v="0"/>
    <n v="0"/>
    <n v="235"/>
    <n v="1921477.4999999998"/>
    <n v="617338.23529411759"/>
    <n v="50"/>
    <n v="200"/>
    <n v="35"/>
    <n v="0"/>
    <n v="0"/>
    <n v="1635299.9999999998"/>
    <n v="286177.49999999994"/>
    <n v="0"/>
    <n v="200"/>
    <n v="1635299.9999999998"/>
    <n v="646764.70588235301"/>
    <n v="30"/>
    <n v="165"/>
    <n v="21"/>
    <n v="0"/>
    <m/>
    <n v="1349122.4999999998"/>
    <n v="180060.79411764705"/>
    <n v="0"/>
    <n v="165"/>
    <n v="1349122.4999999998"/>
    <n v="388058.82352941181"/>
  </r>
  <r>
    <s v="Simplit-Menaje de Cocina"/>
    <x v="2"/>
    <x v="17"/>
    <x v="45"/>
    <n v="1635956597983"/>
    <x v="456"/>
    <x v="303"/>
    <x v="0"/>
    <x v="0"/>
    <n v="1"/>
    <x v="265"/>
    <n v="40"/>
    <m/>
    <n v="0"/>
    <n v="6280.9201004409597"/>
    <n v="251236.80401763838"/>
    <n v="5.3"/>
    <n v="5790.25"/>
    <n v="10915.966386554623"/>
    <n v="10915.966386554623"/>
    <s v="Ningbo"/>
    <x v="1"/>
    <n v="45"/>
    <n v="600"/>
    <n v="84"/>
    <n v="0.46917534994405524"/>
    <n v="58"/>
    <n v="0.42591390981279986"/>
    <n v="35"/>
    <n v="0.59440263619465783"/>
    <n v="37"/>
    <n v="0.51634110459870941"/>
    <n v="70"/>
    <n v="0.51345773521268245"/>
    <n v="179"/>
    <n v="0.49443723749648827"/>
    <n v="80"/>
    <n v="0.52697155883016811"/>
    <n v="72"/>
    <n v="0.5499515649671527"/>
    <n v="50"/>
    <n v="0.49899718254132619"/>
    <n v="167"/>
    <n v="0.4510373744031394"/>
    <n v="59"/>
    <n v="0.48843711145306068"/>
    <n v="70"/>
    <n v="0.5038812494960192"/>
    <n v="57"/>
    <n v="0.4690537891202583"/>
    <n v="56"/>
    <n v="0.43468538448459276"/>
    <n v="129"/>
    <n v="0.4821557538634309"/>
    <n v="103"/>
    <n v="0.52233087263719213"/>
    <n v="1.4714285714285715"/>
    <n v="49"/>
    <n v="0.51628656161547537"/>
    <n v="0.7"/>
    <n v="16"/>
    <n v="0.49591439076625382"/>
    <n v="8.8888888888888892E-2"/>
    <n v="10"/>
    <n v="0.536114041920982"/>
    <n v="0.66666666666666663"/>
    <n v="60"/>
    <n v="438"/>
    <n v="60"/>
    <n v="0"/>
    <n v="0"/>
    <n v="0"/>
    <n v="1714691.1874203822"/>
    <n v="2402649"/>
    <n v="376855.2060264576"/>
    <n v="0"/>
    <n v="40"/>
    <n v="251236.80401763838"/>
    <n v="550384.85982628353"/>
    <n v="50"/>
    <n v="402"/>
    <n v="84"/>
    <n v="0"/>
    <n v="0"/>
    <n v="0"/>
    <n v="1984770.7517393432"/>
    <n v="2205171"/>
    <n v="527597.28843704064"/>
    <n v="0"/>
    <n v="40"/>
    <n v="251236.80401763838"/>
    <n v="770538.80375679699"/>
    <n v="70"/>
    <n v="169"/>
    <n v="129"/>
    <n v="0"/>
    <n v="0"/>
    <n v="1841158.4633023026"/>
    <n v="1061475.4969745222"/>
    <n v="810238.69295688381"/>
    <n v="0"/>
    <n v="40"/>
    <n v="251236.80401763838"/>
    <n v="1408159.6638655462"/>
    <n v="70"/>
    <n v="191"/>
    <n v="103"/>
    <n v="0"/>
    <n v="0"/>
    <n v="1047730.5"/>
    <n v="646934.77034541883"/>
    <x v="0"/>
    <x v="0"/>
    <n v="40"/>
    <n v="251236.80401763838"/>
    <n v="1124344.5378151261"/>
    <n v="70"/>
    <n v="89"/>
    <n v="70"/>
    <m/>
    <n v="0"/>
    <n v="0"/>
    <n v="559001.88893924537"/>
    <n v="383985"/>
    <x v="0"/>
    <n v="0"/>
    <n v="40"/>
    <n v="251236.80401763838"/>
    <n v="764117.64705882361"/>
    <n v="180"/>
    <n v="56"/>
    <n v="16"/>
    <m/>
    <n v="0"/>
    <n v="0"/>
    <n v="351731.52562469372"/>
    <n v="87768"/>
    <n v="0"/>
    <n v="0"/>
    <n v="56"/>
    <n v="251236.80401763838"/>
    <n v="174655.46218487396"/>
    <n v="15"/>
    <n v="50"/>
    <n v="15"/>
    <n v="0"/>
    <n v="0"/>
    <n v="0"/>
    <n v="314046.00502204796"/>
    <n v="82282.5"/>
    <n v="0"/>
    <n v="0"/>
    <n v="50"/>
    <n v="251236.80401763838"/>
    <n v="163739.49579831935"/>
    <n v="0"/>
    <n v="35"/>
    <n v="0"/>
    <n v="0"/>
    <n v="0"/>
    <n v="0"/>
    <n v="219832.20351543359"/>
    <n v="0"/>
    <n v="0"/>
    <n v="0"/>
    <n v="35"/>
    <n v="219832.20351543359"/>
    <n v="0"/>
    <n v="0"/>
    <n v="35"/>
    <n v="0"/>
    <n v="0"/>
    <n v="0"/>
    <m/>
    <n v="191992.5"/>
    <n v="0"/>
    <n v="0"/>
    <n v="0"/>
    <n v="35"/>
    <n v="191992.5"/>
    <n v="0"/>
    <n v="26"/>
    <n v="35"/>
    <n v="26"/>
    <n v="0"/>
    <n v="0"/>
    <n v="0"/>
    <m/>
    <n v="191992.5"/>
    <n v="142623"/>
    <n v="0"/>
    <n v="0"/>
    <n v="35"/>
    <n v="191992.5"/>
    <n v="283815.12605042016"/>
    <n v="0"/>
    <n v="9"/>
    <n v="0"/>
    <n v="0"/>
    <n v="0"/>
    <n v="49369.5"/>
    <n v="0"/>
    <n v="0"/>
    <n v="0"/>
    <n v="9"/>
    <n v="49369.5"/>
    <n v="0"/>
    <n v="0"/>
    <n v="9"/>
    <n v="0"/>
    <n v="0"/>
    <n v="0"/>
    <n v="49369.5"/>
    <n v="0"/>
    <n v="0"/>
    <n v="9"/>
    <n v="49369.5"/>
    <n v="0"/>
    <n v="0"/>
    <n v="9"/>
    <n v="0"/>
    <n v="0"/>
    <m/>
    <n v="49369.5"/>
    <n v="0"/>
    <n v="0"/>
    <n v="9"/>
    <n v="49369.5"/>
    <n v="0"/>
  </r>
  <r>
    <s v="Simplit-Menaje de Cocina"/>
    <x v="2"/>
    <x v="17"/>
    <x v="46"/>
    <n v="66800469437952"/>
    <x v="457"/>
    <x v="304"/>
    <x v="0"/>
    <x v="6"/>
    <n v="1"/>
    <x v="12"/>
    <n v="18"/>
    <m/>
    <n v="0"/>
    <n v="6067"/>
    <n v="109206"/>
    <n v="6.05"/>
    <n v="6609.6249999999991"/>
    <n v="16798.319327731093"/>
    <n v="12596.638655462186"/>
    <s v="Shenzhen"/>
    <x v="0"/>
    <n v="30"/>
    <n v="500"/>
    <n v="77"/>
    <n v="0.30176568815319044"/>
    <n v="44"/>
    <n v="0.46957387222250113"/>
    <n v="115"/>
    <n v="0.45577067223092982"/>
    <n v="68"/>
    <n v="0.40949575251418618"/>
    <n v="98"/>
    <n v="0.4521019462080873"/>
    <n v="62"/>
    <n v="0.35447016563756811"/>
    <n v="34"/>
    <n v="0.43180802584942807"/>
    <n v="13"/>
    <n v="0.46483368447348961"/>
    <n v="9"/>
    <n v="0.4333277400630493"/>
    <n v="18"/>
    <n v="0.30513874041721395"/>
    <n v="71"/>
    <n v="0.1781020606754436"/>
    <n v="0"/>
    <s v=""/>
    <n v="3"/>
    <n v="0.29615337162604705"/>
    <n v="6"/>
    <n v="0.46957453837137686"/>
    <n v="0"/>
    <n v="0.45964837649760948"/>
    <n v="1"/>
    <n v="0.40949575451325304"/>
    <n v="0"/>
    <n v="2"/>
    <n v="0.45231739024855222"/>
    <n v="0"/>
    <n v="0"/>
    <n v="0.35410758531726949"/>
    <n v="0"/>
    <n v="0"/>
    <n v="0.4325544560345968"/>
    <n v="0"/>
    <n v="0"/>
    <n v="28"/>
    <n v="0"/>
    <n v="0"/>
    <n v="0"/>
    <n v="0"/>
    <n v="54603"/>
    <n v="175328.99999999997"/>
    <n v="0"/>
    <n v="0"/>
    <n v="18"/>
    <n v="109206"/>
    <n v="0"/>
    <n v="0"/>
    <n v="35"/>
    <n v="9"/>
    <n v="0"/>
    <n v="0"/>
    <n v="0"/>
    <n v="60670"/>
    <n v="219161.24999999997"/>
    <n v="54603"/>
    <n v="0"/>
    <n v="18"/>
    <n v="109206"/>
    <n v="127046.11256267213"/>
    <n v="0"/>
    <n v="29"/>
    <n v="0"/>
    <n v="0"/>
    <n v="0"/>
    <n v="6067"/>
    <n v="175943"/>
    <n v="0"/>
    <n v="0"/>
    <n v="18"/>
    <n v="109206"/>
    <n v="0"/>
    <n v="0"/>
    <n v="28"/>
    <n v="1"/>
    <n v="0"/>
    <n v="0"/>
    <n v="175328.99999999997"/>
    <n v="6067"/>
    <x v="0"/>
    <x v="0"/>
    <n v="18"/>
    <n v="109206"/>
    <n v="16798.319327731093"/>
    <n v="0"/>
    <n v="20"/>
    <n v="0"/>
    <m/>
    <n v="0"/>
    <n v="0"/>
    <n v="121340"/>
    <n v="0"/>
    <x v="0"/>
    <n v="0"/>
    <n v="18"/>
    <n v="109206"/>
    <n v="0"/>
    <n v="0"/>
    <n v="18"/>
    <n v="0"/>
    <m/>
    <n v="0"/>
    <n v="0"/>
    <n v="109206"/>
    <n v="0"/>
    <n v="0"/>
    <n v="0"/>
    <n v="18"/>
    <n v="109206"/>
    <n v="0"/>
    <n v="0"/>
    <n v="18"/>
    <n v="0"/>
    <n v="0"/>
    <n v="0"/>
    <n v="0"/>
    <n v="109206"/>
    <n v="0"/>
    <n v="0"/>
    <n v="0"/>
    <n v="18"/>
    <n v="109206"/>
    <n v="0"/>
    <n v="0"/>
    <n v="18"/>
    <n v="0"/>
    <n v="0"/>
    <n v="0"/>
    <n v="0"/>
    <n v="109206"/>
    <n v="0"/>
    <n v="0"/>
    <n v="0"/>
    <n v="18"/>
    <n v="109206"/>
    <n v="0"/>
    <n v="0"/>
    <n v="18"/>
    <n v="0"/>
    <n v="0"/>
    <n v="0"/>
    <m/>
    <n v="112711.49999999999"/>
    <n v="0"/>
    <n v="0"/>
    <n v="0"/>
    <n v="18"/>
    <n v="112711.49999999999"/>
    <n v="0"/>
    <n v="0"/>
    <n v="18"/>
    <n v="0"/>
    <n v="0"/>
    <n v="0"/>
    <n v="0"/>
    <m/>
    <n v="112711.49999999999"/>
    <n v="0"/>
    <n v="0"/>
    <n v="0"/>
    <n v="18"/>
    <n v="112711.49999999999"/>
    <n v="0"/>
    <n v="0"/>
    <n v="18"/>
    <n v="0"/>
    <n v="0"/>
    <n v="0"/>
    <n v="112711.49999999999"/>
    <n v="0"/>
    <n v="0"/>
    <n v="0"/>
    <n v="18"/>
    <n v="112711.49999999999"/>
    <n v="0"/>
    <n v="0"/>
    <n v="18"/>
    <n v="0"/>
    <n v="0"/>
    <n v="0"/>
    <n v="112711.49999999999"/>
    <n v="0"/>
    <n v="0"/>
    <n v="18"/>
    <n v="112711.49999999999"/>
    <n v="0"/>
    <n v="0"/>
    <n v="18"/>
    <n v="0"/>
    <n v="0"/>
    <m/>
    <n v="112711.49999999999"/>
    <n v="0"/>
    <n v="0"/>
    <n v="18"/>
    <n v="112711.49999999999"/>
    <n v="0"/>
  </r>
  <r>
    <s v="Simplit-Menaje de Cocina"/>
    <x v="2"/>
    <x v="17"/>
    <x v="46"/>
    <n v="66800471275549"/>
    <x v="458"/>
    <x v="305"/>
    <x v="0"/>
    <x v="6"/>
    <n v="1"/>
    <x v="12"/>
    <n v="20"/>
    <m/>
    <n v="0"/>
    <n v="6283"/>
    <n v="125660"/>
    <n v="6.05"/>
    <n v="6609.6249999999991"/>
    <n v="16798.319327731093"/>
    <n v="12596.638655462186"/>
    <s v="Shenzhen"/>
    <x v="0"/>
    <n v="30"/>
    <n v="500"/>
    <n v="105"/>
    <n v="0.2981095432442093"/>
    <n v="37"/>
    <n v="0.45532277222332956"/>
    <n v="73"/>
    <n v="0.39810082431903887"/>
    <n v="59"/>
    <n v="0.45405302545362258"/>
    <n v="84"/>
    <n v="0.40027066240229175"/>
    <n v="71"/>
    <n v="0.36418007930954072"/>
    <n v="43"/>
    <n v="0.39811445030574966"/>
    <n v="19"/>
    <n v="0.45318448880801665"/>
    <n v="9"/>
    <n v="0.37058256542721046"/>
    <n v="29"/>
    <n v="0.33043857728193943"/>
    <n v="61"/>
    <n v="0.19915871251379091"/>
    <n v="4"/>
    <n v="0.30549644900102246"/>
    <n v="3"/>
    <n v="0.2981095372754598"/>
    <n v="0"/>
    <n v="0.431144524339099"/>
    <n v="1"/>
    <n v="0.3981008213189895"/>
    <n v="0"/>
    <n v="0.45405302443536938"/>
    <n v="0"/>
    <n v="1"/>
    <n v="0.39557609024202722"/>
    <n v="0.25"/>
    <n v="0"/>
    <n v="0.36768100026375988"/>
    <n v="0"/>
    <n v="0"/>
    <n v="0.40951089993489831"/>
    <n v="0"/>
    <n v="0"/>
    <n v="29"/>
    <n v="0"/>
    <n v="0"/>
    <n v="0"/>
    <n v="0"/>
    <n v="6283"/>
    <n v="181590.74999999997"/>
    <n v="0"/>
    <n v="0"/>
    <n v="20"/>
    <n v="125660"/>
    <n v="0"/>
    <n v="0"/>
    <n v="27"/>
    <n v="0"/>
    <n v="0"/>
    <n v="0"/>
    <n v="0"/>
    <n v="6283"/>
    <n v="169067.24999999997"/>
    <n v="0"/>
    <n v="0"/>
    <n v="20"/>
    <n v="125660"/>
    <n v="0"/>
    <n v="0"/>
    <n v="27"/>
    <n v="1"/>
    <n v="0"/>
    <n v="0"/>
    <n v="31329.999999999996"/>
    <n v="169641"/>
    <n v="6283"/>
    <n v="0"/>
    <n v="20"/>
    <n v="125660"/>
    <n v="16798.319327731093"/>
    <n v="0"/>
    <n v="25"/>
    <n v="0"/>
    <n v="0"/>
    <n v="0"/>
    <n v="156543.74999999997"/>
    <n v="0"/>
    <x v="0"/>
    <x v="0"/>
    <n v="20"/>
    <n v="125660"/>
    <n v="0"/>
    <n v="4"/>
    <n v="21"/>
    <n v="4"/>
    <m/>
    <n v="0"/>
    <n v="0"/>
    <n v="131943"/>
    <n v="25046.999999999996"/>
    <x v="0"/>
    <n v="0"/>
    <n v="20"/>
    <n v="125660"/>
    <n v="67193.277310924372"/>
    <n v="0"/>
    <n v="20"/>
    <n v="0"/>
    <m/>
    <n v="0"/>
    <n v="0"/>
    <n v="125660"/>
    <n v="0"/>
    <n v="0"/>
    <n v="0"/>
    <n v="20"/>
    <n v="125660"/>
    <n v="0"/>
    <n v="0"/>
    <n v="20"/>
    <n v="0"/>
    <n v="0"/>
    <n v="0"/>
    <n v="0"/>
    <n v="125660"/>
    <n v="0"/>
    <n v="0"/>
    <n v="0"/>
    <n v="20"/>
    <n v="125660"/>
    <n v="0"/>
    <n v="0"/>
    <n v="20"/>
    <n v="0"/>
    <n v="0"/>
    <n v="0"/>
    <n v="0"/>
    <n v="125660"/>
    <n v="0"/>
    <n v="0"/>
    <n v="0"/>
    <n v="20"/>
    <n v="125660"/>
    <n v="0"/>
    <n v="0"/>
    <n v="20"/>
    <n v="0"/>
    <n v="0"/>
    <n v="0"/>
    <m/>
    <n v="125234.99999999999"/>
    <n v="0"/>
    <n v="0"/>
    <n v="0"/>
    <n v="20"/>
    <n v="125234.99999999999"/>
    <n v="0"/>
    <n v="0"/>
    <n v="20"/>
    <n v="0"/>
    <n v="0"/>
    <n v="0"/>
    <n v="0"/>
    <m/>
    <n v="125234.99999999999"/>
    <n v="0"/>
    <n v="0"/>
    <n v="0"/>
    <n v="20"/>
    <n v="125234.99999999999"/>
    <n v="0"/>
    <n v="0"/>
    <n v="20"/>
    <n v="0"/>
    <n v="0"/>
    <n v="0"/>
    <n v="125234.99999999999"/>
    <n v="0"/>
    <n v="0"/>
    <n v="0"/>
    <n v="20"/>
    <n v="125234.99999999999"/>
    <n v="0"/>
    <n v="0"/>
    <n v="20"/>
    <n v="0"/>
    <n v="0"/>
    <n v="0"/>
    <n v="125234.99999999999"/>
    <n v="0"/>
    <n v="0"/>
    <n v="20"/>
    <n v="125234.99999999999"/>
    <n v="0"/>
    <n v="0"/>
    <n v="20"/>
    <n v="0"/>
    <n v="0"/>
    <m/>
    <n v="125234.99999999999"/>
    <n v="0"/>
    <n v="0"/>
    <n v="20"/>
    <n v="125234.99999999999"/>
    <n v="0"/>
  </r>
  <r>
    <s v="Simplit-Menaje de Cocina"/>
    <x v="2"/>
    <x v="17"/>
    <x v="46"/>
    <n v="66800472805184"/>
    <x v="459"/>
    <x v="306"/>
    <x v="0"/>
    <x v="6"/>
    <n v="1"/>
    <x v="12"/>
    <n v="21"/>
    <m/>
    <n v="0"/>
    <n v="6113"/>
    <n v="128373"/>
    <n v="5.6"/>
    <n v="6117.9999999999991"/>
    <n v="16798.319327731093"/>
    <n v="12596.638655462186"/>
    <s v="Shenzhen"/>
    <x v="0"/>
    <n v="30"/>
    <n v="500"/>
    <n v="48"/>
    <n v="0.28140908761214461"/>
    <n v="11"/>
    <n v="0.59753514620044812"/>
    <n v="28"/>
    <n v="0.46448756849269845"/>
    <n v="24"/>
    <n v="0.47492219919905448"/>
    <n v="23"/>
    <n v="0.40976537209519825"/>
    <n v="25"/>
    <n v="0.38801277278556046"/>
    <n v="12"/>
    <n v="0.42799625707115813"/>
    <n v="11"/>
    <n v="0.44663464257015684"/>
    <n v="6"/>
    <n v="0.42221805140724494"/>
    <n v="15"/>
    <n v="0.36134146763309466"/>
    <n v="132"/>
    <n v="0.21256466280682204"/>
    <n v="5"/>
    <n v="0.23201587979597477"/>
    <n v="2"/>
    <n v="0.28140910106230715"/>
    <n v="6"/>
    <n v="0.5975351456067528"/>
    <n v="0"/>
    <n v="0.46604389901459675"/>
    <n v="1"/>
    <n v="0.47492220182624123"/>
    <n v="0"/>
    <n v="2"/>
    <n v="0.40976537345535907"/>
    <n v="0.25"/>
    <n v="0"/>
    <n v="0.40155263792993817"/>
    <n v="0"/>
    <n v="0"/>
    <n v="0.42901652275272789"/>
    <n v="0"/>
    <n v="0"/>
    <n v="29"/>
    <n v="0"/>
    <n v="0"/>
    <n v="0"/>
    <n v="0"/>
    <n v="55017"/>
    <n v="168084"/>
    <n v="0"/>
    <n v="0"/>
    <n v="21"/>
    <n v="128373"/>
    <n v="0"/>
    <n v="0"/>
    <n v="33"/>
    <n v="9"/>
    <n v="0"/>
    <n v="0"/>
    <n v="0"/>
    <n v="61130"/>
    <n v="191268"/>
    <n v="55017"/>
    <n v="0"/>
    <n v="21"/>
    <n v="128373"/>
    <n v="127046.11256267213"/>
    <n v="0"/>
    <n v="27"/>
    <n v="0"/>
    <n v="0"/>
    <n v="0"/>
    <n v="52481"/>
    <n v="165051"/>
    <n v="0"/>
    <n v="0"/>
    <n v="21"/>
    <n v="128373"/>
    <n v="0"/>
    <n v="0"/>
    <n v="27"/>
    <n v="1"/>
    <n v="0"/>
    <n v="0"/>
    <n v="156492"/>
    <n v="6113"/>
    <x v="0"/>
    <x v="0"/>
    <n v="21"/>
    <n v="128373"/>
    <n v="16798.319327731093"/>
    <n v="8"/>
    <n v="23"/>
    <n v="8"/>
    <m/>
    <n v="0"/>
    <n v="0"/>
    <n v="140599"/>
    <n v="46368"/>
    <x v="0"/>
    <n v="0"/>
    <n v="21"/>
    <n v="128373"/>
    <n v="134386.55462184874"/>
    <n v="0"/>
    <n v="21"/>
    <n v="0"/>
    <m/>
    <n v="0"/>
    <n v="0"/>
    <n v="128373"/>
    <n v="0"/>
    <n v="0"/>
    <n v="0"/>
    <n v="21"/>
    <n v="128373"/>
    <n v="0"/>
    <n v="0"/>
    <n v="21"/>
    <n v="0"/>
    <n v="0"/>
    <n v="0"/>
    <n v="0"/>
    <n v="128373"/>
    <n v="0"/>
    <n v="0"/>
    <n v="0"/>
    <n v="21"/>
    <n v="128373"/>
    <n v="0"/>
    <n v="0"/>
    <n v="21"/>
    <n v="0"/>
    <n v="0"/>
    <n v="0"/>
    <n v="0"/>
    <n v="128373"/>
    <n v="0"/>
    <n v="0"/>
    <n v="0"/>
    <n v="21"/>
    <n v="128373"/>
    <n v="0"/>
    <n v="0"/>
    <n v="21"/>
    <n v="0"/>
    <n v="0"/>
    <n v="0"/>
    <m/>
    <n v="121716"/>
    <n v="0"/>
    <n v="0"/>
    <n v="0"/>
    <n v="21"/>
    <n v="121716"/>
    <n v="0"/>
    <n v="0"/>
    <n v="21"/>
    <n v="0"/>
    <n v="0"/>
    <n v="0"/>
    <n v="0"/>
    <m/>
    <n v="121716"/>
    <n v="0"/>
    <n v="0"/>
    <n v="0"/>
    <n v="21"/>
    <n v="121716"/>
    <n v="0"/>
    <n v="0"/>
    <n v="21"/>
    <n v="0"/>
    <n v="0"/>
    <n v="0"/>
    <n v="121716"/>
    <n v="0"/>
    <n v="0"/>
    <n v="0"/>
    <n v="21"/>
    <n v="121716"/>
    <n v="0"/>
    <n v="0"/>
    <n v="21"/>
    <n v="0"/>
    <n v="0"/>
    <n v="0"/>
    <n v="121716"/>
    <n v="0"/>
    <n v="0"/>
    <n v="21"/>
    <n v="121716"/>
    <n v="0"/>
    <n v="0"/>
    <n v="21"/>
    <n v="0"/>
    <n v="0"/>
    <m/>
    <n v="121716"/>
    <n v="0"/>
    <n v="0"/>
    <n v="21"/>
    <n v="121716"/>
    <n v="0"/>
  </r>
  <r>
    <s v="Simplit-Menaje de Cocina"/>
    <x v="2"/>
    <x v="17"/>
    <x v="46"/>
    <n v="68142280732690"/>
    <x v="460"/>
    <x v="307"/>
    <x v="0"/>
    <x v="6"/>
    <n v="1"/>
    <x v="12"/>
    <n v="12"/>
    <m/>
    <n v="0"/>
    <n v="3817"/>
    <n v="45804"/>
    <n v="3.6"/>
    <n v="3932.9999999999995"/>
    <n v="12596.638655462186"/>
    <n v="8394.957983193277"/>
    <s v="Shenzhen"/>
    <x v="0"/>
    <n v="30"/>
    <n v="500"/>
    <n v="107"/>
    <n v="0.46750127292738997"/>
    <n v="34"/>
    <n v="0.51560044267052185"/>
    <n v="74"/>
    <n v="0.56043257930596713"/>
    <n v="44"/>
    <n v="0.51426467010594057"/>
    <n v="21"/>
    <n v="0.49822573320266744"/>
    <n v="55"/>
    <n v="0.48951118796109044"/>
    <n v="65"/>
    <n v="0.51277657228778661"/>
    <n v="31"/>
    <n v="0.49086372061452443"/>
    <n v="37"/>
    <n v="0.46274581276205473"/>
    <n v="36"/>
    <n v="0.443702315367484"/>
    <n v="20"/>
    <n v="0.38551504857885721"/>
    <n v="1"/>
    <n v="0.75765079365079369"/>
    <n v="0"/>
    <n v="0.46723003778381367"/>
    <n v="2"/>
    <n v="0.50110461182643706"/>
    <n v="3"/>
    <n v="0.56584328668974526"/>
    <n v="0"/>
    <n v="0.5138373530319067"/>
    <n v="0"/>
    <n v="0"/>
    <n v="0.49825300252710375"/>
    <n v="0"/>
    <n v="0"/>
    <n v="0.49456465677588773"/>
    <n v="0"/>
    <n v="0"/>
    <n v="0.51169642443480168"/>
    <n v="0"/>
    <n v="0"/>
    <n v="24"/>
    <n v="0"/>
    <n v="0"/>
    <n v="0"/>
    <n v="0"/>
    <n v="22902"/>
    <n v="89423.999999999985"/>
    <n v="0"/>
    <n v="0"/>
    <n v="12"/>
    <n v="45804"/>
    <n v="0"/>
    <n v="0"/>
    <n v="24"/>
    <n v="3"/>
    <n v="0"/>
    <n v="0"/>
    <n v="0"/>
    <n v="22902"/>
    <n v="89423.999999999985"/>
    <n v="11451"/>
    <n v="0"/>
    <n v="12"/>
    <n v="45804"/>
    <n v="31756.231904526521"/>
    <n v="0"/>
    <n v="24"/>
    <n v="3"/>
    <n v="0"/>
    <n v="0"/>
    <n v="37533"/>
    <n v="91608"/>
    <n v="11451"/>
    <n v="0"/>
    <n v="12"/>
    <n v="45804"/>
    <n v="37789.915966386558"/>
    <n v="0"/>
    <n v="20"/>
    <n v="0"/>
    <n v="0"/>
    <n v="0"/>
    <n v="74519.999999999985"/>
    <n v="0"/>
    <x v="0"/>
    <x v="0"/>
    <n v="12"/>
    <n v="45804"/>
    <n v="0"/>
    <n v="7"/>
    <n v="12"/>
    <n v="7"/>
    <m/>
    <n v="0"/>
    <n v="0"/>
    <n v="45804"/>
    <n v="26081.999999999996"/>
    <x v="0"/>
    <n v="0"/>
    <n v="12"/>
    <n v="45804"/>
    <n v="88176.470588235301"/>
    <n v="0"/>
    <n v="12"/>
    <n v="0"/>
    <m/>
    <n v="0"/>
    <n v="0"/>
    <n v="45804"/>
    <n v="0"/>
    <n v="0"/>
    <n v="0"/>
    <n v="12"/>
    <n v="45804"/>
    <n v="0"/>
    <n v="0"/>
    <n v="12"/>
    <n v="0"/>
    <n v="0"/>
    <n v="0"/>
    <n v="0"/>
    <n v="45804"/>
    <n v="0"/>
    <n v="0"/>
    <n v="0"/>
    <n v="12"/>
    <n v="45804"/>
    <n v="0"/>
    <n v="0"/>
    <n v="12"/>
    <n v="0"/>
    <n v="0"/>
    <n v="0"/>
    <n v="0"/>
    <n v="45804"/>
    <n v="0"/>
    <n v="0"/>
    <n v="0"/>
    <n v="12"/>
    <n v="45804"/>
    <n v="0"/>
    <n v="0"/>
    <n v="12"/>
    <n v="0"/>
    <n v="0"/>
    <n v="0"/>
    <m/>
    <n v="44711.999999999993"/>
    <n v="0"/>
    <n v="0"/>
    <n v="0"/>
    <n v="12"/>
    <n v="44711.999999999993"/>
    <n v="0"/>
    <n v="0"/>
    <n v="12"/>
    <n v="0"/>
    <n v="0"/>
    <n v="0"/>
    <n v="0"/>
    <m/>
    <n v="44711.999999999993"/>
    <n v="0"/>
    <n v="0"/>
    <n v="0"/>
    <n v="12"/>
    <n v="44711.999999999993"/>
    <n v="0"/>
    <n v="0"/>
    <n v="12"/>
    <n v="0"/>
    <n v="0"/>
    <n v="0"/>
    <n v="44711.999999999993"/>
    <n v="0"/>
    <n v="0"/>
    <n v="0"/>
    <n v="12"/>
    <n v="44711.999999999993"/>
    <n v="0"/>
    <n v="0"/>
    <n v="12"/>
    <n v="0"/>
    <n v="0"/>
    <n v="0"/>
    <n v="44711.999999999993"/>
    <n v="0"/>
    <n v="0"/>
    <n v="12"/>
    <n v="44711.999999999993"/>
    <n v="0"/>
    <n v="0"/>
    <n v="12"/>
    <n v="0"/>
    <n v="0"/>
    <m/>
    <n v="44711.999999999993"/>
    <n v="0"/>
    <n v="0"/>
    <n v="12"/>
    <n v="44711.999999999993"/>
    <n v="0"/>
  </r>
  <r>
    <s v="Simplit-Menaje de Cocina"/>
    <x v="2"/>
    <x v="17"/>
    <x v="47"/>
    <n v="1629726091782"/>
    <x v="461"/>
    <x v="308"/>
    <x v="0"/>
    <x v="3"/>
    <n v="1.3"/>
    <x v="266"/>
    <n v="149"/>
    <m/>
    <n v="0"/>
    <n v="4897.5156510877623"/>
    <n v="729729.83201207663"/>
    <n v="5.0999999999999996"/>
    <n v="5571.75"/>
    <n v="14277.310924369749"/>
    <n v="12596.638655462186"/>
    <s v="Shenzhen"/>
    <x v="1"/>
    <n v="30"/>
    <n v="200"/>
    <n v="78"/>
    <n v="0.66196151973537964"/>
    <n v="66"/>
    <n v="0.60478784666425656"/>
    <n v="131"/>
    <n v="0.67112822218842882"/>
    <n v="66"/>
    <n v="0.674462209473498"/>
    <n v="169"/>
    <n v="0.55729587054714702"/>
    <n v="147"/>
    <n v="0.63064813195331437"/>
    <n v="70"/>
    <n v="0.71236624353551481"/>
    <n v="65"/>
    <n v="0.69473545463106312"/>
    <n v="48"/>
    <n v="0.68429118467087802"/>
    <n v="232"/>
    <n v="0.59929949027002538"/>
    <n v="95"/>
    <n v="0.64881790082054225"/>
    <n v="80"/>
    <n v="0.65973400907918245"/>
    <n v="44"/>
    <n v="0.65218721187050221"/>
    <n v="93"/>
    <n v="0.66421107866289597"/>
    <n v="138"/>
    <n v="0.62442112687899964"/>
    <n v="128"/>
    <n v="0.67446224098605678"/>
    <n v="1.28"/>
    <n v="232"/>
    <n v="0.55777832398130645"/>
    <n v="1.6571428571428573"/>
    <n v="265"/>
    <n v="0.62891127842181549"/>
    <n v="1.7666666666666666"/>
    <n v="58"/>
    <n v="0.71339926124977426"/>
    <n v="0.64444444444444449"/>
    <n v="90"/>
    <n v="181"/>
    <n v="50"/>
    <n v="250"/>
    <n v="250"/>
    <n v="0"/>
    <n v="1603936.3757312421"/>
    <n v="955408.5"/>
    <n v="244875.7825543881"/>
    <n v="0"/>
    <n v="149"/>
    <n v="729729.83201207663"/>
    <n v="599887.01362898108"/>
    <n v="80"/>
    <n v="347"/>
    <n v="139.5"/>
    <n v="100"/>
    <n v="100"/>
    <n v="0"/>
    <n v="1985942.5965160877"/>
    <n v="1831639.5"/>
    <n v="683203.43332674284"/>
    <n v="0"/>
    <n v="149"/>
    <n v="729729.83201207663"/>
    <n v="1673684.7680248572"/>
    <n v="140"/>
    <n v="287"/>
    <n v="138"/>
    <n v="0"/>
    <n v="0"/>
    <n v="2263426.163189345"/>
    <n v="1405586.9918621879"/>
    <n v="675857.15985011123"/>
    <n v="0"/>
    <n v="149"/>
    <n v="729729.83201207663"/>
    <n v="1970268.9075630254"/>
    <n v="100"/>
    <n v="496"/>
    <n v="128"/>
    <n v="250"/>
    <n v="0"/>
    <n v="2618136"/>
    <n v="626882.00333923358"/>
    <x v="56"/>
    <x v="0"/>
    <n v="149"/>
    <n v="729729.83201207663"/>
    <n v="1827495.7983193279"/>
    <n v="140"/>
    <n v="381"/>
    <n v="182"/>
    <n v="150"/>
    <n v="150"/>
    <n v="0"/>
    <n v="1865953.4630644375"/>
    <n v="960687"/>
    <x v="20"/>
    <n v="0"/>
    <n v="149"/>
    <n v="729729.83201207663"/>
    <n v="2598470.5882352944"/>
    <n v="150"/>
    <n v="414"/>
    <n v="265"/>
    <m/>
    <n v="150"/>
    <n v="0"/>
    <n v="2027571.4795503337"/>
    <n v="1398802.5"/>
    <n v="0"/>
    <n v="0"/>
    <n v="414"/>
    <n v="729729.83201207663"/>
    <n v="3783487.3949579834"/>
    <n v="90"/>
    <n v="207"/>
    <n v="117"/>
    <n v="150"/>
    <n v="150"/>
    <n v="0"/>
    <n v="1013785.7397751668"/>
    <n v="617584.5"/>
    <n v="765382.49999999988"/>
    <n v="0"/>
    <n v="207"/>
    <n v="729729.83201207663"/>
    <n v="1670445.3781512605"/>
    <n v="80"/>
    <n v="90"/>
    <n v="104"/>
    <n v="0"/>
    <n v="0"/>
    <n v="0"/>
    <n v="440776.40859789861"/>
    <n v="548964"/>
    <n v="0"/>
    <n v="0"/>
    <n v="90"/>
    <n v="440776.40859789861"/>
    <n v="1484840.336134454"/>
    <n v="75"/>
    <n v="0"/>
    <n v="97.5"/>
    <n v="300"/>
    <n v="300"/>
    <n v="300"/>
    <n v="0"/>
    <n v="514653.75"/>
    <n v="1583550"/>
    <n v="1583550"/>
    <n v="300"/>
    <n v="1583550"/>
    <n v="1392037.8151260505"/>
    <n v="250"/>
    <n v="202.5"/>
    <n v="202.5"/>
    <n v="300"/>
    <n v="300"/>
    <n v="300"/>
    <n v="0"/>
    <n v="1068896.25"/>
    <n v="1068896.25"/>
    <n v="1583550"/>
    <n v="1583550"/>
    <n v="502.5"/>
    <n v="2652446.25"/>
    <n v="2550819.3277310925"/>
    <n v="150"/>
    <n v="300"/>
    <n v="195"/>
    <n v="300"/>
    <n v="300"/>
    <n v="1583550"/>
    <n v="1029307.5"/>
    <n v="1583550"/>
    <n v="1583550"/>
    <n v="600"/>
    <n v="3167100"/>
    <n v="2579161.7647058824"/>
    <n v="200"/>
    <n v="405"/>
    <n v="260"/>
    <n v="0"/>
    <n v="0"/>
    <n v="2137792.5"/>
    <n v="1372410"/>
    <n v="0"/>
    <n v="405"/>
    <n v="2137792.5"/>
    <n v="3712100.8403361347"/>
    <n v="90"/>
    <n v="145"/>
    <n v="117"/>
    <n v="0"/>
    <m/>
    <n v="765382.5"/>
    <n v="573009.33117726818"/>
    <n v="0"/>
    <n v="145"/>
    <n v="765382.5"/>
    <n v="1670445.3781512605"/>
  </r>
  <r>
    <s v="Simplit-Menaje de Cocina"/>
    <x v="2"/>
    <x v="17"/>
    <x v="47"/>
    <n v="1629726117626"/>
    <x v="462"/>
    <x v="309"/>
    <x v="0"/>
    <x v="3"/>
    <n v="1"/>
    <x v="267"/>
    <n v="707"/>
    <m/>
    <n v="0"/>
    <n v="4808.7675183875244"/>
    <n v="3399798.6354999798"/>
    <n v="5.0999999999999996"/>
    <n v="5571.75"/>
    <n v="14277.310924369749"/>
    <n v="12596.638655462186"/>
    <s v="Shenzhen"/>
    <x v="1"/>
    <n v="30"/>
    <n v="200"/>
    <n v="251"/>
    <n v="0.62517144155564541"/>
    <n v="158"/>
    <n v="0.62633896276736301"/>
    <n v="344"/>
    <n v="0.68259517024052163"/>
    <n v="231"/>
    <n v="0.68746782986175881"/>
    <n v="179"/>
    <n v="0.65542926938890034"/>
    <n v="343"/>
    <n v="0.62491667009391849"/>
    <n v="224"/>
    <n v="0.69874564876752088"/>
    <n v="257"/>
    <n v="0.67778149265316234"/>
    <n v="223"/>
    <n v="0.68884759865446432"/>
    <n v="372"/>
    <n v="0.59742630435260768"/>
    <n v="226"/>
    <n v="0.65242965134149966"/>
    <n v="80"/>
    <n v="0.70688252052190437"/>
    <n v="140"/>
    <n v="0.61447458216563244"/>
    <n v="115"/>
    <n v="0.6729445678771111"/>
    <n v="413"/>
    <n v="0.65844753994952621"/>
    <n v="398"/>
    <n v="0.68746786257935855"/>
    <n v="1.0756756756756756"/>
    <n v="519"/>
    <n v="0.65480945952537617"/>
    <n v="2.5950000000000002"/>
    <n v="916"/>
    <n v="0.62512911577891073"/>
    <n v="1.6654545454545455"/>
    <n v="165"/>
    <n v="0.69892626442279626"/>
    <n v="0.47142857142857142"/>
    <n v="350"/>
    <n v="199"/>
    <n v="199"/>
    <n v="850"/>
    <n v="850"/>
    <n v="0"/>
    <n v="3772478.118175013"/>
    <n v="1050421.5"/>
    <n v="956944.73615911731"/>
    <n v="0"/>
    <n v="707"/>
    <n v="3399798.6354999798"/>
    <n v="2387550.3142433446"/>
    <n v="250"/>
    <n v="501"/>
    <n v="172.5"/>
    <n v="400"/>
    <n v="400"/>
    <n v="0"/>
    <n v="4729422.85433413"/>
    <n v="2644528.5"/>
    <n v="829512.39692184795"/>
    <n v="0"/>
    <n v="707"/>
    <n v="3399798.6354999798"/>
    <n v="2069610.1970199847"/>
    <n v="450"/>
    <n v="1120"/>
    <n v="413"/>
    <n v="0"/>
    <n v="0"/>
    <n v="4955610.457412282"/>
    <n v="5385819.6205940275"/>
    <n v="1986020.9850940476"/>
    <n v="0"/>
    <n v="707"/>
    <n v="3399798.6354999798"/>
    <n v="5896529.4117647065"/>
    <n v="370"/>
    <n v="1393"/>
    <n v="398"/>
    <n v="700"/>
    <n v="0"/>
    <n v="7352950.5"/>
    <n v="1913889.4723182346"/>
    <x v="57"/>
    <x v="0"/>
    <n v="707"/>
    <n v="3399798.6354999798"/>
    <n v="5682369.7478991598"/>
    <n v="200"/>
    <n v="1226"/>
    <n v="200"/>
    <n v="600"/>
    <n v="600"/>
    <n v="0"/>
    <n v="5895548.9775431054"/>
    <n v="1055700"/>
    <x v="21"/>
    <n v="0"/>
    <n v="707"/>
    <n v="3399798.6354999798"/>
    <n v="2855462.1848739497"/>
    <n v="550"/>
    <n v="1623"/>
    <n v="916"/>
    <m/>
    <n v="600"/>
    <n v="0"/>
    <n v="7804629.6823429521"/>
    <n v="4835106"/>
    <n v="0"/>
    <n v="0"/>
    <n v="1623"/>
    <n v="3399798.6354999798"/>
    <n v="13078016.806722689"/>
    <n v="350"/>
    <n v="872"/>
    <n v="350"/>
    <n v="600"/>
    <n v="600"/>
    <n v="0"/>
    <n v="4193245.2760339212"/>
    <n v="1847475"/>
    <n v="3061529.9999999995"/>
    <n v="0"/>
    <n v="872"/>
    <n v="3399798.6354999798"/>
    <n v="4997058.823529412"/>
    <n v="250"/>
    <n v="522"/>
    <n v="250"/>
    <n v="0"/>
    <n v="0"/>
    <n v="0"/>
    <n v="2510176.6445982875"/>
    <n v="1319625"/>
    <n v="0"/>
    <n v="0"/>
    <n v="522"/>
    <n v="2510176.6445982875"/>
    <n v="3569327.7310924372"/>
    <n v="250"/>
    <n v="272"/>
    <n v="250"/>
    <n v="0"/>
    <n v="0"/>
    <m/>
    <n v="1435752"/>
    <n v="1319625"/>
    <n v="0"/>
    <n v="0"/>
    <n v="272"/>
    <n v="1435752"/>
    <n v="3569327.7310924372"/>
    <n v="650"/>
    <n v="22"/>
    <n v="22"/>
    <n v="1200"/>
    <n v="1200"/>
    <n v="1200"/>
    <n v="0"/>
    <n v="116127"/>
    <n v="116127"/>
    <n v="6334200"/>
    <n v="6334200"/>
    <n v="1222"/>
    <n v="6450327"/>
    <n v="277126.05042016809"/>
    <n v="350"/>
    <n v="1200"/>
    <n v="350"/>
    <n v="500"/>
    <n v="500"/>
    <n v="6334200"/>
    <n v="1847475"/>
    <n v="2639250"/>
    <n v="2639250"/>
    <n v="1700"/>
    <n v="8973450"/>
    <n v="4629264.7058823537"/>
    <n v="350"/>
    <n v="1350"/>
    <n v="350"/>
    <n v="0"/>
    <n v="0"/>
    <n v="7125975"/>
    <n v="1847475"/>
    <n v="0"/>
    <n v="1350"/>
    <n v="7125975"/>
    <n v="4997058.823529412"/>
    <n v="210"/>
    <n v="1000"/>
    <n v="210"/>
    <n v="0"/>
    <m/>
    <n v="5278500"/>
    <n v="1009841.1788613801"/>
    <n v="0"/>
    <n v="1000"/>
    <n v="5278500"/>
    <n v="2998235.2941176472"/>
  </r>
  <r>
    <s v="Simplit-Menaje de Cocina"/>
    <x v="2"/>
    <x v="17"/>
    <x v="47"/>
    <n v="1639488921197"/>
    <x v="463"/>
    <x v="310"/>
    <x v="0"/>
    <x v="0"/>
    <n v="1"/>
    <x v="268"/>
    <n v="427"/>
    <m/>
    <n v="0"/>
    <n v="2527.12231069477"/>
    <n v="1079081.2266666668"/>
    <n v="2.6999999999999997"/>
    <n v="2949.7499999999991"/>
    <n v="8394.957983193277"/>
    <n v="6714.2857142857147"/>
    <s v="Shenzhen"/>
    <x v="0"/>
    <n v="30"/>
    <n v="100"/>
    <n v="75"/>
    <n v="0.73401981215618717"/>
    <n v="85"/>
    <n v="0.71316947829679556"/>
    <n v="147"/>
    <n v="0.74225927167950667"/>
    <n v="106"/>
    <n v="0.67463478206087457"/>
    <n v="147"/>
    <n v="0.70153671718768285"/>
    <n v="113"/>
    <n v="0.6699471002074302"/>
    <n v="115"/>
    <n v="0.52447890013843601"/>
    <n v="98"/>
    <n v="0.47680439972404737"/>
    <n v="93"/>
    <n v="0.45049406755024374"/>
    <n v="157"/>
    <n v="0.46334083456413266"/>
    <n v="-7"/>
    <n v="0.42132932232422032"/>
    <n v="1"/>
    <n v="0.57638210258020839"/>
    <n v="1"/>
    <n v="0.72235006597850315"/>
    <n v="11"/>
    <n v="0.72595852748508705"/>
    <n v="82"/>
    <n v="0.7301632201202457"/>
    <n v="91"/>
    <n v="0.67446370519435317"/>
    <n v="0.82727272727272727"/>
    <n v="90"/>
    <n v="0.71281038616459025"/>
    <n v="0.6428571428571429"/>
    <n v="116"/>
    <n v="0.63125371606892289"/>
    <n v="0.89230769230769236"/>
    <n v="48"/>
    <n v="0.53017229126170018"/>
    <n v="0.36923076923076925"/>
    <n v="90"/>
    <n v="37"/>
    <n v="37"/>
    <n v="300"/>
    <n v="300"/>
    <n v="0"/>
    <n v="342425.07309914136"/>
    <n v="103396.49999999997"/>
    <n v="93503.52549570649"/>
    <n v="0"/>
    <n v="427"/>
    <n v="1079081.2266666668"/>
    <n v="261019.70199844643"/>
    <n v="80"/>
    <n v="357"/>
    <n v="16.5"/>
    <n v="150"/>
    <n v="150"/>
    <n v="0"/>
    <n v="478889.67787665885"/>
    <n v="997636.49999999965"/>
    <n v="41697.518126463707"/>
    <n v="0"/>
    <n v="427"/>
    <n v="1079081.2266666668"/>
    <n v="116400.67791822611"/>
    <n v="140"/>
    <n v="341"/>
    <n v="82"/>
    <n v="0"/>
    <n v="0"/>
    <n v="828422.1597501951"/>
    <n v="861748.70794691658"/>
    <n v="207224.02947697113"/>
    <n v="0"/>
    <n v="427"/>
    <n v="1079081.2266666668"/>
    <n v="688386.55462184874"/>
    <n v="110"/>
    <n v="391"/>
    <n v="91"/>
    <n v="0"/>
    <n v="0"/>
    <n v="1092649.4999999995"/>
    <n v="229968.13027322406"/>
    <x v="0"/>
    <x v="0"/>
    <n v="427"/>
    <n v="1079081.2266666668"/>
    <n v="763941.17647058819"/>
    <n v="140"/>
    <n v="517"/>
    <n v="140"/>
    <m/>
    <n v="0"/>
    <n v="0"/>
    <n v="1306522.2346291961"/>
    <n v="391229.99999999988"/>
    <x v="0"/>
    <n v="0"/>
    <n v="427"/>
    <n v="1079081.2266666668"/>
    <n v="1175294.1176470588"/>
    <n v="130"/>
    <n v="543"/>
    <n v="116"/>
    <m/>
    <n v="0"/>
    <n v="0"/>
    <n v="1372227.4147072602"/>
    <n v="324161.99999999988"/>
    <n v="0"/>
    <n v="0"/>
    <n v="543"/>
    <n v="1079081.2266666668"/>
    <n v="973815.12605042011"/>
    <n v="130"/>
    <n v="475"/>
    <n v="130"/>
    <n v="350"/>
    <n v="350"/>
    <n v="0"/>
    <n v="1200383.0975800157"/>
    <n v="363284.99999999988"/>
    <n v="945472.49999999977"/>
    <n v="0"/>
    <n v="475"/>
    <n v="1079081.2266666668"/>
    <n v="1091344.5378151259"/>
    <n v="101"/>
    <n v="345"/>
    <n v="101"/>
    <n v="50"/>
    <n v="50"/>
    <n v="0"/>
    <n v="871857.19718969567"/>
    <n v="282244.49999999988"/>
    <n v="139724.99999999994"/>
    <n v="0"/>
    <n v="395"/>
    <n v="1011582.1971896957"/>
    <n v="847890.75630252098"/>
    <n v="100"/>
    <n v="244"/>
    <n v="100"/>
    <n v="0"/>
    <n v="0"/>
    <n v="50"/>
    <n v="681857.99999999977"/>
    <n v="279449.99999999988"/>
    <n v="0"/>
    <n v="139724.99999999994"/>
    <n v="294"/>
    <n v="821582.99999999977"/>
    <n v="839495.79831932765"/>
    <n v="120"/>
    <n v="194"/>
    <n v="120"/>
    <n v="0"/>
    <n v="0"/>
    <n v="0"/>
    <m/>
    <n v="542132.99999999977"/>
    <n v="335339.99999999988"/>
    <n v="0"/>
    <n v="0"/>
    <n v="194"/>
    <n v="542132.99999999977"/>
    <n v="805714.2857142858"/>
    <n v="85"/>
    <n v="74"/>
    <n v="85"/>
    <n v="200"/>
    <n v="200"/>
    <n v="206792.99999999994"/>
    <n v="237532.49999999991"/>
    <n v="558899.99999999977"/>
    <n v="558899.99999999977"/>
    <n v="274"/>
    <n v="765692.99999999977"/>
    <n v="599250.00000000012"/>
    <n v="120"/>
    <n v="189"/>
    <n v="120"/>
    <n v="0"/>
    <n v="0"/>
    <n v="528160.49999999988"/>
    <n v="335339.99999999988"/>
    <n v="0"/>
    <n v="189"/>
    <n v="528160.49999999988"/>
    <n v="1007394.9579831932"/>
    <n v="51"/>
    <n v="69"/>
    <n v="51"/>
    <n v="0"/>
    <m/>
    <n v="192820.49999999994"/>
    <n v="128883.23784543326"/>
    <n v="0"/>
    <n v="69"/>
    <n v="192820.49999999994"/>
    <n v="428142.8571428571"/>
  </r>
  <r>
    <s v="Simplit-Menaje de Cocina"/>
    <x v="2"/>
    <x v="17"/>
    <x v="47"/>
    <n v="1660858025311"/>
    <x v="464"/>
    <x v="311"/>
    <x v="0"/>
    <x v="4"/>
    <n v="1"/>
    <x v="269"/>
    <n v="254"/>
    <m/>
    <n v="0"/>
    <n v="2201.625456665372"/>
    <n v="559212.86599300453"/>
    <n v="2.65"/>
    <n v="2895.125"/>
    <n v="8394.957983193277"/>
    <n v="6714.2857142857147"/>
    <s v="Shenzhen"/>
    <x v="0"/>
    <n v="30"/>
    <n v="100"/>
    <n v="88"/>
    <n v="0.67071012700551169"/>
    <n v="64"/>
    <n v="0.67100918546308663"/>
    <n v="90"/>
    <n v="0.67807938078606689"/>
    <n v="67"/>
    <n v="0.66660622739032716"/>
    <n v="69"/>
    <n v="0.66443273857516305"/>
    <n v="38"/>
    <n v="0.73655335920328102"/>
    <n v="101"/>
    <n v="0.7546780472051251"/>
    <n v="82"/>
    <n v="0.77153532374561651"/>
    <n v="64"/>
    <n v="0.76241585021968905"/>
    <n v="160"/>
    <n v="0.74881085410832215"/>
    <n v="92"/>
    <n v="0.74868529714158449"/>
    <n v="84"/>
    <n v="0.73469562883842465"/>
    <n v="77"/>
    <n v="0.65741169648320685"/>
    <n v="50"/>
    <n v="0.65358313528501066"/>
    <n v="93"/>
    <n v="0.67712220586402538"/>
    <n v="97"/>
    <n v="0.66874861213328884"/>
    <n v="1.3857142857142857"/>
    <n v="73"/>
    <n v="0.67110409918128922"/>
    <n v="1.1230769230769231"/>
    <n v="67"/>
    <n v="0.73466504299077184"/>
    <n v="0.60909090909090913"/>
    <n v="12"/>
    <n v="0.75532838051487561"/>
    <n v="0.12"/>
    <n v="80.666666666666671"/>
    <n v="103"/>
    <n v="60"/>
    <n v="100"/>
    <n v="100"/>
    <n v="0"/>
    <n v="501970.6041197048"/>
    <n v="282503.25"/>
    <n v="132097.52739992231"/>
    <n v="0"/>
    <n v="254"/>
    <n v="559212.86599300453"/>
    <n v="423275.19242991315"/>
    <n v="70"/>
    <n v="334"/>
    <n v="75"/>
    <n v="0"/>
    <n v="100"/>
    <n v="0"/>
    <n v="583430.74601632357"/>
    <n v="916078.5"/>
    <n v="165121.90924990291"/>
    <n v="0"/>
    <n v="254"/>
    <n v="559212.86599300453"/>
    <n v="529093.99053739139"/>
    <n v="94"/>
    <n v="265"/>
    <n v="93"/>
    <n v="0"/>
    <n v="0"/>
    <n v="596587.58676642063"/>
    <n v="583430.74601632357"/>
    <n v="204751.16746987958"/>
    <n v="0"/>
    <n v="254"/>
    <n v="559212.86599300453"/>
    <n v="780731.09243697475"/>
    <n v="70"/>
    <n v="299"/>
    <n v="97"/>
    <n v="0"/>
    <n v="0"/>
    <n v="820082.25"/>
    <n v="213557.66929654108"/>
    <x v="0"/>
    <x v="0"/>
    <n v="254"/>
    <n v="559212.86599300453"/>
    <n v="814310.92436974787"/>
    <n v="65"/>
    <n v="327"/>
    <n v="65"/>
    <m/>
    <n v="0"/>
    <n v="0"/>
    <n v="719931.52432957664"/>
    <n v="178278.75"/>
    <x v="0"/>
    <n v="0"/>
    <n v="254"/>
    <n v="559212.86599300453"/>
    <n v="545672.26890756295"/>
    <n v="110"/>
    <n v="321"/>
    <n v="67"/>
    <m/>
    <n v="0"/>
    <n v="0"/>
    <n v="706721.77158958442"/>
    <n v="183764.25"/>
    <n v="0"/>
    <n v="0"/>
    <n v="321"/>
    <n v="559212.86599300453"/>
    <n v="562462.1848739495"/>
    <n v="100"/>
    <n v="266"/>
    <n v="100"/>
    <n v="200"/>
    <n v="200"/>
    <n v="0"/>
    <n v="585632.37147298898"/>
    <n v="274275"/>
    <n v="530265"/>
    <n v="0"/>
    <n v="266"/>
    <n v="559212.86599300453"/>
    <n v="839495.79831932765"/>
    <n v="88"/>
    <n v="166"/>
    <n v="88"/>
    <n v="120"/>
    <n v="120"/>
    <n v="0"/>
    <n v="365469.82580645173"/>
    <n v="241362"/>
    <n v="329130"/>
    <n v="0"/>
    <n v="286"/>
    <n v="694599.82580645173"/>
    <n v="738756.30252100842"/>
    <n v="64"/>
    <n v="78"/>
    <n v="64"/>
    <n v="0"/>
    <n v="0"/>
    <n v="144"/>
    <n v="213934.5"/>
    <n v="175536"/>
    <n v="0"/>
    <n v="394956"/>
    <n v="222"/>
    <n v="608890.5"/>
    <n v="537277.31092436973"/>
    <n v="130"/>
    <n v="158"/>
    <n v="130"/>
    <n v="0"/>
    <n v="0"/>
    <n v="0"/>
    <m/>
    <n v="433354.5"/>
    <n v="356557.5"/>
    <n v="0"/>
    <n v="0"/>
    <n v="158"/>
    <n v="433354.5"/>
    <n v="872857.14285714296"/>
    <n v="100"/>
    <n v="28"/>
    <n v="100"/>
    <n v="150"/>
    <n v="150"/>
    <n v="76797"/>
    <n v="274275"/>
    <n v="411412.5"/>
    <n v="411412.5"/>
    <n v="178"/>
    <n v="488209.5"/>
    <n v="705000.00000000012"/>
    <n v="100"/>
    <n v="78"/>
    <n v="100"/>
    <n v="0"/>
    <n v="0"/>
    <n v="213934.5"/>
    <n v="274275"/>
    <n v="0"/>
    <n v="78"/>
    <n v="213934.5"/>
    <n v="839495.79831932765"/>
    <n v="60"/>
    <n v="0"/>
    <n v="60"/>
    <n v="0"/>
    <m/>
    <n v="0"/>
    <n v="132097.52739992231"/>
    <n v="0"/>
    <n v="0"/>
    <n v="0"/>
    <n v="503697.47899159661"/>
  </r>
  <r>
    <m/>
    <x v="2"/>
    <x v="17"/>
    <x v="47"/>
    <s v="SIMTABCUT-WD"/>
    <x v="465"/>
    <x v="312"/>
    <x v="0"/>
    <x v="4"/>
    <n v="1"/>
    <x v="270"/>
    <n v="238"/>
    <m/>
    <n v="0"/>
    <n v="7263"/>
    <n v="1728594"/>
    <n v="1.07"/>
    <n v="1168.9750000000001"/>
    <n v="19319.327731092439"/>
    <n v="16798.319327731093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63387523629489606"/>
    <n v="12"/>
    <n v="0.53577795395960859"/>
    <n v="32"/>
    <s v=""/>
    <n v="41"/>
    <s v=""/>
    <n v="49"/>
    <s v=""/>
    <n v="58"/>
    <s v=""/>
    <n v="1.9333333333333333"/>
    <n v="54"/>
    <s v=""/>
    <n v="2.16"/>
    <n v="16"/>
    <s v=""/>
    <n v="0.4"/>
    <n v="20"/>
    <s v=""/>
    <n v="0.8"/>
    <n v="30"/>
    <n v="266"/>
    <n v="25"/>
    <n v="0"/>
    <n v="0"/>
    <n v="0"/>
    <n v="984136.5"/>
    <n v="294581.69999999995"/>
    <n v="181575"/>
    <n v="0"/>
    <n v="238"/>
    <n v="1728594"/>
    <n v="405868.22964479914"/>
    <n v="30"/>
    <n v="234"/>
    <n v="61.5"/>
    <n v="0"/>
    <n v="0"/>
    <n v="0"/>
    <n v="1223815.5"/>
    <n v="259143.29999999996"/>
    <n v="446674.5"/>
    <n v="0"/>
    <n v="238"/>
    <n v="1728594"/>
    <n v="998435.84492620593"/>
    <n v="48"/>
    <n v="178"/>
    <n v="49"/>
    <n v="0"/>
    <n v="0"/>
    <n v="804827.25"/>
    <n v="1292814"/>
    <n v="355887"/>
    <n v="0"/>
    <n v="238"/>
    <n v="1728594"/>
    <n v="946647.05882352951"/>
    <n v="30"/>
    <n v="134"/>
    <n v="58"/>
    <n v="0"/>
    <n v="0"/>
    <n v="148398.29999999999"/>
    <n v="421254"/>
    <x v="0"/>
    <x v="0"/>
    <n v="238"/>
    <n v="1728594"/>
    <n v="1120521.0084033615"/>
    <n v="25"/>
    <n v="292"/>
    <n v="25"/>
    <m/>
    <n v="0"/>
    <n v="0"/>
    <n v="2120796"/>
    <n v="27686.249999999996"/>
    <x v="0"/>
    <n v="0"/>
    <n v="238"/>
    <n v="1728594"/>
    <n v="482983.19327731099"/>
    <n v="40"/>
    <n v="254"/>
    <n v="16"/>
    <m/>
    <n v="0"/>
    <n v="0"/>
    <n v="1844802"/>
    <n v="17719.199999999997"/>
    <n v="0"/>
    <n v="0"/>
    <n v="254"/>
    <n v="1728594"/>
    <n v="309109.24369747902"/>
    <n v="25"/>
    <n v="258"/>
    <n v="25"/>
    <n v="204"/>
    <n v="204"/>
    <n v="0"/>
    <n v="1873854"/>
    <n v="27686.249999999996"/>
    <n v="218389.14"/>
    <n v="0"/>
    <n v="258"/>
    <n v="1728594"/>
    <n v="482983.19327731099"/>
    <n v="30"/>
    <n v="233"/>
    <n v="30"/>
    <n v="0"/>
    <n v="0"/>
    <n v="0"/>
    <n v="1692279"/>
    <n v="33223.499999999993"/>
    <n v="0"/>
    <n v="0"/>
    <n v="233"/>
    <n v="1692279"/>
    <n v="579579.83193277312"/>
    <n v="80"/>
    <n v="203"/>
    <n v="80"/>
    <n v="0"/>
    <n v="0"/>
    <m/>
    <n v="224812.34999999998"/>
    <n v="88595.999999999985"/>
    <n v="0"/>
    <n v="0"/>
    <n v="203"/>
    <n v="224812.34999999998"/>
    <n v="1545546.218487395"/>
    <n v="60"/>
    <n v="123"/>
    <n v="60"/>
    <n v="0"/>
    <n v="0"/>
    <n v="0"/>
    <m/>
    <n v="136216.34999999998"/>
    <n v="66446.999999999985"/>
    <n v="0"/>
    <n v="0"/>
    <n v="123"/>
    <n v="136216.34999999998"/>
    <n v="1007899.1596638656"/>
    <n v="40"/>
    <n v="63"/>
    <n v="40"/>
    <n v="150"/>
    <n v="150"/>
    <n v="69769.349999999991"/>
    <n v="44297.999999999993"/>
    <n v="166117.49999999997"/>
    <n v="166117.49999999997"/>
    <n v="213"/>
    <n v="235886.84999999998"/>
    <n v="705529.4117647059"/>
    <n v="50"/>
    <n v="173"/>
    <n v="50"/>
    <n v="0"/>
    <n v="0"/>
    <n v="191588.84999999998"/>
    <n v="55372.499999999993"/>
    <n v="0"/>
    <n v="173"/>
    <n v="191588.84999999998"/>
    <n v="965966.38655462197"/>
    <n v="24"/>
    <n v="123"/>
    <n v="24"/>
    <n v="0"/>
    <m/>
    <n v="136216.34999999998"/>
    <n v="174312"/>
    <n v="0"/>
    <n v="123"/>
    <n v="136216.34999999998"/>
    <n v="463663.86554621853"/>
  </r>
  <r>
    <s v="Simplit-Menaje de Cocina"/>
    <x v="2"/>
    <x v="17"/>
    <x v="48"/>
    <s v="SIMCUROM-30"/>
    <x v="466"/>
    <x v="313"/>
    <x v="0"/>
    <x v="3"/>
    <n v="1"/>
    <x v="271"/>
    <n v="574"/>
    <n v="600"/>
    <n v="4742400"/>
    <n v="9218"/>
    <n v="5291132"/>
    <n v="8.32"/>
    <n v="9089.5999999999985"/>
    <n v="21000"/>
    <n v="18478.991596638658"/>
    <s v="Shenzhen"/>
    <x v="0"/>
    <n v="60"/>
    <n v="500"/>
    <n v="171"/>
    <n v="0.58290073851590329"/>
    <n v="125"/>
    <n v="0.63165596882444108"/>
    <n v="108"/>
    <n v="0.62948453537496418"/>
    <n v="74"/>
    <n v="0.64810752934635207"/>
    <n v="0"/>
    <s v=""/>
    <n v="1"/>
    <s v=""/>
    <n v="0"/>
    <n v="0.6432640266645504"/>
    <n v="3"/>
    <n v="0.62296229903086664"/>
    <n v="78"/>
    <n v="0.62788256445597168"/>
    <n v="426"/>
    <n v="0.51261798800841829"/>
    <n v="363"/>
    <n v="0.52321647831167861"/>
    <n v="133"/>
    <n v="0.48318331474880333"/>
    <n v="30"/>
    <s v=""/>
    <n v="1"/>
    <s v=""/>
    <n v="93"/>
    <s v=""/>
    <n v="227"/>
    <s v=""/>
    <n v="1.2611111111111111"/>
    <n v="237"/>
    <s v=""/>
    <n v="1.58"/>
    <n v="328"/>
    <s v=""/>
    <n v="0.82"/>
    <n v="56"/>
    <s v=""/>
    <n v="0.24347826086956523"/>
    <n v="0"/>
    <n v="28"/>
    <n v="28"/>
    <n v="500"/>
    <n v="0"/>
    <n v="0"/>
    <n v="1129205"/>
    <n v="241113.59999999998"/>
    <n v="258104"/>
    <n v="0"/>
    <n v="574"/>
    <n v="5291132"/>
    <n v="494117.64705882355"/>
    <n v="0"/>
    <n v="2"/>
    <n v="1.5"/>
    <n v="500"/>
    <n v="500"/>
    <n v="0"/>
    <n v="2963587"/>
    <n v="17222.399999999998"/>
    <n v="13827"/>
    <n v="0"/>
    <n v="574"/>
    <n v="5291132"/>
    <n v="26470.588235294119"/>
    <n v="300"/>
    <n v="667"/>
    <n v="93"/>
    <n v="0"/>
    <n v="0"/>
    <n v="4241440"/>
    <n v="6148406"/>
    <n v="857274"/>
    <n v="0"/>
    <n v="574"/>
    <n v="5291132"/>
    <n v="1953000"/>
    <n v="180"/>
    <n v="893"/>
    <n v="227"/>
    <n v="500"/>
    <n v="0"/>
    <n v="7689801.5999999987"/>
    <n v="2092486"/>
    <x v="58"/>
    <x v="0"/>
    <n v="574"/>
    <n v="5291132"/>
    <n v="4767000"/>
    <n v="150"/>
    <n v="811"/>
    <n v="150"/>
    <n v="600"/>
    <n v="500"/>
    <n v="0"/>
    <n v="7475798"/>
    <n v="1291679.9999999998"/>
    <x v="22"/>
    <n v="0"/>
    <n v="574"/>
    <n v="5291132"/>
    <n v="3150000"/>
    <n v="400"/>
    <n v="902"/>
    <n v="328"/>
    <m/>
    <n v="600"/>
    <n v="0"/>
    <n v="8314636"/>
    <n v="2824473.5999999996"/>
    <n v="0"/>
    <n v="0"/>
    <n v="902"/>
    <n v="5291132"/>
    <n v="6888000"/>
    <n v="230"/>
    <n v="630"/>
    <n v="230"/>
    <n v="0"/>
    <n v="500"/>
    <n v="0"/>
    <n v="5807340"/>
    <n v="1980575.9999999998"/>
    <n v="0"/>
    <n v="0"/>
    <n v="630"/>
    <n v="5291132"/>
    <n v="4830000"/>
    <n v="200"/>
    <n v="400"/>
    <n v="200"/>
    <n v="0"/>
    <n v="0"/>
    <n v="0"/>
    <n v="3687200"/>
    <n v="1722239.9999999998"/>
    <n v="0"/>
    <n v="0"/>
    <n v="400"/>
    <n v="3687200"/>
    <n v="4200000"/>
    <n v="152"/>
    <n v="200"/>
    <n v="152"/>
    <n v="0"/>
    <n v="0"/>
    <m/>
    <n v="1722239.9999999998"/>
    <n v="1308902.3999999999"/>
    <n v="0"/>
    <n v="0"/>
    <n v="200"/>
    <n v="1722239.9999999998"/>
    <n v="3192000"/>
    <n v="350"/>
    <n v="48"/>
    <n v="350"/>
    <n v="0"/>
    <n v="600"/>
    <n v="600"/>
    <n v="0"/>
    <n v="413337.59999999998"/>
    <n v="3013919.9999999995"/>
    <n v="0"/>
    <n v="5166719.9999999991"/>
    <n v="648"/>
    <n v="5580057.5999999987"/>
    <n v="6467647.0588235306"/>
    <n v="300"/>
    <n v="298"/>
    <n v="300"/>
    <n v="500"/>
    <n v="500"/>
    <n v="2566137.5999999996"/>
    <n v="2583359.9999999995"/>
    <n v="4305599.9999999991"/>
    <n v="4305599.9999999991"/>
    <n v="798"/>
    <n v="6871737.5999999987"/>
    <n v="5820882.3529411769"/>
    <n v="350"/>
    <n v="498"/>
    <n v="350"/>
    <n v="0"/>
    <n v="0"/>
    <n v="4288377.5999999996"/>
    <n v="3013919.9999999995"/>
    <n v="0"/>
    <n v="498"/>
    <n v="4288377.5999999996"/>
    <n v="7350000"/>
    <n v="180"/>
    <n v="148"/>
    <n v="180"/>
    <n v="0"/>
    <m/>
    <n v="1274457.5999999999"/>
    <n v="1659240"/>
    <n v="0"/>
    <n v="148"/>
    <n v="1274457.5999999999"/>
    <n v="3780000"/>
  </r>
  <r>
    <s v="Simplit-Menaje de Cocina"/>
    <x v="2"/>
    <x v="17"/>
    <x v="48"/>
    <s v="SIMCUPGL-30"/>
    <x v="467"/>
    <x v="314"/>
    <x v="0"/>
    <x v="3"/>
    <n v="1"/>
    <x v="272"/>
    <n v="641"/>
    <m/>
    <n v="0"/>
    <n v="7052"/>
    <n v="4520332"/>
    <n v="7.39"/>
    <n v="8073.5749999999998"/>
    <n v="21000"/>
    <n v="14277.310924369749"/>
    <s v="Shenzhen"/>
    <x v="0"/>
    <n v="60"/>
    <n v="500"/>
    <n v="70"/>
    <n v="0.62843363182306744"/>
    <n v="27"/>
    <n v="0.64586832980507913"/>
    <n v="70"/>
    <n v="0.61349431258533504"/>
    <n v="152"/>
    <n v="0.53954518833228871"/>
    <n v="121"/>
    <n v="0.62836372577208932"/>
    <n v="59"/>
    <n v="0.47595130020968812"/>
    <n v="1"/>
    <n v="0.66170616307763719"/>
    <n v="2"/>
    <n v="0.6004200501253133"/>
    <n v="39"/>
    <n v="0.61622613708403218"/>
    <n v="218"/>
    <n v="0.49679846196414756"/>
    <n v="140"/>
    <n v="0.52163445080173865"/>
    <n v="59"/>
    <n v="0.527067702506263"/>
    <n v="33"/>
    <s v=""/>
    <n v="94"/>
    <s v=""/>
    <n v="192"/>
    <s v=""/>
    <n v="86"/>
    <s v=""/>
    <n v="0.74782608695652175"/>
    <n v="62"/>
    <s v=""/>
    <n v="0.47692307692307695"/>
    <n v="332"/>
    <s v=""/>
    <n v="1.1066666666666667"/>
    <n v="82"/>
    <s v=""/>
    <n v="0.45555555555555555"/>
    <n v="120"/>
    <n v="4"/>
    <n v="20"/>
    <n v="0"/>
    <n v="500"/>
    <n v="0"/>
    <n v="2489356"/>
    <n v="30594.6"/>
    <n v="141040"/>
    <n v="0"/>
    <n v="641"/>
    <n v="4520332"/>
    <n v="352941.17647058825"/>
    <n v="120"/>
    <n v="500"/>
    <n v="141"/>
    <n v="0"/>
    <n v="0"/>
    <n v="0"/>
    <n v="2954788"/>
    <n v="3824325"/>
    <n v="994332"/>
    <n v="0"/>
    <n v="641"/>
    <n v="4520332"/>
    <n v="2488235.2941176472"/>
    <n v="200"/>
    <n v="386"/>
    <n v="192"/>
    <n v="0"/>
    <n v="0"/>
    <n v="2954780.5"/>
    <n v="2722072"/>
    <n v="1353984"/>
    <n v="0"/>
    <n v="641"/>
    <n v="4520332"/>
    <n v="4032000"/>
    <n v="115"/>
    <n v="1155"/>
    <n v="86"/>
    <n v="500"/>
    <n v="0"/>
    <n v="8834190.75"/>
    <n v="606472"/>
    <x v="59"/>
    <x v="0"/>
    <n v="641"/>
    <n v="4520332"/>
    <n v="1806000"/>
    <n v="130"/>
    <n v="703"/>
    <n v="130"/>
    <n v="500"/>
    <n v="500"/>
    <n v="0"/>
    <n v="4957556"/>
    <n v="994324.5"/>
    <x v="23"/>
    <n v="0"/>
    <n v="641"/>
    <n v="4520332"/>
    <n v="2730000"/>
    <n v="300"/>
    <n v="973"/>
    <n v="332"/>
    <m/>
    <n v="0"/>
    <n v="0"/>
    <n v="6861596"/>
    <n v="2539351.7999999998"/>
    <n v="0"/>
    <n v="0"/>
    <n v="973"/>
    <n v="4520332"/>
    <n v="6972000"/>
    <n v="180"/>
    <n v="723"/>
    <n v="180"/>
    <n v="0"/>
    <n v="0"/>
    <n v="0"/>
    <n v="5098596"/>
    <n v="1376757"/>
    <n v="0"/>
    <n v="0"/>
    <n v="723"/>
    <n v="4520332"/>
    <n v="3780000"/>
    <n v="152"/>
    <n v="543"/>
    <n v="152"/>
    <n v="0"/>
    <n v="0"/>
    <n v="0"/>
    <n v="3829236"/>
    <n v="1162594.8"/>
    <n v="0"/>
    <n v="0"/>
    <n v="543"/>
    <n v="3829236"/>
    <n v="3192000"/>
    <n v="100"/>
    <n v="391"/>
    <n v="100"/>
    <n v="500"/>
    <n v="250"/>
    <n v="500"/>
    <n v="2990622.15"/>
    <n v="764865"/>
    <n v="3824325"/>
    <n v="3824325"/>
    <n v="891"/>
    <n v="6814947.1500000004"/>
    <n v="2100000"/>
    <n v="250"/>
    <n v="791"/>
    <n v="250"/>
    <n v="0"/>
    <n v="0"/>
    <n v="0"/>
    <m/>
    <n v="6050082.1499999994"/>
    <n v="1912162.5"/>
    <n v="0"/>
    <n v="0"/>
    <n v="791"/>
    <n v="6050082.1499999994"/>
    <n v="3569327.7310924372"/>
    <n v="140"/>
    <n v="541"/>
    <n v="140"/>
    <n v="0"/>
    <n v="0"/>
    <n v="4137919.65"/>
    <n v="1070811"/>
    <n v="0"/>
    <n v="0"/>
    <n v="541"/>
    <n v="4137919.65"/>
    <n v="2098764.7058823532"/>
    <n v="180"/>
    <n v="401"/>
    <n v="180"/>
    <n v="500"/>
    <n v="500"/>
    <n v="3067108.65"/>
    <n v="1376757"/>
    <n v="3824325"/>
    <n v="901"/>
    <n v="6891433.6500000004"/>
    <n v="3780000"/>
    <n v="84"/>
    <n v="721"/>
    <n v="84"/>
    <n v="0"/>
    <m/>
    <n v="5514676.6499999994"/>
    <n v="592368"/>
    <n v="0"/>
    <n v="721"/>
    <n v="5514676.6499999994"/>
    <n v="1764000"/>
  </r>
  <r>
    <s v="Simplit-Menaje de Cocina"/>
    <x v="2"/>
    <x v="17"/>
    <x v="48"/>
    <s v="SIMCUVER-CR"/>
    <x v="468"/>
    <x v="315"/>
    <x v="0"/>
    <x v="3"/>
    <n v="1"/>
    <x v="273"/>
    <n v="664"/>
    <m/>
    <n v="0"/>
    <n v="10700"/>
    <n v="7104800"/>
    <n v="9.8000000000000007"/>
    <n v="10706.5"/>
    <n v="25201.680672268907"/>
    <n v="19319.327731092439"/>
    <s v="Shenzhen"/>
    <x v="0"/>
    <n v="60"/>
    <n v="500"/>
    <n v="17"/>
    <n v="0.47773116091603118"/>
    <n v="52"/>
    <n v="0.55886346508559726"/>
    <n v="76"/>
    <n v="0.56204540360358679"/>
    <n v="71"/>
    <n v="0.59704866545559743"/>
    <n v="72"/>
    <n v="0.59849621963990562"/>
    <n v="212"/>
    <n v="0.51416893096842442"/>
    <n v="81"/>
    <n v="0.56992750707828044"/>
    <n v="100"/>
    <n v="0.57497431709672886"/>
    <n v="14"/>
    <n v="0.6295067670566713"/>
    <n v="196"/>
    <n v="0.50742160781775669"/>
    <n v="160"/>
    <n v="0.60922209427164853"/>
    <n v="352"/>
    <n v="0.51629837816169677"/>
    <n v="45"/>
    <s v=""/>
    <n v="50"/>
    <s v=""/>
    <n v="194"/>
    <s v=""/>
    <n v="143"/>
    <s v=""/>
    <n v="0.89375000000000004"/>
    <n v="102"/>
    <s v=""/>
    <n v="1.2749999999999999"/>
    <n v="312"/>
    <s v=""/>
    <n v="1.248"/>
    <n v="80"/>
    <s v=""/>
    <n v="0.53333333333333333"/>
    <n v="0"/>
    <n v="50"/>
    <n v="50"/>
    <n v="500"/>
    <n v="0"/>
    <n v="0"/>
    <n v="3413300"/>
    <n v="507150"/>
    <n v="535000"/>
    <n v="0"/>
    <n v="664"/>
    <n v="7104800"/>
    <n v="1058894.1458936518"/>
    <n v="5"/>
    <n v="40"/>
    <n v="75"/>
    <n v="0"/>
    <n v="500"/>
    <n v="0"/>
    <n v="4408400"/>
    <n v="405720"/>
    <n v="802500"/>
    <n v="0"/>
    <n v="664"/>
    <n v="7104800"/>
    <n v="1588341.2188404775"/>
    <n v="220"/>
    <n v="472"/>
    <n v="194"/>
    <n v="0"/>
    <n v="0"/>
    <n v="4417340"/>
    <n v="5050400"/>
    <n v="2075800"/>
    <n v="0"/>
    <n v="664"/>
    <n v="7104800"/>
    <n v="4889126.0504201679"/>
    <n v="160"/>
    <n v="243"/>
    <n v="143"/>
    <n v="500"/>
    <n v="0"/>
    <n v="2464749"/>
    <n v="1530100"/>
    <x v="60"/>
    <x v="0"/>
    <n v="664"/>
    <n v="7104800"/>
    <n v="3603840.3361344538"/>
    <n v="80"/>
    <n v="766"/>
    <n v="80"/>
    <n v="500"/>
    <n v="0"/>
    <n v="0"/>
    <n v="8196200"/>
    <n v="811440"/>
    <x v="24"/>
    <n v="0"/>
    <n v="664"/>
    <n v="7104800"/>
    <n v="2016134.4537815126"/>
    <n v="250"/>
    <n v="976"/>
    <n v="312"/>
    <m/>
    <n v="500"/>
    <n v="0"/>
    <n v="10443200"/>
    <n v="3164616"/>
    <n v="0"/>
    <n v="0"/>
    <n v="976"/>
    <n v="7104800"/>
    <n v="7862924.3697478995"/>
    <n v="150"/>
    <n v="744"/>
    <n v="150"/>
    <n v="0"/>
    <n v="500"/>
    <n v="0"/>
    <n v="7960800"/>
    <n v="1521450"/>
    <n v="0"/>
    <n v="0"/>
    <n v="744"/>
    <n v="7104800"/>
    <n v="3780252.1008403362"/>
    <n v="120"/>
    <n v="594"/>
    <n v="120"/>
    <n v="0"/>
    <n v="0"/>
    <n v="0"/>
    <n v="6355800"/>
    <n v="1217160"/>
    <n v="0"/>
    <n v="0"/>
    <n v="594"/>
    <n v="6355800"/>
    <n v="3024201.6806722688"/>
    <n v="100"/>
    <n v="474"/>
    <n v="100"/>
    <n v="0"/>
    <n v="0"/>
    <m/>
    <n v="4807782"/>
    <n v="1014300"/>
    <n v="0"/>
    <n v="0"/>
    <n v="474"/>
    <n v="4807782"/>
    <n v="2520168.0672268905"/>
    <n v="300"/>
    <n v="374"/>
    <n v="300"/>
    <n v="0"/>
    <n v="0"/>
    <n v="0"/>
    <m/>
    <n v="3793482"/>
    <n v="3042900"/>
    <n v="0"/>
    <n v="0"/>
    <n v="374"/>
    <n v="3793482"/>
    <n v="5795798.3193277316"/>
    <n v="120"/>
    <n v="74"/>
    <n v="120"/>
    <n v="500"/>
    <n v="500"/>
    <n v="750582"/>
    <n v="1217160"/>
    <n v="5071500"/>
    <n v="5071500"/>
    <n v="574"/>
    <n v="5822082"/>
    <n v="2434235.2941176472"/>
    <n v="200"/>
    <n v="454"/>
    <n v="200"/>
    <n v="0"/>
    <n v="0"/>
    <n v="4604922"/>
    <n v="2028600"/>
    <n v="0"/>
    <n v="454"/>
    <n v="4604922"/>
    <n v="5040336.1344537809"/>
    <n v="72"/>
    <n v="254"/>
    <n v="72"/>
    <n v="0"/>
    <m/>
    <n v="2576322"/>
    <n v="770400"/>
    <n v="0"/>
    <n v="254"/>
    <n v="2576322"/>
    <n v="1814521.0084033613"/>
  </r>
  <r>
    <s v="Simplit-Menaje de Cocina"/>
    <x v="2"/>
    <x v="17"/>
    <x v="48"/>
    <s v="SIMCUVER-WO"/>
    <x v="469"/>
    <x v="316"/>
    <x v="0"/>
    <x v="4"/>
    <n v="0.9"/>
    <x v="274"/>
    <n v="153"/>
    <m/>
    <n v="0"/>
    <n v="19949"/>
    <n v="3052197"/>
    <n v="19"/>
    <n v="20757.5"/>
    <n v="42008.403361344543"/>
    <n v="33605.042016806721"/>
    <s v="Shenzhen"/>
    <x v="0"/>
    <n v="60"/>
    <n v="500"/>
    <n v="0"/>
    <s v=""/>
    <n v="4"/>
    <n v="0.56577071296809278"/>
    <n v="24"/>
    <n v="0.52661601666159608"/>
    <n v="18"/>
    <n v="0.49351587406516723"/>
    <n v="30"/>
    <n v="0.53962759996149057"/>
    <n v="166"/>
    <n v="0.41008111318732371"/>
    <n v="67"/>
    <n v="0.43588368537684341"/>
    <n v="56"/>
    <n v="0.42421434965891947"/>
    <n v="56"/>
    <n v="0.54827059304811288"/>
    <n v="50"/>
    <n v="0.50126319329340929"/>
    <n v="10"/>
    <n v="0.53175665129433136"/>
    <n v="55"/>
    <n v="0.51770773642990442"/>
    <n v="24"/>
    <s v=""/>
    <n v="37"/>
    <s v=""/>
    <n v="27"/>
    <s v=""/>
    <n v="23"/>
    <s v=""/>
    <n v="0.65714285714285714"/>
    <n v="22"/>
    <s v=""/>
    <n v="0.62857142857142856"/>
    <n v="65"/>
    <s v=""/>
    <n v="0.72222222222222221"/>
    <n v="15"/>
    <s v=""/>
    <n v="0.21428571428571427"/>
    <n v="45"/>
    <n v="263"/>
    <n v="45"/>
    <n v="0"/>
    <n v="0"/>
    <n v="0"/>
    <n v="2543497.5"/>
    <n v="5171895"/>
    <n v="897705"/>
    <n v="0"/>
    <n v="153"/>
    <n v="3052197"/>
    <n v="1588553.0682861381"/>
    <n v="40"/>
    <n v="240"/>
    <n v="55.5"/>
    <n v="100"/>
    <n v="100"/>
    <n v="0"/>
    <n v="2104619.5"/>
    <n v="4719600"/>
    <n v="1107169.5"/>
    <n v="0"/>
    <n v="153"/>
    <n v="3052197"/>
    <n v="1959215.4508862372"/>
    <n v="60"/>
    <n v="174"/>
    <n v="27"/>
    <n v="0"/>
    <n v="0"/>
    <n v="1616897.5"/>
    <n v="3471126"/>
    <n v="538623"/>
    <n v="0"/>
    <n v="153"/>
    <n v="3052197"/>
    <n v="1134226.8907563027"/>
    <n v="35"/>
    <n v="281"/>
    <n v="23"/>
    <n v="0"/>
    <n v="0"/>
    <n v="5525865"/>
    <n v="458827"/>
    <x v="0"/>
    <x v="0"/>
    <n v="153"/>
    <n v="3052197"/>
    <n v="966193.27731092449"/>
    <n v="35"/>
    <n v="175"/>
    <n v="31.5"/>
    <n v="300"/>
    <n v="0"/>
    <n v="0"/>
    <n v="3491075"/>
    <n v="619447.5"/>
    <x v="25"/>
    <n v="0"/>
    <n v="153"/>
    <n v="3052197"/>
    <n v="1323264.705882353"/>
    <n v="90"/>
    <n v="218"/>
    <n v="65"/>
    <m/>
    <n v="0"/>
    <n v="0"/>
    <n v="4348882"/>
    <n v="1278225"/>
    <n v="0"/>
    <n v="0"/>
    <n v="218"/>
    <n v="3052197"/>
    <n v="2730546.2184873954"/>
    <n v="70"/>
    <n v="168"/>
    <n v="63"/>
    <n v="0"/>
    <n v="150"/>
    <n v="0"/>
    <n v="3351432"/>
    <n v="1238895"/>
    <n v="0"/>
    <n v="0"/>
    <n v="168"/>
    <n v="3052197"/>
    <n v="2646529.411764706"/>
    <n v="60"/>
    <n v="105"/>
    <n v="54"/>
    <n v="0"/>
    <n v="0"/>
    <n v="0"/>
    <n v="2094645"/>
    <n v="1061910"/>
    <n v="0"/>
    <n v="0"/>
    <n v="105"/>
    <n v="2094645"/>
    <n v="2268453.7815126055"/>
    <n v="45"/>
    <n v="51"/>
    <n v="40.5"/>
    <n v="0"/>
    <n v="0"/>
    <n v="300"/>
    <n v="1002915"/>
    <n v="796432.5"/>
    <n v="0"/>
    <n v="5899500"/>
    <n v="351"/>
    <n v="6902415"/>
    <n v="1701340.336134454"/>
    <n v="60"/>
    <n v="310.5"/>
    <n v="54"/>
    <n v="0"/>
    <n v="0"/>
    <n v="0"/>
    <n v="0"/>
    <n v="6105982.5"/>
    <n v="1061910"/>
    <n v="0"/>
    <n v="0"/>
    <n v="310.5"/>
    <n v="6105982.5"/>
    <n v="1814672.2689075628"/>
    <n v="50"/>
    <n v="256.5"/>
    <n v="45"/>
    <n v="0"/>
    <n v="0"/>
    <n v="5044072.5"/>
    <n v="884925"/>
    <n v="0"/>
    <n v="0"/>
    <n v="256.5"/>
    <n v="5044072.5"/>
    <n v="1587838.2352941176"/>
    <n v="60"/>
    <n v="211.5"/>
    <n v="54"/>
    <n v="0"/>
    <n v="0"/>
    <n v="4159147.5"/>
    <n v="1061910"/>
    <n v="0"/>
    <n v="211.5"/>
    <n v="4159147.5"/>
    <n v="2268453.7815126055"/>
    <n v="30"/>
    <n v="157.5"/>
    <n v="27"/>
    <n v="0"/>
    <m/>
    <n v="3097237.5"/>
    <n v="538623"/>
    <n v="0"/>
    <n v="157.5"/>
    <n v="3097237.5"/>
    <n v="1134226.8907563027"/>
  </r>
  <r>
    <m/>
    <x v="2"/>
    <x v="17"/>
    <x v="48"/>
    <s v="SIMCUPAR-BK"/>
    <x v="470"/>
    <x v="317"/>
    <x v="0"/>
    <x v="2"/>
    <n v="1"/>
    <x v="12"/>
    <n v="2"/>
    <m/>
    <n v="0"/>
    <n v="9804.9"/>
    <n v="19609.8"/>
    <n v="9.8000000000000007"/>
    <n v="10706.5"/>
    <n v="25201.680672268907"/>
    <n v="19319.327731092439"/>
    <s v="Shenzhen"/>
    <x v="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s v=""/>
    <n v="10"/>
    <s v=""/>
    <n v="0"/>
    <n v="46"/>
    <s v=""/>
    <n v="1.1499999999999999"/>
    <n v="123"/>
    <s v=""/>
    <n v="1.0249999999999999"/>
    <n v="19"/>
    <s v=""/>
    <n v="2.375"/>
    <n v="0"/>
    <n v="0"/>
    <n v="0"/>
    <n v="0"/>
    <n v="0"/>
    <n v="0"/>
    <n v="9804.9"/>
    <n v="0"/>
    <n v="0"/>
    <n v="0"/>
    <n v="2"/>
    <n v="19609.8"/>
    <n v="0"/>
    <n v="0"/>
    <n v="0"/>
    <n v="0"/>
    <n v="0"/>
    <n v="0"/>
    <n v="0"/>
    <n v="107853.9"/>
    <n v="0"/>
    <n v="0"/>
    <n v="0"/>
    <n v="2"/>
    <n v="19609.8"/>
    <n v="0"/>
    <n v="0"/>
    <n v="0"/>
    <n v="1"/>
    <n v="0"/>
    <n v="0"/>
    <n v="513573.9"/>
    <n v="0"/>
    <n v="9804.9"/>
    <n v="0"/>
    <n v="2"/>
    <n v="19609.8"/>
    <n v="25201.680672268907"/>
    <n v="0"/>
    <n v="182"/>
    <n v="10"/>
    <n v="0"/>
    <n v="0"/>
    <n v="1846026"/>
    <n v="98049"/>
    <x v="0"/>
    <x v="0"/>
    <n v="2"/>
    <n v="19609.8"/>
    <n v="252016.80672268907"/>
    <n v="40"/>
    <n v="48"/>
    <n v="40"/>
    <n v="0"/>
    <n v="200"/>
    <n v="0"/>
    <n v="470635.19999999995"/>
    <n v="405720"/>
    <x v="0"/>
    <n v="0"/>
    <n v="2"/>
    <n v="19609.8"/>
    <n v="1008067.2268907563"/>
    <n v="120"/>
    <n v="125"/>
    <n v="123"/>
    <m/>
    <n v="0"/>
    <n v="0"/>
    <n v="1225612.5"/>
    <n v="1247589"/>
    <n v="0"/>
    <n v="0"/>
    <n v="125"/>
    <n v="19609.8"/>
    <n v="3099806.7226890754"/>
    <n v="8"/>
    <n v="21"/>
    <n v="8"/>
    <n v="300"/>
    <n v="300"/>
    <n v="0"/>
    <n v="205902.9"/>
    <n v="81144"/>
    <n v="2941470"/>
    <n v="0"/>
    <n v="21"/>
    <n v="19609.8"/>
    <n v="201613.44537815126"/>
    <n v="0"/>
    <n v="13"/>
    <n v="0"/>
    <n v="150"/>
    <n v="150"/>
    <n v="0"/>
    <n v="127463.7"/>
    <n v="0"/>
    <n v="1521450"/>
    <n v="0"/>
    <n v="163"/>
    <n v="1648913.7"/>
    <n v="0"/>
    <n v="70"/>
    <n v="13"/>
    <n v="70"/>
    <n v="0"/>
    <n v="150"/>
    <n v="450"/>
    <n v="131859"/>
    <n v="710010"/>
    <n v="0"/>
    <n v="4564350"/>
    <n v="463"/>
    <n v="4696209"/>
    <n v="1764117.6470588236"/>
    <n v="180"/>
    <n v="393"/>
    <n v="180"/>
    <n v="0"/>
    <n v="0"/>
    <n v="0"/>
    <n v="0"/>
    <n v="3986199"/>
    <n v="1825740"/>
    <n v="0"/>
    <n v="0"/>
    <n v="393"/>
    <n v="3986199"/>
    <n v="3477478.9915966392"/>
    <n v="150"/>
    <n v="213"/>
    <n v="150"/>
    <n v="300"/>
    <n v="300"/>
    <n v="2160459"/>
    <n v="1521450"/>
    <n v="3042900"/>
    <n v="3042900"/>
    <n v="513"/>
    <n v="5203359"/>
    <n v="3042794.1176470593"/>
    <n v="200"/>
    <n v="363"/>
    <n v="200"/>
    <n v="300"/>
    <n v="300"/>
    <n v="3681909"/>
    <n v="2028600"/>
    <n v="3042900"/>
    <n v="663"/>
    <n v="6724809"/>
    <n v="5040336.1344537809"/>
    <n v="90"/>
    <n v="463"/>
    <n v="90"/>
    <n v="0"/>
    <n v="300"/>
    <n v="4696209"/>
    <n v="882441"/>
    <n v="3042900"/>
    <n v="763"/>
    <n v="7739109"/>
    <n v="2268151.2605042015"/>
  </r>
  <r>
    <m/>
    <x v="2"/>
    <x v="17"/>
    <x v="48"/>
    <s v="SIMCUCER-24"/>
    <x v="471"/>
    <x v="318"/>
    <x v="0"/>
    <x v="2"/>
    <n v="1"/>
    <x v="12"/>
    <n v="839"/>
    <m/>
    <n v="0"/>
    <n v="7153.5749999999998"/>
    <n v="6001849.4249999998"/>
    <n v="7.15"/>
    <n v="7811.3749999999991"/>
    <n v="18478.991596638658"/>
    <n v="14277.310924369749"/>
    <s v="Shenzhen"/>
    <x v="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2"/>
    <s v=""/>
    <n v="0.55000000000000004"/>
    <n v="119"/>
    <s v=""/>
    <n v="0.79333333333333333"/>
    <n v="28"/>
    <s v=""/>
    <n v="0.4"/>
    <n v="0"/>
    <n v="0"/>
    <n v="0"/>
    <n v="0"/>
    <n v="0"/>
    <n v="0"/>
    <n v="0"/>
    <n v="0"/>
    <n v="0"/>
    <n v="0"/>
    <n v="839"/>
    <n v="6001849.4249999998"/>
    <n v="0"/>
    <n v="0"/>
    <n v="0"/>
    <n v="0"/>
    <n v="0"/>
    <n v="0"/>
    <n v="0"/>
    <n v="0"/>
    <n v="0"/>
    <n v="0"/>
    <n v="0"/>
    <n v="839"/>
    <n v="6001849.4249999998"/>
    <n v="0"/>
    <n v="0"/>
    <n v="0"/>
    <n v="0"/>
    <n v="0"/>
    <n v="0"/>
    <n v="296009.99999999994"/>
    <n v="0"/>
    <n v="0"/>
    <n v="0"/>
    <n v="839"/>
    <n v="6001849.4249999998"/>
    <n v="0"/>
    <n v="0"/>
    <n v="500"/>
    <n v="0"/>
    <n v="0"/>
    <n v="0"/>
    <n v="3700124.9999999995"/>
    <n v="0"/>
    <x v="0"/>
    <x v="0"/>
    <n v="839"/>
    <n v="6001849.4249999998"/>
    <n v="0"/>
    <n v="40"/>
    <n v="861"/>
    <n v="40"/>
    <n v="0"/>
    <n v="500"/>
    <n v="0"/>
    <n v="6159228.0750000002"/>
    <n v="296009.99999999994"/>
    <x v="0"/>
    <n v="0"/>
    <n v="839"/>
    <n v="6001849.4249999998"/>
    <n v="739159.66386554635"/>
    <n v="150"/>
    <n v="958"/>
    <n v="119"/>
    <m/>
    <n v="0"/>
    <n v="0"/>
    <n v="6853124.8499999996"/>
    <n v="880629.74999999988"/>
    <n v="0"/>
    <n v="0"/>
    <n v="958"/>
    <n v="6001849.4249999998"/>
    <n v="2199000.0000000005"/>
    <n v="70"/>
    <n v="867"/>
    <n v="70"/>
    <n v="500"/>
    <n v="500"/>
    <n v="0"/>
    <n v="6202149.5249999994"/>
    <n v="518017.49999999994"/>
    <n v="3576787.5"/>
    <n v="0"/>
    <n v="867"/>
    <n v="6001849.4249999998"/>
    <n v="1293529.411764706"/>
    <n v="70"/>
    <n v="797"/>
    <n v="70"/>
    <n v="0"/>
    <n v="0"/>
    <n v="0"/>
    <n v="5701399.2749999994"/>
    <n v="518017.49999999994"/>
    <n v="0"/>
    <n v="0"/>
    <n v="797"/>
    <n v="5701399.2749999994"/>
    <n v="1293529.411764706"/>
    <n v="70"/>
    <n v="727"/>
    <n v="70"/>
    <n v="0"/>
    <n v="0"/>
    <m/>
    <n v="5379981.7499999991"/>
    <n v="518017.49999999994"/>
    <n v="0"/>
    <n v="0"/>
    <n v="727"/>
    <n v="5379981.7499999991"/>
    <n v="1293529.411764706"/>
    <n v="150"/>
    <n v="657"/>
    <n v="150"/>
    <n v="0"/>
    <n v="0"/>
    <n v="0"/>
    <m/>
    <n v="4861964.2499999991"/>
    <n v="1110037.4999999998"/>
    <n v="0"/>
    <n v="0"/>
    <n v="657"/>
    <n v="4861964.2499999991"/>
    <n v="2141596.6386554623"/>
    <n v="120"/>
    <n v="507"/>
    <n v="120"/>
    <n v="0"/>
    <n v="0"/>
    <n v="3751926.7499999995"/>
    <n v="888029.99999999988"/>
    <n v="0"/>
    <n v="0"/>
    <n v="507"/>
    <n v="3751926.7499999995"/>
    <n v="1798941.1764705884"/>
    <n v="200"/>
    <n v="387"/>
    <n v="200"/>
    <n v="0"/>
    <n v="0"/>
    <n v="2863896.7499999995"/>
    <n v="1480049.9999999998"/>
    <n v="0"/>
    <n v="387"/>
    <n v="2863896.7499999995"/>
    <n v="3695798.3193277316"/>
    <n v="72"/>
    <n v="187"/>
    <n v="72"/>
    <n v="0"/>
    <m/>
    <n v="1383846.7499999998"/>
    <n v="515057.39999999997"/>
    <n v="0"/>
    <n v="187"/>
    <n v="1383846.7499999998"/>
    <n v="1330487.3949579834"/>
  </r>
  <r>
    <s v="Simplit-Menaje de Cocina"/>
    <x v="2"/>
    <x v="17"/>
    <x v="48"/>
    <s v="SIMCUMAR-WO"/>
    <x v="472"/>
    <x v="319"/>
    <x v="0"/>
    <x v="0"/>
    <n v="1"/>
    <x v="275"/>
    <n v="41"/>
    <m/>
    <n v="0"/>
    <n v="5598"/>
    <n v="229518"/>
    <n v="5.25"/>
    <n v="5735.625"/>
    <n v="10915.966386554623"/>
    <n v="12596.638655462186"/>
    <s v="Shenzhen"/>
    <x v="0"/>
    <n v="60"/>
    <n v="300"/>
    <n v="0"/>
    <s v=""/>
    <n v="0"/>
    <s v=""/>
    <n v="7"/>
    <n v="0.63953472184059645"/>
    <n v="9"/>
    <n v="0.62741959732664765"/>
    <n v="5"/>
    <n v="0.65468299185216394"/>
    <n v="17"/>
    <n v="0.55929761776802145"/>
    <n v="15"/>
    <n v="0.62409047159862485"/>
    <n v="9"/>
    <n v="0.59711967849604275"/>
    <n v="14"/>
    <n v="0.54856030695570879"/>
    <n v="41"/>
    <n v="0.5572589535449507"/>
    <n v="15"/>
    <n v="0.65239221150778504"/>
    <n v="19"/>
    <n v="0.58397619357061525"/>
    <n v="9"/>
    <s v=""/>
    <n v="19"/>
    <s v=""/>
    <n v="15"/>
    <s v=""/>
    <n v="19"/>
    <s v=""/>
    <n v="1.2666666666666666"/>
    <n v="11"/>
    <s v=""/>
    <n v="0.73333333333333328"/>
    <n v="29"/>
    <s v=""/>
    <n v="1.45"/>
    <n v="2"/>
    <s v=""/>
    <n v="0.1"/>
    <n v="15"/>
    <n v="144"/>
    <n v="15"/>
    <n v="0"/>
    <n v="0"/>
    <n v="0"/>
    <n v="327483"/>
    <n v="782460"/>
    <n v="83970"/>
    <n v="0"/>
    <n v="41"/>
    <n v="229518"/>
    <n v="137596.21495657088"/>
    <n v="10"/>
    <n v="134"/>
    <n v="28.5"/>
    <n v="0"/>
    <n v="0"/>
    <n v="0"/>
    <n v="349875"/>
    <n v="728122.5"/>
    <n v="159543"/>
    <n v="0"/>
    <n v="41"/>
    <n v="229518"/>
    <n v="261432.80841748469"/>
    <n v="40"/>
    <n v="111"/>
    <n v="15"/>
    <n v="0"/>
    <n v="0"/>
    <n v="271838.25"/>
    <n v="621378"/>
    <n v="83970"/>
    <n v="0"/>
    <n v="41"/>
    <n v="229518"/>
    <n v="163739.49579831935"/>
    <n v="15"/>
    <n v="100"/>
    <n v="19"/>
    <n v="0"/>
    <n v="0"/>
    <n v="543375"/>
    <n v="106362"/>
    <x v="0"/>
    <x v="0"/>
    <n v="41"/>
    <n v="229518"/>
    <n v="207403.36134453784"/>
    <n v="15"/>
    <n v="52"/>
    <n v="15"/>
    <m/>
    <n v="0"/>
    <n v="0"/>
    <n v="291096"/>
    <n v="81506.25"/>
    <x v="0"/>
    <n v="0"/>
    <n v="41"/>
    <n v="229518"/>
    <n v="163739.49579831935"/>
    <n v="20"/>
    <n v="70"/>
    <n v="29"/>
    <m/>
    <n v="0"/>
    <n v="0"/>
    <n v="391860"/>
    <n v="157578.75"/>
    <n v="0"/>
    <n v="0"/>
    <n v="70"/>
    <n v="229518"/>
    <n v="316563.02521008404"/>
    <n v="20"/>
    <n v="43"/>
    <n v="20"/>
    <n v="100"/>
    <n v="100"/>
    <n v="0"/>
    <n v="240714"/>
    <n v="108675"/>
    <n v="525262.5"/>
    <n v="0"/>
    <n v="43"/>
    <n v="229518"/>
    <n v="218319.32773109246"/>
    <n v="24"/>
    <n v="23"/>
    <n v="24"/>
    <n v="0"/>
    <n v="0"/>
    <n v="0"/>
    <n v="128754"/>
    <n v="130410"/>
    <n v="0"/>
    <n v="0"/>
    <n v="23"/>
    <n v="128754"/>
    <n v="261983.19327731093"/>
    <n v="0"/>
    <n v="0"/>
    <n v="0"/>
    <n v="0"/>
    <n v="0"/>
    <n v="100"/>
    <n v="0"/>
    <n v="0"/>
    <n v="0"/>
    <n v="543375"/>
    <n v="100"/>
    <n v="543375"/>
    <n v="0"/>
    <n v="0"/>
    <n v="100"/>
    <n v="0"/>
    <n v="0"/>
    <n v="0"/>
    <n v="0"/>
    <m/>
    <n v="543375"/>
    <n v="0"/>
    <n v="0"/>
    <n v="0"/>
    <n v="100"/>
    <n v="543375"/>
    <n v="0"/>
    <n v="0"/>
    <n v="100"/>
    <n v="0"/>
    <n v="0"/>
    <n v="0"/>
    <n v="543375"/>
    <n v="0"/>
    <n v="0"/>
    <n v="0"/>
    <n v="100"/>
    <n v="543375"/>
    <n v="0"/>
    <n v="0"/>
    <n v="100"/>
    <n v="0"/>
    <n v="0"/>
    <n v="0"/>
    <n v="543375"/>
    <n v="0"/>
    <n v="0"/>
    <n v="100"/>
    <n v="543375"/>
    <n v="0"/>
    <n v="0"/>
    <n v="100"/>
    <n v="0"/>
    <n v="0"/>
    <m/>
    <n v="543375"/>
    <n v="0"/>
    <n v="0"/>
    <n v="100"/>
    <n v="543375"/>
    <n v="0"/>
  </r>
  <r>
    <s v="Simplit-Menaje de Cocina"/>
    <x v="2"/>
    <x v="17"/>
    <x v="48"/>
    <s v="SIMCUMAR-BK"/>
    <x v="473"/>
    <x v="320"/>
    <x v="0"/>
    <x v="4"/>
    <n v="1"/>
    <x v="276"/>
    <n v="12"/>
    <m/>
    <n v="0"/>
    <n v="2936"/>
    <n v="35232"/>
    <n v="2.77"/>
    <n v="3026.2249999999999"/>
    <n v="10915.966386554623"/>
    <n v="10915.966386554623"/>
    <s v="Shenzhen"/>
    <x v="0"/>
    <n v="60"/>
    <n v="300"/>
    <n v="0"/>
    <s v=""/>
    <n v="0"/>
    <s v=""/>
    <n v="6"/>
    <n v="0.81486761831277976"/>
    <n v="23"/>
    <n v="0.77876816508489599"/>
    <n v="24"/>
    <n v="0.75467269557951644"/>
    <n v="70"/>
    <n v="0.73635474711641669"/>
    <n v="34"/>
    <n v="0.705327175299031"/>
    <n v="99"/>
    <n v="0.70797376717264282"/>
    <n v="12"/>
    <n v="0.76561025343335021"/>
    <n v="5"/>
    <n v="0.75239529950669481"/>
    <n v="8"/>
    <n v="0.7680838879124785"/>
    <n v="27"/>
    <n v="0.79122775136892309"/>
    <n v="13"/>
    <s v=""/>
    <n v="49"/>
    <s v=""/>
    <n v="50"/>
    <s v=""/>
    <n v="96"/>
    <s v=""/>
    <n v="0.68571428571428572"/>
    <n v="17"/>
    <s v=""/>
    <n v="0.56666666666666665"/>
    <n v="17"/>
    <s v=""/>
    <n v="0.17"/>
    <n v="0"/>
    <s v=""/>
    <n v="0"/>
    <n v="35"/>
    <n v="93"/>
    <n v="35"/>
    <n v="150"/>
    <n v="150"/>
    <n v="0"/>
    <n v="465356"/>
    <n v="266626.34999999998"/>
    <n v="102760"/>
    <n v="0"/>
    <n v="12"/>
    <n v="35232"/>
    <n v="321057.83489866537"/>
    <n v="15"/>
    <n v="83"/>
    <n v="73.5"/>
    <n v="0"/>
    <n v="0"/>
    <n v="0"/>
    <n v="644452"/>
    <n v="237956.84999999998"/>
    <n v="215796"/>
    <n v="0"/>
    <n v="12"/>
    <n v="35232"/>
    <n v="674221.45328719728"/>
    <n v="50"/>
    <n v="153"/>
    <n v="50"/>
    <n v="0"/>
    <n v="0"/>
    <n v="514664.5"/>
    <n v="449208"/>
    <n v="146800"/>
    <n v="0"/>
    <n v="12"/>
    <n v="35232"/>
    <n v="545798.31932773115"/>
    <n v="140"/>
    <n v="145"/>
    <n v="96"/>
    <n v="0"/>
    <n v="0"/>
    <n v="415707.75"/>
    <n v="281856"/>
    <x v="0"/>
    <x v="0"/>
    <n v="12"/>
    <n v="35232"/>
    <n v="1047932.7731092437"/>
    <n v="30"/>
    <n v="29"/>
    <n v="30"/>
    <m/>
    <n v="0"/>
    <n v="0"/>
    <n v="85144"/>
    <n v="86008.5"/>
    <x v="0"/>
    <n v="0"/>
    <n v="12"/>
    <n v="35232"/>
    <n v="327478.99159663869"/>
    <n v="100"/>
    <n v="29"/>
    <n v="17"/>
    <m/>
    <n v="0"/>
    <n v="0"/>
    <n v="85144"/>
    <n v="48738.149999999994"/>
    <n v="0"/>
    <n v="0"/>
    <n v="29"/>
    <n v="35232"/>
    <n v="185571.42857142858"/>
    <n v="0"/>
    <n v="12"/>
    <n v="0"/>
    <n v="200"/>
    <n v="200"/>
    <n v="0"/>
    <n v="35232"/>
    <n v="0"/>
    <n v="554277"/>
    <n v="0"/>
    <n v="12"/>
    <n v="35232"/>
    <n v="0"/>
    <n v="60"/>
    <n v="12"/>
    <n v="60"/>
    <n v="0"/>
    <n v="0"/>
    <n v="0"/>
    <n v="35232"/>
    <n v="172017"/>
    <n v="0"/>
    <n v="0"/>
    <n v="12"/>
    <n v="35232"/>
    <n v="654957.98319327738"/>
    <n v="60"/>
    <n v="0"/>
    <n v="60"/>
    <n v="500"/>
    <n v="500"/>
    <n v="204"/>
    <n v="0"/>
    <n v="172017"/>
    <n v="1433475"/>
    <n v="584857.79999999993"/>
    <n v="204"/>
    <n v="584857.79999999993"/>
    <n v="654957.98319327738"/>
    <n v="50"/>
    <n v="644"/>
    <n v="50"/>
    <n v="0"/>
    <n v="0"/>
    <n v="0"/>
    <n v="500"/>
    <n v="1846315.7999999998"/>
    <n v="143347.5"/>
    <n v="0"/>
    <n v="1433475"/>
    <n v="644"/>
    <n v="3279790.8"/>
    <n v="545798.31932773115"/>
    <n v="40"/>
    <n v="594"/>
    <n v="40"/>
    <n v="0"/>
    <n v="0"/>
    <n v="1702968.2999999998"/>
    <n v="114678"/>
    <n v="0"/>
    <n v="0"/>
    <n v="594"/>
    <n v="1702968.2999999998"/>
    <n v="458470.58823529421"/>
    <n v="60"/>
    <n v="554"/>
    <n v="60"/>
    <n v="0"/>
    <n v="0"/>
    <n v="1588290.2999999998"/>
    <n v="172017"/>
    <n v="0"/>
    <n v="554"/>
    <n v="1588290.2999999998"/>
    <n v="654957.98319327738"/>
    <n v="24"/>
    <n v="494"/>
    <n v="24"/>
    <n v="0"/>
    <m/>
    <n v="1416273.2999999998"/>
    <n v="70464"/>
    <n v="0"/>
    <n v="494"/>
    <n v="1416273.2999999998"/>
    <n v="261983.19327731093"/>
  </r>
  <r>
    <s v="Simplit-Menaje de Cocina"/>
    <x v="2"/>
    <x v="17"/>
    <x v="48"/>
    <s v="SIMCUPRO-4"/>
    <x v="474"/>
    <x v="321"/>
    <x v="0"/>
    <x v="6"/>
    <n v="1"/>
    <x v="12"/>
    <n v="180"/>
    <m/>
    <n v="0"/>
    <n v="6707"/>
    <n v="1207260"/>
    <n v="6.31"/>
    <n v="6893.6749999999993"/>
    <n v="14277.310924369749"/>
    <n v="12596.638655462186"/>
    <s v="Shenzhen"/>
    <x v="0"/>
    <n v="60"/>
    <n v="500"/>
    <n v="0"/>
    <s v=""/>
    <n v="1"/>
    <n v="0.62266626981979545"/>
    <n v="3"/>
    <n v="0.57930965821615521"/>
    <n v="11"/>
    <n v="0.51006050528797064"/>
    <n v="25"/>
    <n v="0.49490691186602243"/>
    <n v="54"/>
    <n v="0.40548951454843013"/>
    <n v="9"/>
    <n v="0.44689048524324498"/>
    <n v="21"/>
    <n v="0.35940598753504666"/>
    <n v="9"/>
    <n v="0.40630756005212654"/>
    <n v="50"/>
    <n v="0.40977876765316462"/>
    <n v="25"/>
    <n v="0.43657230431330218"/>
    <n v="32"/>
    <n v="0.47208781162810221"/>
    <n v="6"/>
    <s v=""/>
    <n v="6"/>
    <s v=""/>
    <n v="16"/>
    <s v=""/>
    <n v="27"/>
    <s v=""/>
    <n v="0.9"/>
    <n v="9"/>
    <s v=""/>
    <n v="0.45"/>
    <n v="15"/>
    <s v=""/>
    <n v="0.42857142857142855"/>
    <n v="4"/>
    <s v=""/>
    <n v="0.16"/>
    <n v="15"/>
    <n v="256"/>
    <n v="15"/>
    <n v="0"/>
    <n v="0"/>
    <n v="0"/>
    <n v="268280"/>
    <n v="1671897.5999999999"/>
    <n v="100605"/>
    <n v="0"/>
    <n v="180"/>
    <n v="1207260"/>
    <n v="179966.10408869432"/>
    <n v="10"/>
    <n v="250"/>
    <n v="9"/>
    <n v="0"/>
    <n v="0"/>
    <n v="0"/>
    <n v="348764"/>
    <n v="1632712.4999999998"/>
    <n v="60363"/>
    <n v="0"/>
    <n v="180"/>
    <n v="1207260"/>
    <n v="107979.6624532166"/>
    <n v="15"/>
    <n v="249"/>
    <n v="16"/>
    <n v="0"/>
    <n v="0"/>
    <n v="419018"/>
    <n v="1670043"/>
    <n v="107312"/>
    <n v="0"/>
    <n v="180"/>
    <n v="1207260"/>
    <n v="228436.97478991598"/>
    <n v="30"/>
    <n v="232"/>
    <n v="27"/>
    <n v="0"/>
    <n v="0"/>
    <n v="1515157.2"/>
    <n v="181089"/>
    <x v="0"/>
    <x v="0"/>
    <n v="180"/>
    <n v="1207260"/>
    <n v="385487.39495798323"/>
    <n v="20"/>
    <n v="189"/>
    <n v="20"/>
    <m/>
    <n v="0"/>
    <n v="0"/>
    <n v="1267623"/>
    <n v="130616.99999999999"/>
    <x v="0"/>
    <n v="0"/>
    <n v="180"/>
    <n v="1207260"/>
    <n v="285546.21848739497"/>
    <n v="35"/>
    <n v="195"/>
    <n v="15"/>
    <m/>
    <n v="0"/>
    <n v="0"/>
    <n v="1307865"/>
    <n v="97962.749999999985"/>
    <n v="0"/>
    <n v="0"/>
    <n v="195"/>
    <n v="1207260"/>
    <n v="214159.66386554623"/>
    <n v="25"/>
    <n v="184"/>
    <n v="25"/>
    <n v="0"/>
    <n v="0"/>
    <n v="0"/>
    <n v="1234088"/>
    <n v="163271.25"/>
    <n v="0"/>
    <n v="0"/>
    <n v="184"/>
    <n v="1207260"/>
    <n v="356932.77310924372"/>
    <n v="25"/>
    <n v="159"/>
    <n v="25"/>
    <n v="0"/>
    <n v="0"/>
    <n v="0"/>
    <n v="1066413"/>
    <n v="163271.25"/>
    <n v="0"/>
    <n v="0"/>
    <n v="159"/>
    <n v="1066413"/>
    <n v="356932.77310924372"/>
    <n v="25"/>
    <n v="134"/>
    <n v="25"/>
    <n v="0"/>
    <n v="0"/>
    <m/>
    <n v="875133.89999999991"/>
    <n v="163271.25"/>
    <n v="0"/>
    <n v="0"/>
    <n v="134"/>
    <n v="875133.89999999991"/>
    <n v="356932.77310924372"/>
    <n v="30"/>
    <n v="109"/>
    <n v="30"/>
    <n v="0"/>
    <n v="0"/>
    <n v="0"/>
    <m/>
    <n v="711862.64999999991"/>
    <n v="195925.49999999997"/>
    <n v="0"/>
    <n v="0"/>
    <n v="109"/>
    <n v="711862.64999999991"/>
    <n v="377899.15966386558"/>
    <n v="25"/>
    <n v="79"/>
    <n v="25"/>
    <n v="0"/>
    <n v="0"/>
    <n v="515937.14999999997"/>
    <n v="163271.25"/>
    <n v="0"/>
    <n v="0"/>
    <n v="79"/>
    <n v="515937.14999999997"/>
    <n v="330661.76470588241"/>
    <n v="30"/>
    <n v="54"/>
    <n v="30"/>
    <n v="0"/>
    <n v="0"/>
    <n v="352665.89999999997"/>
    <n v="195925.49999999997"/>
    <n v="0"/>
    <n v="54"/>
    <n v="352665.89999999997"/>
    <n v="428319.32773109246"/>
    <n v="15"/>
    <n v="24"/>
    <n v="15"/>
    <n v="0"/>
    <m/>
    <n v="156740.4"/>
    <n v="100605"/>
    <n v="0"/>
    <n v="24"/>
    <n v="156740.4"/>
    <n v="214159.66386554623"/>
  </r>
  <r>
    <s v="Simplit-Menaje de Cocina"/>
    <x v="2"/>
    <x v="17"/>
    <x v="48"/>
    <s v="SIMCUSTA-5"/>
    <x v="475"/>
    <x v="322"/>
    <x v="0"/>
    <x v="3"/>
    <n v="1"/>
    <x v="277"/>
    <n v="50"/>
    <m/>
    <n v="0"/>
    <n v="12797"/>
    <n v="639850"/>
    <n v="12.15"/>
    <n v="13273.874999999998"/>
    <n v="33605.042016806721"/>
    <n v="25201.680672268907"/>
    <s v="Shenzhen"/>
    <x v="0"/>
    <n v="60"/>
    <n v="300"/>
    <n v="18"/>
    <n v="0.56328667378686037"/>
    <n v="14"/>
    <n v="0.55566518114237773"/>
    <n v="40"/>
    <n v="0.58198919536855909"/>
    <n v="40"/>
    <n v="0.58585601942611643"/>
    <n v="21"/>
    <n v="0.60995166788360777"/>
    <n v="140"/>
    <n v="0.47609496953623748"/>
    <n v="83"/>
    <n v="0.48377148416517551"/>
    <n v="44"/>
    <n v="0.52098918941111283"/>
    <n v="36"/>
    <n v="0.57731327297580293"/>
    <n v="60"/>
    <n v="0.53018011648362617"/>
    <n v="41"/>
    <n v="0.60884817082214127"/>
    <n v="49"/>
    <n v="0.64008928920024799"/>
    <n v="55"/>
    <s v=""/>
    <n v="50"/>
    <s v=""/>
    <n v="79"/>
    <s v=""/>
    <n v="54"/>
    <s v=""/>
    <n v="1.08"/>
    <n v="53"/>
    <s v=""/>
    <n v="1.1777777777777778"/>
    <n v="145"/>
    <s v=""/>
    <n v="0.96666666666666667"/>
    <n v="17"/>
    <s v=""/>
    <n v="0.17894736842105263"/>
    <n v="40"/>
    <n v="191"/>
    <n v="40"/>
    <n v="100"/>
    <n v="100"/>
    <n v="0"/>
    <n v="2482618"/>
    <n v="2401872.7499999995"/>
    <n v="511880"/>
    <n v="0"/>
    <n v="50"/>
    <n v="639850"/>
    <n v="1129581.2442624108"/>
    <n v="40"/>
    <n v="160"/>
    <n v="75"/>
    <n v="0"/>
    <n v="0"/>
    <n v="0"/>
    <n v="2661776"/>
    <n v="2012039.9999999998"/>
    <n v="959775"/>
    <n v="0"/>
    <n v="50"/>
    <n v="639850"/>
    <n v="2117964.8329920205"/>
    <n v="60"/>
    <n v="95"/>
    <n v="79"/>
    <n v="0"/>
    <n v="0"/>
    <n v="2267887.25"/>
    <n v="1215715"/>
    <n v="1010963"/>
    <n v="0"/>
    <n v="50"/>
    <n v="639850"/>
    <n v="2654798.3193277312"/>
    <n v="50"/>
    <n v="304"/>
    <n v="54"/>
    <n v="0"/>
    <n v="0"/>
    <n v="3822875.9999999995"/>
    <n v="691038"/>
    <x v="0"/>
    <x v="0"/>
    <n v="50"/>
    <n v="639850"/>
    <n v="1814672.2689075628"/>
    <n v="45"/>
    <n v="103"/>
    <n v="45"/>
    <m/>
    <n v="0"/>
    <n v="0"/>
    <n v="1318091"/>
    <n v="565886.24999999988"/>
    <x v="0"/>
    <n v="0"/>
    <n v="50"/>
    <n v="639850"/>
    <n v="1512226.8907563025"/>
    <n v="150"/>
    <n v="195"/>
    <n v="145"/>
    <m/>
    <n v="0"/>
    <n v="0"/>
    <n v="2495415"/>
    <n v="1823411.2499999998"/>
    <n v="0"/>
    <n v="0"/>
    <n v="195"/>
    <n v="639850"/>
    <n v="4872731.0924369749"/>
    <n v="95"/>
    <n v="67"/>
    <n v="95"/>
    <n v="250"/>
    <n v="250"/>
    <n v="0"/>
    <n v="857399"/>
    <n v="1194648.7499999998"/>
    <n v="3039018.7499999995"/>
    <n v="0"/>
    <n v="67"/>
    <n v="639850"/>
    <n v="3192478.9915966387"/>
    <n v="55"/>
    <n v="0"/>
    <n v="55"/>
    <n v="0"/>
    <n v="0"/>
    <n v="252"/>
    <n v="0"/>
    <n v="691638.74999999988"/>
    <n v="0"/>
    <n v="3168962.9999999995"/>
    <n v="0"/>
    <n v="0"/>
    <n v="1848277.3109243696"/>
    <n v="45"/>
    <n v="197"/>
    <n v="45"/>
    <n v="0"/>
    <n v="0"/>
    <m/>
    <n v="2477324.2499999995"/>
    <n v="565886.24999999988"/>
    <n v="0"/>
    <n v="0"/>
    <n v="197"/>
    <n v="2477324.2499999995"/>
    <n v="1512226.8907563025"/>
    <n v="65"/>
    <n v="152"/>
    <n v="65"/>
    <n v="0"/>
    <n v="0"/>
    <n v="0"/>
    <m/>
    <n v="1911437.9999999998"/>
    <n v="817391.24999999988"/>
    <n v="0"/>
    <n v="0"/>
    <n v="152"/>
    <n v="1911437.9999999998"/>
    <n v="1638109.2436974789"/>
    <n v="50"/>
    <n v="87"/>
    <n v="50"/>
    <n v="0"/>
    <n v="0"/>
    <n v="1094046.7499999998"/>
    <n v="628762.49999999988"/>
    <n v="0"/>
    <n v="0"/>
    <n v="87"/>
    <n v="1094046.7499999998"/>
    <n v="1323088.2352941176"/>
    <n v="65"/>
    <n v="37"/>
    <n v="65"/>
    <n v="250"/>
    <n v="250"/>
    <n v="465284.24999999994"/>
    <n v="817391.24999999988"/>
    <n v="3143812.4999999995"/>
    <n v="287"/>
    <n v="3609096.7499999995"/>
    <n v="2184327.7310924367"/>
    <n v="30"/>
    <n v="222"/>
    <n v="30"/>
    <n v="0"/>
    <m/>
    <n v="2791705.4999999995"/>
    <n v="383910"/>
    <n v="0"/>
    <n v="222"/>
    <n v="2791705.4999999995"/>
    <n v="1008151.2605042016"/>
  </r>
  <r>
    <s v="Simplit-Menaje de Cocina"/>
    <x v="2"/>
    <x v="17"/>
    <x v="48"/>
    <s v="SIMCUKUC-5"/>
    <x v="476"/>
    <x v="323"/>
    <x v="0"/>
    <x v="3"/>
    <n v="1"/>
    <x v="278"/>
    <n v="394"/>
    <m/>
    <n v="0"/>
    <n v="14820"/>
    <n v="5839080"/>
    <n v="14.25"/>
    <n v="15568.124999999998"/>
    <n v="33605.042016806721"/>
    <n v="29403.361344537818"/>
    <s v="Shenzhen"/>
    <x v="0"/>
    <n v="60"/>
    <n v="300"/>
    <n v="12"/>
    <n v="0.61477757520556175"/>
    <n v="8"/>
    <n v="0.62304603480321685"/>
    <n v="25"/>
    <n v="0.61893331890295422"/>
    <n v="27"/>
    <n v="0.57131001058614683"/>
    <n v="31"/>
    <n v="0.61033376612224444"/>
    <n v="102"/>
    <n v="0.51246791528438007"/>
    <n v="55"/>
    <n v="0.51122315832570131"/>
    <n v="84"/>
    <n v="0.51275483204627448"/>
    <n v="63"/>
    <n v="0.55813604496083691"/>
    <n v="48"/>
    <n v="0.55515229345312855"/>
    <n v="33"/>
    <n v="0.66088173996721666"/>
    <n v="24"/>
    <n v="0.64519121954327263"/>
    <n v="26"/>
    <s v=""/>
    <n v="42"/>
    <s v=""/>
    <n v="75"/>
    <s v=""/>
    <n v="38"/>
    <s v=""/>
    <n v="0.76"/>
    <n v="48"/>
    <s v=""/>
    <n v="1.3714285714285714"/>
    <n v="82"/>
    <s v=""/>
    <n v="0.82"/>
    <n v="12"/>
    <s v=""/>
    <n v="0.2"/>
    <n v="40"/>
    <n v="175"/>
    <n v="40"/>
    <n v="200"/>
    <n v="100"/>
    <n v="0"/>
    <n v="2637960"/>
    <n v="2581031.2499999995"/>
    <n v="592800"/>
    <n v="0"/>
    <n v="394"/>
    <n v="5839080"/>
    <n v="1129581.2442624108"/>
    <n v="12"/>
    <n v="158"/>
    <n v="63"/>
    <n v="0"/>
    <n v="0"/>
    <n v="0"/>
    <n v="2608320"/>
    <n v="2330302.4999999995"/>
    <n v="933660"/>
    <n v="0"/>
    <n v="394"/>
    <n v="5839080"/>
    <n v="1779090.4597132972"/>
    <n v="60"/>
    <n v="111"/>
    <n v="75"/>
    <n v="0"/>
    <n v="0"/>
    <n v="2190866.25"/>
    <n v="1645020"/>
    <n v="1111500"/>
    <n v="0"/>
    <n v="394"/>
    <n v="5839080"/>
    <n v="2520378.151260504"/>
    <n v="50"/>
    <n v="319"/>
    <n v="38"/>
    <n v="0"/>
    <n v="0"/>
    <n v="4704851.2499999991"/>
    <n v="563160"/>
    <x v="0"/>
    <x v="0"/>
    <n v="394"/>
    <n v="5839080"/>
    <n v="1276991.5966386553"/>
    <n v="35"/>
    <n v="442"/>
    <n v="35"/>
    <m/>
    <n v="0"/>
    <n v="0"/>
    <n v="6550440"/>
    <n v="516206.24999999994"/>
    <x v="0"/>
    <n v="0"/>
    <n v="394"/>
    <n v="5839080"/>
    <n v="1176176.4705882352"/>
    <n v="100"/>
    <n v="476"/>
    <n v="82"/>
    <m/>
    <n v="0"/>
    <n v="0"/>
    <n v="7054320"/>
    <n v="1209397.4999999998"/>
    <n v="0"/>
    <n v="0"/>
    <n v="476"/>
    <n v="5839080"/>
    <n v="2755613.4453781513"/>
    <n v="60"/>
    <n v="406"/>
    <n v="60"/>
    <n v="250"/>
    <n v="250"/>
    <n v="0"/>
    <n v="6016920"/>
    <n v="884924.99999999988"/>
    <n v="3564281.2499999995"/>
    <n v="0"/>
    <n v="406"/>
    <n v="5839080"/>
    <n v="2016302.5210084033"/>
    <n v="90"/>
    <n v="346"/>
    <n v="90"/>
    <n v="0"/>
    <n v="0"/>
    <n v="0"/>
    <n v="5127720"/>
    <n v="1327387.4999999998"/>
    <n v="0"/>
    <n v="0"/>
    <n v="346"/>
    <n v="5127720"/>
    <n v="3024453.781512605"/>
    <n v="65"/>
    <n v="256"/>
    <n v="65"/>
    <n v="0"/>
    <n v="0"/>
    <m/>
    <n v="3775679.9999999995"/>
    <n v="958668.74999999988"/>
    <n v="0"/>
    <n v="0"/>
    <n v="256"/>
    <n v="3775679.9999999995"/>
    <n v="2184327.7310924367"/>
    <n v="50"/>
    <n v="191"/>
    <n v="50"/>
    <n v="0"/>
    <n v="0"/>
    <n v="0"/>
    <m/>
    <n v="2817011.2499999995"/>
    <n v="737437.49999999988"/>
    <n v="0"/>
    <n v="0"/>
    <n v="191"/>
    <n v="2817011.2499999995"/>
    <n v="1470168.0672268909"/>
    <n v="45"/>
    <n v="141"/>
    <n v="45"/>
    <n v="0"/>
    <n v="0"/>
    <n v="2079573.7499999998"/>
    <n v="663693.74999999988"/>
    <n v="0"/>
    <n v="0"/>
    <n v="141"/>
    <n v="2079573.7499999998"/>
    <n v="1389308.8235294118"/>
    <n v="50"/>
    <n v="96"/>
    <n v="50"/>
    <n v="0"/>
    <n v="0"/>
    <n v="1415879.9999999998"/>
    <n v="737437.49999999988"/>
    <n v="0"/>
    <n v="96"/>
    <n v="1415879.9999999998"/>
    <n v="1680252.1008403362"/>
    <n v="27"/>
    <n v="46"/>
    <n v="27"/>
    <n v="0"/>
    <m/>
    <n v="678442.49999999988"/>
    <n v="400140"/>
    <n v="0"/>
    <n v="46"/>
    <n v="678442.49999999988"/>
    <n v="907336.13445378141"/>
  </r>
  <r>
    <s v="Simplit-Menaje de Cocina"/>
    <x v="2"/>
    <x v="17"/>
    <x v="48"/>
    <s v="SIMCUHOL-5"/>
    <x v="477"/>
    <x v="324"/>
    <x v="0"/>
    <x v="4"/>
    <n v="0.8"/>
    <x v="279"/>
    <n v="197"/>
    <m/>
    <n v="0"/>
    <n v="21523"/>
    <n v="4240031"/>
    <n v="21.98"/>
    <n v="24013.149999999998"/>
    <n v="50411.764705882357"/>
    <n v="42008.403361344543"/>
    <s v="Shenzhen"/>
    <x v="0"/>
    <n v="60"/>
    <n v="300"/>
    <n v="35"/>
    <n v="0.50046696171516658"/>
    <n v="3"/>
    <n v="0.59668338945776922"/>
    <n v="5"/>
    <n v="0.60347506125903716"/>
    <n v="22"/>
    <n v="0.49370092028093199"/>
    <n v="20"/>
    <n v="0.53435740284717692"/>
    <n v="79"/>
    <n v="0.45114869342700187"/>
    <n v="42"/>
    <n v="0.47137374218854022"/>
    <n v="73"/>
    <n v="0.45044381498536157"/>
    <n v="56"/>
    <n v="0.4945808501640116"/>
    <n v="72"/>
    <n v="0.49612566848434037"/>
    <n v="26"/>
    <n v="0.56807419668259795"/>
    <n v="29"/>
    <n v="0.57735384238355103"/>
    <n v="27"/>
    <s v=""/>
    <n v="6"/>
    <s v=""/>
    <n v="2"/>
    <s v=""/>
    <n v="12"/>
    <s v=""/>
    <n v="0.26666666666666666"/>
    <n v="20"/>
    <s v=""/>
    <n v="0.5"/>
    <n v="68"/>
    <s v=""/>
    <n v="0.75555555555555554"/>
    <n v="8"/>
    <s v=""/>
    <n v="0.13333333333333333"/>
    <n v="35"/>
    <n v="38"/>
    <n v="35"/>
    <n v="0"/>
    <n v="0"/>
    <n v="0"/>
    <n v="990058"/>
    <n v="864473.4"/>
    <n v="753305"/>
    <n v="0"/>
    <n v="197"/>
    <n v="4240031"/>
    <n v="1482698.9619377165"/>
    <n v="0"/>
    <n v="25"/>
    <n v="9"/>
    <n v="300"/>
    <n v="300"/>
    <n v="0"/>
    <n v="495029"/>
    <n v="568732.5"/>
    <n v="193707"/>
    <n v="0"/>
    <n v="197"/>
    <n v="4240031"/>
    <n v="381265.44735541282"/>
    <n v="30"/>
    <n v="21"/>
    <n v="2"/>
    <n v="0"/>
    <n v="0"/>
    <n v="1029299.6"/>
    <n v="451983"/>
    <n v="43046"/>
    <n v="0"/>
    <n v="197"/>
    <n v="4240031"/>
    <n v="100823.52941176471"/>
    <n v="45"/>
    <n v="293"/>
    <n v="12"/>
    <n v="0"/>
    <n v="0"/>
    <n v="6665544.8999999994"/>
    <n v="258276"/>
    <x v="0"/>
    <x v="0"/>
    <n v="197"/>
    <n v="4240031"/>
    <n v="604941.17647058831"/>
    <n v="40"/>
    <n v="217"/>
    <n v="32"/>
    <m/>
    <n v="0"/>
    <n v="0"/>
    <n v="4670491"/>
    <n v="727977.6"/>
    <x v="0"/>
    <n v="0"/>
    <n v="197"/>
    <n v="4240031"/>
    <n v="1613176.4705882354"/>
    <n v="90"/>
    <n v="265"/>
    <n v="68"/>
    <m/>
    <n v="0"/>
    <n v="0"/>
    <n v="5703595"/>
    <n v="1546952.4"/>
    <n v="0"/>
    <n v="0"/>
    <n v="265"/>
    <n v="4240031"/>
    <n v="3428000.0000000005"/>
    <n v="60"/>
    <n v="205"/>
    <n v="48"/>
    <n v="0"/>
    <n v="0"/>
    <n v="0"/>
    <n v="4412215"/>
    <n v="1091966.3999999999"/>
    <n v="0"/>
    <n v="0"/>
    <n v="205"/>
    <n v="4240031"/>
    <n v="2419764.7058823532"/>
    <n v="75"/>
    <n v="157"/>
    <n v="60"/>
    <n v="0"/>
    <n v="0"/>
    <n v="0"/>
    <n v="3379111"/>
    <n v="1364958"/>
    <n v="0"/>
    <n v="0"/>
    <n v="157"/>
    <n v="3379111"/>
    <n v="3024705.8823529412"/>
    <n v="60"/>
    <n v="97"/>
    <n v="48"/>
    <n v="250"/>
    <n v="100"/>
    <n v="0"/>
    <n v="2206682.1"/>
    <n v="1091966.3999999999"/>
    <n v="5687325"/>
    <n v="0"/>
    <n v="97"/>
    <n v="2206682.1"/>
    <n v="2419764.7058823532"/>
    <n v="70"/>
    <n v="149"/>
    <n v="56"/>
    <n v="0"/>
    <n v="0"/>
    <n v="0"/>
    <n v="100"/>
    <n v="3389645.6999999997"/>
    <n v="1273960.8"/>
    <n v="0"/>
    <n v="2274930"/>
    <n v="149"/>
    <n v="5664575.6999999993"/>
    <n v="2352470.5882352944"/>
    <n v="50"/>
    <n v="93"/>
    <n v="40"/>
    <n v="0"/>
    <n v="0"/>
    <n v="2115684.9"/>
    <n v="909972"/>
    <n v="0"/>
    <n v="0"/>
    <n v="93"/>
    <n v="2115684.9"/>
    <n v="1764352.9411764708"/>
    <n v="60"/>
    <n v="53"/>
    <n v="48"/>
    <n v="0"/>
    <n v="0"/>
    <n v="1205712.8999999999"/>
    <n v="1091966.3999999999"/>
    <n v="0"/>
    <n v="53"/>
    <n v="1205712.8999999999"/>
    <n v="2419764.7058823532"/>
    <n v="30"/>
    <n v="5"/>
    <n v="24"/>
    <n v="0"/>
    <m/>
    <n v="113746.5"/>
    <n v="516552"/>
    <n v="0"/>
    <n v="5"/>
    <n v="113746.5"/>
    <n v="1209882.3529411766"/>
  </r>
  <r>
    <m/>
    <x v="2"/>
    <x v="17"/>
    <x v="48"/>
    <s v="SIMCENVER-CR"/>
    <x v="478"/>
    <x v="325"/>
    <x v="0"/>
    <x v="4"/>
    <n v="1"/>
    <x v="280"/>
    <n v="47"/>
    <m/>
    <n v="0"/>
    <n v="3049"/>
    <n v="143303"/>
    <n v="2.77"/>
    <n v="3026.2249999999999"/>
    <n v="12596.638655462186"/>
    <n v="10915.966386554623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16"/>
    <n v="0.75022778451810468"/>
    <n v="20"/>
    <n v="0.73159614633699066"/>
    <n v="30"/>
    <n v="0.78284781136617176"/>
    <n v="9"/>
    <s v=""/>
    <n v="24"/>
    <s v=""/>
    <n v="48"/>
    <s v=""/>
    <n v="33"/>
    <s v=""/>
    <n v="0.82499999999999996"/>
    <n v="17"/>
    <s v=""/>
    <n v="0.48571428571428571"/>
    <n v="52"/>
    <s v=""/>
    <n v="0.94545454545454544"/>
    <n v="13"/>
    <s v=""/>
    <n v="0.32500000000000001"/>
    <n v="30"/>
    <n v="240"/>
    <n v="20"/>
    <n v="0"/>
    <n v="0"/>
    <n v="0"/>
    <n v="317096"/>
    <n v="688068"/>
    <n v="60980"/>
    <n v="0"/>
    <n v="47"/>
    <n v="143303"/>
    <n v="211708.21269684349"/>
    <n v="25"/>
    <n v="231"/>
    <n v="36"/>
    <n v="0"/>
    <n v="0"/>
    <n v="0"/>
    <n v="356733"/>
    <n v="662265.44999999995"/>
    <n v="109764"/>
    <n v="0"/>
    <n v="47"/>
    <n v="143303"/>
    <n v="381074.78285431827"/>
    <n v="45"/>
    <n v="209"/>
    <n v="48"/>
    <n v="0"/>
    <n v="0"/>
    <n v="347312.25"/>
    <n v="637241"/>
    <n v="146352"/>
    <n v="0"/>
    <n v="47"/>
    <n v="143303"/>
    <n v="604638.65546218492"/>
    <n v="40"/>
    <n v="141"/>
    <n v="33"/>
    <n v="200"/>
    <n v="0"/>
    <n v="404239.94999999995"/>
    <n v="100617"/>
    <x v="61"/>
    <x v="0"/>
    <n v="47"/>
    <n v="143303"/>
    <n v="415689.07563025213"/>
    <n v="35"/>
    <n v="64"/>
    <n v="35"/>
    <m/>
    <n v="0"/>
    <n v="0"/>
    <n v="195136"/>
    <n v="100343.25"/>
    <x v="0"/>
    <n v="0"/>
    <n v="47"/>
    <n v="143303"/>
    <n v="440882.3529411765"/>
    <n v="55"/>
    <n v="99"/>
    <n v="52"/>
    <m/>
    <n v="0"/>
    <n v="0"/>
    <n v="301851"/>
    <n v="149081.4"/>
    <n v="0"/>
    <n v="0"/>
    <n v="99"/>
    <n v="143303"/>
    <n v="655025.21008403366"/>
    <n v="40"/>
    <n v="60"/>
    <n v="40"/>
    <n v="0"/>
    <n v="0"/>
    <n v="0"/>
    <n v="182940"/>
    <n v="114678"/>
    <n v="0"/>
    <n v="0"/>
    <n v="60"/>
    <n v="143303"/>
    <n v="503865.54621848743"/>
    <n v="35"/>
    <n v="20"/>
    <n v="35"/>
    <n v="0"/>
    <n v="200"/>
    <n v="0"/>
    <n v="60980"/>
    <n v="100343.25"/>
    <n v="0"/>
    <n v="0"/>
    <n v="220"/>
    <n v="60980"/>
    <n v="440882.3529411765"/>
    <n v="40"/>
    <n v="0"/>
    <n v="40"/>
    <n v="0"/>
    <n v="0"/>
    <n v="200"/>
    <n v="0"/>
    <n v="114678"/>
    <n v="0"/>
    <n v="573390"/>
    <n v="200"/>
    <n v="573390"/>
    <n v="503865.54621848743"/>
    <n v="50"/>
    <n v="160"/>
    <n v="50"/>
    <n v="0"/>
    <n v="0"/>
    <n v="0"/>
    <m/>
    <n v="458712"/>
    <n v="143347.5"/>
    <n v="0"/>
    <n v="0"/>
    <n v="160"/>
    <n v="458712"/>
    <n v="545798.31932773115"/>
    <n v="40"/>
    <n v="110"/>
    <n v="40"/>
    <n v="0"/>
    <n v="0"/>
    <n v="315364.5"/>
    <n v="114678"/>
    <n v="0"/>
    <n v="0"/>
    <n v="110"/>
    <n v="315364.5"/>
    <n v="458470.58823529421"/>
    <n v="70"/>
    <n v="70"/>
    <n v="70"/>
    <n v="0"/>
    <n v="0"/>
    <n v="200686.5"/>
    <n v="200686.5"/>
    <n v="0"/>
    <n v="70"/>
    <n v="200686.5"/>
    <n v="881764.70588235301"/>
    <n v="24"/>
    <n v="0"/>
    <n v="24"/>
    <n v="0"/>
    <m/>
    <n v="0"/>
    <n v="73176"/>
    <n v="0"/>
    <n v="0"/>
    <n v="0"/>
    <n v="302319.32773109246"/>
  </r>
  <r>
    <s v="Simplit-Menaje de Cocina"/>
    <x v="2"/>
    <x v="17"/>
    <x v="45"/>
    <s v="SIMO28TOUL"/>
    <x v="479"/>
    <x v="326"/>
    <x v="0"/>
    <x v="6"/>
    <n v="1.8"/>
    <x v="12"/>
    <n v="1"/>
    <m/>
    <n v="0"/>
    <n v="20545"/>
    <n v="20545"/>
    <n v="17.52"/>
    <n v="19140.599999999999"/>
    <n v="29403.361344537818"/>
    <n v="25201.680672268907"/>
    <s v="Ningbo"/>
    <x v="1"/>
    <n v="45"/>
    <n v="600"/>
    <n v="6"/>
    <n v="0.50765654580747199"/>
    <n v="2"/>
    <n v="0.36485609175503136"/>
    <n v="4"/>
    <n v="0.46126736557250669"/>
    <n v="11"/>
    <n v="0.42364954493902462"/>
    <n v="7"/>
    <n v="0.49925052097931927"/>
    <n v="23"/>
    <n v="0.33830456350639726"/>
    <n v="25"/>
    <n v="0.39686973084733085"/>
    <n v="31"/>
    <n v="0.2410421959870562"/>
    <n v="29"/>
    <n v="0.227553480197069"/>
    <n v="214"/>
    <n v="-0.14843923683643681"/>
    <n v="28"/>
    <n v="0.31203845491038035"/>
    <n v="34"/>
    <n v="0.31330668169287718"/>
    <n v="25"/>
    <s v=""/>
    <n v="44"/>
    <s v=""/>
    <n v="51"/>
    <s v=""/>
    <n v="34"/>
    <s v=""/>
    <n v="1.7"/>
    <n v="26"/>
    <s v=""/>
    <n v="1.3"/>
    <n v="-3"/>
    <s v=""/>
    <n v="-0.11538461538461539"/>
    <n v="0"/>
    <s v=""/>
    <n v="0"/>
    <n v="25"/>
    <n v="182"/>
    <n v="30"/>
    <n v="0"/>
    <n v="0"/>
    <n v="0"/>
    <n v="3020115"/>
    <n v="3300242.3999999994"/>
    <n v="616350"/>
    <n v="0"/>
    <n v="1"/>
    <n v="20545"/>
    <n v="741261.21036649961"/>
    <n v="25"/>
    <n v="156"/>
    <n v="66"/>
    <n v="0"/>
    <n v="0"/>
    <n v="0"/>
    <n v="3102295"/>
    <n v="2828779.1999999997"/>
    <n v="1355970"/>
    <n v="0"/>
    <n v="1"/>
    <n v="20545"/>
    <n v="1630774.6628062993"/>
    <n v="25"/>
    <n v="52"/>
    <n v="51"/>
    <n v="0"/>
    <n v="0"/>
    <n v="2399120.2000000002"/>
    <n v="1068340"/>
    <n v="1047795"/>
    <n v="0"/>
    <n v="1"/>
    <n v="20545"/>
    <n v="1499571.4285714286"/>
    <n v="20"/>
    <n v="68"/>
    <n v="34"/>
    <n v="0"/>
    <n v="0"/>
    <n v="1233057.5999999999"/>
    <n v="698530"/>
    <x v="0"/>
    <x v="0"/>
    <n v="1"/>
    <n v="20545"/>
    <n v="999714.2857142858"/>
    <n v="20"/>
    <n v="27"/>
    <n v="36"/>
    <m/>
    <n v="0"/>
    <n v="0"/>
    <n v="554715"/>
    <n v="652795.19999999995"/>
    <x v="0"/>
    <n v="0"/>
    <n v="1"/>
    <n v="20545"/>
    <n v="1058521.0084033615"/>
    <n v="26"/>
    <n v="-2"/>
    <n v="-3"/>
    <m/>
    <n v="0"/>
    <n v="0"/>
    <n v="-41090"/>
    <n v="-54399.599999999991"/>
    <n v="0"/>
    <n v="0"/>
    <n v="-2"/>
    <n v="20545"/>
    <n v="-88210.084033613457"/>
    <n v="0"/>
    <n v="1"/>
    <n v="0"/>
    <n v="0"/>
    <n v="0"/>
    <n v="0"/>
    <n v="20545"/>
    <n v="0"/>
    <n v="0"/>
    <n v="0"/>
    <n v="1"/>
    <n v="20545"/>
    <n v="0"/>
    <n v="0"/>
    <n v="1"/>
    <n v="0"/>
    <n v="0"/>
    <n v="0"/>
    <n v="0"/>
    <n v="20545"/>
    <n v="0"/>
    <n v="0"/>
    <n v="0"/>
    <n v="1"/>
    <n v="20545"/>
    <n v="0"/>
    <n v="0"/>
    <n v="1"/>
    <n v="0"/>
    <n v="0"/>
    <n v="0"/>
    <m/>
    <n v="18133.199999999997"/>
    <n v="0"/>
    <n v="0"/>
    <n v="0"/>
    <n v="1"/>
    <n v="18133.199999999997"/>
    <n v="0"/>
    <n v="0"/>
    <n v="1"/>
    <n v="0"/>
    <n v="0"/>
    <n v="0"/>
    <n v="0"/>
    <m/>
    <n v="18133.199999999997"/>
    <n v="0"/>
    <n v="0"/>
    <n v="0"/>
    <n v="1"/>
    <n v="18133.199999999997"/>
    <n v="0"/>
    <n v="0"/>
    <n v="1"/>
    <n v="0"/>
    <n v="0"/>
    <n v="0"/>
    <n v="18133.199999999997"/>
    <n v="0"/>
    <n v="0"/>
    <n v="0"/>
    <n v="1"/>
    <n v="18133.199999999997"/>
    <n v="0"/>
    <n v="0"/>
    <n v="1"/>
    <n v="0"/>
    <n v="0"/>
    <n v="0"/>
    <n v="18133.199999999997"/>
    <n v="0"/>
    <n v="0"/>
    <n v="1"/>
    <n v="18133.199999999997"/>
    <n v="0"/>
    <n v="0"/>
    <n v="1"/>
    <n v="0"/>
    <n v="0"/>
    <m/>
    <n v="18133.199999999997"/>
    <n v="0"/>
    <n v="0"/>
    <n v="1"/>
    <n v="18133.199999999997"/>
    <n v="0"/>
  </r>
  <r>
    <s v="Simplit-Mundo Café"/>
    <x v="2"/>
    <x v="18"/>
    <x v="49"/>
    <n v="1630369674271"/>
    <x v="480"/>
    <x v="327"/>
    <x v="0"/>
    <x v="3"/>
    <n v="1"/>
    <x v="281"/>
    <n v="486"/>
    <m/>
    <n v="0"/>
    <n v="3204"/>
    <n v="1557144"/>
    <n v="2.95"/>
    <n v="3222.8749999999995"/>
    <n v="8394.957983193277"/>
    <n v="8394.957983193277"/>
    <s v="Shenzhen"/>
    <x v="0"/>
    <n v="30"/>
    <n v="300"/>
    <n v="68"/>
    <n v="0.66192298307451292"/>
    <n v="82"/>
    <n v="0.57575322424146458"/>
    <n v="159"/>
    <n v="0.63601060875944126"/>
    <n v="23"/>
    <n v="0.69866733122528979"/>
    <n v="13"/>
    <n v="0.4496104042865175"/>
    <n v="93"/>
    <n v="0.6576734357855023"/>
    <n v="81"/>
    <n v="0.68278680198967856"/>
    <n v="106"/>
    <n v="0.64372531360389817"/>
    <n v="81"/>
    <n v="0.63093476878595034"/>
    <n v="159"/>
    <n v="0.63499113401080254"/>
    <n v="110"/>
    <n v="0.6371012529665262"/>
    <n v="12"/>
    <n v="0.63013170755308456"/>
    <n v="85"/>
    <n v="0.66019117848857978"/>
    <n v="127"/>
    <n v="0.63275516339038484"/>
    <n v="238"/>
    <n v="0.6008032038575698"/>
    <n v="152"/>
    <n v="0.69866734041037959"/>
    <n v="0.95"/>
    <n v="6"/>
    <n v="0.4496103914161676"/>
    <n v="0.05"/>
    <n v="170"/>
    <n v="0.63985989506482732"/>
    <n v="0.85"/>
    <n v="14"/>
    <n v="0.68471700144863279"/>
    <n v="0.11666666666666667"/>
    <n v="103"/>
    <n v="605"/>
    <n v="65"/>
    <n v="300"/>
    <n v="300"/>
    <n v="0"/>
    <n v="1581174"/>
    <n v="1847216.2499999998"/>
    <n v="208260"/>
    <n v="0"/>
    <n v="486"/>
    <n v="1557144"/>
    <n v="458548.1251324059"/>
    <n v="80"/>
    <n v="517"/>
    <n v="190.5"/>
    <n v="0"/>
    <n v="0"/>
    <n v="0"/>
    <n v="1859922"/>
    <n v="1578530.2499999998"/>
    <n v="610362"/>
    <n v="0"/>
    <n v="486"/>
    <n v="1557144"/>
    <n v="1343898.7359649742"/>
    <n v="150"/>
    <n v="310"/>
    <n v="238"/>
    <n v="0"/>
    <n v="0"/>
    <n v="1615950"/>
    <n v="993240"/>
    <n v="762552"/>
    <n v="0"/>
    <n v="486"/>
    <n v="1557144"/>
    <n v="1998000"/>
    <n v="160"/>
    <n v="156"/>
    <n v="152"/>
    <n v="0"/>
    <n v="0"/>
    <n v="476306.99999999994"/>
    <n v="487008"/>
    <x v="0"/>
    <x v="0"/>
    <n v="486"/>
    <n v="1557144"/>
    <n v="1276033.6134453781"/>
    <n v="120"/>
    <n v="492"/>
    <n v="120"/>
    <m/>
    <n v="0"/>
    <n v="0"/>
    <n v="1576368"/>
    <n v="366389.99999999994"/>
    <x v="0"/>
    <n v="0"/>
    <n v="486"/>
    <n v="1557144"/>
    <n v="1007394.9579831932"/>
    <n v="200"/>
    <n v="656"/>
    <n v="170"/>
    <m/>
    <n v="300"/>
    <n v="0"/>
    <n v="2101824"/>
    <n v="519052.49999999994"/>
    <n v="0"/>
    <n v="0"/>
    <n v="656"/>
    <n v="1557144"/>
    <n v="1427142.857142857"/>
    <n v="120"/>
    <n v="500"/>
    <n v="120"/>
    <n v="300"/>
    <n v="300"/>
    <n v="0"/>
    <n v="1602000"/>
    <n v="366389.99999999994"/>
    <n v="885442.5"/>
    <n v="0"/>
    <n v="500"/>
    <n v="1557144"/>
    <n v="1007394.9579831932"/>
    <n v="150"/>
    <n v="380"/>
    <n v="150"/>
    <n v="0"/>
    <n v="0"/>
    <n v="0"/>
    <n v="1217520"/>
    <n v="457987.49999999994"/>
    <n v="0"/>
    <n v="0"/>
    <n v="380"/>
    <n v="1217520"/>
    <n v="1259243.6974789915"/>
    <n v="120"/>
    <n v="230"/>
    <n v="120"/>
    <n v="300"/>
    <n v="150"/>
    <n v="0"/>
    <n v="702247.49999999988"/>
    <n v="366389.99999999994"/>
    <n v="915974.99999999988"/>
    <n v="0"/>
    <n v="230"/>
    <n v="702247.49999999988"/>
    <n v="1007394.9579831932"/>
    <n v="150"/>
    <n v="260"/>
    <n v="150"/>
    <n v="0"/>
    <n v="0"/>
    <n v="0"/>
    <n v="150"/>
    <n v="793844.99999999988"/>
    <n v="457987.49999999994"/>
    <n v="0"/>
    <n v="457987.49999999994"/>
    <n v="260"/>
    <n v="1251832.4999999998"/>
    <n v="1259243.6974789915"/>
    <n v="90"/>
    <n v="110"/>
    <n v="90"/>
    <n v="0"/>
    <n v="0"/>
    <n v="335857.49999999994"/>
    <n v="274792.49999999994"/>
    <n v="0"/>
    <n v="0"/>
    <n v="110"/>
    <n v="335857.49999999994"/>
    <n v="793323.5294117647"/>
    <n v="180"/>
    <n v="20"/>
    <n v="180"/>
    <n v="0"/>
    <n v="0"/>
    <n v="61064.999999999993"/>
    <n v="549584.99999999988"/>
    <n v="0"/>
    <n v="20"/>
    <n v="61064.999999999993"/>
    <n v="1511092.4369747899"/>
    <n v="54"/>
    <n v="0"/>
    <n v="54"/>
    <n v="0"/>
    <m/>
    <n v="0"/>
    <n v="173016"/>
    <n v="0"/>
    <n v="0"/>
    <n v="0"/>
    <n v="453327.73109243694"/>
  </r>
  <r>
    <s v="Simplit-Mundo Café"/>
    <x v="2"/>
    <x v="18"/>
    <x v="49"/>
    <n v="1629726159155"/>
    <x v="481"/>
    <x v="328"/>
    <x v="0"/>
    <x v="4"/>
    <n v="1"/>
    <x v="282"/>
    <n v="39"/>
    <m/>
    <n v="0"/>
    <n v="5928.8118205481551"/>
    <n v="231223.66100137806"/>
    <n v="6.35"/>
    <n v="6937.3749999999991"/>
    <n v="14277.310924369749"/>
    <n v="14277.310924369749"/>
    <s v="Shenzhen"/>
    <x v="0"/>
    <n v="30"/>
    <n v="200"/>
    <n v="53"/>
    <n v="0.46997660204159541"/>
    <n v="63"/>
    <n v="0.42000054141351439"/>
    <n v="123"/>
    <n v="0.47205259259309695"/>
    <n v="68"/>
    <n v="0.5072607416313285"/>
    <n v="47"/>
    <n v="0.43163046705254549"/>
    <n v="25"/>
    <n v="0.559243562977356"/>
    <n v="68"/>
    <n v="0.49868529511453219"/>
    <n v="50"/>
    <n v="0.60332885093268529"/>
    <n v="37"/>
    <n v="0.50832511188202423"/>
    <n v="99"/>
    <n v="0.46303070711946231"/>
    <n v="98"/>
    <n v="0.4846477697438995"/>
    <n v="177"/>
    <n v="0.50208751089166037"/>
    <n v="55"/>
    <n v="0.47305636042488819"/>
    <n v="17"/>
    <n v="0.4673298767870418"/>
    <n v="33"/>
    <n v="0.43892417460776884"/>
    <n v="169"/>
    <n v="0.50726074077688654"/>
    <n v="2.4142857142857141"/>
    <n v="176"/>
    <n v="0.48001391129909565"/>
    <n v="3.52"/>
    <n v="86"/>
    <n v="0.36750465853699993"/>
    <n v="0.71666666666666667"/>
    <n v="17"/>
    <n v="0.49671925440396292"/>
    <n v="0.17"/>
    <n v="60"/>
    <n v="78"/>
    <n v="78"/>
    <n v="0"/>
    <n v="0"/>
    <n v="0"/>
    <n v="809282.81350482325"/>
    <n v="512635.49999999994"/>
    <n v="462447.32200275612"/>
    <n v="0"/>
    <n v="39"/>
    <n v="231223.66100137806"/>
    <n v="935823.74126121053"/>
    <n v="0"/>
    <n v="24"/>
    <n v="25.5"/>
    <n v="200"/>
    <n v="200"/>
    <n v="0"/>
    <n v="1348804.6891747052"/>
    <n v="157733.99999999997"/>
    <n v="151184.70142397797"/>
    <n v="0"/>
    <n v="39"/>
    <n v="231223.66100137806"/>
    <n v="305942.37695078034"/>
    <n v="120"/>
    <n v="72"/>
    <n v="33"/>
    <n v="0"/>
    <n v="0"/>
    <n v="1526232.4877507272"/>
    <n v="426874.4510794672"/>
    <n v="195650.79007808911"/>
    <n v="0"/>
    <n v="39"/>
    <n v="231223.66100137806"/>
    <n v="471151.26050420169"/>
    <n v="70"/>
    <n v="299"/>
    <n v="169"/>
    <n v="200"/>
    <n v="0"/>
    <n v="1965102.7499999998"/>
    <n v="1001969.1976726382"/>
    <x v="10"/>
    <x v="0"/>
    <n v="39"/>
    <n v="231223.66100137806"/>
    <n v="2412865.5462184874"/>
    <n v="50"/>
    <n v="215"/>
    <n v="50"/>
    <m/>
    <n v="0"/>
    <n v="0"/>
    <n v="1274694.5414178534"/>
    <n v="328612.49999999994"/>
    <x v="0"/>
    <n v="0"/>
    <n v="39"/>
    <n v="231223.66100137806"/>
    <n v="713865.54621848743"/>
    <n v="120"/>
    <n v="125"/>
    <n v="86"/>
    <m/>
    <n v="80"/>
    <n v="0"/>
    <n v="741101.47756851942"/>
    <n v="565213.49999999988"/>
    <n v="0"/>
    <n v="0"/>
    <n v="125"/>
    <n v="231223.66100137806"/>
    <n v="1227848.7394957985"/>
    <n v="100"/>
    <n v="56"/>
    <n v="100"/>
    <n v="200"/>
    <n v="200"/>
    <n v="0"/>
    <n v="332013.46195069666"/>
    <n v="657224.99999999988"/>
    <n v="1270634.9999999998"/>
    <n v="0"/>
    <n v="56"/>
    <n v="231223.66100137806"/>
    <n v="1427731.0924369749"/>
    <n v="90"/>
    <n v="0"/>
    <n v="90"/>
    <n v="100"/>
    <n v="100"/>
    <n v="0"/>
    <n v="0"/>
    <n v="591502.49999999988"/>
    <n v="657224.99999999988"/>
    <n v="0"/>
    <n v="100"/>
    <n v="657224.99999999988"/>
    <n v="1284957.9831932774"/>
    <n v="80"/>
    <n v="0"/>
    <n v="80"/>
    <n v="0"/>
    <n v="0"/>
    <n v="100"/>
    <n v="0"/>
    <n v="525779.99999999988"/>
    <n v="0"/>
    <n v="657224.99999999988"/>
    <n v="100"/>
    <n v="657224.99999999988"/>
    <n v="1142184.8739495799"/>
    <n v="100"/>
    <n v="220"/>
    <n v="100"/>
    <n v="0"/>
    <n v="0"/>
    <n v="0"/>
    <n v="200"/>
    <n v="1445894.9999999998"/>
    <n v="657224.99999999988"/>
    <n v="0"/>
    <n v="1314449.9999999998"/>
    <n v="220"/>
    <n v="2760344.9999999995"/>
    <n v="1427731.0924369749"/>
    <n v="70"/>
    <n v="120"/>
    <n v="70"/>
    <n v="0"/>
    <n v="0"/>
    <n v="788669.99999999988"/>
    <n v="460057.49999999994"/>
    <n v="0"/>
    <n v="0"/>
    <n v="120"/>
    <n v="788669.99999999988"/>
    <n v="1049382.3529411766"/>
    <n v="150"/>
    <n v="50"/>
    <n v="150"/>
    <n v="0"/>
    <n v="0"/>
    <n v="328612.49999999994"/>
    <n v="985837.49999999988"/>
    <n v="0"/>
    <n v="50"/>
    <n v="328612.49999999994"/>
    <n v="2141596.6386554623"/>
    <n v="42"/>
    <n v="0"/>
    <n v="42"/>
    <n v="0"/>
    <m/>
    <n v="0"/>
    <n v="249010.09646302252"/>
    <n v="0"/>
    <n v="0"/>
    <n v="0"/>
    <n v="599647.05882352951"/>
  </r>
  <r>
    <s v="Simplit-Mundo Café"/>
    <x v="2"/>
    <x v="18"/>
    <x v="49"/>
    <n v="1652825295706"/>
    <x v="482"/>
    <x v="329"/>
    <x v="0"/>
    <x v="3"/>
    <n v="1"/>
    <x v="283"/>
    <n v="370"/>
    <m/>
    <n v="0"/>
    <n v="5345.6388956051069"/>
    <n v="1977886.3913738895"/>
    <n v="5.6"/>
    <n v="6117.9999999999991"/>
    <n v="19319.327731092439"/>
    <n v="19319.327731092439"/>
    <s v="Shenzhen"/>
    <x v="0"/>
    <n v="30"/>
    <n v="200"/>
    <n v="60"/>
    <n v="0.67070618927178505"/>
    <n v="45"/>
    <n v="0.56574716506095424"/>
    <n v="85"/>
    <n v="0.68314669894720814"/>
    <n v="5"/>
    <s v=""/>
    <n v="0"/>
    <s v=""/>
    <n v="133"/>
    <n v="0.66945883578351761"/>
    <n v="209"/>
    <n v="0.65224871901704495"/>
    <n v="78"/>
    <n v="0.65418543978850319"/>
    <n v="110"/>
    <n v="0.64991440583741023"/>
    <n v="95"/>
    <n v="0.6287635405069667"/>
    <n v="79"/>
    <n v="0.69354532572385375"/>
    <n v="144"/>
    <n v="0.70677435676900335"/>
    <n v="84"/>
    <n v="0.66920909893031477"/>
    <n v="92"/>
    <n v="0.64442945897633552"/>
    <n v="122"/>
    <n v="0.58769727126625115"/>
    <n v="140"/>
    <s v=""/>
    <n v="1"/>
    <n v="127"/>
    <s v=""/>
    <n v="1.27"/>
    <n v="-1"/>
    <n v="0.66985141536648329"/>
    <n v="-5.5555555555555558E-3"/>
    <n v="30"/>
    <n v="0.65359472348692083"/>
    <n v="0.16666666666666666"/>
    <n v="80"/>
    <n v="76"/>
    <n v="76"/>
    <n v="500"/>
    <n v="500"/>
    <n v="0"/>
    <n v="1796134.6689233161"/>
    <n v="440496"/>
    <n v="406268.55606598814"/>
    <n v="0"/>
    <n v="370"/>
    <n v="1977886.3913738895"/>
    <n v="1233839.4181201893"/>
    <n v="80"/>
    <n v="488"/>
    <n v="138"/>
    <n v="0"/>
    <n v="0"/>
    <n v="0"/>
    <n v="2138255.5582420425"/>
    <n v="2828448"/>
    <n v="737698.16759350477"/>
    <n v="0"/>
    <n v="370"/>
    <n v="1977886.3913738895"/>
    <n v="2240392.6276392913"/>
    <n v="100"/>
    <n v="324"/>
    <n v="122"/>
    <n v="0"/>
    <n v="0"/>
    <n v="1980157.390648538"/>
    <n v="1731987.0021760545"/>
    <n v="652167.94526382303"/>
    <n v="0"/>
    <n v="370"/>
    <n v="1977886.3913738895"/>
    <n v="2356957.9831932774"/>
    <n v="140"/>
    <n v="272"/>
    <n v="140"/>
    <n v="0"/>
    <n v="0"/>
    <n v="1576512"/>
    <n v="748389.44538471499"/>
    <x v="0"/>
    <x v="0"/>
    <n v="370"/>
    <n v="1977886.3913738895"/>
    <n v="2704705.8823529412"/>
    <n v="100"/>
    <n v="497"/>
    <n v="100"/>
    <m/>
    <n v="0"/>
    <n v="0"/>
    <n v="2656782.5311157382"/>
    <n v="579600"/>
    <x v="0"/>
    <n v="0"/>
    <n v="370"/>
    <n v="1977886.3913738895"/>
    <n v="1931932.7731092439"/>
    <n v="180"/>
    <n v="369"/>
    <n v="-1"/>
    <m/>
    <n v="0"/>
    <n v="0"/>
    <n v="1972540.7524782845"/>
    <n v="-5796"/>
    <n v="0"/>
    <n v="0"/>
    <n v="369"/>
    <n v="1977886.3913738895"/>
    <n v="-19319.327731092439"/>
    <n v="180"/>
    <n v="400"/>
    <n v="180"/>
    <n v="350"/>
    <n v="350"/>
    <n v="0"/>
    <n v="2138255.5582420425"/>
    <n v="1043280"/>
    <n v="1960979.9999999998"/>
    <n v="0"/>
    <n v="400"/>
    <n v="1977886.3913738895"/>
    <n v="3477478.9915966392"/>
    <n v="150"/>
    <n v="220"/>
    <n v="150"/>
    <n v="200"/>
    <n v="200"/>
    <n v="0"/>
    <n v="1176040.5570331234"/>
    <n v="869400"/>
    <n v="1159200"/>
    <n v="0"/>
    <n v="420"/>
    <n v="2335240.5570331234"/>
    <n v="2897899.1596638658"/>
    <n v="120"/>
    <n v="70"/>
    <n v="120"/>
    <n v="200"/>
    <n v="200"/>
    <n v="400"/>
    <n v="405720"/>
    <n v="695520"/>
    <n v="1159200"/>
    <n v="2318400"/>
    <n v="470"/>
    <n v="2724120"/>
    <n v="2318319.3277310925"/>
    <n v="120"/>
    <n v="550"/>
    <n v="120"/>
    <n v="0"/>
    <n v="0"/>
    <n v="0"/>
    <n v="200"/>
    <n v="3187800"/>
    <n v="695520"/>
    <n v="0"/>
    <n v="1159200"/>
    <n v="550"/>
    <n v="4347000"/>
    <n v="2318319.3277310925"/>
    <n v="70"/>
    <n v="430"/>
    <n v="70"/>
    <n v="0"/>
    <n v="0"/>
    <n v="2492280"/>
    <n v="405720"/>
    <n v="0"/>
    <n v="0"/>
    <n v="430"/>
    <n v="2492280"/>
    <n v="1419970.5882352942"/>
    <n v="130"/>
    <n v="360"/>
    <n v="130"/>
    <n v="0"/>
    <n v="0"/>
    <n v="2086560"/>
    <n v="753480"/>
    <n v="0"/>
    <n v="360"/>
    <n v="2086560"/>
    <n v="2511512.6050420171"/>
    <n v="42"/>
    <n v="230"/>
    <n v="42"/>
    <n v="0"/>
    <m/>
    <n v="1333080"/>
    <n v="224516.83361541448"/>
    <n v="0"/>
    <n v="230"/>
    <n v="1333080"/>
    <n v="811411.76470588241"/>
  </r>
  <r>
    <s v="Simplit-Mundo Café"/>
    <x v="2"/>
    <x v="18"/>
    <x v="49"/>
    <s v="SIMCAFFRCO"/>
    <x v="483"/>
    <x v="330"/>
    <x v="0"/>
    <x v="0"/>
    <n v="1"/>
    <x v="284"/>
    <n v="343"/>
    <m/>
    <n v="0"/>
    <n v="4861"/>
    <n v="1667323"/>
    <n v="4.3"/>
    <n v="4697.75"/>
    <n v="12596.638655462186"/>
    <n v="12596.638655462186"/>
    <s v="Shenzhen"/>
    <x v="0"/>
    <n v="30"/>
    <n v="200"/>
    <n v="1"/>
    <n v="0.6613378160678014"/>
    <n v="11"/>
    <n v="0.49954614801523711"/>
    <n v="26"/>
    <n v="0.59186649655524393"/>
    <n v="43"/>
    <n v="0.5802988021814971"/>
    <n v="42"/>
    <n v="0.55767234720765924"/>
    <n v="80"/>
    <n v="0.55488872364441866"/>
    <n v="22"/>
    <n v="0.63717168422048998"/>
    <n v="56"/>
    <n v="0.58163015453502942"/>
    <n v="42"/>
    <n v="0.54583925591664018"/>
    <n v="61"/>
    <n v="0.51798557022945324"/>
    <n v="324"/>
    <n v="0.42988327214598177"/>
    <n v="76"/>
    <n v="0.55545695554265073"/>
    <n v="1"/>
    <s v=""/>
    <n v="35"/>
    <s v=""/>
    <n v="53"/>
    <s v=""/>
    <n v="40"/>
    <s v=""/>
    <n v="0.88888888888888884"/>
    <n v="45"/>
    <s v=""/>
    <n v="1"/>
    <n v="105"/>
    <s v=""/>
    <n v="1.05"/>
    <n v="9"/>
    <s v=""/>
    <n v="0.1125"/>
    <n v="40"/>
    <n v="32"/>
    <n v="32"/>
    <n v="0"/>
    <n v="0"/>
    <n v="0"/>
    <n v="668387.5"/>
    <n v="142416"/>
    <n v="155552"/>
    <n v="0"/>
    <n v="343"/>
    <n v="1667323"/>
    <n v="338733.14031494956"/>
    <n v="5"/>
    <n v="31"/>
    <n v="52.5"/>
    <n v="200"/>
    <n v="200"/>
    <n v="0"/>
    <n v="707275.5"/>
    <n v="137965.5"/>
    <n v="255202.5"/>
    <n v="0"/>
    <n v="343"/>
    <n v="1667323"/>
    <n v="555734.05832921411"/>
    <n v="60"/>
    <n v="197"/>
    <n v="53"/>
    <n v="0"/>
    <n v="0"/>
    <n v="652345.5"/>
    <n v="957617"/>
    <n v="257633"/>
    <n v="0"/>
    <n v="343"/>
    <n v="1667323"/>
    <n v="667621.84873949585"/>
    <n v="45"/>
    <n v="347"/>
    <n v="40"/>
    <n v="200"/>
    <n v="0"/>
    <n v="1544323.5"/>
    <n v="194440"/>
    <x v="62"/>
    <x v="0"/>
    <n v="343"/>
    <n v="1667323"/>
    <n v="503865.54621848743"/>
    <n v="45"/>
    <n v="388"/>
    <n v="45"/>
    <m/>
    <n v="0"/>
    <n v="0"/>
    <n v="1886068"/>
    <n v="200272.5"/>
    <x v="0"/>
    <n v="0"/>
    <n v="343"/>
    <n v="1667323"/>
    <n v="566848.73949579836"/>
    <n v="100"/>
    <n v="448"/>
    <n v="105"/>
    <m/>
    <n v="0"/>
    <n v="0"/>
    <n v="2177728"/>
    <n v="467302.5"/>
    <n v="0"/>
    <n v="0"/>
    <n v="448"/>
    <n v="1667323"/>
    <n v="1322647.0588235296"/>
    <n v="80"/>
    <n v="352"/>
    <n v="80"/>
    <n v="200"/>
    <n v="200"/>
    <n v="0"/>
    <n v="1711072"/>
    <n v="356040"/>
    <n v="860429.99999999988"/>
    <n v="0"/>
    <n v="352"/>
    <n v="1667323"/>
    <n v="1007731.0924369749"/>
    <n v="80"/>
    <n v="272"/>
    <n v="80"/>
    <n v="0"/>
    <n v="0"/>
    <n v="0"/>
    <n v="1322192"/>
    <n v="356040"/>
    <n v="0"/>
    <n v="0"/>
    <n v="272"/>
    <n v="1322192"/>
    <n v="1007731.0924369749"/>
    <n v="60"/>
    <n v="192"/>
    <n v="60"/>
    <n v="0"/>
    <n v="0"/>
    <m/>
    <n v="854496"/>
    <n v="267030"/>
    <n v="0"/>
    <n v="0"/>
    <n v="192"/>
    <n v="854496"/>
    <n v="755798.31932773115"/>
    <n v="100"/>
    <n v="132"/>
    <n v="100"/>
    <n v="0"/>
    <n v="0"/>
    <n v="0"/>
    <m/>
    <n v="587466"/>
    <n v="445050"/>
    <n v="0"/>
    <n v="0"/>
    <n v="132"/>
    <n v="587466"/>
    <n v="1259663.8655462186"/>
    <n v="50"/>
    <n v="32"/>
    <n v="50"/>
    <n v="0"/>
    <n v="0"/>
    <n v="142416"/>
    <n v="222525"/>
    <n v="0"/>
    <n v="0"/>
    <n v="32"/>
    <n v="142416"/>
    <n v="661323.52941176482"/>
    <n v="100"/>
    <n v="0"/>
    <n v="100"/>
    <n v="0"/>
    <n v="0"/>
    <n v="0"/>
    <n v="445050"/>
    <n v="0"/>
    <n v="0"/>
    <n v="0"/>
    <n v="1259663.8655462186"/>
    <n v="30"/>
    <n v="0"/>
    <n v="30"/>
    <n v="0"/>
    <m/>
    <n v="0"/>
    <n v="145830"/>
    <n v="0"/>
    <n v="0"/>
    <n v="0"/>
    <n v="377899.15966386558"/>
  </r>
  <r>
    <m/>
    <x v="2"/>
    <x v="18"/>
    <x v="49"/>
    <s v="SMCFIT4LC-GR"/>
    <x v="484"/>
    <x v="331"/>
    <x v="0"/>
    <x v="2"/>
    <n v="1"/>
    <x v="12"/>
    <n v="0"/>
    <m/>
    <n v="0"/>
    <n v="3601.7999999999997"/>
    <n v="0"/>
    <n v="3.6"/>
    <n v="3601.7999999999997"/>
    <n v="9080.1680672268903"/>
    <n v="7718.1428571428569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720360"/>
    <n v="0"/>
    <n v="0"/>
    <n v="0"/>
    <n v="0"/>
    <n v="50"/>
    <n v="0"/>
    <n v="50"/>
    <n v="0"/>
    <n v="200"/>
    <n v="0"/>
    <n v="0"/>
    <n v="186299.99999999997"/>
    <n v="0"/>
    <n v="0"/>
    <n v="200"/>
    <n v="0"/>
    <n v="454008.40336134454"/>
    <n v="77"/>
    <n v="0"/>
    <n v="77"/>
    <n v="0"/>
    <n v="0"/>
    <n v="200"/>
    <n v="0"/>
    <n v="286901.99999999994"/>
    <n v="0"/>
    <n v="745199.99999999988"/>
    <n v="200"/>
    <n v="745199.99999999988"/>
    <n v="699172.9411764706"/>
    <n v="60"/>
    <n v="123"/>
    <n v="60"/>
    <n v="0"/>
    <n v="0"/>
    <n v="0"/>
    <m/>
    <n v="458297.99999999994"/>
    <n v="223559.99999999997"/>
    <n v="0"/>
    <n v="0"/>
    <n v="123"/>
    <n v="458297.99999999994"/>
    <n v="463088.57142857142"/>
    <n v="40"/>
    <n v="63"/>
    <n v="40"/>
    <n v="200"/>
    <n v="200"/>
    <n v="234737.99999999997"/>
    <n v="149039.99999999997"/>
    <n v="745199.99999999988"/>
    <n v="745199.99999999988"/>
    <n v="263"/>
    <n v="979937.99999999988"/>
    <n v="324162"/>
    <n v="60"/>
    <n v="223"/>
    <n v="60"/>
    <n v="0"/>
    <n v="0"/>
    <n v="830897.99999999988"/>
    <n v="223559.99999999997"/>
    <n v="0"/>
    <n v="223"/>
    <n v="830897.99999999988"/>
    <n v="544810.08403361344"/>
    <n v="24"/>
    <n v="163"/>
    <n v="24"/>
    <n v="0"/>
    <m/>
    <n v="607337.99999999988"/>
    <n v="86443.199999999997"/>
    <n v="0"/>
    <n v="163"/>
    <n v="607337.99999999988"/>
    <n v="217924.03361344535"/>
  </r>
  <r>
    <m/>
    <x v="2"/>
    <x v="18"/>
    <x v="49"/>
    <s v="SMCFIT4SV-WH"/>
    <x v="485"/>
    <x v="332"/>
    <x v="0"/>
    <x v="2"/>
    <n v="1"/>
    <x v="12"/>
    <n v="0"/>
    <m/>
    <n v="0"/>
    <n v="4001.9999999999995"/>
    <n v="0"/>
    <n v="4"/>
    <n v="4001.9999999999995"/>
    <n v="10089.0756302521"/>
    <n v="8575.7142857142844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800399.99999999988"/>
    <n v="0"/>
    <n v="0"/>
    <n v="0"/>
    <n v="0"/>
    <n v="40"/>
    <n v="0"/>
    <n v="40"/>
    <n v="0"/>
    <n v="200"/>
    <n v="0"/>
    <n v="0"/>
    <n v="165600"/>
    <n v="0"/>
    <n v="0"/>
    <n v="200"/>
    <n v="0"/>
    <n v="403563.02521008404"/>
    <n v="64"/>
    <n v="0"/>
    <n v="64"/>
    <n v="0"/>
    <n v="0"/>
    <n v="200"/>
    <n v="0"/>
    <n v="264960"/>
    <n v="0"/>
    <n v="828000"/>
    <n v="200"/>
    <n v="828000"/>
    <n v="645700.84033613442"/>
    <n v="80"/>
    <n v="136"/>
    <n v="80"/>
    <n v="0"/>
    <n v="0"/>
    <n v="0"/>
    <m/>
    <n v="563040"/>
    <n v="331200"/>
    <n v="0"/>
    <n v="0"/>
    <n v="136"/>
    <n v="563040"/>
    <n v="686057.14285714272"/>
    <n v="60"/>
    <n v="56"/>
    <n v="60"/>
    <n v="200"/>
    <n v="200"/>
    <n v="231840"/>
    <n v="248400"/>
    <n v="828000"/>
    <n v="828000"/>
    <n v="256"/>
    <n v="1059840"/>
    <n v="540269.99999999988"/>
    <n v="80"/>
    <n v="196"/>
    <n v="80"/>
    <n v="0"/>
    <n v="0"/>
    <n v="811440"/>
    <n v="331200"/>
    <n v="0"/>
    <n v="196"/>
    <n v="811440"/>
    <n v="807126.05042016809"/>
    <n v="36"/>
    <n v="116"/>
    <n v="36"/>
    <n v="0"/>
    <m/>
    <n v="480240"/>
    <n v="144071.99999999997"/>
    <n v="0"/>
    <n v="116"/>
    <n v="480240"/>
    <n v="363206.72268907563"/>
  </r>
  <r>
    <m/>
    <x v="2"/>
    <x v="18"/>
    <x v="49"/>
    <s v="SMCFIT12LC-GR"/>
    <x v="486"/>
    <x v="333"/>
    <x v="0"/>
    <x v="2"/>
    <n v="1"/>
    <x v="12"/>
    <n v="0"/>
    <m/>
    <n v="0"/>
    <n v="6002.9999999999991"/>
    <n v="0"/>
    <n v="6"/>
    <n v="6002.9999999999991"/>
    <n v="15133.613445378149"/>
    <n v="12863.571428571426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1200599.9999999998"/>
    <n v="0"/>
    <n v="0"/>
    <n v="0"/>
    <n v="0"/>
    <n v="56"/>
    <n v="0"/>
    <n v="56"/>
    <n v="0"/>
    <n v="200"/>
    <n v="0"/>
    <n v="0"/>
    <n v="347759.99999999994"/>
    <n v="0"/>
    <n v="0"/>
    <n v="200"/>
    <n v="0"/>
    <n v="847482.35294117639"/>
    <n v="62"/>
    <n v="0"/>
    <n v="62"/>
    <n v="0"/>
    <n v="0"/>
    <n v="200"/>
    <n v="0"/>
    <n v="385019.99999999994"/>
    <n v="0"/>
    <n v="1241999.9999999998"/>
    <n v="200"/>
    <n v="1241999.9999999998"/>
    <n v="938284.03361344524"/>
    <n v="70"/>
    <n v="138"/>
    <n v="70"/>
    <n v="0"/>
    <n v="0"/>
    <n v="0"/>
    <m/>
    <n v="856979.99999999988"/>
    <n v="434699.99999999994"/>
    <n v="0"/>
    <n v="0"/>
    <n v="138"/>
    <n v="856979.99999999988"/>
    <n v="900449.99999999977"/>
    <n v="50"/>
    <n v="68"/>
    <n v="50"/>
    <n v="200"/>
    <n v="200"/>
    <n v="422279.99999999994"/>
    <n v="310499.99999999994"/>
    <n v="1241999.9999999998"/>
    <n v="1241999.9999999998"/>
    <n v="268"/>
    <n v="1664279.9999999998"/>
    <n v="675337.49999999988"/>
    <n v="70"/>
    <n v="218"/>
    <n v="70"/>
    <n v="0"/>
    <n v="0"/>
    <n v="1353779.9999999998"/>
    <n v="434699.99999999994"/>
    <n v="0"/>
    <n v="218"/>
    <n v="1353779.9999999998"/>
    <n v="1059352.9411764704"/>
    <n v="30"/>
    <n v="148"/>
    <n v="30"/>
    <n v="0"/>
    <m/>
    <n v="919079.99999999988"/>
    <n v="180089.99999999997"/>
    <n v="0"/>
    <n v="148"/>
    <n v="919079.99999999988"/>
    <n v="454008.40336134448"/>
  </r>
  <r>
    <m/>
    <x v="2"/>
    <x v="18"/>
    <x v="49"/>
    <s v="SMCFIT12SV-WH"/>
    <x v="487"/>
    <x v="334"/>
    <x v="0"/>
    <x v="2"/>
    <n v="1"/>
    <x v="12"/>
    <n v="0"/>
    <m/>
    <n v="0"/>
    <n v="6303.15"/>
    <n v="0"/>
    <n v="6.3"/>
    <n v="6303.15"/>
    <n v="15890.294117647058"/>
    <n v="13506.749999999998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1260630"/>
    <n v="0"/>
    <n v="0"/>
    <n v="0"/>
    <n v="0"/>
    <n v="36"/>
    <n v="0"/>
    <n v="36"/>
    <n v="0"/>
    <n v="200"/>
    <n v="0"/>
    <n v="0"/>
    <n v="234737.99999999997"/>
    <n v="0"/>
    <n v="0"/>
    <n v="200"/>
    <n v="0"/>
    <n v="572050.5882352941"/>
    <n v="51"/>
    <n v="0"/>
    <n v="51"/>
    <n v="0"/>
    <n v="0"/>
    <n v="200"/>
    <n v="0"/>
    <n v="332545.49999999994"/>
    <n v="0"/>
    <n v="1304099.9999999998"/>
    <n v="200"/>
    <n v="1304099.9999999998"/>
    <n v="810404.99999999988"/>
    <n v="80"/>
    <n v="149"/>
    <n v="80"/>
    <n v="0"/>
    <n v="0"/>
    <n v="0"/>
    <m/>
    <n v="971554.49999999988"/>
    <n v="521639.99999999994"/>
    <n v="0"/>
    <n v="0"/>
    <n v="149"/>
    <n v="971554.49999999988"/>
    <n v="1080539.9999999998"/>
    <n v="50"/>
    <n v="69"/>
    <n v="50"/>
    <n v="200"/>
    <n v="200"/>
    <n v="449914.49999999994"/>
    <n v="326024.99999999994"/>
    <n v="1304099.9999999998"/>
    <n v="1304099.9999999998"/>
    <n v="269"/>
    <n v="1754014.4999999998"/>
    <n v="709104.37499999988"/>
    <n v="80"/>
    <n v="219"/>
    <n v="80"/>
    <n v="0"/>
    <n v="0"/>
    <n v="1427989.4999999998"/>
    <n v="521639.99999999994"/>
    <n v="0"/>
    <n v="219"/>
    <n v="1427989.4999999998"/>
    <n v="1271223.5294117646"/>
    <n v="30"/>
    <n v="139"/>
    <n v="30"/>
    <n v="0"/>
    <m/>
    <n v="906349.49999999988"/>
    <n v="189094.5"/>
    <n v="0"/>
    <n v="139"/>
    <n v="906349.49999999988"/>
    <n v="476708.82352941175"/>
  </r>
  <r>
    <m/>
    <x v="2"/>
    <x v="18"/>
    <x v="50"/>
    <s v="SMCONTCAFMI"/>
    <x v="488"/>
    <x v="335"/>
    <x v="0"/>
    <x v="2"/>
    <n v="1"/>
    <x v="12"/>
    <n v="199"/>
    <m/>
    <n v="0"/>
    <n v="3801.8999999999996"/>
    <n v="756578.1"/>
    <n v="3.8"/>
    <n v="3801.8999999999996"/>
    <n v="9584.6218487394945"/>
    <n v="8146.9285714285697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6"/>
    <s v=""/>
    <n v="0.17142857142857143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99"/>
    <n v="756578.1"/>
    <n v="0"/>
    <n v="0"/>
    <n v="0"/>
    <n v="0"/>
    <n v="0"/>
    <n v="0"/>
    <n v="0"/>
    <n v="0"/>
    <x v="0"/>
    <x v="0"/>
    <n v="199"/>
    <n v="756578.1"/>
    <n v="0"/>
    <n v="0"/>
    <n v="199"/>
    <n v="0"/>
    <m/>
    <m/>
    <n v="0"/>
    <n v="756578.1"/>
    <n v="0"/>
    <x v="0"/>
    <n v="0"/>
    <n v="199"/>
    <n v="756578.1"/>
    <n v="0"/>
    <n v="0"/>
    <n v="199"/>
    <n v="0"/>
    <m/>
    <n v="0"/>
    <n v="0"/>
    <n v="756578.1"/>
    <n v="0"/>
    <n v="0"/>
    <n v="0"/>
    <n v="199"/>
    <n v="756578.1"/>
    <n v="0"/>
    <n v="35"/>
    <n v="205"/>
    <n v="35"/>
    <n v="200"/>
    <n v="200"/>
    <n v="0"/>
    <n v="779389.49999999988"/>
    <n v="137654.99999999997"/>
    <n v="760379.99999999988"/>
    <n v="0"/>
    <n v="205"/>
    <n v="756578.1"/>
    <n v="335461.76470588229"/>
    <n v="50"/>
    <n v="170"/>
    <n v="50"/>
    <n v="0"/>
    <n v="0"/>
    <n v="0"/>
    <n v="646322.99999999988"/>
    <n v="196649.99999999997"/>
    <n v="0"/>
    <n v="0"/>
    <n v="170"/>
    <n v="646322.99999999988"/>
    <n v="479231.09243697475"/>
    <n v="40"/>
    <n v="120"/>
    <n v="40"/>
    <n v="0"/>
    <n v="0"/>
    <m/>
    <n v="471959.99999999994"/>
    <n v="157319.99999999997"/>
    <n v="0"/>
    <n v="0"/>
    <n v="120"/>
    <n v="471959.99999999994"/>
    <n v="383384.87394957978"/>
    <n v="80"/>
    <n v="80"/>
    <n v="80"/>
    <n v="150"/>
    <n v="150"/>
    <n v="150"/>
    <n v="0"/>
    <n v="314639.99999999994"/>
    <n v="314639.99999999994"/>
    <n v="589949.99999999988"/>
    <n v="589949.99999999988"/>
    <n v="230"/>
    <n v="904589.99999999977"/>
    <n v="651754.28571428556"/>
    <n v="40"/>
    <n v="150"/>
    <n v="40"/>
    <n v="0"/>
    <n v="0"/>
    <n v="589949.99999999988"/>
    <n v="157319.99999999997"/>
    <n v="0"/>
    <n v="0"/>
    <n v="150"/>
    <n v="589949.99999999988"/>
    <n v="342170.99999999994"/>
    <n v="40"/>
    <n v="110"/>
    <n v="40"/>
    <n v="0"/>
    <n v="0"/>
    <n v="432629.99999999994"/>
    <n v="157319.99999999997"/>
    <n v="0"/>
    <n v="110"/>
    <n v="432629.99999999994"/>
    <n v="383384.87394957978"/>
    <n v="24"/>
    <n v="70"/>
    <n v="24"/>
    <n v="0"/>
    <m/>
    <n v="275309.99999999994"/>
    <n v="91245.599999999991"/>
    <n v="0"/>
    <n v="70"/>
    <n v="275309.99999999994"/>
    <n v="230030.92436974787"/>
  </r>
  <r>
    <s v="Simplit-Mundo Café"/>
    <x v="2"/>
    <x v="18"/>
    <x v="51"/>
    <n v="1654207295633"/>
    <x v="489"/>
    <x v="336"/>
    <x v="0"/>
    <x v="0"/>
    <n v="1.3"/>
    <x v="285"/>
    <n v="546"/>
    <m/>
    <n v="0"/>
    <n v="1363.6079709866819"/>
    <n v="744529.95215872838"/>
    <n v="1"/>
    <n v="1092.5"/>
    <n v="5033.6134453781515"/>
    <n v="4193.2773109243699"/>
    <s v="Shenzhen"/>
    <x v="0"/>
    <n v="30"/>
    <n v="100"/>
    <n v="22"/>
    <n v="0.78472468085106384"/>
    <n v="10"/>
    <s v=""/>
    <n v="52"/>
    <n v="0.7652453458750389"/>
    <n v="135"/>
    <n v="0.66225218949024911"/>
    <n v="125"/>
    <n v="0.67688459597315198"/>
    <n v="189"/>
    <n v="0.72925118296460834"/>
    <n v="161"/>
    <n v="0.73636535467329833"/>
    <n v="198"/>
    <n v="0.66826614715790522"/>
    <n v="225"/>
    <n v="0.62234441432985099"/>
    <n v="167"/>
    <n v="0.7040967146803172"/>
    <n v="162"/>
    <n v="0.70277072298693166"/>
    <n v="283"/>
    <n v="0.61288575951174995"/>
    <n v="27"/>
    <n v="0.78472468209773927"/>
    <n v="11"/>
    <s v=""/>
    <n v="124"/>
    <n v="0.76524536770940632"/>
    <n v="250"/>
    <n v="0.66225218616024839"/>
    <n v="2.5"/>
    <n v="302"/>
    <n v="0.67075242474071184"/>
    <n v="2.5166666666666666"/>
    <n v="267"/>
    <n v="0.7360639121625282"/>
    <n v="1.335"/>
    <n v="50"/>
    <n v="0.74186928985298117"/>
    <n v="0.3125"/>
    <n v="180"/>
    <n v="51"/>
    <n v="51"/>
    <n v="450"/>
    <n v="450"/>
    <n v="0"/>
    <n v="261130.92644394957"/>
    <n v="52785"/>
    <n v="69544.006520320778"/>
    <n v="0"/>
    <n v="546"/>
    <n v="744529.95215872838"/>
    <n v="215726.2905162065"/>
    <n v="130"/>
    <n v="490"/>
    <n v="16.5"/>
    <n v="150"/>
    <n v="50"/>
    <n v="0"/>
    <n v="532488.91267029929"/>
    <n v="507150"/>
    <n v="22499.531521280252"/>
    <n v="0"/>
    <n v="546"/>
    <n v="744529.95215872838"/>
    <n v="69793.799872890348"/>
    <n v="180"/>
    <n v="670"/>
    <n v="124"/>
    <n v="0"/>
    <n v="0"/>
    <n v="671449.38114901911"/>
    <n v="913617.34056107688"/>
    <n v="169087.38840234856"/>
    <n v="0"/>
    <n v="546"/>
    <n v="744529.95215872838"/>
    <n v="624168.06722689082"/>
    <n v="100"/>
    <n v="989"/>
    <n v="250"/>
    <n v="500"/>
    <n v="0"/>
    <n v="1023615"/>
    <n v="340901.9927466705"/>
    <x v="63"/>
    <x v="0"/>
    <n v="546"/>
    <n v="744529.95215872838"/>
    <n v="1258403.3613445379"/>
    <n v="120"/>
    <n v="848"/>
    <n v="156"/>
    <m/>
    <n v="0"/>
    <n v="0"/>
    <n v="1156339.5593967063"/>
    <n v="161460"/>
    <x v="0"/>
    <n v="0"/>
    <n v="546"/>
    <n v="744529.95215872838"/>
    <n v="785243.69747899158"/>
    <n v="200"/>
    <n v="813"/>
    <n v="267"/>
    <m/>
    <n v="0"/>
    <n v="0"/>
    <n v="1108613.2804121724"/>
    <n v="276345"/>
    <n v="0"/>
    <n v="0"/>
    <n v="813"/>
    <n v="744529.95215872838"/>
    <n v="1343974.7899159663"/>
    <n v="160"/>
    <n v="596"/>
    <n v="208"/>
    <n v="300"/>
    <n v="300"/>
    <n v="0"/>
    <n v="812710.35070806241"/>
    <n v="215280"/>
    <n v="300149.99999999994"/>
    <n v="0"/>
    <n v="596"/>
    <n v="744529.95215872838"/>
    <n v="1046991.5966386555"/>
    <n v="200"/>
    <n v="388"/>
    <n v="260"/>
    <n v="0"/>
    <n v="0"/>
    <n v="0"/>
    <n v="529079.89274283254"/>
    <n v="269100"/>
    <n v="0"/>
    <n v="0"/>
    <n v="388"/>
    <n v="529079.89274283254"/>
    <n v="1308739.4957983193"/>
    <n v="230"/>
    <n v="128"/>
    <n v="299"/>
    <n v="0"/>
    <n v="0"/>
    <m/>
    <n v="132480"/>
    <n v="309465"/>
    <n v="0"/>
    <n v="0"/>
    <n v="128"/>
    <n v="132480"/>
    <n v="1505050.4201680673"/>
    <n v="150"/>
    <n v="0"/>
    <n v="0"/>
    <n v="500"/>
    <n v="500"/>
    <n v="500"/>
    <n v="0"/>
    <n v="0"/>
    <n v="0"/>
    <n v="517500"/>
    <n v="517500"/>
    <n v="500"/>
    <n v="517500"/>
    <n v="0"/>
    <n v="120"/>
    <n v="500"/>
    <n v="156"/>
    <n v="0"/>
    <n v="0"/>
    <n v="517500"/>
    <n v="161460"/>
    <n v="0"/>
    <n v="0"/>
    <n v="500"/>
    <n v="517500"/>
    <n v="686858.82352941192"/>
    <n v="150"/>
    <n v="344"/>
    <n v="195"/>
    <n v="0"/>
    <n v="0"/>
    <n v="356040"/>
    <n v="201825"/>
    <n v="0"/>
    <n v="344"/>
    <n v="356040"/>
    <n v="981554.62184873957"/>
    <n v="72"/>
    <n v="149"/>
    <n v="93.600000000000009"/>
    <n v="0"/>
    <m/>
    <n v="154215"/>
    <n v="127633.70608435344"/>
    <n v="0"/>
    <n v="149"/>
    <n v="154215"/>
    <n v="471146.21848739503"/>
  </r>
  <r>
    <s v="Simplit-Mundo Café"/>
    <x v="2"/>
    <x v="18"/>
    <x v="51"/>
    <n v="1654207307551"/>
    <x v="490"/>
    <x v="337"/>
    <x v="0"/>
    <x v="0"/>
    <n v="1"/>
    <x v="286"/>
    <n v="674"/>
    <m/>
    <n v="0"/>
    <n v="1749.046767936278"/>
    <n v="1178857.5215890515"/>
    <n v="1.35"/>
    <n v="1474.8749999999998"/>
    <n v="5873.9495798319331"/>
    <n v="5033.6134453781515"/>
    <s v="Shenzhen"/>
    <x v="0"/>
    <n v="30"/>
    <n v="100"/>
    <n v="100"/>
    <n v="0.66431640892295052"/>
    <n v="108"/>
    <n v="0.64930647464741897"/>
    <n v="127"/>
    <n v="0.65443885915901379"/>
    <n v="96"/>
    <n v="0.64543581470025158"/>
    <n v="75"/>
    <n v="0.68033666157809358"/>
    <n v="154"/>
    <n v="0.66935912849677492"/>
    <n v="127"/>
    <n v="0.65554725385893875"/>
    <n v="223"/>
    <n v="0.60295330333816166"/>
    <n v="126"/>
    <n v="0.56970953911641697"/>
    <n v="122"/>
    <n v="0.60071359532479973"/>
    <n v="50"/>
    <n v="0.51250405975966218"/>
    <n v="158"/>
    <n v="0.55168686081880358"/>
    <n v="15"/>
    <n v="0.63427211139882966"/>
    <n v="8"/>
    <n v="0.64522295626483794"/>
    <n v="83"/>
    <n v="0.66783722096813558"/>
    <n v="59"/>
    <n v="0.643581755278685"/>
    <n v="0.73750000000000004"/>
    <n v="61"/>
    <n v="0.68033664851502129"/>
    <n v="0.81333333333333335"/>
    <n v="170"/>
    <n v="0.58483182972417869"/>
    <n v="1.1333333333333333"/>
    <n v="50"/>
    <n v="0.6584177629144905"/>
    <n v="0.38461538461538464"/>
    <n v="100"/>
    <n v="42"/>
    <n v="30"/>
    <n v="300"/>
    <n v="300"/>
    <n v="0"/>
    <n v="218630.84599203474"/>
    <n v="58684.5"/>
    <n v="52471.403038088341"/>
    <n v="0"/>
    <n v="674"/>
    <n v="1178857.5215890515"/>
    <n v="148082.76251677144"/>
    <n v="100"/>
    <n v="475"/>
    <n v="12"/>
    <n v="150"/>
    <n v="100"/>
    <n v="0"/>
    <n v="269353.20226218679"/>
    <n v="663693.75"/>
    <n v="20988.561215235335"/>
    <n v="0"/>
    <n v="674"/>
    <n v="1178857.5215890515"/>
    <n v="59233.105006708574"/>
    <n v="140"/>
    <n v="428"/>
    <n v="83"/>
    <n v="0"/>
    <n v="0"/>
    <n v="353158.39104695147"/>
    <n v="748592.01667672698"/>
    <n v="145170.88173871106"/>
    <n v="0"/>
    <n v="674"/>
    <n v="1178857.5215890515"/>
    <n v="487537.81512605044"/>
    <n v="80"/>
    <n v="662"/>
    <n v="59"/>
    <n v="300"/>
    <n v="0"/>
    <n v="924979.5"/>
    <n v="103193.75930824041"/>
    <x v="64"/>
    <x v="0"/>
    <n v="674"/>
    <n v="1178857.5215890515"/>
    <n v="346563.02521008404"/>
    <n v="75"/>
    <n v="735"/>
    <n v="75"/>
    <m/>
    <n v="0"/>
    <n v="0"/>
    <n v="1285549.3744331643"/>
    <n v="104793.75"/>
    <x v="0"/>
    <n v="0"/>
    <n v="674"/>
    <n v="1178857.5215890515"/>
    <n v="440546.21848739497"/>
    <n v="150"/>
    <n v="844"/>
    <n v="170"/>
    <m/>
    <n v="0"/>
    <n v="0"/>
    <n v="1476195.4721382186"/>
    <n v="237532.5"/>
    <n v="0"/>
    <n v="0"/>
    <n v="844"/>
    <n v="1178857.5215890515"/>
    <n v="998571.42857142864"/>
    <n v="130"/>
    <n v="724"/>
    <n v="130"/>
    <n v="350"/>
    <n v="350"/>
    <n v="0"/>
    <n v="1266309.8599858652"/>
    <n v="181642.5"/>
    <n v="472736.25"/>
    <n v="0"/>
    <n v="724"/>
    <n v="1178857.5215890515"/>
    <n v="763613.44537815126"/>
    <n v="200"/>
    <n v="594"/>
    <n v="200"/>
    <n v="0"/>
    <n v="0"/>
    <n v="0"/>
    <n v="1038933.7801541492"/>
    <n v="279450"/>
    <n v="0"/>
    <n v="0"/>
    <n v="594"/>
    <n v="1038933.7801541492"/>
    <n v="1174789.9159663867"/>
    <n v="130"/>
    <n v="394"/>
    <n v="130"/>
    <n v="0"/>
    <n v="0"/>
    <m/>
    <n v="550516.5"/>
    <n v="181642.5"/>
    <n v="0"/>
    <n v="0"/>
    <n v="394"/>
    <n v="550516.5"/>
    <n v="763613.44537815126"/>
    <n v="100"/>
    <n v="264"/>
    <n v="100"/>
    <n v="0"/>
    <n v="0"/>
    <n v="0"/>
    <m/>
    <n v="368874"/>
    <n v="139725"/>
    <n v="0"/>
    <n v="0"/>
    <n v="264"/>
    <n v="368874"/>
    <n v="503361.34453781514"/>
    <n v="50"/>
    <n v="164"/>
    <n v="50"/>
    <n v="0"/>
    <n v="0"/>
    <n v="229149"/>
    <n v="69862.5"/>
    <n v="0"/>
    <n v="0"/>
    <n v="164"/>
    <n v="229149"/>
    <n v="264264.70588235295"/>
    <n v="160"/>
    <n v="114"/>
    <n v="160"/>
    <n v="0"/>
    <n v="0"/>
    <n v="159286.5"/>
    <n v="223560"/>
    <n v="0"/>
    <n v="114"/>
    <n v="159286.5"/>
    <n v="939831.93277310929"/>
    <n v="30"/>
    <n v="0"/>
    <n v="30"/>
    <n v="0"/>
    <m/>
    <n v="0"/>
    <n v="52471.403038088341"/>
    <n v="0"/>
    <n v="0"/>
    <n v="0"/>
    <n v="176218.48739495798"/>
  </r>
  <r>
    <s v="Simplit-Mundo Café"/>
    <x v="2"/>
    <x v="18"/>
    <x v="51"/>
    <n v="1654207333519"/>
    <x v="491"/>
    <x v="338"/>
    <x v="0"/>
    <x v="0"/>
    <n v="1"/>
    <x v="287"/>
    <n v="431"/>
    <m/>
    <n v="0"/>
    <n v="1801.4577603143421"/>
    <n v="776428.29469548143"/>
    <n v="1.35"/>
    <n v="1474.8749999999998"/>
    <n v="5873.9495798319331"/>
    <n v="5033.6134453781515"/>
    <s v="Shenzhen"/>
    <x v="0"/>
    <n v="30"/>
    <n v="100"/>
    <n v="6"/>
    <n v="0.72427647577092535"/>
    <n v="2"/>
    <n v="0.71277361702127673"/>
    <n v="53"/>
    <n v="0.65518953068592056"/>
    <n v="116"/>
    <n v="0.53617071216401058"/>
    <n v="83"/>
    <n v="0.62891294154925215"/>
    <n v="151"/>
    <n v="0.71418515241719549"/>
    <n v="110"/>
    <n v="0.6654484371782915"/>
    <n v="205"/>
    <n v="0.63171819196421031"/>
    <n v="97"/>
    <n v="0.61118598487695375"/>
    <n v="278"/>
    <n v="0.59509164336258324"/>
    <n v="209"/>
    <n v="0.54970474891210186"/>
    <n v="130"/>
    <n v="0.57367301101409751"/>
    <n v="10"/>
    <n v="0.72968919518137143"/>
    <n v="137"/>
    <n v="0.71277360372340426"/>
    <n v="138"/>
    <n v="0.65518952098059158"/>
    <n v="92"/>
    <n v="0.53617070568252956"/>
    <n v="0.92"/>
    <n v="107"/>
    <n v="0.68316767224518005"/>
    <n v="1.3374999999999999"/>
    <n v="232"/>
    <n v="0.68836459154304497"/>
    <n v="1.288888888888889"/>
    <n v="70"/>
    <n v="0.67048136155783111"/>
    <n v="0.3888888888888889"/>
    <n v="150"/>
    <n v="36"/>
    <n v="40"/>
    <n v="450"/>
    <n v="450"/>
    <n v="0"/>
    <n v="690859.05108055018"/>
    <n v="50301"/>
    <n v="72058.310412573686"/>
    <n v="0"/>
    <n v="431"/>
    <n v="776428.29469548143"/>
    <n v="197443.68335569525"/>
    <n v="120"/>
    <n v="473"/>
    <n v="205.5"/>
    <n v="150"/>
    <n v="50"/>
    <n v="0"/>
    <n v="784534.8546168959"/>
    <n v="660899.25"/>
    <n v="370199.56974459731"/>
    <n v="0"/>
    <n v="431"/>
    <n v="776428.29469548143"/>
    <n v="1014366.9232398843"/>
    <n v="190"/>
    <n v="343"/>
    <n v="138"/>
    <n v="0"/>
    <n v="0"/>
    <n v="526115.28487229859"/>
    <n v="617900.01178781933"/>
    <n v="248601.17092337919"/>
    <n v="0"/>
    <n v="431"/>
    <n v="776428.29469548143"/>
    <n v="810605.04201680678"/>
    <n v="100"/>
    <n v="484"/>
    <n v="92"/>
    <n v="150"/>
    <n v="0"/>
    <n v="676269"/>
    <n v="165734.11394891946"/>
    <x v="65"/>
    <x v="0"/>
    <n v="431"/>
    <n v="776428.29469548143"/>
    <n v="540403.36134453781"/>
    <n v="80"/>
    <n v="538"/>
    <n v="80"/>
    <m/>
    <n v="0"/>
    <n v="0"/>
    <n v="969184.275049116"/>
    <n v="111780"/>
    <x v="0"/>
    <n v="0"/>
    <n v="431"/>
    <n v="776428.29469548143"/>
    <n v="469915.96638655465"/>
    <n v="180"/>
    <n v="663"/>
    <n v="232"/>
    <m/>
    <n v="0"/>
    <n v="0"/>
    <n v="1194366.4950884087"/>
    <n v="324162"/>
    <n v="0"/>
    <n v="0"/>
    <n v="663"/>
    <n v="776428.29469548143"/>
    <n v="1362756.3025210085"/>
    <n v="180"/>
    <n v="501"/>
    <n v="180"/>
    <n v="430"/>
    <n v="430"/>
    <n v="0"/>
    <n v="902530.33791748539"/>
    <n v="251505"/>
    <n v="580790.25"/>
    <n v="0"/>
    <n v="501"/>
    <n v="776428.29469548143"/>
    <n v="1057310.924369748"/>
    <n v="205"/>
    <n v="321"/>
    <n v="205"/>
    <n v="150"/>
    <n v="150"/>
    <n v="0"/>
    <n v="578267.94106090383"/>
    <n v="286436.25"/>
    <n v="209587.5"/>
    <n v="0"/>
    <n v="471"/>
    <n v="787855.44106090383"/>
    <n v="1204159.6638655462"/>
    <n v="100"/>
    <n v="116"/>
    <n v="100"/>
    <n v="0"/>
    <n v="0"/>
    <n v="150"/>
    <n v="162081"/>
    <n v="139725"/>
    <n v="0"/>
    <n v="209587.5"/>
    <n v="266"/>
    <n v="371668.5"/>
    <n v="587394.95798319334"/>
    <n v="130"/>
    <n v="166"/>
    <n v="130"/>
    <n v="0"/>
    <n v="0"/>
    <n v="0"/>
    <m/>
    <n v="231943.5"/>
    <n v="181642.5"/>
    <n v="0"/>
    <n v="0"/>
    <n v="166"/>
    <n v="231943.5"/>
    <n v="654369.74789915967"/>
    <n v="100"/>
    <n v="36"/>
    <n v="100"/>
    <n v="200"/>
    <n v="200"/>
    <n v="50301"/>
    <n v="139725"/>
    <n v="279450"/>
    <n v="279450"/>
    <n v="236"/>
    <n v="329751"/>
    <n v="528529.4117647059"/>
    <n v="130"/>
    <n v="136"/>
    <n v="130"/>
    <n v="0"/>
    <n v="0"/>
    <n v="190026"/>
    <n v="181642.5"/>
    <n v="0"/>
    <n v="136"/>
    <n v="190026"/>
    <n v="763613.44537815126"/>
    <n v="60"/>
    <n v="6"/>
    <n v="60"/>
    <n v="0"/>
    <m/>
    <n v="8383.5"/>
    <n v="108087.46561886053"/>
    <n v="0"/>
    <n v="6"/>
    <n v="8383.5"/>
    <n v="352436.97478991596"/>
  </r>
  <r>
    <s v="Simplit-Mundo Café"/>
    <x v="2"/>
    <x v="18"/>
    <x v="29"/>
    <n v="1660858266475"/>
    <x v="492"/>
    <x v="339"/>
    <x v="0"/>
    <x v="6"/>
    <n v="1"/>
    <x v="12"/>
    <n v="2"/>
    <m/>
    <n v="0"/>
    <n v="9058"/>
    <n v="18116"/>
    <n v="8"/>
    <n v="8740"/>
    <n v="21000"/>
    <n v="12596.638655462186"/>
    <s v="Shenzhen"/>
    <x v="0"/>
    <n v="30"/>
    <n v="100"/>
    <n v="44"/>
    <n v="0.48124688104023899"/>
    <n v="5"/>
    <n v="0.51030642475617927"/>
    <n v="9"/>
    <n v="0.47877855567277261"/>
    <n v="12"/>
    <n v="0.45674600151971051"/>
    <n v="16"/>
    <n v="0.50019360823817882"/>
    <n v="24"/>
    <n v="0.47975491299733036"/>
    <n v="2"/>
    <n v="0.5686685714285713"/>
    <n v="0"/>
    <n v="0.40084931869294887"/>
    <n v="0"/>
    <s v=""/>
    <n v="1"/>
    <n v="0.46080022511255631"/>
    <n v="0"/>
    <s v=""/>
    <n v="0"/>
    <s v=""/>
    <n v="0"/>
    <n v="0.4812468966798516"/>
    <n v="0"/>
    <n v="0.51030643664850395"/>
    <n v="0"/>
    <n v="0.47877856495442639"/>
    <n v="0"/>
    <n v="0.45674600585179637"/>
    <n v="0"/>
    <n v="0"/>
    <n v="0.50019360917747868"/>
    <n v="0"/>
    <n v="0"/>
    <n v="0.48259487354802444"/>
    <n v="0"/>
    <n v="0"/>
    <n v="0.5686538318452381"/>
    <n v="0"/>
    <n v="0"/>
    <n v="2"/>
    <n v="0"/>
    <n v="0"/>
    <n v="0"/>
    <n v="0"/>
    <n v="0"/>
    <n v="16560"/>
    <n v="0"/>
    <n v="0"/>
    <n v="2"/>
    <n v="18116"/>
    <n v="0"/>
    <n v="0"/>
    <n v="2"/>
    <n v="0"/>
    <n v="0"/>
    <n v="0"/>
    <n v="0"/>
    <n v="0"/>
    <n v="16560"/>
    <n v="0"/>
    <n v="0"/>
    <n v="2"/>
    <n v="18116"/>
    <n v="0"/>
    <n v="0"/>
    <n v="2"/>
    <n v="0"/>
    <n v="0"/>
    <n v="0"/>
    <n v="0"/>
    <n v="18116"/>
    <n v="0"/>
    <n v="0"/>
    <n v="2"/>
    <n v="18116"/>
    <n v="0"/>
    <n v="0"/>
    <n v="2"/>
    <n v="0"/>
    <n v="0"/>
    <n v="0"/>
    <n v="16560"/>
    <n v="0"/>
    <x v="0"/>
    <x v="0"/>
    <n v="2"/>
    <n v="18116"/>
    <n v="0"/>
    <n v="0"/>
    <n v="2"/>
    <n v="0"/>
    <m/>
    <n v="0"/>
    <n v="0"/>
    <n v="18116"/>
    <n v="0"/>
    <x v="0"/>
    <n v="0"/>
    <n v="2"/>
    <n v="18116"/>
    <n v="0"/>
    <n v="0"/>
    <n v="2"/>
    <n v="0"/>
    <m/>
    <n v="0"/>
    <n v="0"/>
    <n v="18116"/>
    <n v="0"/>
    <n v="0"/>
    <n v="0"/>
    <n v="2"/>
    <n v="18116"/>
    <n v="0"/>
    <n v="0"/>
    <n v="2"/>
    <n v="0"/>
    <n v="0"/>
    <n v="0"/>
    <n v="0"/>
    <n v="18116"/>
    <n v="0"/>
    <n v="0"/>
    <n v="0"/>
    <n v="2"/>
    <n v="18116"/>
    <n v="0"/>
    <n v="0"/>
    <n v="2"/>
    <n v="0"/>
    <n v="0"/>
    <n v="0"/>
    <n v="0"/>
    <n v="18116"/>
    <n v="0"/>
    <n v="0"/>
    <n v="0"/>
    <n v="2"/>
    <n v="18116"/>
    <n v="0"/>
    <n v="0"/>
    <n v="2"/>
    <n v="0"/>
    <n v="0"/>
    <n v="0"/>
    <m/>
    <n v="16560"/>
    <n v="0"/>
    <n v="0"/>
    <n v="0"/>
    <n v="2"/>
    <n v="16560"/>
    <n v="0"/>
    <n v="0"/>
    <n v="2"/>
    <n v="0"/>
    <n v="0"/>
    <n v="0"/>
    <n v="0"/>
    <m/>
    <n v="16560"/>
    <n v="0"/>
    <n v="0"/>
    <n v="0"/>
    <n v="2"/>
    <n v="16560"/>
    <n v="0"/>
    <n v="0"/>
    <n v="2"/>
    <n v="0"/>
    <n v="0"/>
    <n v="0"/>
    <n v="16560"/>
    <n v="0"/>
    <n v="0"/>
    <n v="0"/>
    <n v="2"/>
    <n v="16560"/>
    <n v="0"/>
    <n v="0"/>
    <n v="2"/>
    <n v="0"/>
    <n v="0"/>
    <n v="0"/>
    <n v="16560"/>
    <n v="0"/>
    <n v="0"/>
    <n v="2"/>
    <n v="16560"/>
    <n v="0"/>
    <n v="0"/>
    <n v="2"/>
    <n v="0"/>
    <n v="0"/>
    <m/>
    <n v="16560"/>
    <n v="0"/>
    <n v="0"/>
    <n v="2"/>
    <n v="16560"/>
    <n v="0"/>
  </r>
  <r>
    <s v="Simplit-Mundo Café"/>
    <x v="2"/>
    <x v="18"/>
    <x v="29"/>
    <n v="67951423489593"/>
    <x v="493"/>
    <x v="340"/>
    <x v="0"/>
    <x v="6"/>
    <n v="1"/>
    <x v="12"/>
    <n v="12"/>
    <m/>
    <n v="0"/>
    <n v="3731"/>
    <n v="44772"/>
    <n v="3.3"/>
    <n v="3605.2499999999995"/>
    <n v="7554.6218487394963"/>
    <n v="5873.9495798319331"/>
    <s v="Shenzhen"/>
    <x v="0"/>
    <n v="30"/>
    <n v="100"/>
    <n v="51"/>
    <n v="0.45672630263774872"/>
    <n v="7"/>
    <n v="0.58531787685441783"/>
    <n v="16"/>
    <n v="0.5620424538725004"/>
    <n v="26"/>
    <n v="0.48619447179021574"/>
    <n v="7"/>
    <n v="0.51550409073200298"/>
    <n v="20"/>
    <n v="0.45891323965450559"/>
    <n v="9"/>
    <n v="0.53162866246271578"/>
    <n v="57"/>
    <n v="0.43139354987167183"/>
    <n v="3"/>
    <n v="0.59604856921887084"/>
    <n v="32"/>
    <n v="0.44434876212410918"/>
    <n v="22"/>
    <n v="0.41080029574118337"/>
    <n v="39"/>
    <n v="0.44716498696354906"/>
    <n v="31"/>
    <n v="0.44586019164420881"/>
    <n v="10"/>
    <n v="0.58531982819181616"/>
    <n v="11"/>
    <n v="0.56511690626927591"/>
    <n v="9"/>
    <n v="0.48767902818487296"/>
    <n v="0.9"/>
    <n v="1"/>
    <n v="0.56185789375221384"/>
    <n v="0.1"/>
    <n v="0"/>
    <n v="0.44236708398288271"/>
    <n v="0"/>
    <n v="0"/>
    <n v="0.53174930448207702"/>
    <n v="0"/>
    <n v="10"/>
    <n v="80"/>
    <n v="12"/>
    <n v="0"/>
    <n v="0"/>
    <n v="0"/>
    <n v="141778"/>
    <n v="273239.99999999994"/>
    <n v="44772"/>
    <n v="0"/>
    <n v="12"/>
    <n v="44772"/>
    <n v="76181.060659557959"/>
    <n v="10"/>
    <n v="66"/>
    <n v="15"/>
    <n v="0"/>
    <n v="0"/>
    <n v="0"/>
    <n v="130585"/>
    <n v="225422.99999999997"/>
    <n v="55965"/>
    <n v="0"/>
    <n v="12"/>
    <n v="44772"/>
    <n v="95226.325824447442"/>
    <n v="10"/>
    <n v="47"/>
    <n v="11"/>
    <n v="0"/>
    <n v="0"/>
    <n v="108775"/>
    <n v="175357"/>
    <n v="41041"/>
    <n v="0"/>
    <n v="12"/>
    <n v="44772"/>
    <n v="83100.840336134454"/>
    <n v="10"/>
    <n v="35"/>
    <n v="9"/>
    <n v="0"/>
    <n v="0"/>
    <n v="119542.49999999999"/>
    <n v="33579"/>
    <x v="0"/>
    <x v="0"/>
    <n v="12"/>
    <n v="44772"/>
    <n v="67991.596638655465"/>
    <n v="10"/>
    <n v="13"/>
    <n v="10"/>
    <m/>
    <n v="0"/>
    <n v="0"/>
    <n v="48503"/>
    <n v="34154.999999999993"/>
    <x v="0"/>
    <n v="0"/>
    <n v="12"/>
    <n v="44772"/>
    <n v="75546.218487394959"/>
    <n v="0"/>
    <n v="12"/>
    <n v="0"/>
    <m/>
    <n v="0"/>
    <n v="0"/>
    <n v="44772"/>
    <n v="0"/>
    <n v="0"/>
    <n v="0"/>
    <n v="12"/>
    <n v="44772"/>
    <n v="0"/>
    <n v="0"/>
    <n v="12"/>
    <n v="0"/>
    <n v="0"/>
    <n v="0"/>
    <n v="0"/>
    <n v="44772"/>
    <n v="0"/>
    <n v="0"/>
    <n v="0"/>
    <n v="12"/>
    <n v="44772"/>
    <n v="0"/>
    <n v="0"/>
    <n v="12"/>
    <n v="0"/>
    <n v="0"/>
    <n v="0"/>
    <n v="0"/>
    <n v="44772"/>
    <n v="0"/>
    <n v="0"/>
    <n v="0"/>
    <n v="12"/>
    <n v="44772"/>
    <n v="0"/>
    <n v="0"/>
    <n v="12"/>
    <n v="0"/>
    <n v="0"/>
    <n v="0"/>
    <m/>
    <n v="40985.999999999993"/>
    <n v="0"/>
    <n v="0"/>
    <n v="0"/>
    <n v="12"/>
    <n v="40985.999999999993"/>
    <n v="0"/>
    <n v="0"/>
    <n v="12"/>
    <n v="0"/>
    <n v="0"/>
    <n v="0"/>
    <n v="0"/>
    <m/>
    <n v="40985.999999999993"/>
    <n v="0"/>
    <n v="0"/>
    <n v="0"/>
    <n v="12"/>
    <n v="40985.999999999993"/>
    <n v="0"/>
    <n v="0"/>
    <n v="12"/>
    <n v="0"/>
    <n v="0"/>
    <n v="0"/>
    <n v="40985.999999999993"/>
    <n v="0"/>
    <n v="0"/>
    <n v="0"/>
    <n v="12"/>
    <n v="40985.999999999993"/>
    <n v="0"/>
    <n v="0"/>
    <n v="12"/>
    <n v="0"/>
    <n v="0"/>
    <n v="0"/>
    <n v="40985.999999999993"/>
    <n v="0"/>
    <n v="0"/>
    <n v="12"/>
    <n v="40985.999999999993"/>
    <n v="0"/>
    <n v="0"/>
    <n v="12"/>
    <n v="0"/>
    <n v="0"/>
    <m/>
    <n v="40985.999999999993"/>
    <n v="0"/>
    <n v="0"/>
    <n v="12"/>
    <n v="40985.999999999993"/>
    <n v="0"/>
  </r>
  <r>
    <s v="Simplit-Mundo Café"/>
    <x v="2"/>
    <x v="18"/>
    <x v="29"/>
    <n v="67951425161311"/>
    <x v="494"/>
    <x v="340"/>
    <x v="0"/>
    <x v="6"/>
    <n v="1"/>
    <x v="12"/>
    <n v="5"/>
    <m/>
    <n v="0"/>
    <n v="3798"/>
    <n v="18990"/>
    <n v="3.3"/>
    <n v="3605.2499999999995"/>
    <n v="9235.2941176470595"/>
    <n v="9235.2941176470595"/>
    <s v="Shenzhen"/>
    <x v="0"/>
    <n v="30"/>
    <n v="100"/>
    <n v="62"/>
    <n v="0.488144602636712"/>
    <n v="22"/>
    <n v="0.57862754103302161"/>
    <n v="65"/>
    <n v="0.47592801674759116"/>
    <n v="10"/>
    <n v="0.42560213155238552"/>
    <n v="8"/>
    <n v="0.44998120774328598"/>
    <n v="42"/>
    <n v="0.46106583373047361"/>
    <n v="9"/>
    <n v="0.56987955446255523"/>
    <n v="136"/>
    <n v="0.43195961963809149"/>
    <n v="3"/>
    <n v="0.53201197147971024"/>
    <n v="26"/>
    <n v="0.40584417922451682"/>
    <n v="4"/>
    <n v="0.49732080217089153"/>
    <n v="7"/>
    <n v="0.43852116841079125"/>
    <n v="0"/>
    <n v="0.48814461338497367"/>
    <n v="1"/>
    <n v="0.57862751751981789"/>
    <n v="2"/>
    <n v="0.47592800325308221"/>
    <n v="4"/>
    <n v="0.42560214891146386"/>
    <n v="0"/>
    <n v="1"/>
    <n v="0.47598019083482135"/>
    <n v="0"/>
    <n v="0"/>
    <n v="0.46813062997543758"/>
    <n v="0"/>
    <n v="0"/>
    <n v="0.56987954543581465"/>
    <n v="0"/>
    <n v="0"/>
    <n v="5"/>
    <n v="0"/>
    <n v="0"/>
    <n v="0"/>
    <n v="0"/>
    <n v="13293"/>
    <n v="17077.499999999996"/>
    <n v="0"/>
    <n v="0"/>
    <n v="5"/>
    <n v="18990"/>
    <n v="0"/>
    <n v="0"/>
    <n v="13"/>
    <n v="1.5"/>
    <n v="0"/>
    <n v="0"/>
    <n v="0"/>
    <n v="28485"/>
    <n v="44401.499999999993"/>
    <n v="5697"/>
    <n v="0"/>
    <n v="5"/>
    <n v="18990"/>
    <n v="11641.127039050916"/>
    <n v="0"/>
    <n v="12"/>
    <n v="2"/>
    <n v="0"/>
    <n v="0"/>
    <n v="22788"/>
    <n v="45576"/>
    <n v="7596"/>
    <n v="0"/>
    <n v="5"/>
    <n v="18990"/>
    <n v="18470.588235294119"/>
    <n v="0"/>
    <n v="10"/>
    <n v="4"/>
    <n v="0"/>
    <n v="0"/>
    <n v="34154.999999999993"/>
    <n v="15192"/>
    <x v="0"/>
    <x v="0"/>
    <n v="5"/>
    <n v="18990"/>
    <n v="36941.176470588238"/>
    <n v="0"/>
    <n v="6"/>
    <n v="0"/>
    <m/>
    <n v="0"/>
    <n v="0"/>
    <n v="22788"/>
    <n v="0"/>
    <x v="0"/>
    <n v="0"/>
    <n v="5"/>
    <n v="18990"/>
    <n v="0"/>
    <n v="0"/>
    <n v="5"/>
    <n v="0"/>
    <m/>
    <n v="0"/>
    <n v="0"/>
    <n v="18990"/>
    <n v="0"/>
    <n v="0"/>
    <n v="0"/>
    <n v="5"/>
    <n v="18990"/>
    <n v="0"/>
    <n v="0"/>
    <n v="5"/>
    <n v="0"/>
    <n v="0"/>
    <n v="0"/>
    <n v="0"/>
    <n v="18990"/>
    <n v="0"/>
    <n v="0"/>
    <n v="0"/>
    <n v="5"/>
    <n v="18990"/>
    <n v="0"/>
    <n v="0"/>
    <n v="5"/>
    <n v="0"/>
    <n v="0"/>
    <n v="0"/>
    <n v="0"/>
    <n v="18990"/>
    <n v="0"/>
    <n v="0"/>
    <n v="0"/>
    <n v="5"/>
    <n v="18990"/>
    <n v="0"/>
    <n v="0"/>
    <n v="5"/>
    <n v="0"/>
    <n v="0"/>
    <n v="0"/>
    <m/>
    <n v="17077.499999999996"/>
    <n v="0"/>
    <n v="0"/>
    <n v="0"/>
    <n v="5"/>
    <n v="17077.499999999996"/>
    <n v="0"/>
    <n v="0"/>
    <n v="5"/>
    <n v="0"/>
    <n v="0"/>
    <n v="0"/>
    <n v="0"/>
    <m/>
    <n v="17077.499999999996"/>
    <n v="0"/>
    <n v="0"/>
    <n v="0"/>
    <n v="5"/>
    <n v="17077.499999999996"/>
    <n v="0"/>
    <n v="0"/>
    <n v="5"/>
    <n v="0"/>
    <n v="0"/>
    <n v="0"/>
    <n v="17077.499999999996"/>
    <n v="0"/>
    <n v="0"/>
    <n v="0"/>
    <n v="5"/>
    <n v="17077.499999999996"/>
    <n v="0"/>
    <n v="0"/>
    <n v="5"/>
    <n v="0"/>
    <n v="0"/>
    <n v="0"/>
    <n v="17077.499999999996"/>
    <n v="0"/>
    <n v="0"/>
    <n v="5"/>
    <n v="17077.499999999996"/>
    <n v="0"/>
    <n v="0"/>
    <n v="5"/>
    <n v="0"/>
    <n v="0"/>
    <m/>
    <n v="17077.499999999996"/>
    <n v="0"/>
    <n v="0"/>
    <n v="5"/>
    <n v="17077.499999999996"/>
    <n v="0"/>
  </r>
  <r>
    <s v="Simplit-Organización"/>
    <x v="2"/>
    <x v="19"/>
    <x v="50"/>
    <n v="1645629782262"/>
    <x v="495"/>
    <x v="341"/>
    <x v="0"/>
    <x v="0"/>
    <n v="1"/>
    <x v="288"/>
    <n v="222"/>
    <m/>
    <n v="0"/>
    <n v="3423.4"/>
    <n v="759994.8"/>
    <n v="3.7"/>
    <n v="4042.2499999999995"/>
    <n v="9235.2941176470595"/>
    <n v="7554.6218487394963"/>
    <s v="Shenzhen"/>
    <x v="2"/>
    <n v="30"/>
    <n v="100"/>
    <n v="33"/>
    <n v="0.51209505793331778"/>
    <n v="39"/>
    <n v="0.54394385913210064"/>
    <n v="48"/>
    <n v="0.49381102414744743"/>
    <n v="46"/>
    <n v="0.44872736794550649"/>
    <n v="39"/>
    <n v="0.49243533739230988"/>
    <n v="62"/>
    <n v="0.50026320241210809"/>
    <n v="51"/>
    <n v="0.45883244009260932"/>
    <n v="44"/>
    <n v="0.55775822940756914"/>
    <n v="37"/>
    <n v="0.44503297590739821"/>
    <n v="30"/>
    <n v="0.52157234628326687"/>
    <n v="26"/>
    <n v="0.47854495601276864"/>
    <n v="35"/>
    <n v="0.51921571240567055"/>
    <n v="19"/>
    <n v="0.48641398681235459"/>
    <n v="12"/>
    <n v="0.57068547500463396"/>
    <n v="37"/>
    <n v="0.48105456615220371"/>
    <n v="38"/>
    <n v="0.4483608306741394"/>
    <n v="0.84444444444444444"/>
    <n v="19"/>
    <n v="0.49367651723029254"/>
    <n v="0.47499999999999998"/>
    <n v="26"/>
    <n v="0.48958367523903529"/>
    <n v="0.43333333333333335"/>
    <n v="6"/>
    <n v="0.48545019768356251"/>
    <n v="0.12"/>
    <n v="35"/>
    <n v="66"/>
    <n v="45"/>
    <n v="150"/>
    <n v="150"/>
    <n v="0"/>
    <n v="342340"/>
    <n v="252746.99999999997"/>
    <n v="154053"/>
    <n v="0"/>
    <n v="222"/>
    <n v="759994.8"/>
    <n v="349233.81117152749"/>
    <n v="40"/>
    <n v="148"/>
    <n v="18"/>
    <n v="0"/>
    <n v="0"/>
    <n v="0"/>
    <n v="318376.2"/>
    <n v="566765.99999999988"/>
    <n v="61621.200000000004"/>
    <n v="0"/>
    <n v="222"/>
    <n v="759994.8"/>
    <n v="139693.52446861099"/>
    <n v="50"/>
    <n v="140"/>
    <n v="37"/>
    <n v="0"/>
    <n v="0"/>
    <n v="409935"/>
    <n v="479276"/>
    <n v="126665.8"/>
    <n v="0"/>
    <n v="222"/>
    <n v="759994.8"/>
    <n v="341705.8823529412"/>
    <n v="45"/>
    <n v="93"/>
    <n v="38"/>
    <n v="100"/>
    <n v="0"/>
    <n v="356143.49999999994"/>
    <n v="130089.2"/>
    <x v="66"/>
    <x v="0"/>
    <n v="222"/>
    <n v="759994.8"/>
    <n v="350941.17647058825"/>
    <n v="40"/>
    <n v="241"/>
    <n v="40"/>
    <m/>
    <n v="0"/>
    <n v="0"/>
    <n v="825039.4"/>
    <n v="153179.99999999997"/>
    <x v="0"/>
    <n v="0"/>
    <n v="222"/>
    <n v="759994.8"/>
    <n v="369411.76470588241"/>
    <n v="60"/>
    <n v="248"/>
    <n v="26"/>
    <m/>
    <n v="0"/>
    <n v="0"/>
    <n v="849003.20000000007"/>
    <n v="99566.999999999985"/>
    <n v="0"/>
    <n v="0"/>
    <n v="248"/>
    <n v="759994.8"/>
    <n v="240117.64705882355"/>
    <n v="50"/>
    <n v="228"/>
    <n v="50"/>
    <n v="100"/>
    <n v="100"/>
    <n v="0"/>
    <n v="780535.20000000007"/>
    <n v="191474.99999999997"/>
    <n v="370185"/>
    <n v="0"/>
    <n v="228"/>
    <n v="759994.8"/>
    <n v="461764.70588235295"/>
    <n v="43"/>
    <n v="178"/>
    <n v="43"/>
    <n v="0"/>
    <n v="0"/>
    <n v="0"/>
    <n v="609365.20000000007"/>
    <n v="164668.49999999997"/>
    <n v="0"/>
    <n v="0"/>
    <n v="178"/>
    <n v="609365.20000000007"/>
    <n v="397117.64705882355"/>
    <n v="35"/>
    <n v="135"/>
    <n v="35"/>
    <n v="0"/>
    <n v="0"/>
    <m/>
    <n v="516982.49999999994"/>
    <n v="134032.49999999997"/>
    <n v="0"/>
    <n v="0"/>
    <n v="135"/>
    <n v="516982.49999999994"/>
    <n v="323235.29411764711"/>
    <n v="50"/>
    <n v="100"/>
    <n v="50"/>
    <n v="0"/>
    <n v="0"/>
    <n v="0"/>
    <m/>
    <n v="382949.99999999994"/>
    <n v="191474.99999999997"/>
    <n v="0"/>
    <n v="0"/>
    <n v="100"/>
    <n v="382949.99999999994"/>
    <n v="377731.09243697481"/>
    <n v="40"/>
    <n v="50"/>
    <n v="40"/>
    <n v="100"/>
    <n v="100"/>
    <n v="191474.99999999997"/>
    <n v="153179.99999999997"/>
    <n v="382949.99999999994"/>
    <n v="382949.99999999994"/>
    <n v="150"/>
    <n v="574424.99999999988"/>
    <n v="317294.11764705885"/>
    <n v="50"/>
    <n v="110"/>
    <n v="50"/>
    <n v="0"/>
    <n v="0"/>
    <n v="421244.99999999994"/>
    <n v="191474.99999999997"/>
    <n v="0"/>
    <n v="110"/>
    <n v="421244.99999999994"/>
    <n v="461764.70588235295"/>
    <n v="24"/>
    <n v="60"/>
    <n v="24"/>
    <n v="0"/>
    <m/>
    <n v="229769.99999999997"/>
    <n v="82161.600000000006"/>
    <n v="0"/>
    <n v="60"/>
    <n v="229769.99999999997"/>
    <n v="221647.05882352943"/>
  </r>
  <r>
    <s v="Simplit-Organización"/>
    <x v="2"/>
    <x v="19"/>
    <x v="50"/>
    <n v="1654207748340"/>
    <x v="496"/>
    <x v="342"/>
    <x v="0"/>
    <x v="3"/>
    <n v="1"/>
    <x v="289"/>
    <n v="870"/>
    <m/>
    <n v="0"/>
    <n v="7281.0910264964186"/>
    <n v="6334549.193051884"/>
    <n v="6.9"/>
    <n v="7538.2499999999991"/>
    <n v="16798.319327731093"/>
    <n v="15957.983193277312"/>
    <s v="Shenzhen"/>
    <x v="0"/>
    <n v="30"/>
    <n v="100"/>
    <n v="303"/>
    <n v="0.50615890904744698"/>
    <n v="159"/>
    <n v="0.49552441244189205"/>
    <n v="302"/>
    <n v="0.50244595258877833"/>
    <n v="33"/>
    <n v="0.51543620152095415"/>
    <n v="4"/>
    <n v="0.51978105569519784"/>
    <n v="232"/>
    <n v="0.45473839875834393"/>
    <n v="192"/>
    <n v="0.56084949663404049"/>
    <n v="98"/>
    <n v="0.56895364941608395"/>
    <n v="87"/>
    <n v="0.59384905550058043"/>
    <n v="368"/>
    <n v="0.4280578120433528"/>
    <n v="150"/>
    <n v="0.47979241797167332"/>
    <n v="156"/>
    <n v="0.50751957006075499"/>
    <n v="137"/>
    <n v="0.49487706518230773"/>
    <n v="118"/>
    <n v="0.5110893243182979"/>
    <n v="156"/>
    <n v="0.48907595469168386"/>
    <n v="131"/>
    <n v="0.50457233417353287"/>
    <n v="0.87333333333333329"/>
    <n v="157"/>
    <s v=""/>
    <n v="0.87222222222222223"/>
    <n v="208"/>
    <n v="0.46139205356551527"/>
    <n v="0.83199999999999996"/>
    <n v="29"/>
    <n v="0.56099576289404951"/>
    <n v="0.14499999999999999"/>
    <n v="250"/>
    <n v="238"/>
    <n v="150"/>
    <n v="150"/>
    <n v="150"/>
    <n v="0"/>
    <n v="3516766.9657977698"/>
    <n v="1699676.9999999998"/>
    <n v="1092163.6539744628"/>
    <n v="0"/>
    <n v="870"/>
    <n v="6334549.193051884"/>
    <n v="2117435.209377869"/>
    <n v="180"/>
    <n v="282"/>
    <n v="177"/>
    <n v="350"/>
    <n v="250"/>
    <n v="0"/>
    <n v="3378426.2362943385"/>
    <n v="2013902.9999999998"/>
    <n v="1288753.1116898661"/>
    <n v="0"/>
    <n v="870"/>
    <n v="6334549.193051884"/>
    <n v="2498573.5470658853"/>
    <n v="300"/>
    <n v="1026"/>
    <n v="156"/>
    <n v="0"/>
    <n v="0"/>
    <n v="3375143.124604472"/>
    <n v="7470399.3931853259"/>
    <n v="1135850.2001334412"/>
    <n v="0"/>
    <n v="870"/>
    <n v="6334549.193051884"/>
    <n v="2620537.8151260503"/>
    <n v="150"/>
    <n v="688"/>
    <n v="131"/>
    <n v="650"/>
    <n v="0"/>
    <n v="4913351.9999999991"/>
    <n v="953822.92447103083"/>
    <x v="67"/>
    <x v="0"/>
    <n v="870"/>
    <n v="6334549.193051884"/>
    <n v="2200579.8319327733"/>
    <n v="180"/>
    <n v="1027"/>
    <n v="180"/>
    <m/>
    <n v="0"/>
    <n v="0"/>
    <n v="7477680.484211822"/>
    <n v="1285469.9999999998"/>
    <x v="0"/>
    <n v="0"/>
    <n v="870"/>
    <n v="6334549.193051884"/>
    <n v="3023697.478991597"/>
    <n v="250"/>
    <n v="1078"/>
    <n v="208"/>
    <m/>
    <n v="306"/>
    <n v="0"/>
    <n v="7849016.1265631393"/>
    <n v="1485431.9999999998"/>
    <n v="0"/>
    <n v="0"/>
    <n v="1078"/>
    <n v="6334549.193051884"/>
    <n v="3494050.4201680673"/>
    <n v="200"/>
    <n v="899"/>
    <n v="200"/>
    <n v="350"/>
    <n v="350"/>
    <n v="0"/>
    <n v="6545700.8328202805"/>
    <n v="1428299.9999999998"/>
    <n v="2416207.5"/>
    <n v="0"/>
    <n v="899"/>
    <n v="6334549.193051884"/>
    <n v="3359663.8655462186"/>
    <n v="150"/>
    <n v="699"/>
    <n v="150"/>
    <n v="0"/>
    <n v="0"/>
    <n v="0"/>
    <n v="5089482.6275209971"/>
    <n v="1071224.9999999998"/>
    <n v="0"/>
    <n v="0"/>
    <n v="699"/>
    <n v="5089482.6275209971"/>
    <n v="2519747.8991596638"/>
    <n v="150"/>
    <n v="549"/>
    <n v="150"/>
    <n v="0"/>
    <n v="0"/>
    <m/>
    <n v="3920683.4999999995"/>
    <n v="1071224.9999999998"/>
    <n v="0"/>
    <n v="0"/>
    <n v="549"/>
    <n v="3920683.4999999995"/>
    <n v="2519747.8991596638"/>
    <n v="300"/>
    <n v="399"/>
    <n v="300"/>
    <n v="0"/>
    <n v="0"/>
    <n v="0"/>
    <m/>
    <n v="2849458.4999999995"/>
    <n v="2142449.9999999995"/>
    <n v="0"/>
    <n v="0"/>
    <n v="399"/>
    <n v="2849458.4999999995"/>
    <n v="4787394.9579831939"/>
    <n v="160"/>
    <n v="99"/>
    <n v="160"/>
    <n v="300"/>
    <n v="300"/>
    <n v="707008.49999999988"/>
    <n v="1142639.9999999998"/>
    <n v="2142449.9999999995"/>
    <n v="2142449.9999999995"/>
    <n v="399"/>
    <n v="2849458.4999999995"/>
    <n v="2680941.1764705884"/>
    <n v="200"/>
    <n v="239"/>
    <n v="200"/>
    <n v="0"/>
    <n v="0"/>
    <n v="1706818.4999999998"/>
    <n v="1428299.9999999998"/>
    <n v="0"/>
    <n v="239"/>
    <n v="1706818.4999999998"/>
    <n v="3359663.8655462186"/>
    <n v="96"/>
    <n v="39"/>
    <n v="96"/>
    <n v="0"/>
    <m/>
    <n v="278518.49999999994"/>
    <n v="698984.73854365619"/>
    <n v="0"/>
    <n v="39"/>
    <n v="278518.49999999994"/>
    <n v="1612638.6554621849"/>
  </r>
  <r>
    <s v="Simplit-Organización"/>
    <x v="2"/>
    <x v="19"/>
    <x v="50"/>
    <n v="1660858416606"/>
    <x v="497"/>
    <x v="343"/>
    <x v="0"/>
    <x v="4"/>
    <n v="1"/>
    <x v="290"/>
    <n v="216"/>
    <m/>
    <n v="0"/>
    <n v="6387.0062893081758"/>
    <n v="1379593.358490566"/>
    <n v="6.1"/>
    <n v="6664.2499999999991"/>
    <n v="14277.310924369749"/>
    <n v="13436.974789915967"/>
    <s v="Shenzhen"/>
    <x v="0"/>
    <n v="45"/>
    <n v="200"/>
    <n v="40"/>
    <n v="0.66503591248690785"/>
    <n v="30"/>
    <n v="0.68044265424107597"/>
    <n v="32"/>
    <n v="0.65584053490714089"/>
    <n v="24"/>
    <n v="0.6673315443670087"/>
    <n v="59"/>
    <n v="0.60455978913835373"/>
    <n v="67"/>
    <n v="0.65162136086687861"/>
    <n v="28"/>
    <n v="0.67248718825083842"/>
    <n v="33"/>
    <n v="0.67605148571676177"/>
    <n v="24"/>
    <n v="0.67387149378282984"/>
    <n v="60"/>
    <n v="0.6252199931132395"/>
    <n v="44"/>
    <n v="0.60166893893757978"/>
    <n v="34"/>
    <n v="0.59174086161664374"/>
    <n v="68"/>
    <n v="0.66503591436907483"/>
    <n v="41"/>
    <n v="0.68217958576377868"/>
    <n v="58"/>
    <n v="0.65696592954419275"/>
    <n v="37"/>
    <n v="0.66466419647601338"/>
    <n v="1.0571428571428572"/>
    <n v="11"/>
    <n v="0.60481534629071132"/>
    <n v="0.2"/>
    <n v="5"/>
    <n v="0.64888848918015463"/>
    <n v="7.1428571428571425E-2"/>
    <n v="13"/>
    <n v="0.67103466894865804"/>
    <n v="0.37142857142857144"/>
    <n v="34"/>
    <n v="214"/>
    <n v="55"/>
    <n v="0"/>
    <n v="0"/>
    <n v="0"/>
    <n v="1114532.5974842766"/>
    <n v="1351088.9999999998"/>
    <n v="351285.3459119497"/>
    <n v="0"/>
    <n v="216"/>
    <n v="1379593.358490566"/>
    <n v="659875.71499187918"/>
    <n v="40"/>
    <n v="157"/>
    <n v="61.5"/>
    <n v="0"/>
    <n v="0"/>
    <n v="0"/>
    <n v="999566.48427672952"/>
    <n v="991219.49999999988"/>
    <n v="392800.88679245283"/>
    <n v="0"/>
    <n v="216"/>
    <n v="1379593.358490566"/>
    <n v="737861.02676364675"/>
    <n v="45"/>
    <n v="105"/>
    <n v="58"/>
    <n v="0"/>
    <n v="0"/>
    <n v="954008.09748427663"/>
    <n v="670635.66037735844"/>
    <n v="370446.36477987422"/>
    <n v="0"/>
    <n v="216"/>
    <n v="1379593.358490566"/>
    <n v="828084.03361344547"/>
    <n v="35"/>
    <n v="55"/>
    <n v="37"/>
    <n v="0"/>
    <n v="0"/>
    <n v="347242.49999999994"/>
    <n v="236319.2327044025"/>
    <x v="0"/>
    <x v="0"/>
    <n v="216"/>
    <n v="1379593.358490566"/>
    <n v="528260.50420168077"/>
    <n v="55"/>
    <n v="227"/>
    <n v="55"/>
    <m/>
    <n v="0"/>
    <n v="0"/>
    <n v="1449850.4276729559"/>
    <n v="347242.49999999994"/>
    <x v="0"/>
    <n v="0"/>
    <n v="216"/>
    <n v="1379593.358490566"/>
    <n v="785252.10084033618"/>
    <n v="70"/>
    <n v="221"/>
    <n v="5"/>
    <m/>
    <n v="0"/>
    <n v="0"/>
    <n v="1411528.3899371068"/>
    <n v="31567.499999999996"/>
    <n v="0"/>
    <n v="0"/>
    <n v="221"/>
    <n v="1379593.358490566"/>
    <n v="71386.554621848743"/>
    <n v="35"/>
    <n v="229"/>
    <n v="35"/>
    <n v="200"/>
    <n v="200"/>
    <n v="0"/>
    <n v="1462624.4402515723"/>
    <n v="220972.49999999997"/>
    <n v="1220609.9999999998"/>
    <n v="0"/>
    <n v="229"/>
    <n v="1379593.358490566"/>
    <n v="499705.8823529412"/>
    <n v="30"/>
    <n v="194"/>
    <n v="30"/>
    <n v="0"/>
    <n v="0"/>
    <n v="0"/>
    <n v="1239079.220125786"/>
    <n v="189404.99999999997"/>
    <n v="0"/>
    <n v="0"/>
    <n v="194"/>
    <n v="1239079.220125786"/>
    <n v="428319.32773109246"/>
    <n v="25"/>
    <n v="164"/>
    <n v="25"/>
    <n v="0"/>
    <n v="0"/>
    <m/>
    <n v="1035413.9999999999"/>
    <n v="157837.49999999997"/>
    <n v="0"/>
    <n v="0"/>
    <n v="164"/>
    <n v="1035413.9999999999"/>
    <n v="356932.77310924372"/>
    <n v="50"/>
    <n v="139"/>
    <n v="50"/>
    <n v="0"/>
    <n v="0"/>
    <n v="0"/>
    <m/>
    <n v="877576.49999999988"/>
    <n v="315674.99999999994"/>
    <n v="0"/>
    <n v="0"/>
    <n v="139"/>
    <n v="877576.49999999988"/>
    <n v="671848.73949579836"/>
    <n v="40"/>
    <n v="89"/>
    <n v="40"/>
    <n v="0"/>
    <n v="0"/>
    <n v="561901.49999999988"/>
    <n v="252539.99999999997"/>
    <n v="0"/>
    <n v="0"/>
    <n v="89"/>
    <n v="561901.49999999988"/>
    <n v="564352.9411764706"/>
    <n v="40"/>
    <n v="49"/>
    <n v="40"/>
    <n v="0"/>
    <n v="0"/>
    <n v="309361.49999999994"/>
    <n v="252539.99999999997"/>
    <n v="0"/>
    <n v="49"/>
    <n v="309361.49999999994"/>
    <n v="571092.43697478995"/>
    <n v="24"/>
    <n v="9"/>
    <n v="24"/>
    <n v="0"/>
    <m/>
    <n v="56821.499999999993"/>
    <n v="153288.15094339621"/>
    <n v="0"/>
    <n v="9"/>
    <n v="56821.499999999993"/>
    <n v="342655.46218487399"/>
  </r>
  <r>
    <s v="Simplit-Organización"/>
    <x v="2"/>
    <x v="19"/>
    <x v="50"/>
    <n v="1627418212924"/>
    <x v="498"/>
    <x v="344"/>
    <x v="0"/>
    <x v="3"/>
    <n v="1"/>
    <x v="291"/>
    <n v="214"/>
    <m/>
    <n v="0"/>
    <n v="5979.9562521908974"/>
    <n v="1279710.637968852"/>
    <n v="6.0500000000000007"/>
    <n v="6609.6250000000009"/>
    <n v="14277.310924369749"/>
    <n v="12596.638655462186"/>
    <s v="Ningbo"/>
    <x v="2"/>
    <n v="30"/>
    <n v="100"/>
    <n v="463"/>
    <n v="0.62622362433053314"/>
    <n v="254"/>
    <n v="0.57088301714536993"/>
    <n v="374"/>
    <n v="0.48010338851677437"/>
    <n v="232"/>
    <n v="0.48345808212027097"/>
    <n v="266"/>
    <n v="0.61437693736457344"/>
    <n v="650"/>
    <n v="0.54958011419676867"/>
    <n v="288"/>
    <n v="0.47635340633807871"/>
    <n v="591"/>
    <n v="0.39832098059024079"/>
    <n v="517"/>
    <n v="0.38536126881889909"/>
    <n v="615"/>
    <n v="0.34523741675941311"/>
    <n v="65"/>
    <n v="0.48276956096036583"/>
    <n v="26"/>
    <n v="0.49073479773207218"/>
    <n v="133"/>
    <n v="0.62290596926324426"/>
    <n v="172"/>
    <n v="0.58859782615163325"/>
    <n v="461"/>
    <n v="0.46497320346515608"/>
    <n v="253"/>
    <n v="0.48505761916880491"/>
    <n v="0.84333333333333338"/>
    <n v="318"/>
    <n v="0.61633185580200978"/>
    <n v="1.3305439330543933"/>
    <n v="660"/>
    <n v="0.55156031653346171"/>
    <n v="1.32"/>
    <n v="95"/>
    <n v="0.4696348216325299"/>
    <n v="0.31666666666666665"/>
    <n v="220"/>
    <n v="580"/>
    <n v="164"/>
    <n v="400"/>
    <n v="400"/>
    <n v="0"/>
    <n v="5280301.3706845623"/>
    <n v="3631815.0000000005"/>
    <n v="980712.82535930723"/>
    <n v="0"/>
    <n v="214"/>
    <n v="1279710.637968852"/>
    <n v="1967629.4047030581"/>
    <n v="200"/>
    <n v="1064"/>
    <n v="258"/>
    <n v="600"/>
    <n v="600"/>
    <n v="0"/>
    <n v="5812517.4771295525"/>
    <n v="6662502.0000000009"/>
    <n v="1542828.7130652515"/>
    <n v="0"/>
    <n v="214"/>
    <n v="1279710.637968852"/>
    <n v="3095416.9903255426"/>
    <n v="220"/>
    <n v="913"/>
    <n v="461"/>
    <n v="0"/>
    <n v="0"/>
    <n v="5766247.0140643008"/>
    <n v="5459700.0582502894"/>
    <n v="2756759.8322600038"/>
    <n v="0"/>
    <n v="214"/>
    <n v="1279710.637968852"/>
    <n v="6581840.3361344542"/>
    <n v="300"/>
    <n v="383"/>
    <n v="253"/>
    <n v="600"/>
    <n v="0"/>
    <n v="2398250.2500000005"/>
    <n v="1512928.931804297"/>
    <x v="68"/>
    <x v="0"/>
    <n v="214"/>
    <n v="1279710.637968852"/>
    <n v="3612159.6638655467"/>
    <n v="239"/>
    <n v="532"/>
    <n v="239"/>
    <n v="500"/>
    <n v="500"/>
    <n v="0"/>
    <n v="3181336.7261655573"/>
    <n v="1496558.2500000002"/>
    <x v="26"/>
    <n v="0"/>
    <n v="214"/>
    <n v="1279710.637968852"/>
    <n v="3412277.3109243698"/>
    <n v="500"/>
    <n v="874"/>
    <n v="660"/>
    <m/>
    <n v="500"/>
    <n v="0"/>
    <n v="5226481.7644148441"/>
    <n v="4132755.0000000005"/>
    <n v="0"/>
    <n v="0"/>
    <n v="874"/>
    <n v="1279710.637968852"/>
    <n v="9423025.2100840341"/>
    <n v="300"/>
    <n v="309"/>
    <n v="300"/>
    <n v="0"/>
    <n v="0"/>
    <n v="0"/>
    <n v="1847806.4819269874"/>
    <n v="1878525.0000000002"/>
    <n v="0"/>
    <n v="0"/>
    <n v="309"/>
    <n v="1279710.637968852"/>
    <n v="4283193.2773109246"/>
    <n v="350"/>
    <n v="9"/>
    <n v="350"/>
    <n v="600"/>
    <n v="600"/>
    <n v="600"/>
    <n v="53819.606269718075"/>
    <n v="2191612.5000000005"/>
    <n v="3757050.0000000005"/>
    <n v="3757050.0000000005"/>
    <n v="609"/>
    <n v="3810869.6062697186"/>
    <n v="4997058.823529412"/>
    <n v="250"/>
    <n v="259"/>
    <n v="250"/>
    <n v="0"/>
    <n v="0"/>
    <n v="600"/>
    <n v="1621793.2500000002"/>
    <n v="1565437.5000000002"/>
    <n v="0"/>
    <n v="3757050.0000000005"/>
    <n v="859"/>
    <n v="5378843.2500000009"/>
    <n v="3569327.7310924372"/>
    <n v="350"/>
    <n v="609"/>
    <n v="350"/>
    <n v="500"/>
    <n v="500"/>
    <n v="500"/>
    <n v="0"/>
    <n v="3813405.7500000005"/>
    <n v="2191612.5000000005"/>
    <n v="3130875.0000000005"/>
    <n v="3130875.0000000005"/>
    <n v="1109"/>
    <n v="6944280.7500000009"/>
    <n v="4408823.5294117648"/>
    <n v="200"/>
    <n v="759"/>
    <n v="200"/>
    <n v="500"/>
    <n v="500"/>
    <n v="4752668.2500000009"/>
    <n v="1252350.0000000002"/>
    <n v="3130875.0000000005"/>
    <n v="3130875.0000000005"/>
    <n v="1259"/>
    <n v="7883543.2500000019"/>
    <n v="2645294.1176470593"/>
    <n v="300"/>
    <n v="1059"/>
    <n v="300"/>
    <n v="0"/>
    <n v="0"/>
    <n v="6631193.2500000009"/>
    <n v="1878525.0000000002"/>
    <n v="0"/>
    <n v="1059"/>
    <n v="6631193.2500000009"/>
    <n v="4283193.2773109246"/>
    <n v="120"/>
    <n v="759"/>
    <n v="120"/>
    <n v="0"/>
    <m/>
    <n v="4752668.2500000009"/>
    <n v="717594.75026290771"/>
    <n v="0"/>
    <n v="759"/>
    <n v="4752668.2500000009"/>
    <n v="1713277.3109243698"/>
  </r>
  <r>
    <s v="Simplit-Organización"/>
    <x v="2"/>
    <x v="19"/>
    <x v="50"/>
    <n v="1660859287583"/>
    <x v="499"/>
    <x v="345"/>
    <x v="0"/>
    <x v="4"/>
    <n v="1"/>
    <x v="292"/>
    <n v="240"/>
    <m/>
    <n v="0"/>
    <n v="7980.1044176706828"/>
    <n v="1915225.0602409639"/>
    <n v="8.15"/>
    <n v="8903.875"/>
    <n v="16798.319327731093"/>
    <n v="16798.319327731093"/>
    <s v="Shenzhen"/>
    <x v="0"/>
    <n v="30"/>
    <n v="200"/>
    <n v="61"/>
    <n v="0.4819311379800208"/>
    <n v="75"/>
    <n v="0.46170510220313971"/>
    <n v="156"/>
    <n v="0.45829760552152388"/>
    <n v="60"/>
    <n v="0.48462981878984723"/>
    <n v="77"/>
    <n v="0.48014553649445868"/>
    <n v="81"/>
    <n v="0.43255385137321101"/>
    <n v="61"/>
    <n v="0.48325804377844023"/>
    <n v="65"/>
    <n v="0.52206736493810779"/>
    <n v="47"/>
    <n v="0.53068352294806809"/>
    <n v="98"/>
    <n v="0.49042721379587567"/>
    <n v="101"/>
    <n v="0.49192009927709068"/>
    <n v="71"/>
    <n v="0.47841948644028737"/>
    <n v="90"/>
    <n v="0.45398030961002817"/>
    <n v="75"/>
    <n v="0.45821290161297124"/>
    <n v="92"/>
    <n v="0.45772961367970905"/>
    <n v="73"/>
    <n v="0.47810602311271738"/>
    <n v="1.2166666666666666"/>
    <n v="78"/>
    <n v="0.47580889777038404"/>
    <n v="1.1142857142857143"/>
    <n v="29"/>
    <n v="0.4313035621854715"/>
    <n v="0.31182795698924731"/>
    <n v="12"/>
    <n v="0.49326266360864118"/>
    <n v="0.15384615384615385"/>
    <n v="70"/>
    <n v="133"/>
    <n v="90"/>
    <n v="150"/>
    <n v="150"/>
    <n v="0"/>
    <n v="2350140.751004016"/>
    <n v="1121888.25"/>
    <n v="718209.39759036142"/>
    <n v="0"/>
    <n v="240"/>
    <n v="1915225.0602409639"/>
    <n v="1270461.1256267214"/>
    <n v="80"/>
    <n v="188"/>
    <n v="112.5"/>
    <n v="0"/>
    <n v="0"/>
    <n v="0"/>
    <n v="2214478.9759036144"/>
    <n v="1585827"/>
    <n v="897761.7469879518"/>
    <n v="0"/>
    <n v="240"/>
    <n v="1915225.0602409639"/>
    <n v="1588076.4070334018"/>
    <n v="113"/>
    <n v="83"/>
    <n v="92"/>
    <n v="0"/>
    <n v="0"/>
    <n v="1907184.7289156625"/>
    <n v="662348.66666666663"/>
    <n v="734169.6064257028"/>
    <n v="0"/>
    <n v="240"/>
    <n v="1915225.0602409639"/>
    <n v="1545445.3781512605"/>
    <n v="60"/>
    <n v="207"/>
    <n v="73"/>
    <n v="200"/>
    <n v="0"/>
    <n v="1746096.75"/>
    <n v="582547.62248995982"/>
    <x v="69"/>
    <x v="0"/>
    <n v="240"/>
    <n v="1915225.0602409639"/>
    <n v="1226277.3109243698"/>
    <n v="70"/>
    <n v="318"/>
    <n v="70"/>
    <m/>
    <n v="0"/>
    <n v="0"/>
    <n v="2537673.2048192769"/>
    <n v="590467.5"/>
    <x v="0"/>
    <n v="0"/>
    <n v="240"/>
    <n v="1915225.0602409639"/>
    <n v="1175882.3529411764"/>
    <n v="93"/>
    <n v="269"/>
    <n v="29"/>
    <m/>
    <n v="0"/>
    <n v="0"/>
    <n v="2146648.0883534136"/>
    <n v="244622.25"/>
    <n v="0"/>
    <n v="0"/>
    <n v="269"/>
    <n v="1915225.0602409639"/>
    <n v="487151.26050420169"/>
    <n v="78"/>
    <n v="252"/>
    <n v="78"/>
    <n v="200"/>
    <n v="200"/>
    <n v="0"/>
    <n v="2010986.313253012"/>
    <n v="657949.5"/>
    <n v="1630815"/>
    <n v="0"/>
    <n v="252"/>
    <n v="1915225.0602409639"/>
    <n v="1310268.9075630251"/>
    <n v="70"/>
    <n v="174"/>
    <n v="70"/>
    <n v="100"/>
    <n v="100"/>
    <n v="0"/>
    <n v="1388538.1686746988"/>
    <n v="590467.5"/>
    <n v="843525"/>
    <n v="0"/>
    <n v="274"/>
    <n v="2232063.168674699"/>
    <n v="1175882.3529411764"/>
    <n v="63"/>
    <n v="104"/>
    <n v="63"/>
    <n v="0"/>
    <n v="0"/>
    <n v="100"/>
    <n v="877266"/>
    <n v="531420.75"/>
    <n v="0"/>
    <n v="843525"/>
    <n v="204"/>
    <n v="1720791"/>
    <n v="1058294.1176470588"/>
    <n v="100"/>
    <n v="141"/>
    <n v="100"/>
    <n v="0"/>
    <n v="0"/>
    <n v="0"/>
    <m/>
    <n v="1189370.25"/>
    <n v="843525"/>
    <n v="0"/>
    <n v="0"/>
    <n v="141"/>
    <n v="1189370.25"/>
    <n v="1679831.9327731093"/>
    <n v="90"/>
    <n v="41"/>
    <n v="90"/>
    <n v="200"/>
    <n v="200"/>
    <n v="345845.25"/>
    <n v="759172.5"/>
    <n v="1687050"/>
    <n v="1687050"/>
    <n v="241"/>
    <n v="2032895.25"/>
    <n v="1587441.1764705884"/>
    <n v="80"/>
    <n v="151"/>
    <n v="80"/>
    <n v="0"/>
    <n v="0"/>
    <n v="1273722.75"/>
    <n v="674820"/>
    <n v="0"/>
    <n v="151"/>
    <n v="1273722.75"/>
    <n v="1343865.5462184874"/>
    <n v="54"/>
    <n v="71"/>
    <n v="54"/>
    <n v="0"/>
    <m/>
    <n v="598902.75"/>
    <n v="430925.63855421689"/>
    <n v="0"/>
    <n v="71"/>
    <n v="598902.75"/>
    <n v="907109.24369747902"/>
  </r>
  <r>
    <s v="Simplit-Organización"/>
    <x v="2"/>
    <x v="19"/>
    <x v="50"/>
    <n v="67327712330533"/>
    <x v="500"/>
    <x v="346"/>
    <x v="0"/>
    <x v="4"/>
    <n v="1"/>
    <x v="293"/>
    <n v="521"/>
    <m/>
    <n v="0"/>
    <n v="5869.9466119096496"/>
    <n v="3058242.1848049276"/>
    <n v="6.0500000000000007"/>
    <n v="6609.6250000000009"/>
    <n v="14277.310924369749"/>
    <n v="12596.638655462186"/>
    <s v="Ningbo"/>
    <x v="2"/>
    <n v="30"/>
    <n v="100"/>
    <n v="250"/>
    <n v="0.51267226239346553"/>
    <n v="283"/>
    <n v="0.66350448258800776"/>
    <n v="171"/>
    <n v="0.52075409166223774"/>
    <n v="153"/>
    <n v="0.48993080881722367"/>
    <n v="169"/>
    <n v="0.50795379748482505"/>
    <n v="607"/>
    <n v="0.42600557143209034"/>
    <n v="264"/>
    <n v="0.48763938591287675"/>
    <n v="271"/>
    <n v="0.42696154510999346"/>
    <n v="246"/>
    <n v="0.48233152360664977"/>
    <n v="1224"/>
    <n v="0.26013737054032526"/>
    <n v="190"/>
    <n v="0.43958746874019777"/>
    <n v="21"/>
    <n v="-1.1134888264745406"/>
    <n v="38"/>
    <n v="0.49634456093640428"/>
    <n v="93"/>
    <n v="0.68353758482621563"/>
    <n v="370"/>
    <n v="0.47107819394158751"/>
    <n v="255"/>
    <n v="0.4986226560781194"/>
    <n v="1.02"/>
    <n v="248"/>
    <n v="0.50904424864501641"/>
    <n v="1.24"/>
    <n v="354"/>
    <n v="0.44600831388919876"/>
    <n v="0.88500000000000001"/>
    <n v="156"/>
    <n v="0.45564239532793682"/>
    <n v="0.52"/>
    <n v="180"/>
    <n v="109"/>
    <n v="180"/>
    <n v="500"/>
    <n v="500"/>
    <n v="0"/>
    <n v="4047328.1889117034"/>
    <n v="682530.75000000012"/>
    <n v="1056590.390143737"/>
    <n v="0"/>
    <n v="521"/>
    <n v="3058242.1848049276"/>
    <n v="2159593.2490643319"/>
    <n v="200"/>
    <n v="919"/>
    <n v="139.5"/>
    <n v="450"/>
    <n v="300"/>
    <n v="0"/>
    <n v="4487574.1848049276"/>
    <n v="5754548.2500000009"/>
    <n v="818857.55236139614"/>
    <n v="0"/>
    <n v="521"/>
    <n v="3058242.1848049276"/>
    <n v="1673684.7680248572"/>
    <n v="180"/>
    <n v="849"/>
    <n v="370"/>
    <n v="0"/>
    <n v="0"/>
    <n v="4921066.6324435314"/>
    <n v="4983584.6735112928"/>
    <n v="2171880.2464065705"/>
    <n v="0"/>
    <n v="521"/>
    <n v="3058242.1848049276"/>
    <n v="5282605.042016807"/>
    <n v="250"/>
    <n v="449"/>
    <n v="255"/>
    <n v="450"/>
    <n v="0"/>
    <n v="2811525.7500000005"/>
    <n v="1496836.3860369606"/>
    <x v="70"/>
    <x v="0"/>
    <n v="521"/>
    <n v="3058242.1848049276"/>
    <n v="3640714.2857142859"/>
    <n v="200"/>
    <n v="769"/>
    <n v="200"/>
    <n v="400"/>
    <n v="400"/>
    <n v="0"/>
    <n v="4513988.9445585208"/>
    <n v="1252350.0000000002"/>
    <x v="27"/>
    <n v="0"/>
    <n v="521"/>
    <n v="3058242.1848049276"/>
    <n v="2855462.1848739497"/>
    <n v="400"/>
    <n v="875"/>
    <n v="354"/>
    <m/>
    <n v="400"/>
    <n v="0"/>
    <n v="5136203.2854209431"/>
    <n v="2216659.5000000005"/>
    <n v="0"/>
    <n v="0"/>
    <n v="875"/>
    <n v="3058242.1848049276"/>
    <n v="5054168.0672268914"/>
    <n v="300"/>
    <n v="677"/>
    <n v="300"/>
    <n v="0"/>
    <n v="0"/>
    <n v="0"/>
    <n v="3973953.8562628329"/>
    <n v="1878525.0000000002"/>
    <n v="0"/>
    <n v="0"/>
    <n v="677"/>
    <n v="3058242.1848049276"/>
    <n v="4283193.2773109246"/>
    <n v="300"/>
    <n v="377"/>
    <n v="300"/>
    <n v="0"/>
    <n v="0"/>
    <n v="0"/>
    <n v="2212969.8726899377"/>
    <n v="1878525.0000000002"/>
    <n v="0"/>
    <n v="0"/>
    <n v="377"/>
    <n v="2212969.8726899377"/>
    <n v="4283193.2773109246"/>
    <n v="200"/>
    <n v="77"/>
    <n v="200"/>
    <n v="500"/>
    <n v="500"/>
    <n v="0"/>
    <n v="482154.75000000006"/>
    <n v="1252350.0000000002"/>
    <n v="3130875.0000000005"/>
    <n v="0"/>
    <n v="77"/>
    <n v="482154.75000000006"/>
    <n v="2855462.1848739497"/>
    <n v="400"/>
    <n v="500"/>
    <n v="400"/>
    <n v="500"/>
    <n v="500"/>
    <n v="500"/>
    <n v="500"/>
    <n v="3130875.0000000005"/>
    <n v="2504700.0000000005"/>
    <n v="3130875.0000000005"/>
    <n v="6261750.0000000009"/>
    <n v="1000"/>
    <n v="9392625.0000000019"/>
    <n v="5038655.4621848743"/>
    <n v="250"/>
    <n v="600"/>
    <n v="250"/>
    <n v="0"/>
    <n v="0"/>
    <n v="3757050.0000000005"/>
    <n v="1565437.5000000002"/>
    <n v="0"/>
    <n v="0"/>
    <n v="600"/>
    <n v="3757050.0000000005"/>
    <n v="3306617.6470588241"/>
    <n v="250"/>
    <n v="350"/>
    <n v="250"/>
    <n v="0"/>
    <n v="0"/>
    <n v="2191612.5000000005"/>
    <n v="1565437.5000000002"/>
    <n v="0"/>
    <n v="350"/>
    <n v="2191612.5000000005"/>
    <n v="3569327.7310924372"/>
    <n v="150"/>
    <n v="100"/>
    <n v="150"/>
    <n v="0"/>
    <m/>
    <n v="626175.00000000012"/>
    <n v="880491.99178644747"/>
    <n v="0"/>
    <n v="100"/>
    <n v="626175.00000000012"/>
    <n v="2141596.6386554623"/>
  </r>
  <r>
    <s v="Simplit-Organización"/>
    <x v="2"/>
    <x v="19"/>
    <x v="50"/>
    <s v="SIMCONCERS"/>
    <x v="501"/>
    <x v="347"/>
    <x v="0"/>
    <x v="1"/>
    <n v="0.6"/>
    <x v="294"/>
    <n v="93"/>
    <m/>
    <n v="0"/>
    <n v="1884"/>
    <n v="175212"/>
    <n v="1.4"/>
    <n v="1529.4999999999998"/>
    <n v="4193.2773109243699"/>
    <n v="4613.4453781512611"/>
    <s v="Shenzhen"/>
    <x v="0"/>
    <n v="30"/>
    <n v="50"/>
    <n v="21"/>
    <n v="0.51400352334596089"/>
    <n v="29"/>
    <n v="0.48619339684196783"/>
    <n v="19"/>
    <n v="0.54574056174849439"/>
    <n v="25"/>
    <n v="0.57436513031197811"/>
    <n v="27"/>
    <n v="0.42462917685411578"/>
    <n v="41"/>
    <n v="0.55678147892914598"/>
    <n v="31"/>
    <n v="0.53581059715409252"/>
    <n v="20"/>
    <n v="0.49611284448719045"/>
    <n v="30"/>
    <n v="0.5513100246627014"/>
    <n v="19"/>
    <n v="0.57640476685008546"/>
    <n v="20"/>
    <n v="0.61676609371896396"/>
    <n v="45"/>
    <n v="0.61497582822522379"/>
    <n v="21"/>
    <n v="0.46000390899108817"/>
    <n v="29"/>
    <n v="0.48623876087448087"/>
    <n v="11"/>
    <n v="0.54574055568459068"/>
    <n v="9"/>
    <n v="0.57436506596848491"/>
    <n v="0.36"/>
    <n v="39"/>
    <n v="0.42462916625057073"/>
    <n v="1.4444444444444444"/>
    <n v="4"/>
    <n v="0.55678622031892289"/>
    <n v="9.7560975609756101E-2"/>
    <n v="20"/>
    <n v="0.51399173718502833"/>
    <n v="0.64516129032258063"/>
    <n v="20"/>
    <n v="73"/>
    <n v="20"/>
    <n v="0"/>
    <n v="0"/>
    <n v="0"/>
    <n v="140358"/>
    <n v="105777"/>
    <n v="37680"/>
    <n v="0"/>
    <n v="93"/>
    <n v="175212"/>
    <n v="70475.248923098668"/>
    <n v="25"/>
    <n v="52"/>
    <n v="43.5"/>
    <n v="50"/>
    <n v="50"/>
    <n v="0"/>
    <n v="119634"/>
    <n v="75348"/>
    <n v="81954"/>
    <n v="0"/>
    <n v="93"/>
    <n v="175212"/>
    <n v="153283.6664077396"/>
    <n v="30"/>
    <n v="23"/>
    <n v="11"/>
    <n v="0"/>
    <n v="0"/>
    <n v="61153.8"/>
    <n v="43332"/>
    <n v="20724"/>
    <n v="0"/>
    <n v="93"/>
    <n v="175212"/>
    <n v="46126.050420168067"/>
    <n v="25"/>
    <n v="58"/>
    <n v="9"/>
    <n v="0"/>
    <n v="0"/>
    <n v="84042"/>
    <n v="16956"/>
    <x v="0"/>
    <x v="0"/>
    <n v="93"/>
    <n v="175212"/>
    <n v="37739.495798319331"/>
    <n v="27"/>
    <n v="132"/>
    <n v="16.2"/>
    <m/>
    <n v="0"/>
    <n v="0"/>
    <n v="248688"/>
    <n v="23473.8"/>
    <x v="0"/>
    <n v="0"/>
    <n v="93"/>
    <n v="175212"/>
    <n v="67931.092436974795"/>
    <n v="41"/>
    <n v="97"/>
    <n v="4"/>
    <m/>
    <n v="0"/>
    <n v="0"/>
    <n v="182748"/>
    <n v="5796"/>
    <n v="0"/>
    <n v="0"/>
    <n v="97"/>
    <n v="175212"/>
    <n v="16773.10924369748"/>
    <n v="31"/>
    <n v="113"/>
    <n v="18.599999999999998"/>
    <n v="100"/>
    <n v="100"/>
    <n v="0"/>
    <n v="212892"/>
    <n v="26951.399999999998"/>
    <n v="140069.99999999997"/>
    <n v="0"/>
    <n v="113"/>
    <n v="175212"/>
    <n v="77994.957983193264"/>
    <n v="20"/>
    <n v="94.4"/>
    <n v="12"/>
    <n v="0"/>
    <n v="0"/>
    <n v="0"/>
    <n v="177849.60000000001"/>
    <n v="17388"/>
    <n v="0"/>
    <n v="0"/>
    <n v="94.4"/>
    <n v="177849.60000000001"/>
    <n v="50319.327731092439"/>
    <n v="30"/>
    <n v="82.4"/>
    <n v="18"/>
    <n v="0"/>
    <n v="0"/>
    <m/>
    <n v="119397.6"/>
    <n v="26082"/>
    <n v="0"/>
    <n v="0"/>
    <n v="82.4"/>
    <n v="119397.6"/>
    <n v="75478.991596638662"/>
    <n v="20"/>
    <n v="64.400000000000006"/>
    <n v="12"/>
    <n v="0"/>
    <n v="0"/>
    <n v="0"/>
    <m/>
    <n v="93315.6"/>
    <n v="17388"/>
    <n v="0"/>
    <n v="0"/>
    <n v="64.400000000000006"/>
    <n v="93315.6"/>
    <n v="55361.344537815137"/>
    <n v="20"/>
    <n v="52.400000000000006"/>
    <n v="12"/>
    <n v="0"/>
    <n v="0"/>
    <n v="75927.600000000006"/>
    <n v="17388"/>
    <n v="0"/>
    <n v="0"/>
    <n v="52.400000000000006"/>
    <n v="75927.600000000006"/>
    <n v="58129.411764705896"/>
    <n v="45"/>
    <n v="40.400000000000006"/>
    <n v="27"/>
    <n v="0"/>
    <n v="0"/>
    <n v="58539.600000000006"/>
    <n v="39123"/>
    <n v="0"/>
    <n v="40.400000000000006"/>
    <n v="58539.600000000006"/>
    <n v="113218.48739495799"/>
    <n v="12"/>
    <n v="13.400000000000006"/>
    <n v="7.1999999999999993"/>
    <n v="0"/>
    <m/>
    <n v="19416.600000000009"/>
    <n v="13564.8"/>
    <n v="0"/>
    <n v="13.400000000000006"/>
    <n v="19416.600000000009"/>
    <n v="30191.596638655461"/>
  </r>
  <r>
    <s v="Simplit-Organización"/>
    <x v="2"/>
    <x v="19"/>
    <x v="50"/>
    <s v="SIMCONCERM"/>
    <x v="502"/>
    <x v="348"/>
    <x v="0"/>
    <x v="1"/>
    <n v="0.8"/>
    <x v="295"/>
    <n v="113"/>
    <m/>
    <n v="0"/>
    <n v="3257"/>
    <n v="368041"/>
    <n v="2.6"/>
    <n v="2840.5"/>
    <n v="6714.2857142857147"/>
    <n v="5453.7815126050418"/>
    <s v="Shenzhen"/>
    <x v="0"/>
    <n v="30"/>
    <n v="50"/>
    <n v="22"/>
    <n v="0.4927443041506801"/>
    <n v="30"/>
    <n v="0.46012860037492886"/>
    <n v="18"/>
    <n v="0.4816837733408228"/>
    <n v="39"/>
    <n v="0.36642609985170543"/>
    <n v="21"/>
    <n v="0.50144121975628431"/>
    <n v="17"/>
    <n v="0.40047811781832127"/>
    <n v="39"/>
    <n v="0.3708549809404787"/>
    <n v="21"/>
    <n v="0.3734700871464588"/>
    <n v="25"/>
    <n v="0.35744491525423733"/>
    <n v="11"/>
    <n v="0.43749765628854786"/>
    <n v="12"/>
    <n v="0.41699909404407043"/>
    <n v="28"/>
    <n v="0.38453162962296406"/>
    <n v="10"/>
    <n v="0.45266868356444256"/>
    <n v="19"/>
    <n v="0.42465204348652791"/>
    <n v="51"/>
    <n v="0.48168377342380209"/>
    <n v="17"/>
    <n v="0.3664260869024728"/>
    <n v="0.48571428571428571"/>
    <n v="19"/>
    <n v="0.50144122472886798"/>
    <n v="0.90476190476190477"/>
    <n v="21"/>
    <n v="0.4004726713948108"/>
    <n v="1.2352941176470589"/>
    <n v="14"/>
    <n v="0.36456107243518532"/>
    <n v="0.35897435897435898"/>
    <n v="25"/>
    <n v="106"/>
    <n v="20"/>
    <n v="0"/>
    <n v="0"/>
    <n v="0"/>
    <n v="324071.5"/>
    <n v="285246"/>
    <n v="65140"/>
    <n v="0"/>
    <n v="113"/>
    <n v="368041"/>
    <n v="112845.13805522211"/>
    <n v="20"/>
    <n v="94"/>
    <n v="28.5"/>
    <n v="50"/>
    <n v="50"/>
    <n v="0"/>
    <n v="314300.5"/>
    <n v="252954"/>
    <n v="92824.5"/>
    <n v="0"/>
    <n v="113"/>
    <n v="368041"/>
    <n v="160804.32172869149"/>
    <n v="20"/>
    <n v="80"/>
    <n v="51"/>
    <n v="0"/>
    <n v="0"/>
    <n v="266684.79999999999"/>
    <n v="260560"/>
    <n v="166107"/>
    <n v="0"/>
    <n v="113"/>
    <n v="368041"/>
    <n v="342428.57142857142"/>
    <n v="35"/>
    <n v="71"/>
    <n v="17"/>
    <n v="0"/>
    <n v="0"/>
    <n v="191061"/>
    <n v="55369"/>
    <x v="0"/>
    <x v="0"/>
    <n v="113"/>
    <n v="368041"/>
    <n v="114142.85714285714"/>
    <n v="21"/>
    <n v="132"/>
    <n v="16.8"/>
    <m/>
    <n v="0"/>
    <n v="0"/>
    <n v="429924"/>
    <n v="45208.800000000003"/>
    <x v="0"/>
    <n v="0"/>
    <n v="113"/>
    <n v="368041"/>
    <n v="112800.00000000001"/>
    <n v="17"/>
    <n v="134"/>
    <n v="21"/>
    <m/>
    <n v="0"/>
    <n v="0"/>
    <n v="436438"/>
    <n v="56511"/>
    <n v="0"/>
    <n v="0"/>
    <n v="134"/>
    <n v="368041"/>
    <n v="141000"/>
    <n v="39"/>
    <n v="127"/>
    <n v="31.200000000000003"/>
    <n v="100"/>
    <n v="100"/>
    <n v="0"/>
    <n v="413639"/>
    <n v="83959.200000000012"/>
    <n v="260129.99999999997"/>
    <n v="0"/>
    <n v="127"/>
    <n v="368041"/>
    <n v="209485.71428571432"/>
    <n v="21"/>
    <n v="95.8"/>
    <n v="16.8"/>
    <n v="0"/>
    <n v="0"/>
    <n v="0"/>
    <n v="312020.59999999998"/>
    <n v="45208.800000000003"/>
    <n v="0"/>
    <n v="0"/>
    <n v="95.8"/>
    <n v="312020.59999999998"/>
    <n v="112800.00000000001"/>
    <n v="25"/>
    <n v="79"/>
    <n v="20"/>
    <n v="0"/>
    <n v="0"/>
    <m/>
    <n v="212589"/>
    <n v="53820"/>
    <n v="0"/>
    <n v="0"/>
    <n v="79"/>
    <n v="212589"/>
    <n v="134285.71428571429"/>
    <n v="15"/>
    <n v="59"/>
    <n v="12"/>
    <n v="0"/>
    <n v="0"/>
    <n v="0"/>
    <m/>
    <n v="158769"/>
    <n v="32292"/>
    <n v="0"/>
    <n v="0"/>
    <n v="59"/>
    <n v="158769"/>
    <n v="65445.378151260506"/>
    <n v="12"/>
    <n v="47"/>
    <n v="9.6000000000000014"/>
    <n v="0"/>
    <n v="0"/>
    <n v="126477"/>
    <n v="25833.600000000002"/>
    <n v="0"/>
    <n v="0"/>
    <n v="47"/>
    <n v="126477"/>
    <n v="54974.117647058833"/>
    <n v="28"/>
    <n v="37.4"/>
    <n v="22.400000000000002"/>
    <n v="0"/>
    <n v="0"/>
    <n v="100643.4"/>
    <n v="60278.400000000009"/>
    <n v="0"/>
    <n v="37.4"/>
    <n v="100643.4"/>
    <n v="150400.00000000003"/>
    <n v="7.1999999999999993"/>
    <n v="14.999999999999996"/>
    <n v="5.76"/>
    <n v="0"/>
    <m/>
    <n v="40364.999999999993"/>
    <n v="18760.32"/>
    <n v="0"/>
    <n v="14.999999999999996"/>
    <n v="40364.999999999993"/>
    <n v="38674.285714285717"/>
  </r>
  <r>
    <s v="Simplit-Organización"/>
    <x v="2"/>
    <x v="19"/>
    <x v="50"/>
    <s v="SIMCONCERL"/>
    <x v="503"/>
    <x v="349"/>
    <x v="0"/>
    <x v="1"/>
    <n v="0.7"/>
    <x v="296"/>
    <n v="142"/>
    <m/>
    <n v="0"/>
    <n v="3890"/>
    <n v="552380"/>
    <n v="3.2"/>
    <n v="3495.9999999999995"/>
    <n v="8394.957983193277"/>
    <n v="7134.453781512605"/>
    <s v="Shenzhen"/>
    <x v="0"/>
    <n v="30"/>
    <n v="50"/>
    <n v="18"/>
    <n v="0.50506649527380987"/>
    <n v="22"/>
    <n v="0.42187215978622988"/>
    <n v="17"/>
    <n v="0.43633213483838285"/>
    <n v="28"/>
    <n v="0.34608537985935206"/>
    <n v="14"/>
    <n v="0.51219346888478123"/>
    <n v="13"/>
    <n v="0.44062629881762805"/>
    <n v="15"/>
    <n v="0.48335886956665614"/>
    <n v="19"/>
    <n v="0.35549284644327284"/>
    <n v="38"/>
    <n v="0.32780735070926836"/>
    <n v="11"/>
    <n v="0.49725407302455021"/>
    <n v="10"/>
    <n v="0.51188582059388421"/>
    <n v="24"/>
    <n v="0.41710916640478551"/>
    <n v="17"/>
    <n v="0.50506649886537092"/>
    <n v="21"/>
    <n v="0.33680135743220463"/>
    <n v="20"/>
    <n v="0.43633213445345509"/>
    <n v="13"/>
    <n v="0.34608539433606694"/>
    <n v="0.4642857142857143"/>
    <n v="10"/>
    <n v="0.51883435001550604"/>
    <n v="0.7142857142857143"/>
    <n v="18"/>
    <n v="0.44062629927740388"/>
    <n v="1.3846153846153846"/>
    <n v="13"/>
    <n v="0.48335885728767325"/>
    <n v="0.8666666666666667"/>
    <n v="20"/>
    <n v="195"/>
    <n v="20"/>
    <n v="0"/>
    <n v="0"/>
    <n v="0"/>
    <n v="278135"/>
    <n v="645839.99999999988"/>
    <n v="77800"/>
    <n v="0"/>
    <n v="142"/>
    <n v="552380"/>
    <n v="141091.73080997105"/>
    <n v="25"/>
    <n v="180"/>
    <n v="31.5"/>
    <n v="50"/>
    <n v="0"/>
    <n v="0"/>
    <n v="250905"/>
    <n v="596159.99999999988"/>
    <n v="122535"/>
    <n v="0"/>
    <n v="142"/>
    <n v="552380"/>
    <n v="222219.47602570441"/>
    <n v="14.700000000000001"/>
    <n v="153"/>
    <n v="20"/>
    <n v="0"/>
    <n v="0"/>
    <n v="160827.59999999998"/>
    <n v="595170"/>
    <n v="77800"/>
    <n v="0"/>
    <n v="142"/>
    <n v="552380"/>
    <n v="167899.15966386555"/>
    <n v="28"/>
    <n v="173"/>
    <n v="13"/>
    <n v="0"/>
    <n v="0"/>
    <n v="572975.99999999988"/>
    <n v="50570"/>
    <x v="0"/>
    <x v="0"/>
    <n v="142"/>
    <n v="552380"/>
    <n v="109134.4537815126"/>
    <n v="14"/>
    <n v="152"/>
    <n v="9.7999999999999989"/>
    <m/>
    <n v="0"/>
    <n v="0"/>
    <n v="591280"/>
    <n v="32457.599999999991"/>
    <x v="0"/>
    <n v="0"/>
    <n v="142"/>
    <n v="552380"/>
    <n v="82270.588235294112"/>
    <n v="13"/>
    <n v="160"/>
    <n v="18"/>
    <m/>
    <n v="0"/>
    <n v="0"/>
    <n v="622400"/>
    <n v="59615.999999999993"/>
    <n v="0"/>
    <n v="0"/>
    <n v="160"/>
    <n v="552380"/>
    <n v="151109.24369747899"/>
    <n v="15"/>
    <n v="155"/>
    <n v="10.5"/>
    <n v="0"/>
    <n v="0"/>
    <n v="0"/>
    <n v="602950"/>
    <n v="34775.999999999993"/>
    <n v="0"/>
    <n v="0"/>
    <n v="155"/>
    <n v="552380"/>
    <n v="88147.058823529413"/>
    <n v="19"/>
    <n v="144.5"/>
    <n v="13.299999999999999"/>
    <n v="0"/>
    <n v="0"/>
    <n v="0"/>
    <n v="562105"/>
    <n v="44049.599999999991"/>
    <n v="0"/>
    <n v="0"/>
    <n v="144.5"/>
    <n v="562105"/>
    <n v="111652.94117647057"/>
    <n v="38"/>
    <n v="131.19999999999999"/>
    <n v="26.599999999999998"/>
    <n v="0"/>
    <n v="0"/>
    <m/>
    <n v="434534.39999999991"/>
    <n v="88099.199999999983"/>
    <n v="0"/>
    <n v="0"/>
    <n v="131.19999999999999"/>
    <n v="434534.39999999991"/>
    <n v="223305.88235294115"/>
    <n v="15"/>
    <n v="104.6"/>
    <n v="10.5"/>
    <n v="0"/>
    <n v="0"/>
    <n v="0"/>
    <m/>
    <n v="346435.19999999995"/>
    <n v="34775.999999999993"/>
    <n v="0"/>
    <n v="0"/>
    <n v="104.6"/>
    <n v="346435.19999999995"/>
    <n v="74911.76470588235"/>
    <n v="10"/>
    <n v="94.1"/>
    <n v="7"/>
    <n v="0"/>
    <n v="0"/>
    <n v="311659.19999999995"/>
    <n v="23183.999999999996"/>
    <n v="0"/>
    <n v="0"/>
    <n v="94.1"/>
    <n v="311659.19999999995"/>
    <n v="52438.23529411765"/>
    <n v="24"/>
    <n v="87.1"/>
    <n v="16.799999999999997"/>
    <n v="0"/>
    <n v="0"/>
    <n v="288475.19999999995"/>
    <n v="55641.599999999984"/>
    <n v="0"/>
    <n v="87.1"/>
    <n v="288475.19999999995"/>
    <n v="141035.29411764702"/>
    <n v="6"/>
    <n v="70.3"/>
    <n v="4.1999999999999993"/>
    <n v="0"/>
    <m/>
    <n v="232833.59999999995"/>
    <n v="16337.999999999996"/>
    <n v="0"/>
    <n v="70.3"/>
    <n v="232833.59999999995"/>
    <n v="35258.823529411755"/>
  </r>
  <r>
    <s v="Simplit-Organización"/>
    <x v="2"/>
    <x v="19"/>
    <x v="50"/>
    <n v="1660858812938"/>
    <x v="504"/>
    <x v="347"/>
    <x v="0"/>
    <x v="1"/>
    <n v="0.6"/>
    <x v="297"/>
    <n v="136"/>
    <m/>
    <n v="0"/>
    <n v="1846"/>
    <n v="251056"/>
    <n v="1.4"/>
    <n v="1529.4999999999998"/>
    <n v="4193.2773109243699"/>
    <n v="4613.4453781512611"/>
    <s v="Shenzhen"/>
    <x v="0"/>
    <n v="30"/>
    <n v="50"/>
    <n v="9"/>
    <n v="0.59837818143965016"/>
    <n v="31"/>
    <n v="0.6167639055812083"/>
    <n v="30"/>
    <n v="0.57596456692913389"/>
    <n v="56"/>
    <n v="0.52203943197667035"/>
    <n v="15"/>
    <n v="0.58288007229226724"/>
    <n v="71"/>
    <n v="0.47609769675040009"/>
    <n v="18"/>
    <n v="0.47740610447459003"/>
    <n v="11"/>
    <n v="0.60289807981756638"/>
    <n v="41"/>
    <n v="0.47573139912196993"/>
    <n v="31"/>
    <n v="0.51829728326700131"/>
    <n v="10"/>
    <n v="0.54148037754595135"/>
    <n v="26"/>
    <n v="0.55054237325734201"/>
    <n v="18"/>
    <n v="0.59837815751864509"/>
    <n v="10"/>
    <n v="0.61676388004452232"/>
    <n v="54"/>
    <n v="0.57596458375094606"/>
    <n v="15"/>
    <n v="0.52203941886480565"/>
    <n v="0.3"/>
    <n v="53"/>
    <n v="0.58288006874115339"/>
    <n v="2.3043478260869565"/>
    <n v="14"/>
    <n v="0.47609770183664513"/>
    <n v="0.19718309859154928"/>
    <n v="14"/>
    <n v="0.47740611210801953"/>
    <n v="0.77777777777777779"/>
    <n v="20"/>
    <n v="105"/>
    <n v="15"/>
    <n v="0"/>
    <n v="0"/>
    <n v="0"/>
    <n v="155064"/>
    <n v="152145"/>
    <n v="27690"/>
    <n v="0"/>
    <n v="136"/>
    <n v="251056"/>
    <n v="52856.436692323994"/>
    <n v="30"/>
    <n v="174"/>
    <n v="15"/>
    <n v="100"/>
    <n v="50"/>
    <n v="0"/>
    <n v="155064"/>
    <n v="252126"/>
    <n v="27690"/>
    <n v="0"/>
    <n v="136"/>
    <n v="251056"/>
    <n v="52856.436692323994"/>
    <n v="30"/>
    <n v="167"/>
    <n v="54"/>
    <n v="0"/>
    <n v="0"/>
    <n v="147370.20000000001"/>
    <n v="308282"/>
    <n v="99684"/>
    <n v="0"/>
    <n v="136"/>
    <n v="251056"/>
    <n v="226436.97478991598"/>
    <n v="50"/>
    <n v="208"/>
    <n v="15"/>
    <n v="0"/>
    <n v="0"/>
    <n v="301392"/>
    <n v="27690"/>
    <x v="0"/>
    <x v="0"/>
    <n v="136"/>
    <n v="251056"/>
    <n v="62899.159663865546"/>
    <n v="23"/>
    <n v="189"/>
    <n v="13.799999999999999"/>
    <m/>
    <n v="0"/>
    <n v="0"/>
    <n v="348894"/>
    <n v="19996.199999999997"/>
    <x v="0"/>
    <n v="0"/>
    <n v="136"/>
    <n v="251056"/>
    <n v="57867.226890756298"/>
    <n v="71"/>
    <n v="150"/>
    <n v="14"/>
    <m/>
    <n v="0"/>
    <n v="0"/>
    <n v="276900"/>
    <n v="20286"/>
    <n v="0"/>
    <n v="0"/>
    <n v="150"/>
    <n v="251056"/>
    <n v="58705.882352941175"/>
    <n v="18"/>
    <n v="150"/>
    <n v="10.799999999999999"/>
    <n v="100"/>
    <n v="100"/>
    <n v="0"/>
    <n v="276900"/>
    <n v="15649.199999999999"/>
    <n v="140069.99999999997"/>
    <n v="0"/>
    <n v="150"/>
    <n v="251056"/>
    <n v="45287.39495798319"/>
    <n v="40"/>
    <n v="139.19999999999999"/>
    <n v="24"/>
    <n v="0"/>
    <n v="0"/>
    <n v="0"/>
    <n v="256963.19999999998"/>
    <n v="34776"/>
    <n v="0"/>
    <n v="0"/>
    <n v="139.19999999999999"/>
    <n v="256963.19999999998"/>
    <n v="100638.65546218488"/>
    <n v="41"/>
    <n v="115.19999999999999"/>
    <n v="24.599999999999998"/>
    <n v="0"/>
    <n v="0"/>
    <m/>
    <n v="166924.79999999999"/>
    <n v="35645.399999999994"/>
    <n v="0"/>
    <n v="0"/>
    <n v="115.19999999999999"/>
    <n v="166924.79999999999"/>
    <n v="103154.62184873949"/>
    <n v="30"/>
    <n v="90.6"/>
    <n v="18"/>
    <n v="0"/>
    <n v="0"/>
    <n v="0"/>
    <m/>
    <n v="131279.4"/>
    <n v="26082"/>
    <n v="0"/>
    <n v="0"/>
    <n v="90.6"/>
    <n v="131279.4"/>
    <n v="83042.016806722706"/>
    <n v="10"/>
    <n v="72.599999999999994"/>
    <n v="6"/>
    <n v="0"/>
    <n v="0"/>
    <n v="105197.4"/>
    <n v="8694"/>
    <n v="0"/>
    <n v="0"/>
    <n v="72.599999999999994"/>
    <n v="105197.4"/>
    <n v="29064.705882352948"/>
    <n v="26"/>
    <n v="66.599999999999994"/>
    <n v="15.6"/>
    <n v="0"/>
    <n v="0"/>
    <n v="96503.4"/>
    <n v="22604.399999999998"/>
    <n v="0"/>
    <n v="66.599999999999994"/>
    <n v="96503.4"/>
    <n v="65415.126050420171"/>
    <n v="6"/>
    <n v="50.999999999999993"/>
    <n v="3.5999999999999996"/>
    <n v="0"/>
    <m/>
    <n v="73898.999999999985"/>
    <n v="6645.5999999999995"/>
    <n v="0"/>
    <n v="50.999999999999993"/>
    <n v="73898.999999999985"/>
    <n v="15095.79831932773"/>
  </r>
  <r>
    <s v="Simplit-Organización"/>
    <x v="2"/>
    <x v="19"/>
    <x v="50"/>
    <n v="1660858828618"/>
    <x v="505"/>
    <x v="348"/>
    <x v="0"/>
    <x v="1"/>
    <n v="0.6"/>
    <x v="298"/>
    <n v="72"/>
    <m/>
    <n v="0"/>
    <n v="3294"/>
    <n v="237168"/>
    <n v="2.6"/>
    <n v="2840.5"/>
    <n v="6714.2857142857147"/>
    <n v="5453.7815126050418"/>
    <s v="Shenzhen"/>
    <x v="0"/>
    <n v="30"/>
    <n v="50"/>
    <n v="14"/>
    <n v="0.5064203817856433"/>
    <n v="17"/>
    <n v="0.46505752651736038"/>
    <n v="19"/>
    <n v="0.47261713230961583"/>
    <n v="35"/>
    <n v="0.37322559137434025"/>
    <n v="10"/>
    <n v="0.36914514099622536"/>
    <n v="29"/>
    <n v="0.36844581069562488"/>
    <n v="31"/>
    <n v="0.33826897421391861"/>
    <n v="44"/>
    <n v="0.32856862782151275"/>
    <n v="24"/>
    <n v="0.34707295855794185"/>
    <n v="16"/>
    <n v="0.45494956579299911"/>
    <n v="9"/>
    <n v="0.38670638614783093"/>
    <n v="28"/>
    <n v="0.3630520799351763"/>
    <n v="8"/>
    <n v="0.50642038335855166"/>
    <n v="7"/>
    <n v="0.46505751445288185"/>
    <n v="52"/>
    <n v="0.4726171210016164"/>
    <n v="9"/>
    <n v="0.3732255773191327"/>
    <n v="0.25714285714285712"/>
    <n v="22"/>
    <n v="0.36914513193295118"/>
    <n v="2.2000000000000002"/>
    <n v="12"/>
    <n v="0.36427598188912347"/>
    <n v="0.41379310344827586"/>
    <n v="10"/>
    <n v="0.34025586810563513"/>
    <n v="0.32258064516129031"/>
    <n v="15"/>
    <n v="86"/>
    <n v="10"/>
    <n v="0"/>
    <n v="0"/>
    <n v="0"/>
    <n v="238815"/>
    <n v="231426"/>
    <n v="32940"/>
    <n v="0"/>
    <n v="72"/>
    <n v="237168"/>
    <n v="56422.569027611054"/>
    <n v="20"/>
    <n v="170"/>
    <n v="10.5"/>
    <n v="100"/>
    <n v="50"/>
    <n v="0"/>
    <n v="235521"/>
    <n v="457470"/>
    <n v="34587"/>
    <n v="0"/>
    <n v="72"/>
    <n v="237168"/>
    <n v="59243.697478991606"/>
    <n v="25"/>
    <n v="165"/>
    <n v="52"/>
    <n v="0"/>
    <n v="0"/>
    <n v="217080"/>
    <n v="543510"/>
    <n v="171288"/>
    <n v="0"/>
    <n v="72"/>
    <n v="237168"/>
    <n v="349142.85714285716"/>
    <n v="35"/>
    <n v="200"/>
    <n v="9"/>
    <n v="0"/>
    <n v="0"/>
    <n v="538200"/>
    <n v="29646"/>
    <x v="0"/>
    <x v="0"/>
    <n v="72"/>
    <n v="237168"/>
    <n v="60428.571428571435"/>
    <n v="10"/>
    <n v="94"/>
    <n v="6"/>
    <m/>
    <n v="0"/>
    <n v="0"/>
    <n v="309636"/>
    <n v="16146"/>
    <x v="0"/>
    <n v="0"/>
    <n v="72"/>
    <n v="237168"/>
    <n v="40285.71428571429"/>
    <n v="29"/>
    <n v="84"/>
    <n v="12"/>
    <m/>
    <n v="0"/>
    <n v="0"/>
    <n v="276696"/>
    <n v="32292"/>
    <n v="0"/>
    <n v="0"/>
    <n v="84"/>
    <n v="237168"/>
    <n v="80571.42857142858"/>
    <n v="31"/>
    <n v="82"/>
    <n v="18.599999999999998"/>
    <n v="0"/>
    <n v="0"/>
    <n v="0"/>
    <n v="270108"/>
    <n v="50052.599999999991"/>
    <n v="0"/>
    <n v="0"/>
    <n v="82"/>
    <n v="237168"/>
    <n v="124885.71428571428"/>
    <n v="40"/>
    <n v="63.400000000000006"/>
    <n v="24"/>
    <n v="0"/>
    <n v="0"/>
    <n v="0"/>
    <n v="208839.6"/>
    <n v="64584"/>
    <n v="0"/>
    <n v="0"/>
    <n v="63.400000000000006"/>
    <n v="208839.6"/>
    <n v="161142.85714285716"/>
    <n v="24"/>
    <n v="39.400000000000006"/>
    <n v="14.399999999999999"/>
    <n v="0"/>
    <n v="0"/>
    <m/>
    <n v="106025.40000000001"/>
    <n v="38750.399999999994"/>
    <n v="0"/>
    <n v="0"/>
    <n v="39.400000000000006"/>
    <n v="106025.40000000001"/>
    <n v="96685.714285714275"/>
    <n v="15"/>
    <n v="25.000000000000007"/>
    <n v="9"/>
    <n v="0"/>
    <n v="0"/>
    <n v="0"/>
    <m/>
    <n v="67275.000000000015"/>
    <n v="24219"/>
    <n v="0"/>
    <n v="0"/>
    <n v="25.000000000000007"/>
    <n v="67275.000000000015"/>
    <n v="49084.033613445376"/>
    <n v="10"/>
    <n v="16.000000000000007"/>
    <n v="6"/>
    <n v="0"/>
    <n v="0"/>
    <n v="43056.000000000022"/>
    <n v="16146"/>
    <n v="0"/>
    <n v="0"/>
    <n v="16.000000000000007"/>
    <n v="43056.000000000022"/>
    <n v="34358.823529411769"/>
    <n v="28"/>
    <n v="10.000000000000007"/>
    <n v="16.8"/>
    <n v="0"/>
    <n v="0"/>
    <n v="26910.000000000018"/>
    <n v="45208.800000000003"/>
    <n v="0"/>
    <n v="10.000000000000007"/>
    <n v="26910.000000000018"/>
    <n v="112800.00000000001"/>
    <n v="6"/>
    <n v="0"/>
    <n v="3.5999999999999996"/>
    <n v="0"/>
    <m/>
    <n v="0"/>
    <n v="11858.4"/>
    <n v="0"/>
    <n v="0"/>
    <n v="0"/>
    <n v="24171.428571428569"/>
  </r>
  <r>
    <s v="Simplit-Organización"/>
    <x v="2"/>
    <x v="19"/>
    <x v="50"/>
    <n v="1660858844449"/>
    <x v="506"/>
    <x v="349"/>
    <x v="0"/>
    <x v="1"/>
    <n v="0.7"/>
    <x v="299"/>
    <n v="213"/>
    <m/>
    <n v="0"/>
    <n v="3946"/>
    <n v="840498"/>
    <n v="3.2"/>
    <n v="3495.9999999999995"/>
    <n v="8394.957983193277"/>
    <n v="7134.453781512605"/>
    <s v="Shenzhen"/>
    <x v="0"/>
    <n v="30"/>
    <n v="50"/>
    <n v="9"/>
    <n v="0.53164781261339411"/>
    <n v="15"/>
    <n v="0.46368507696954164"/>
    <n v="13"/>
    <n v="0.47893711785789589"/>
    <n v="18"/>
    <n v="0.45173431223161098"/>
    <n v="5"/>
    <s v=""/>
    <n v="21"/>
    <n v="0.28531036715945074"/>
    <n v="27"/>
    <n v="0.29831212747471214"/>
    <n v="31"/>
    <n v="0.29094768900035833"/>
    <n v="24"/>
    <n v="0.23014799073793371"/>
    <n v="26"/>
    <n v="0.44130215463374411"/>
    <n v="8"/>
    <n v="0.43843169287318767"/>
    <n v="22"/>
    <n v="0.34770204194232129"/>
    <n v="6"/>
    <n v="0.53164781542869777"/>
    <n v="5"/>
    <n v="0.4636850571400194"/>
    <n v="22"/>
    <n v="0.47893711001893779"/>
    <n v="10"/>
    <n v="0.45518532451684179"/>
    <n v="0.5"/>
    <n v="26"/>
    <n v="0.41067153884437507"/>
    <n v="2"/>
    <n v="17"/>
    <n v="0.26803619048911853"/>
    <n v="0.80952380952380953"/>
    <n v="12"/>
    <n v="0.2970897748885471"/>
    <n v="0.44444444444444442"/>
    <n v="15"/>
    <n v="204"/>
    <n v="10"/>
    <n v="100"/>
    <n v="100"/>
    <n v="0"/>
    <n v="155867"/>
    <n v="675647.99999999988"/>
    <n v="39460"/>
    <n v="0"/>
    <n v="213"/>
    <n v="840498"/>
    <n v="70545.865404985525"/>
    <n v="15"/>
    <n v="388"/>
    <n v="7.5"/>
    <n v="0"/>
    <n v="0"/>
    <n v="0"/>
    <n v="155867"/>
    <n v="1285055.9999999998"/>
    <n v="29595"/>
    <n v="0"/>
    <n v="213"/>
    <n v="840498"/>
    <n v="52909.399053739144"/>
    <n v="15"/>
    <n v="387"/>
    <n v="22"/>
    <n v="0"/>
    <n v="0"/>
    <n v="156411.19999999998"/>
    <n v="1527102"/>
    <n v="86812"/>
    <n v="0"/>
    <n v="213"/>
    <n v="840498"/>
    <n v="184689.0756302521"/>
    <n v="20"/>
    <n v="359"/>
    <n v="10"/>
    <n v="0"/>
    <n v="0"/>
    <n v="1189007.9999999998"/>
    <n v="39460"/>
    <x v="0"/>
    <x v="0"/>
    <n v="213"/>
    <n v="840498"/>
    <n v="83949.579831932773"/>
    <n v="13"/>
    <n v="239"/>
    <n v="9.1"/>
    <m/>
    <n v="0"/>
    <n v="0"/>
    <n v="943094"/>
    <n v="30139.199999999993"/>
    <x v="0"/>
    <n v="0"/>
    <n v="213"/>
    <n v="840498"/>
    <n v="76394.117647058811"/>
    <n v="21"/>
    <n v="230"/>
    <n v="17"/>
    <m/>
    <n v="0"/>
    <n v="0"/>
    <n v="907580"/>
    <n v="56303.999999999993"/>
    <n v="0"/>
    <n v="0"/>
    <n v="230"/>
    <n v="840498"/>
    <n v="142714.28571428571"/>
    <n v="27"/>
    <n v="225"/>
    <n v="18.899999999999999"/>
    <n v="0"/>
    <n v="0"/>
    <n v="0"/>
    <n v="887850"/>
    <n v="62596.799999999988"/>
    <n v="0"/>
    <n v="0"/>
    <n v="225"/>
    <n v="840498"/>
    <n v="158664.70588235292"/>
    <n v="31"/>
    <n v="206.1"/>
    <n v="21.7"/>
    <n v="0"/>
    <n v="0"/>
    <n v="0"/>
    <n v="813270.6"/>
    <n v="71870.399999999994"/>
    <n v="0"/>
    <n v="0"/>
    <n v="206.1"/>
    <n v="813270.6"/>
    <n v="182170.5882352941"/>
    <n v="24"/>
    <n v="184.4"/>
    <n v="16.799999999999997"/>
    <n v="0"/>
    <n v="0"/>
    <m/>
    <n v="610732.79999999993"/>
    <n v="55641.599999999984"/>
    <n v="0"/>
    <n v="0"/>
    <n v="184.4"/>
    <n v="610732.79999999993"/>
    <n v="141035.29411764702"/>
    <n v="30"/>
    <n v="167.60000000000002"/>
    <n v="21"/>
    <n v="0"/>
    <n v="0"/>
    <n v="0"/>
    <m/>
    <n v="555091.19999999995"/>
    <n v="69551.999999999985"/>
    <n v="0"/>
    <n v="0"/>
    <n v="167.60000000000002"/>
    <n v="555091.19999999995"/>
    <n v="149823.5294117647"/>
    <n v="10"/>
    <n v="146.60000000000002"/>
    <n v="7"/>
    <n v="0"/>
    <n v="0"/>
    <n v="485539.2"/>
    <n v="23183.999999999996"/>
    <n v="0"/>
    <n v="0"/>
    <n v="146.60000000000002"/>
    <n v="485539.2"/>
    <n v="52438.23529411765"/>
    <n v="22"/>
    <n v="139.60000000000002"/>
    <n v="15.399999999999999"/>
    <n v="0"/>
    <n v="0"/>
    <n v="462355.20000000001"/>
    <n v="51004.799999999988"/>
    <n v="0"/>
    <n v="139.60000000000002"/>
    <n v="462355.20000000001"/>
    <n v="129282.35294117645"/>
    <n v="6"/>
    <n v="124.20000000000002"/>
    <n v="4.1999999999999993"/>
    <n v="0"/>
    <m/>
    <n v="411350.4"/>
    <n v="16573.199999999997"/>
    <n v="0"/>
    <n v="124.20000000000002"/>
    <n v="411350.4"/>
    <n v="35258.823529411755"/>
  </r>
  <r>
    <s v="Simplit-Organización"/>
    <x v="2"/>
    <x v="19"/>
    <x v="50"/>
    <n v="1660859102915"/>
    <x v="507"/>
    <x v="350"/>
    <x v="0"/>
    <x v="6"/>
    <n v="1"/>
    <x v="12"/>
    <n v="3"/>
    <m/>
    <n v="0"/>
    <n v="5693"/>
    <n v="17079"/>
    <n v="4.9000000000000004"/>
    <n v="5353.25"/>
    <n v="12596.638655462186"/>
    <n v="12176.470588235296"/>
    <s v="Shenzhen"/>
    <x v="0"/>
    <n v="30"/>
    <n v="50"/>
    <n v="17"/>
    <n v="0.49900924499229593"/>
    <n v="28"/>
    <n v="0.48359023618531743"/>
    <n v="31"/>
    <n v="0.54680326501346943"/>
    <n v="19"/>
    <n v="0.46390788277281181"/>
    <n v="6"/>
    <n v="0.58304047453155394"/>
    <n v="10"/>
    <n v="0.41194638791140553"/>
    <n v="3"/>
    <n v="0.47213926636696585"/>
    <n v="3"/>
    <n v="0.38395736392165347"/>
    <n v="12"/>
    <n v="0.48186368945588032"/>
    <n v="9"/>
    <n v="0.52888786722449543"/>
    <n v="22"/>
    <n v="0.5124641878425511"/>
    <n v="6"/>
    <n v="0.54807463746927254"/>
    <n v="14"/>
    <n v="0.47178173812880736"/>
    <n v="32"/>
    <n v="0.503380656138533"/>
    <n v="55"/>
    <n v="0.55224797204480791"/>
    <n v="18"/>
    <n v="0.46390787750454182"/>
    <n v="0.9"/>
    <n v="14"/>
    <n v="0.58777203888964169"/>
    <n v="0.93333333333333335"/>
    <n v="3"/>
    <n v="0.36256876972251278"/>
    <n v="0.3"/>
    <n v="0"/>
    <n v="0.4353653168195723"/>
    <n v="0"/>
    <n v="20"/>
    <n v="152"/>
    <n v="20"/>
    <n v="0"/>
    <n v="0"/>
    <n v="0"/>
    <n v="700239"/>
    <n v="770868"/>
    <n v="113860"/>
    <n v="0"/>
    <n v="3"/>
    <n v="17079"/>
    <n v="211708.21269684349"/>
    <n v="25"/>
    <n v="123"/>
    <n v="48"/>
    <n v="0"/>
    <n v="0"/>
    <n v="0"/>
    <n v="688853"/>
    <n v="623794.5"/>
    <n v="273264"/>
    <n v="0"/>
    <n v="3"/>
    <n v="17079"/>
    <n v="508099.71047242434"/>
    <n v="30"/>
    <n v="69"/>
    <n v="55"/>
    <n v="0"/>
    <n v="0"/>
    <n v="491661.5"/>
    <n v="392817"/>
    <n v="313115"/>
    <n v="0"/>
    <n v="3"/>
    <n v="17079"/>
    <n v="692815.12605042022"/>
    <n v="20"/>
    <n v="32"/>
    <n v="18"/>
    <n v="0"/>
    <n v="0"/>
    <n v="162288"/>
    <n v="102474"/>
    <x v="0"/>
    <x v="0"/>
    <n v="3"/>
    <n v="17079"/>
    <n v="226739.49579831935"/>
    <n v="15"/>
    <n v="17"/>
    <n v="15"/>
    <m/>
    <n v="0"/>
    <n v="0"/>
    <n v="96781"/>
    <n v="76072.5"/>
    <x v="0"/>
    <n v="0"/>
    <n v="3"/>
    <n v="17079"/>
    <n v="188949.57983193279"/>
    <n v="10"/>
    <n v="6"/>
    <n v="3"/>
    <m/>
    <n v="0"/>
    <n v="0"/>
    <n v="34158"/>
    <n v="15214.5"/>
    <n v="0"/>
    <n v="0"/>
    <n v="6"/>
    <n v="17079"/>
    <n v="37789.915966386558"/>
    <n v="8"/>
    <n v="3"/>
    <n v="8"/>
    <n v="0"/>
    <n v="0"/>
    <n v="0"/>
    <n v="17079"/>
    <n v="40572"/>
    <n v="0"/>
    <n v="0"/>
    <n v="3"/>
    <n v="17079"/>
    <n v="100773.10924369749"/>
    <n v="8"/>
    <n v="0"/>
    <n v="8"/>
    <n v="0"/>
    <n v="0"/>
    <n v="0"/>
    <n v="0"/>
    <n v="40572"/>
    <n v="0"/>
    <n v="0"/>
    <n v="0"/>
    <n v="0"/>
    <n v="100773.10924369749"/>
    <n v="12"/>
    <n v="0"/>
    <n v="12"/>
    <n v="0"/>
    <n v="0"/>
    <m/>
    <n v="0"/>
    <n v="60858"/>
    <n v="0"/>
    <n v="0"/>
    <n v="0"/>
    <n v="0"/>
    <n v="151159.6638655462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Organización"/>
    <x v="2"/>
    <x v="19"/>
    <x v="50"/>
    <s v="SIMTUPBENT"/>
    <x v="508"/>
    <x v="351"/>
    <x v="0"/>
    <x v="1"/>
    <n v="0.6"/>
    <x v="300"/>
    <n v="137"/>
    <m/>
    <n v="0"/>
    <n v="2922"/>
    <n v="400314"/>
    <n v="2.8"/>
    <n v="3058.9999999999995"/>
    <n v="8394.957983193277"/>
    <n v="7554.6218487394963"/>
    <s v="Shenzhen"/>
    <x v="0"/>
    <n v="30"/>
    <n v="100"/>
    <n v="5"/>
    <n v="0.61977367480643242"/>
    <n v="17"/>
    <n v="0.55295435782521529"/>
    <n v="28"/>
    <n v="0.56188011505743396"/>
    <n v="7"/>
    <n v="0.57749834546657841"/>
    <n v="25"/>
    <n v="0.56705116410728185"/>
    <n v="32"/>
    <n v="0.57718027302554675"/>
    <n v="19"/>
    <n v="0.57581247554082882"/>
    <n v="29"/>
    <n v="0.54185686544901923"/>
    <n v="15"/>
    <n v="0.56585419451327956"/>
    <n v="17"/>
    <n v="0.55102588530225616"/>
    <n v="5"/>
    <n v="0.45677331518039482"/>
    <n v="1"/>
    <n v="0.45677331518039482"/>
    <n v="7"/>
    <s v=""/>
    <n v="13"/>
    <s v=""/>
    <n v="18"/>
    <s v=""/>
    <n v="7"/>
    <s v=""/>
    <n v="0.28000000000000003"/>
    <n v="10"/>
    <s v=""/>
    <n v="0.4"/>
    <n v="16"/>
    <s v=""/>
    <n v="0.5"/>
    <n v="2"/>
    <s v=""/>
    <n v="0.10526315789473684"/>
    <n v="20"/>
    <n v="117"/>
    <n v="15"/>
    <n v="0"/>
    <n v="0"/>
    <n v="0"/>
    <n v="153405"/>
    <n v="339066"/>
    <n v="43830"/>
    <n v="0"/>
    <n v="137"/>
    <n v="400314"/>
    <n v="105818.79810747829"/>
    <n v="25"/>
    <n v="110"/>
    <n v="19.5"/>
    <n v="100"/>
    <n v="100"/>
    <n v="0"/>
    <n v="130029"/>
    <n v="318780"/>
    <n v="56979"/>
    <n v="0"/>
    <n v="137"/>
    <n v="400314"/>
    <n v="137564.43753972178"/>
    <n v="50"/>
    <n v="199"/>
    <n v="18"/>
    <n v="0"/>
    <n v="0"/>
    <n v="116520"/>
    <n v="581478"/>
    <n v="52596"/>
    <n v="0"/>
    <n v="137"/>
    <n v="400314"/>
    <n v="151109.24369747899"/>
    <n v="25"/>
    <n v="176"/>
    <n v="7"/>
    <n v="0"/>
    <n v="0"/>
    <n v="510048"/>
    <n v="20454"/>
    <x v="0"/>
    <x v="0"/>
    <n v="137"/>
    <n v="400314"/>
    <n v="58764.705882352937"/>
    <n v="25"/>
    <n v="147"/>
    <n v="15"/>
    <m/>
    <n v="0"/>
    <n v="0"/>
    <n v="429534"/>
    <n v="43470"/>
    <x v="0"/>
    <n v="0"/>
    <n v="137"/>
    <n v="400314"/>
    <n v="125924.36974789915"/>
    <n v="32"/>
    <n v="153"/>
    <n v="16"/>
    <m/>
    <n v="0"/>
    <n v="0"/>
    <n v="447066"/>
    <n v="46368"/>
    <n v="0"/>
    <n v="0"/>
    <n v="153"/>
    <n v="400314"/>
    <n v="134319.32773109243"/>
    <n v="19"/>
    <n v="139"/>
    <n v="11.4"/>
    <n v="0"/>
    <n v="0"/>
    <n v="0"/>
    <n v="406158"/>
    <n v="33037.200000000004"/>
    <n v="0"/>
    <n v="0"/>
    <n v="139"/>
    <n v="400314"/>
    <n v="95702.521008403361"/>
    <n v="29"/>
    <n v="127.6"/>
    <n v="17.399999999999999"/>
    <n v="0"/>
    <n v="0"/>
    <n v="0"/>
    <n v="372847.2"/>
    <n v="50425.2"/>
    <n v="0"/>
    <n v="0"/>
    <n v="127.6"/>
    <n v="372847.2"/>
    <n v="146072.268907563"/>
    <n v="15"/>
    <n v="110.19999999999999"/>
    <n v="9"/>
    <n v="0"/>
    <n v="0"/>
    <m/>
    <n v="319359.59999999998"/>
    <n v="26082"/>
    <n v="0"/>
    <n v="0"/>
    <n v="110.19999999999999"/>
    <n v="319359.59999999998"/>
    <n v="75554.621848739494"/>
    <n v="17"/>
    <n v="101.19999999999999"/>
    <n v="10.199999999999999"/>
    <n v="0"/>
    <n v="0"/>
    <n v="0"/>
    <m/>
    <n v="293277.59999999998"/>
    <n v="29559.599999999999"/>
    <n v="0"/>
    <n v="0"/>
    <n v="101.19999999999999"/>
    <n v="293277.59999999998"/>
    <n v="77057.142857142855"/>
    <n v="15"/>
    <n v="90.999999999999986"/>
    <n v="9"/>
    <n v="0"/>
    <n v="0"/>
    <n v="263717.99999999994"/>
    <n v="26082"/>
    <n v="0"/>
    <n v="0"/>
    <n v="90.999999999999986"/>
    <n v="263717.99999999994"/>
    <n v="71391.176470588238"/>
    <n v="20"/>
    <n v="81.999999999999986"/>
    <n v="12"/>
    <n v="0"/>
    <n v="0"/>
    <n v="237635.99999999997"/>
    <n v="34776"/>
    <n v="0"/>
    <n v="81.999999999999986"/>
    <n v="237635.99999999997"/>
    <n v="100739.49579831932"/>
    <n v="9"/>
    <n v="69.999999999999986"/>
    <n v="5.3999999999999995"/>
    <n v="0"/>
    <m/>
    <n v="202859.99999999997"/>
    <n v="15778.8"/>
    <n v="0"/>
    <n v="69.999999999999986"/>
    <n v="202859.99999999997"/>
    <n v="45332.773109243688"/>
  </r>
  <r>
    <s v="Simplit-Organización"/>
    <x v="2"/>
    <x v="19"/>
    <x v="50"/>
    <s v="SIMTUPSILBL"/>
    <x v="509"/>
    <x v="351"/>
    <x v="0"/>
    <x v="0"/>
    <n v="0.8"/>
    <x v="301"/>
    <n v="92"/>
    <m/>
    <n v="0"/>
    <n v="2878"/>
    <n v="264776"/>
    <n v="2.8"/>
    <n v="3058.9999999999995"/>
    <n v="8394.957983193277"/>
    <n v="7554.6218487394963"/>
    <s v="Shenzhen"/>
    <x v="0"/>
    <n v="30"/>
    <n v="100"/>
    <n v="15"/>
    <n v="0.55710955710955712"/>
    <n v="18"/>
    <n v="0.57696827262044659"/>
    <n v="53"/>
    <n v="0.56573780986084921"/>
    <n v="22"/>
    <n v="0.5997406110287562"/>
    <n v="21"/>
    <n v="0.5758262461324134"/>
    <n v="34"/>
    <n v="0.59135704239479991"/>
    <n v="15"/>
    <n v="0.58807609785418069"/>
    <n v="31"/>
    <n v="0.59984672768111025"/>
    <n v="7"/>
    <n v="0.60961168271432309"/>
    <n v="17"/>
    <n v="0.58957119247216316"/>
    <n v="0"/>
    <s v=""/>
    <n v="0"/>
    <s v=""/>
    <n v="12"/>
    <s v=""/>
    <n v="20"/>
    <s v=""/>
    <n v="43"/>
    <s v=""/>
    <n v="16"/>
    <s v=""/>
    <n v="0.64"/>
    <n v="13"/>
    <s v=""/>
    <n v="0.61904761904761907"/>
    <n v="5"/>
    <s v=""/>
    <n v="0.14705882352941177"/>
    <n v="3"/>
    <s v=""/>
    <n v="0.2"/>
    <n v="20"/>
    <n v="106"/>
    <n v="20"/>
    <n v="0"/>
    <n v="0"/>
    <n v="0"/>
    <n v="267654"/>
    <n v="307188"/>
    <n v="57560"/>
    <n v="0"/>
    <n v="92"/>
    <n v="264776"/>
    <n v="141091.73080997105"/>
    <n v="25"/>
    <n v="95"/>
    <n v="30"/>
    <n v="100"/>
    <n v="100"/>
    <n v="0"/>
    <n v="256142"/>
    <n v="275310"/>
    <n v="86340"/>
    <n v="0"/>
    <n v="92"/>
    <n v="264776"/>
    <n v="211637.59621495657"/>
    <n v="50"/>
    <n v="160"/>
    <n v="43"/>
    <n v="0"/>
    <n v="0"/>
    <n v="218488.4"/>
    <n v="460480"/>
    <n v="123754"/>
    <n v="0"/>
    <n v="92"/>
    <n v="264776"/>
    <n v="360983.19327731093"/>
    <n v="25"/>
    <n v="132"/>
    <n v="16"/>
    <n v="0"/>
    <n v="0"/>
    <n v="382536"/>
    <n v="46048"/>
    <x v="0"/>
    <x v="0"/>
    <n v="92"/>
    <n v="264776"/>
    <n v="134319.32773109243"/>
    <n v="21"/>
    <n v="105"/>
    <n v="16.8"/>
    <m/>
    <n v="0"/>
    <n v="0"/>
    <n v="302190"/>
    <n v="48686.400000000001"/>
    <x v="0"/>
    <n v="0"/>
    <n v="92"/>
    <n v="264776"/>
    <n v="141035.29411764705"/>
    <n v="34"/>
    <n v="97"/>
    <n v="5"/>
    <m/>
    <n v="0"/>
    <n v="0"/>
    <n v="279166"/>
    <n v="14490"/>
    <n v="0"/>
    <n v="0"/>
    <n v="97"/>
    <n v="264776"/>
    <n v="41974.789915966387"/>
    <n v="15"/>
    <n v="95"/>
    <n v="12"/>
    <n v="0"/>
    <n v="0"/>
    <n v="0"/>
    <n v="273410"/>
    <n v="34776"/>
    <n v="0"/>
    <n v="0"/>
    <n v="95"/>
    <n v="264776"/>
    <n v="100739.49579831932"/>
    <n v="31"/>
    <n v="83"/>
    <n v="24.8"/>
    <n v="0"/>
    <n v="0"/>
    <n v="0"/>
    <n v="238874"/>
    <n v="71870.400000000009"/>
    <n v="0"/>
    <n v="0"/>
    <n v="83"/>
    <n v="238874"/>
    <n v="208194.95798319328"/>
    <n v="13"/>
    <n v="58.2"/>
    <n v="10.4"/>
    <n v="0"/>
    <n v="0"/>
    <m/>
    <n v="168663.6"/>
    <n v="30139.200000000001"/>
    <n v="0"/>
    <n v="0"/>
    <n v="58.2"/>
    <n v="168663.6"/>
    <n v="87307.563025210082"/>
    <n v="17"/>
    <n v="47.800000000000004"/>
    <n v="13.600000000000001"/>
    <n v="0"/>
    <n v="0"/>
    <n v="0"/>
    <m/>
    <n v="138524.40000000002"/>
    <n v="39412.800000000003"/>
    <n v="0"/>
    <n v="0"/>
    <n v="47.800000000000004"/>
    <n v="138524.40000000002"/>
    <n v="102742.85714285716"/>
    <n v="17"/>
    <n v="34.200000000000003"/>
    <n v="13.600000000000001"/>
    <n v="0"/>
    <n v="0"/>
    <n v="99111.6"/>
    <n v="39412.800000000003"/>
    <n v="0"/>
    <n v="0"/>
    <n v="34.200000000000003"/>
    <n v="99111.6"/>
    <n v="107880.00000000003"/>
    <n v="17"/>
    <n v="20.6"/>
    <n v="13.600000000000001"/>
    <n v="0"/>
    <n v="0"/>
    <n v="59698.8"/>
    <n v="39412.800000000003"/>
    <n v="0"/>
    <n v="20.6"/>
    <n v="59698.8"/>
    <n v="114171.42857142858"/>
    <n v="10.199999999999999"/>
    <n v="7"/>
    <n v="8.16"/>
    <n v="0"/>
    <m/>
    <n v="20286"/>
    <n v="23484.48"/>
    <n v="0"/>
    <n v="7"/>
    <n v="20286"/>
    <n v="68502.857142857145"/>
  </r>
  <r>
    <s v="Simplit-Organización"/>
    <x v="2"/>
    <x v="19"/>
    <x v="50"/>
    <s v="SIMTUPSILGR"/>
    <x v="510"/>
    <x v="351"/>
    <x v="0"/>
    <x v="0"/>
    <n v="1"/>
    <x v="302"/>
    <n v="59"/>
    <m/>
    <n v="0"/>
    <n v="2967"/>
    <n v="175053"/>
    <n v="2.8"/>
    <n v="3058.9999999999995"/>
    <n v="8394.957983193277"/>
    <n v="7554.6218487394963"/>
    <s v="Shenzhen"/>
    <x v="0"/>
    <n v="30"/>
    <n v="100"/>
    <n v="28"/>
    <n v="0.60620972887538893"/>
    <n v="32"/>
    <n v="0.58785021243483071"/>
    <n v="58"/>
    <n v="0.58430696831587814"/>
    <n v="31"/>
    <n v="0.60191656137682303"/>
    <n v="21"/>
    <n v="0.58410465880760043"/>
    <n v="35"/>
    <n v="0.5882340374775461"/>
    <n v="19"/>
    <n v="0.5889113377295021"/>
    <n v="2"/>
    <n v="0.62246598540145981"/>
    <n v="1"/>
    <n v="0.63755343771272988"/>
    <n v="12"/>
    <n v="0.58138520908023283"/>
    <n v="13"/>
    <n v="0.63831103887985996"/>
    <n v="16"/>
    <n v="0.5532896682107753"/>
    <n v="22"/>
    <s v=""/>
    <n v="34"/>
    <s v=""/>
    <n v="57"/>
    <s v=""/>
    <n v="27"/>
    <s v=""/>
    <n v="0.9"/>
    <n v="27"/>
    <s v=""/>
    <n v="1.2857142857142858"/>
    <n v="27"/>
    <s v=""/>
    <n v="0.77142857142857146"/>
    <n v="7"/>
    <s v=""/>
    <n v="0.36842105263157893"/>
    <n v="20"/>
    <n v="168"/>
    <n v="24"/>
    <n v="0"/>
    <n v="0"/>
    <n v="0"/>
    <n v="391644"/>
    <n v="486864"/>
    <n v="71208"/>
    <n v="0"/>
    <n v="59"/>
    <n v="175053"/>
    <n v="169310.07697196526"/>
    <n v="35"/>
    <n v="152"/>
    <n v="51"/>
    <n v="100"/>
    <n v="100"/>
    <n v="0"/>
    <n v="400545"/>
    <n v="440496"/>
    <n v="151317"/>
    <n v="0"/>
    <n v="59"/>
    <n v="175053"/>
    <n v="359783.91356542619"/>
    <n v="50"/>
    <n v="209"/>
    <n v="57"/>
    <n v="0"/>
    <n v="0"/>
    <n v="310086"/>
    <n v="620103"/>
    <n v="169119"/>
    <n v="0"/>
    <n v="59"/>
    <n v="175053"/>
    <n v="478512.60504201677"/>
    <n v="30"/>
    <n v="164"/>
    <n v="27"/>
    <n v="0"/>
    <n v="0"/>
    <n v="475272"/>
    <n v="80109"/>
    <x v="0"/>
    <x v="0"/>
    <n v="59"/>
    <n v="175053"/>
    <n v="226663.86554621847"/>
    <n v="21"/>
    <n v="86"/>
    <n v="21"/>
    <m/>
    <n v="0"/>
    <n v="0"/>
    <n v="255162"/>
    <n v="60858"/>
    <x v="0"/>
    <n v="0"/>
    <n v="59"/>
    <n v="175053"/>
    <n v="176294.11764705883"/>
    <n v="35"/>
    <n v="86"/>
    <n v="27"/>
    <m/>
    <n v="0"/>
    <n v="0"/>
    <n v="255162"/>
    <n v="78246"/>
    <n v="0"/>
    <n v="0"/>
    <n v="86"/>
    <n v="175053"/>
    <n v="226663.86554621847"/>
    <n v="19"/>
    <n v="66"/>
    <n v="19"/>
    <n v="0"/>
    <n v="0"/>
    <n v="0"/>
    <n v="195822"/>
    <n v="55062"/>
    <n v="0"/>
    <n v="0"/>
    <n v="66"/>
    <n v="175053"/>
    <n v="159504.20168067227"/>
    <n v="17"/>
    <n v="47"/>
    <n v="17"/>
    <n v="0"/>
    <n v="0"/>
    <n v="0"/>
    <n v="139449"/>
    <n v="49266"/>
    <n v="0"/>
    <n v="0"/>
    <n v="47"/>
    <n v="139449"/>
    <n v="142714.28571428571"/>
    <n v="15"/>
    <n v="30"/>
    <n v="15"/>
    <n v="0"/>
    <n v="0"/>
    <m/>
    <n v="86940"/>
    <n v="43470"/>
    <n v="0"/>
    <n v="0"/>
    <n v="30"/>
    <n v="86940"/>
    <n v="125924.36974789915"/>
    <n v="16"/>
    <n v="15"/>
    <n v="15"/>
    <n v="0"/>
    <n v="0"/>
    <n v="0"/>
    <m/>
    <n v="43470"/>
    <n v="43470"/>
    <n v="0"/>
    <n v="0"/>
    <n v="15"/>
    <n v="43470"/>
    <n v="113319.32773109245"/>
    <n v="16"/>
    <n v="0"/>
    <n v="16"/>
    <n v="0"/>
    <n v="0"/>
    <n v="0"/>
    <n v="46368"/>
    <n v="0"/>
    <n v="0"/>
    <n v="0"/>
    <n v="0"/>
    <n v="126917.64705882354"/>
    <n v="16"/>
    <n v="0"/>
    <n v="16"/>
    <n v="0"/>
    <n v="0"/>
    <n v="0"/>
    <n v="46368"/>
    <n v="0"/>
    <n v="0"/>
    <n v="0"/>
    <n v="134319.32773109243"/>
    <n v="9.6"/>
    <n v="0"/>
    <n v="9.6"/>
    <n v="0"/>
    <m/>
    <n v="0"/>
    <n v="28483.200000000001"/>
    <n v="0"/>
    <n v="0"/>
    <n v="0"/>
    <n v="80591.59663865545"/>
  </r>
  <r>
    <s v="Simplit-Organización"/>
    <x v="2"/>
    <x v="19"/>
    <x v="50"/>
    <s v="SIMTUPSILRD"/>
    <x v="511"/>
    <x v="351"/>
    <x v="0"/>
    <x v="0"/>
    <n v="0.7"/>
    <x v="303"/>
    <n v="117"/>
    <m/>
    <n v="0"/>
    <n v="2965"/>
    <n v="346905"/>
    <n v="2.8"/>
    <n v="3058.9999999999995"/>
    <n v="8394.957983193277"/>
    <n v="7554.6218487394963"/>
    <s v="Shenzhen"/>
    <x v="0"/>
    <n v="30"/>
    <n v="100"/>
    <n v="11"/>
    <n v="0.58528276324115092"/>
    <n v="31"/>
    <n v="0.56170755096782943"/>
    <n v="51"/>
    <n v="0.50925223494026239"/>
    <n v="35"/>
    <n v="0.58116105472316237"/>
    <n v="26"/>
    <n v="0.59213474222329354"/>
    <n v="40"/>
    <n v="0.57181946750791146"/>
    <n v="12"/>
    <n v="0.58375685043961023"/>
    <n v="6"/>
    <n v="0.60638031125660685"/>
    <n v="4"/>
    <n v="0.61692933079143641"/>
    <n v="6"/>
    <n v="0.61554378892836281"/>
    <n v="8"/>
    <n v="0.53541442531409966"/>
    <n v="20"/>
    <n v="0.55605865506864727"/>
    <n v="18"/>
    <s v=""/>
    <n v="24"/>
    <s v=""/>
    <n v="44"/>
    <s v=""/>
    <n v="15"/>
    <s v=""/>
    <n v="0.42857142857142855"/>
    <n v="18"/>
    <s v=""/>
    <n v="0.69230769230769229"/>
    <n v="14"/>
    <s v=""/>
    <n v="0.35"/>
    <n v="3"/>
    <s v=""/>
    <n v="0.21428571428571427"/>
    <n v="20"/>
    <n v="162"/>
    <n v="15"/>
    <n v="0"/>
    <n v="0"/>
    <n v="0"/>
    <n v="281675"/>
    <n v="469476"/>
    <n v="44475"/>
    <n v="0"/>
    <n v="117"/>
    <n v="346905"/>
    <n v="105818.79810747829"/>
    <n v="35"/>
    <n v="148"/>
    <n v="36"/>
    <n v="100"/>
    <n v="100"/>
    <n v="0"/>
    <n v="281675"/>
    <n v="428904"/>
    <n v="106740"/>
    <n v="0"/>
    <n v="117"/>
    <n v="346905"/>
    <n v="253965.11545794789"/>
    <n v="50"/>
    <n v="217"/>
    <n v="44"/>
    <n v="0"/>
    <n v="0"/>
    <n v="227678.6"/>
    <n v="643405"/>
    <n v="130460"/>
    <n v="0"/>
    <n v="117"/>
    <n v="346905"/>
    <n v="369378.15126050421"/>
    <n v="35"/>
    <n v="180"/>
    <n v="15"/>
    <n v="0"/>
    <n v="0"/>
    <n v="521640"/>
    <n v="44475"/>
    <x v="0"/>
    <x v="0"/>
    <n v="117"/>
    <n v="346905"/>
    <n v="125924.36974789915"/>
    <n v="26"/>
    <n v="135"/>
    <n v="18.2"/>
    <m/>
    <n v="0"/>
    <n v="0"/>
    <n v="400275"/>
    <n v="52743.6"/>
    <x v="0"/>
    <n v="0"/>
    <n v="117"/>
    <n v="346905"/>
    <n v="152788.23529411762"/>
    <n v="40"/>
    <n v="131"/>
    <n v="14"/>
    <m/>
    <n v="0"/>
    <n v="0"/>
    <n v="388415"/>
    <n v="40572"/>
    <n v="0"/>
    <n v="0"/>
    <n v="131"/>
    <n v="346905"/>
    <n v="117529.41176470587"/>
    <n v="14"/>
    <n v="120"/>
    <n v="9.7999999999999989"/>
    <n v="0"/>
    <n v="0"/>
    <n v="0"/>
    <n v="355800"/>
    <n v="28400.399999999998"/>
    <n v="0"/>
    <n v="0"/>
    <n v="120"/>
    <n v="346905"/>
    <n v="82270.588235294112"/>
    <n v="18"/>
    <n v="110.2"/>
    <n v="12.6"/>
    <n v="0"/>
    <n v="0"/>
    <n v="0"/>
    <n v="326743"/>
    <n v="36514.799999999996"/>
    <n v="0"/>
    <n v="0"/>
    <n v="110.2"/>
    <n v="326743"/>
    <n v="105776.47058823529"/>
    <n v="16"/>
    <n v="97.600000000000009"/>
    <n v="11.2"/>
    <n v="0"/>
    <n v="0"/>
    <m/>
    <n v="282844.80000000005"/>
    <n v="32457.599999999999"/>
    <n v="0"/>
    <n v="0"/>
    <n v="97.600000000000009"/>
    <n v="282844.80000000005"/>
    <n v="94023.529411764699"/>
    <n v="17"/>
    <n v="86.4"/>
    <n v="11.899999999999999"/>
    <n v="0"/>
    <n v="0"/>
    <n v="0"/>
    <m/>
    <n v="250387.20000000001"/>
    <n v="34486.199999999997"/>
    <n v="0"/>
    <n v="0"/>
    <n v="86.4"/>
    <n v="250387.20000000001"/>
    <n v="89900"/>
    <n v="17"/>
    <n v="74.5"/>
    <n v="11.899999999999999"/>
    <n v="0"/>
    <n v="0"/>
    <n v="215901"/>
    <n v="34486.199999999997"/>
    <n v="0"/>
    <n v="0"/>
    <n v="74.5"/>
    <n v="215901"/>
    <n v="94395"/>
    <n v="17"/>
    <n v="62.6"/>
    <n v="11.899999999999999"/>
    <n v="0"/>
    <n v="0"/>
    <n v="181414.80000000002"/>
    <n v="34486.199999999997"/>
    <n v="0"/>
    <n v="62.6"/>
    <n v="181414.80000000002"/>
    <n v="99899.999999999985"/>
    <n v="10.199999999999999"/>
    <n v="50.7"/>
    <n v="7.1399999999999988"/>
    <n v="0"/>
    <m/>
    <n v="146928.6"/>
    <n v="21170.099999999995"/>
    <n v="0"/>
    <n v="50.7"/>
    <n v="146928.6"/>
    <n v="59939.999999999985"/>
  </r>
  <r>
    <s v="Simplit-Organización"/>
    <x v="2"/>
    <x v="19"/>
    <x v="50"/>
    <n v="1650295261109"/>
    <x v="512"/>
    <x v="352"/>
    <x v="0"/>
    <x v="0"/>
    <n v="1.1499999999999999"/>
    <x v="304"/>
    <n v="211"/>
    <m/>
    <n v="0"/>
    <n v="2329.2321197841461"/>
    <n v="491467.97727445484"/>
    <n v="2.2000000000000002"/>
    <n v="2403.5"/>
    <n v="6714.2857142857147"/>
    <n v="5873.9495798319331"/>
    <s v="Shenzhen"/>
    <x v="0"/>
    <n v="30"/>
    <n v="100"/>
    <n v="78"/>
    <n v="0.66142084763151532"/>
    <n v="50"/>
    <n v="0.66110372273670681"/>
    <n v="71"/>
    <n v="0.65472424026854203"/>
    <n v="44"/>
    <n v="0.65006284657831992"/>
    <n v="60"/>
    <n v="0.68148523358851498"/>
    <n v="71"/>
    <n v="0.65095977129936156"/>
    <n v="72"/>
    <n v="0.62890370660517725"/>
    <n v="60"/>
    <n v="0.63535556931347392"/>
    <n v="31"/>
    <n v="0.67634874074790707"/>
    <n v="110"/>
    <n v="0.59375031789022625"/>
    <n v="71"/>
    <n v="0.59410045657261212"/>
    <n v="68"/>
    <n v="0.62659887637762435"/>
    <n v="59"/>
    <n v="0.64599349397866745"/>
    <n v="51"/>
    <n v="0.65321618911744694"/>
    <n v="93"/>
    <n v="0.65472424249307248"/>
    <n v="93"/>
    <n v="0.65006283437496171"/>
    <n v="1.4307692307692308"/>
    <n v="49"/>
    <n v="0.68148523443193487"/>
    <n v="0.81666666666666665"/>
    <n v="30"/>
    <n v="0.65254523117847785"/>
    <n v="0.42857142857142855"/>
    <n v="17"/>
    <n v="0.63062528693901942"/>
    <n v="0.24285714285714285"/>
    <n v="70"/>
    <n v="87"/>
    <n v="90"/>
    <n v="150"/>
    <n v="150"/>
    <n v="0"/>
    <n v="604435.73508398596"/>
    <n v="198099"/>
    <n v="209630.89078057316"/>
    <n v="0"/>
    <n v="211"/>
    <n v="491467.97727445484"/>
    <n v="507803.12124849949"/>
    <n v="70"/>
    <n v="179"/>
    <n v="76.5"/>
    <n v="0"/>
    <n v="0"/>
    <n v="0"/>
    <n v="611423.4314433384"/>
    <n v="407583"/>
    <n v="178186.25716348717"/>
    <n v="0"/>
    <n v="211"/>
    <n v="491467.97727445484"/>
    <n v="431632.65306122456"/>
    <n v="77"/>
    <n v="135"/>
    <n v="93"/>
    <n v="0"/>
    <n v="0"/>
    <n v="590350.17427985114"/>
    <n v="314446.33617085975"/>
    <n v="216618.5871399256"/>
    <n v="0"/>
    <n v="211"/>
    <n v="491467.97727445484"/>
    <n v="624428.57142857148"/>
    <n v="65"/>
    <n v="172"/>
    <n v="93"/>
    <n v="150"/>
    <n v="0"/>
    <n v="391644"/>
    <n v="216618.5871399256"/>
    <x v="71"/>
    <x v="0"/>
    <n v="211"/>
    <n v="491467.97727445484"/>
    <n v="624428.57142857148"/>
    <n v="60"/>
    <n v="260"/>
    <n v="69"/>
    <m/>
    <n v="0"/>
    <n v="0"/>
    <n v="605600.35114387795"/>
    <n v="157113"/>
    <x v="0"/>
    <n v="0"/>
    <n v="211"/>
    <n v="491467.97727445484"/>
    <n v="463285.71428571432"/>
    <n v="70"/>
    <n v="241"/>
    <n v="30"/>
    <m/>
    <n v="0"/>
    <n v="0"/>
    <n v="561344.9408679792"/>
    <n v="68310"/>
    <n v="0"/>
    <n v="0"/>
    <n v="241"/>
    <n v="491467.97727445484"/>
    <n v="201428.57142857145"/>
    <n v="70"/>
    <n v="228"/>
    <n v="80.5"/>
    <n v="200"/>
    <n v="200"/>
    <n v="0"/>
    <n v="531064.92331078532"/>
    <n v="183298.5"/>
    <n v="440220"/>
    <n v="0"/>
    <n v="228"/>
    <n v="491467.97727445484"/>
    <n v="540500"/>
    <n v="60"/>
    <n v="147.5"/>
    <n v="69"/>
    <n v="100"/>
    <n v="100"/>
    <n v="0"/>
    <n v="343561.73766816157"/>
    <n v="157113"/>
    <n v="227700"/>
    <n v="0"/>
    <n v="247.5"/>
    <n v="571261.73766816151"/>
    <n v="463285.71428571432"/>
    <n v="46"/>
    <n v="78.5"/>
    <n v="52.9"/>
    <n v="0"/>
    <n v="0"/>
    <n v="100"/>
    <n v="178744.5"/>
    <n v="120453.3"/>
    <n v="0"/>
    <n v="227700"/>
    <n v="178.5"/>
    <n v="406444.5"/>
    <n v="355185.71428571432"/>
    <n v="110"/>
    <n v="125.6"/>
    <n v="125.6"/>
    <n v="0"/>
    <n v="0"/>
    <n v="0"/>
    <m/>
    <n v="285991.2"/>
    <n v="285991.2"/>
    <n v="0"/>
    <n v="0"/>
    <n v="125.6"/>
    <n v="285991.2"/>
    <n v="737768.06722689071"/>
    <n v="60"/>
    <n v="0"/>
    <n v="69"/>
    <n v="250"/>
    <n v="250"/>
    <n v="0"/>
    <n v="157113"/>
    <n v="569250"/>
    <n v="569250"/>
    <n v="250"/>
    <n v="569250"/>
    <n v="425567.64705882355"/>
    <n v="80"/>
    <n v="181"/>
    <n v="92"/>
    <n v="0"/>
    <n v="0"/>
    <n v="412137"/>
    <n v="209484"/>
    <n v="0"/>
    <n v="181"/>
    <n v="412137"/>
    <n v="617714.2857142858"/>
    <n v="36"/>
    <n v="89"/>
    <n v="41.4"/>
    <n v="0"/>
    <m/>
    <n v="202653"/>
    <n v="96430.20975906364"/>
    <n v="0"/>
    <n v="89"/>
    <n v="202653"/>
    <n v="277971.42857142858"/>
  </r>
  <r>
    <s v="Simplit-Organización"/>
    <x v="2"/>
    <x v="19"/>
    <x v="50"/>
    <n v="1654189204021"/>
    <x v="513"/>
    <x v="353"/>
    <x v="0"/>
    <x v="4"/>
    <n v="0.8"/>
    <x v="305"/>
    <n v="519"/>
    <m/>
    <n v="0"/>
    <n v="3789"/>
    <n v="1966491"/>
    <n v="3.6"/>
    <n v="3932.9999999999995"/>
    <n v="9235.2941176470595"/>
    <n v="8394.957983193277"/>
    <s v="Shenzhen"/>
    <x v="0"/>
    <n v="30"/>
    <n v="300"/>
    <n v="38"/>
    <n v="0.61681687239672522"/>
    <n v="59"/>
    <n v="0.61321655391914642"/>
    <n v="118"/>
    <n v="0.61626616224817077"/>
    <n v="61"/>
    <n v="0.62124151741593514"/>
    <n v="81"/>
    <n v="0.63363015665028222"/>
    <n v="104"/>
    <n v="0.57935802623917343"/>
    <n v="64"/>
    <n v="0.62458912507719977"/>
    <n v="59"/>
    <n v="0.65802990357792934"/>
    <n v="49"/>
    <n v="0.65325116966276031"/>
    <n v="85"/>
    <n v="0.55636348345836806"/>
    <n v="86"/>
    <n v="0.55018370890557478"/>
    <n v="54"/>
    <n v="0.57889660888606931"/>
    <n v="92"/>
    <n v="0.61425763567352054"/>
    <n v="77"/>
    <n v="0.61574641183935519"/>
    <n v="119"/>
    <n v="0.616046377022339"/>
    <n v="30"/>
    <n v="0.6212415136548175"/>
    <n v="0.5"/>
    <n v="35"/>
    <n v="0.63259079844150212"/>
    <n v="0.4375"/>
    <n v="62"/>
    <n v="0.57538539101325292"/>
    <n v="0.5636363636363636"/>
    <n v="11"/>
    <n v="0.62877518505610142"/>
    <n v="0.12643678160919541"/>
    <n v="50"/>
    <n v="332"/>
    <n v="70"/>
    <n v="0"/>
    <n v="0"/>
    <n v="0"/>
    <n v="1153750.5"/>
    <n v="1237031.9999999998"/>
    <n v="265230"/>
    <n v="0"/>
    <n v="519"/>
    <n v="1966491"/>
    <n v="543252.59515570942"/>
    <n v="60"/>
    <n v="231"/>
    <n v="115.5"/>
    <n v="0"/>
    <n v="0"/>
    <n v="0"/>
    <n v="1002190.5"/>
    <n v="860705.99999999988"/>
    <n v="437629.5"/>
    <n v="0"/>
    <n v="519"/>
    <n v="1966491"/>
    <n v="896366.78200692055"/>
    <n v="100"/>
    <n v="149"/>
    <n v="119"/>
    <n v="0"/>
    <n v="0"/>
    <n v="803025"/>
    <n v="564561"/>
    <n v="450891"/>
    <n v="0"/>
    <n v="519"/>
    <n v="1966491"/>
    <n v="1099000"/>
    <n v="60"/>
    <n v="120"/>
    <n v="30"/>
    <n v="300"/>
    <n v="0"/>
    <n v="447119.99999999994"/>
    <n v="113670"/>
    <x v="72"/>
    <x v="0"/>
    <n v="519"/>
    <n v="1966491"/>
    <n v="277058.82352941181"/>
    <n v="80"/>
    <n v="554"/>
    <n v="64"/>
    <m/>
    <n v="0"/>
    <n v="0"/>
    <n v="2099106"/>
    <n v="238463.99999999997"/>
    <x v="0"/>
    <n v="0"/>
    <n v="519"/>
    <n v="1966491"/>
    <n v="591058.82352941181"/>
    <n v="110"/>
    <n v="581"/>
    <n v="62"/>
    <m/>
    <n v="180"/>
    <n v="0"/>
    <n v="2201409"/>
    <n v="231011.99999999997"/>
    <n v="0"/>
    <n v="0"/>
    <n v="581"/>
    <n v="1966491"/>
    <n v="572588.23529411771"/>
    <n v="87"/>
    <n v="530"/>
    <n v="69.600000000000009"/>
    <n v="300"/>
    <n v="300"/>
    <n v="0"/>
    <n v="2008170"/>
    <n v="259329.6"/>
    <n v="1080540"/>
    <n v="0"/>
    <n v="530"/>
    <n v="1966491"/>
    <n v="642776.47058823542"/>
    <n v="60"/>
    <n v="460.4"/>
    <n v="48"/>
    <n v="0"/>
    <n v="0"/>
    <n v="0"/>
    <n v="1744455.5999999999"/>
    <n v="178847.99999999997"/>
    <n v="0"/>
    <n v="0"/>
    <n v="460.4"/>
    <n v="1744455.5999999999"/>
    <n v="443294.11764705885"/>
    <n v="50"/>
    <n v="412.4"/>
    <n v="40"/>
    <n v="0"/>
    <n v="0"/>
    <m/>
    <n v="1536602.3999999997"/>
    <n v="149039.99999999997"/>
    <n v="0"/>
    <n v="0"/>
    <n v="412.4"/>
    <n v="1536602.3999999997"/>
    <n v="369411.76470588241"/>
    <n v="70"/>
    <n v="372.4"/>
    <n v="56"/>
    <n v="0"/>
    <n v="0"/>
    <n v="0"/>
    <m/>
    <n v="1387562.3999999997"/>
    <n v="208655.99999999997"/>
    <n v="0"/>
    <n v="0"/>
    <n v="372.4"/>
    <n v="1387562.3999999997"/>
    <n v="470117.6470588235"/>
    <n v="50"/>
    <n v="316.39999999999998"/>
    <n v="40"/>
    <n v="0"/>
    <n v="0"/>
    <n v="1178906.3999999997"/>
    <n v="149039.99999999997"/>
    <n v="0"/>
    <n v="0"/>
    <n v="316.39999999999998"/>
    <n v="1178906.3999999997"/>
    <n v="352588.23529411765"/>
    <n v="70"/>
    <n v="276.39999999999998"/>
    <n v="56"/>
    <n v="0"/>
    <n v="0"/>
    <n v="1029866.3999999998"/>
    <n v="208655.99999999997"/>
    <n v="0"/>
    <n v="276.39999999999998"/>
    <n v="1029866.3999999998"/>
    <n v="517176.4705882353"/>
    <n v="30"/>
    <n v="220.39999999999998"/>
    <n v="24"/>
    <n v="0"/>
    <m/>
    <n v="821210.39999999979"/>
    <n v="90936"/>
    <n v="0"/>
    <n v="220.39999999999998"/>
    <n v="821210.39999999979"/>
    <n v="221647.05882352943"/>
  </r>
  <r>
    <s v="Simplit-Organización"/>
    <x v="2"/>
    <x v="19"/>
    <x v="50"/>
    <n v="1654189048611"/>
    <x v="514"/>
    <x v="354"/>
    <x v="0"/>
    <x v="4"/>
    <n v="1.2"/>
    <x v="306"/>
    <n v="297"/>
    <m/>
    <n v="0"/>
    <n v="3086.79482386772"/>
    <n v="916778.06268871285"/>
    <n v="2.9"/>
    <n v="3168.2499999999995"/>
    <n v="7554.6218487394963"/>
    <n v="6714.2857142857147"/>
    <s v="Shenzhen"/>
    <x v="0"/>
    <n v="30"/>
    <n v="300"/>
    <n v="123"/>
    <n v="0.49319797402650339"/>
    <n v="64"/>
    <n v="0.57935835116290135"/>
    <n v="95"/>
    <n v="0.6030144800455145"/>
    <n v="54"/>
    <n v="0.59412092142983053"/>
    <n v="83"/>
    <n v="0.59320968252322115"/>
    <n v="102"/>
    <n v="0.61493889958341974"/>
    <n v="73"/>
    <n v="0.58319718072694893"/>
    <n v="74"/>
    <n v="0.56843047939173563"/>
    <n v="37"/>
    <n v="0.65856158914048524"/>
    <n v="144"/>
    <n v="0.54897038022978506"/>
    <n v="116"/>
    <n v="0.5680707011453372"/>
    <n v="78"/>
    <n v="0.5642173768785177"/>
    <n v="104"/>
    <n v="0.49946910699612757"/>
    <n v="56"/>
    <n v="0.57935835672280478"/>
    <n v="146"/>
    <n v="0.60301448100412114"/>
    <n v="71"/>
    <n v="0.60072386375109765"/>
    <n v="1.42"/>
    <n v="42"/>
    <n v="0.60369381483040807"/>
    <n v="0.42"/>
    <n v="61"/>
    <n v="0.61656777019513509"/>
    <n v="0.43571428571428572"/>
    <n v="12"/>
    <n v="0.58319718401575016"/>
    <n v="0.12121212121212122"/>
    <n v="100"/>
    <n v="171"/>
    <n v="100"/>
    <n v="100"/>
    <n v="100"/>
    <n v="0"/>
    <n v="1018642.2918763476"/>
    <n v="513256.49999999994"/>
    <n v="308679.482386772"/>
    <n v="0"/>
    <n v="297"/>
    <n v="916778.06268871285"/>
    <n v="634842.17216298298"/>
    <n v="60"/>
    <n v="321"/>
    <n v="84"/>
    <n v="0"/>
    <n v="0"/>
    <n v="0"/>
    <n v="929125.24198418378"/>
    <n v="963481.49999999988"/>
    <n v="259290.76520488848"/>
    <n v="0"/>
    <n v="297"/>
    <n v="916778.06268871285"/>
    <n v="533267.42461690563"/>
    <n v="100"/>
    <n v="284"/>
    <n v="146"/>
    <n v="0"/>
    <n v="0"/>
    <n v="1030014.4767792951"/>
    <n v="876649.72997843241"/>
    <n v="450672.04428468714"/>
    <n v="0"/>
    <n v="297"/>
    <n v="916778.06268871285"/>
    <n v="1102974.7899159666"/>
    <n v="50"/>
    <n v="339"/>
    <n v="71"/>
    <n v="300"/>
    <n v="0"/>
    <n v="1017508.4999999999"/>
    <n v="219162.4324946081"/>
    <x v="73"/>
    <x v="0"/>
    <n v="297"/>
    <n v="916778.06268871285"/>
    <n v="536378.15126050427"/>
    <n v="100"/>
    <n v="339"/>
    <n v="120"/>
    <m/>
    <n v="0"/>
    <n v="0"/>
    <n v="1046423.4452911571"/>
    <n v="360179.99999999994"/>
    <x v="0"/>
    <n v="0"/>
    <n v="297"/>
    <n v="916778.06268871285"/>
    <n v="906554.62184873957"/>
    <n v="140"/>
    <n v="358"/>
    <n v="61"/>
    <m/>
    <n v="0"/>
    <n v="0"/>
    <n v="1105072.5469446438"/>
    <n v="183091.49999999997"/>
    <n v="0"/>
    <n v="0"/>
    <n v="358"/>
    <n v="916778.06268871285"/>
    <n v="460831.93277310929"/>
    <n v="99"/>
    <n v="309"/>
    <n v="118.8"/>
    <n v="0"/>
    <n v="100"/>
    <n v="0"/>
    <n v="953819.60057512543"/>
    <n v="356578.19999999995"/>
    <n v="0"/>
    <n v="0"/>
    <n v="309"/>
    <n v="916778.06268871285"/>
    <n v="897489.07563025213"/>
    <n v="100"/>
    <n v="190.2"/>
    <n v="120"/>
    <n v="300"/>
    <n v="300"/>
    <n v="0"/>
    <n v="587108.37549964036"/>
    <n v="360179.99999999994"/>
    <n v="900449.99999999988"/>
    <n v="0"/>
    <n v="490.2"/>
    <n v="1487558.3754996401"/>
    <n v="906554.62184873957"/>
    <n v="70"/>
    <n v="70.199999999999989"/>
    <n v="84"/>
    <n v="0"/>
    <n v="0"/>
    <n v="300"/>
    <n v="210705.29999999993"/>
    <n v="252125.99999999997"/>
    <n v="0"/>
    <n v="900449.99999999988"/>
    <n v="370.2"/>
    <n v="1111155.2999999998"/>
    <n v="634588.23529411771"/>
    <n v="140"/>
    <n v="286.2"/>
    <n v="168"/>
    <n v="0"/>
    <n v="0"/>
    <n v="0"/>
    <m/>
    <n v="859029.29999999981"/>
    <n v="504251.99999999994"/>
    <n v="0"/>
    <n v="0"/>
    <n v="286.2"/>
    <n v="859029.29999999981"/>
    <n v="1128000"/>
    <n v="80"/>
    <n v="118.19999999999999"/>
    <n v="96"/>
    <n v="0"/>
    <n v="0"/>
    <n v="354777.29999999993"/>
    <n v="288143.99999999994"/>
    <n v="0"/>
    <n v="0"/>
    <n v="118.19999999999999"/>
    <n v="354777.29999999993"/>
    <n v="676800.00000000012"/>
    <n v="80"/>
    <n v="22.199999999999989"/>
    <n v="96"/>
    <n v="0"/>
    <n v="0"/>
    <n v="66633.299999999959"/>
    <n v="288143.99999999994"/>
    <n v="0"/>
    <n v="22.199999999999989"/>
    <n v="66633.299999999959"/>
    <n v="725243.6974789917"/>
    <n v="48"/>
    <n v="0"/>
    <n v="57.599999999999994"/>
    <n v="0"/>
    <m/>
    <n v="0"/>
    <n v="177799.38185478066"/>
    <n v="0"/>
    <n v="0"/>
    <n v="0"/>
    <n v="435146.21848739492"/>
  </r>
  <r>
    <s v="Simplit-Organización"/>
    <x v="2"/>
    <x v="19"/>
    <x v="50"/>
    <n v="1650295282448"/>
    <x v="515"/>
    <x v="355"/>
    <x v="0"/>
    <x v="0"/>
    <n v="1.3"/>
    <x v="307"/>
    <n v="131"/>
    <m/>
    <n v="0"/>
    <n v="3759.6305373525561"/>
    <n v="492511.60039318487"/>
    <n v="3.2"/>
    <n v="3495.9999999999995"/>
    <n v="8394.957983193277"/>
    <n v="7554.6218487394963"/>
    <s v="Shenzhen"/>
    <x v="0"/>
    <n v="30"/>
    <n v="300"/>
    <n v="51"/>
    <n v="0.66398895859473028"/>
    <n v="46"/>
    <n v="0.63618406752644541"/>
    <n v="53"/>
    <n v="0.61927927104284775"/>
    <n v="25"/>
    <n v="0.59067342478142904"/>
    <n v="58"/>
    <n v="0.62315555203676787"/>
    <n v="25"/>
    <n v="0.65366632733419128"/>
    <n v="54"/>
    <n v="0.58841757995395338"/>
    <n v="41"/>
    <n v="0.62842432962720729"/>
    <n v="22"/>
    <n v="0.66184953633017785"/>
    <n v="72"/>
    <n v="0.59846018702744441"/>
    <n v="50"/>
    <n v="0.52819850630261744"/>
    <n v="49"/>
    <n v="0.57874742588066719"/>
    <n v="62"/>
    <n v="0.67053041665624746"/>
    <n v="51"/>
    <n v="0.64035667696896803"/>
    <n v="50"/>
    <n v="0.61927927743871303"/>
    <n v="56"/>
    <n v="0.59067344095264585"/>
    <n v="1.4"/>
    <n v="58"/>
    <n v="0.62315556937583216"/>
    <n v="0.96666666666666667"/>
    <n v="37"/>
    <n v="0.65364566319496586"/>
    <n v="0.46250000000000002"/>
    <n v="22"/>
    <n v="0.58992683650866717"/>
    <n v="0.36666666666666664"/>
    <n v="50"/>
    <n v="171"/>
    <n v="80"/>
    <n v="0"/>
    <n v="0"/>
    <n v="0"/>
    <n v="776363.70596330287"/>
    <n v="566351.99999999988"/>
    <n v="300770.44298820448"/>
    <n v="0"/>
    <n v="131"/>
    <n v="492511.60039318487"/>
    <n v="564366.9232398842"/>
    <n v="60"/>
    <n v="108"/>
    <n v="76.5"/>
    <n v="0"/>
    <n v="0"/>
    <n v="0"/>
    <n v="686132.57306684146"/>
    <n v="357695.99999999994"/>
    <n v="287611.73610747053"/>
    <n v="0"/>
    <n v="131"/>
    <n v="492511.60039318487"/>
    <n v="539675.87034813932"/>
    <n v="31"/>
    <n v="68"/>
    <n v="50"/>
    <n v="0"/>
    <n v="0"/>
    <n v="656856.83695937088"/>
    <n v="255654.8765399738"/>
    <n v="187981.52686762781"/>
    <n v="0"/>
    <n v="131"/>
    <n v="492511.60039318487"/>
    <n v="419747.89915966382"/>
    <n v="40"/>
    <n v="167"/>
    <n v="56"/>
    <n v="180"/>
    <n v="0"/>
    <n v="553103.99999999988"/>
    <n v="210539.31009174313"/>
    <x v="74"/>
    <x v="0"/>
    <n v="131"/>
    <n v="492511.60039318487"/>
    <n v="470117.6470588235"/>
    <n v="60"/>
    <n v="189"/>
    <n v="78"/>
    <m/>
    <n v="0"/>
    <n v="0"/>
    <n v="710570.17155963311"/>
    <n v="258335.99999999997"/>
    <x v="0"/>
    <n v="0"/>
    <n v="131"/>
    <n v="492511.60039318487"/>
    <n v="654806.72268907563"/>
    <n v="80"/>
    <n v="168"/>
    <n v="37"/>
    <m/>
    <n v="0"/>
    <n v="0"/>
    <n v="631617.93027522939"/>
    <n v="122543.99999999999"/>
    <n v="0"/>
    <n v="0"/>
    <n v="168"/>
    <n v="492511.60039318487"/>
    <n v="310613.44537815126"/>
    <n v="60"/>
    <n v="153"/>
    <n v="78"/>
    <n v="100"/>
    <n v="100"/>
    <n v="0"/>
    <n v="575223.47221494105"/>
    <n v="258335.99999999997"/>
    <n v="320160"/>
    <n v="0"/>
    <n v="153"/>
    <n v="492511.60039318487"/>
    <n v="654806.72268907563"/>
    <n v="52"/>
    <n v="75"/>
    <n v="67.600000000000009"/>
    <n v="200"/>
    <n v="200"/>
    <n v="0"/>
    <n v="281972.29030144168"/>
    <n v="223891.20000000001"/>
    <n v="662399.99999999988"/>
    <n v="0"/>
    <n v="275"/>
    <n v="944372.29030144156"/>
    <n v="567499.15966386558"/>
    <n v="28"/>
    <n v="7.3999999999999915"/>
    <n v="36.4"/>
    <n v="0"/>
    <n v="0"/>
    <n v="200"/>
    <n v="24508.79999999997"/>
    <n v="120556.79999999997"/>
    <n v="0"/>
    <n v="662399.99999999988"/>
    <n v="207.39999999999998"/>
    <n v="686908.79999999981"/>
    <n v="305576.47058823524"/>
    <n v="75"/>
    <n v="171"/>
    <n v="97.5"/>
    <n v="0"/>
    <n v="0"/>
    <n v="0"/>
    <m/>
    <n v="566351.99999999988"/>
    <n v="322919.99999999994"/>
    <n v="0"/>
    <n v="0"/>
    <n v="171"/>
    <n v="566351.99999999988"/>
    <n v="736575.63025210088"/>
    <n v="50"/>
    <n v="73.5"/>
    <n v="65"/>
    <n v="0"/>
    <n v="0"/>
    <n v="243431.99999999997"/>
    <n v="215279.99999999997"/>
    <n v="0"/>
    <n v="0"/>
    <n v="73.5"/>
    <n v="243431.99999999997"/>
    <n v="515602.94117647066"/>
    <n v="60"/>
    <n v="8.5"/>
    <n v="78"/>
    <n v="0"/>
    <n v="0"/>
    <n v="28151.999999999996"/>
    <n v="258335.99999999997"/>
    <n v="0"/>
    <n v="8.5"/>
    <n v="28151.999999999996"/>
    <n v="654806.72268907563"/>
    <n v="30"/>
    <n v="0"/>
    <n v="39"/>
    <n v="0"/>
    <m/>
    <n v="0"/>
    <n v="146625.59095674969"/>
    <n v="0"/>
    <n v="0"/>
    <n v="0"/>
    <n v="327403.36134453781"/>
  </r>
  <r>
    <m/>
    <x v="2"/>
    <x v="19"/>
    <x v="50"/>
    <s v="SIMOREXBAS-WD"/>
    <x v="516"/>
    <x v="356"/>
    <x v="0"/>
    <x v="3"/>
    <n v="1"/>
    <x v="308"/>
    <n v="126"/>
    <m/>
    <n v="0"/>
    <n v="5485"/>
    <n v="691110"/>
    <n v="5.0999999999999996"/>
    <n v="5571.75"/>
    <n v="16798.319327731093"/>
    <n v="19319.327731092439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0"/>
    <n v="0.65927726610124571"/>
    <n v="146"/>
    <s v=""/>
    <n v="104"/>
    <s v=""/>
    <n v="6"/>
    <s v=""/>
    <n v="3"/>
    <s v=""/>
    <n v="0.3"/>
    <n v="4"/>
    <s v=""/>
    <n v="0"/>
    <n v="166"/>
    <s v=""/>
    <n v="0"/>
    <n v="38"/>
    <s v=""/>
    <n v="0.25333333333333335"/>
    <n v="50"/>
    <n v="270"/>
    <n v="90"/>
    <n v="0"/>
    <n v="0"/>
    <n v="0"/>
    <n v="1382220"/>
    <n v="1425195"/>
    <n v="493650"/>
    <n v="0"/>
    <n v="126"/>
    <n v="691110"/>
    <n v="1270461.1256267214"/>
    <n v="80"/>
    <n v="110"/>
    <n v="156"/>
    <n v="0"/>
    <n v="0"/>
    <n v="0"/>
    <n v="905025"/>
    <n v="580635"/>
    <n v="855660"/>
    <n v="0"/>
    <n v="126"/>
    <n v="691110"/>
    <n v="2202132.6177529837"/>
    <n v="150"/>
    <n v="2"/>
    <n v="6"/>
    <n v="0"/>
    <n v="0"/>
    <n v="49365"/>
    <n v="10970"/>
    <n v="32910"/>
    <n v="0"/>
    <n v="126"/>
    <n v="691110"/>
    <n v="100789.91596638656"/>
    <n v="10"/>
    <n v="3"/>
    <n v="3"/>
    <n v="300"/>
    <n v="0"/>
    <n v="15835.5"/>
    <n v="16455"/>
    <x v="75"/>
    <x v="0"/>
    <n v="126"/>
    <n v="691110"/>
    <n v="50394.957983193279"/>
    <n v="0"/>
    <n v="130"/>
    <n v="0"/>
    <m/>
    <n v="0"/>
    <n v="0"/>
    <n v="713050"/>
    <n v="0"/>
    <x v="0"/>
    <n v="0"/>
    <n v="126"/>
    <n v="691110"/>
    <n v="0"/>
    <n v="0"/>
    <n v="292"/>
    <n v="166"/>
    <m/>
    <n v="0"/>
    <n v="0"/>
    <n v="1601620"/>
    <n v="876231"/>
    <n v="0"/>
    <n v="0"/>
    <n v="292"/>
    <n v="691110"/>
    <n v="2788521.0084033613"/>
    <n v="150"/>
    <n v="164"/>
    <n v="150"/>
    <n v="500"/>
    <n v="500"/>
    <n v="0"/>
    <n v="899540"/>
    <n v="791775"/>
    <n v="2551274.9999999995"/>
    <n v="0"/>
    <n v="164"/>
    <n v="691110"/>
    <n v="2519747.8991596638"/>
    <n v="150"/>
    <n v="14"/>
    <n v="150"/>
    <n v="0"/>
    <n v="0"/>
    <n v="504"/>
    <n v="76790"/>
    <n v="791775"/>
    <n v="0"/>
    <n v="2660364"/>
    <n v="14"/>
    <n v="76790"/>
    <n v="2519747.8991596638"/>
    <n v="150"/>
    <n v="368"/>
    <n v="150"/>
    <n v="500"/>
    <n v="300"/>
    <n v="0"/>
    <n v="1942488"/>
    <n v="791775"/>
    <n v="2639250"/>
    <n v="0"/>
    <n v="368"/>
    <n v="1942488"/>
    <n v="2519747.8991596638"/>
    <n v="250"/>
    <n v="518"/>
    <n v="250"/>
    <n v="0"/>
    <n v="0"/>
    <n v="0"/>
    <n v="300"/>
    <n v="2734263"/>
    <n v="1319625"/>
    <n v="0"/>
    <n v="1583550"/>
    <n v="518"/>
    <n v="4317813"/>
    <n v="4829831.9327731095"/>
    <n v="120"/>
    <n v="268"/>
    <n v="120"/>
    <n v="0"/>
    <n v="0"/>
    <n v="1414638"/>
    <n v="633420"/>
    <n v="0"/>
    <n v="0"/>
    <n v="268"/>
    <n v="1414638"/>
    <n v="2434235.2941176472"/>
    <n v="150"/>
    <n v="148"/>
    <n v="150"/>
    <n v="0"/>
    <n v="0"/>
    <n v="781218"/>
    <n v="791775"/>
    <n v="0"/>
    <n v="148"/>
    <n v="781218"/>
    <n v="2519747.8991596638"/>
    <n v="72"/>
    <n v="0"/>
    <n v="72"/>
    <n v="0"/>
    <m/>
    <n v="0"/>
    <n v="394920"/>
    <n v="0"/>
    <n v="0"/>
    <n v="0"/>
    <n v="1209478.9915966387"/>
  </r>
  <r>
    <m/>
    <x v="2"/>
    <x v="19"/>
    <x v="50"/>
    <s v="SMCONTVIDR4"/>
    <x v="517"/>
    <x v="357"/>
    <x v="0"/>
    <x v="2"/>
    <n v="1"/>
    <x v="12"/>
    <n v="0"/>
    <m/>
    <n v="0"/>
    <n v="6353.1750000000002"/>
    <n v="0"/>
    <n v="6.3500000000000005"/>
    <n v="6353.1750000000002"/>
    <n v="16016.407563025212"/>
    <n v="13613.946428571429"/>
    <s v="Shenzhen"/>
    <x v="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40"/>
    <n v="0"/>
    <n v="40"/>
    <n v="300"/>
    <n v="300"/>
    <n v="0"/>
    <n v="0"/>
    <n v="262890.00000000006"/>
    <n v="1905952.5"/>
    <n v="0"/>
    <n v="0"/>
    <n v="0"/>
    <n v="640656.30252100853"/>
    <n v="40"/>
    <n v="0"/>
    <n v="40"/>
    <n v="0"/>
    <n v="0"/>
    <n v="0"/>
    <n v="0"/>
    <n v="262890.00000000006"/>
    <n v="0"/>
    <n v="0"/>
    <n v="0"/>
    <n v="0"/>
    <n v="640656.30252100853"/>
    <n v="35"/>
    <n v="0"/>
    <n v="35"/>
    <n v="0"/>
    <n v="0"/>
    <m/>
    <n v="0"/>
    <n v="230028.75000000003"/>
    <n v="0"/>
    <n v="0"/>
    <n v="0"/>
    <n v="0"/>
    <n v="560574.26470588241"/>
    <n v="80"/>
    <n v="0"/>
    <n v="0"/>
    <n v="0"/>
    <n v="0"/>
    <n v="0"/>
    <m/>
    <n v="0"/>
    <n v="0"/>
    <n v="0"/>
    <n v="0"/>
    <n v="0"/>
    <n v="0"/>
    <n v="0"/>
    <n v="60"/>
    <n v="0"/>
    <n v="60"/>
    <n v="0"/>
    <n v="0"/>
    <n v="0"/>
    <n v="394335.00000000006"/>
    <n v="0"/>
    <n v="0"/>
    <n v="0"/>
    <n v="0"/>
    <n v="857678.62500000012"/>
    <n v="100"/>
    <n v="0"/>
    <n v="100"/>
    <n v="0"/>
    <n v="0"/>
    <n v="0"/>
    <n v="657225.00000000012"/>
    <n v="0"/>
    <n v="0"/>
    <n v="0"/>
    <n v="1601640.7563025211"/>
    <n v="36"/>
    <n v="0"/>
    <n v="36"/>
    <n v="0"/>
    <m/>
    <n v="0"/>
    <n v="228714.30000000002"/>
    <n v="0"/>
    <n v="0"/>
    <n v="0"/>
    <n v="576590.67226890766"/>
  </r>
  <r>
    <m/>
    <x v="2"/>
    <x v="19"/>
    <x v="50"/>
    <s v="SIMOREXOSL-WD"/>
    <x v="518"/>
    <x v="358"/>
    <x v="0"/>
    <x v="2"/>
    <n v="1"/>
    <x v="12"/>
    <n v="0"/>
    <m/>
    <n v="0"/>
    <n v="4882.4399999999987"/>
    <n v="0"/>
    <n v="4.88"/>
    <n v="4882.4399999999987"/>
    <n v="12308.67226890756"/>
    <n v="10462.371428571425"/>
    <s v="Shenzhen"/>
    <x v="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80"/>
    <n v="0"/>
    <n v="80"/>
    <n v="300"/>
    <n v="300"/>
    <n v="0"/>
    <n v="0"/>
    <n v="404063.99999999994"/>
    <n v="1464731.9999999995"/>
    <n v="0"/>
    <n v="0"/>
    <n v="0"/>
    <n v="984693.78151260479"/>
    <n v="120"/>
    <n v="0"/>
    <n v="120"/>
    <n v="500"/>
    <n v="500"/>
    <n v="300"/>
    <n v="0"/>
    <n v="606095.99999999988"/>
    <n v="2525399.9999999995"/>
    <n v="1515239.9999999998"/>
    <n v="500"/>
    <n v="2525399.9999999995"/>
    <n v="1477040.6722689071"/>
    <n v="150"/>
    <n v="180"/>
    <n v="150"/>
    <n v="0"/>
    <n v="0"/>
    <m/>
    <n v="909143.99999999988"/>
    <n v="757619.99999999988"/>
    <n v="0"/>
    <n v="0"/>
    <n v="180"/>
    <n v="909143.99999999988"/>
    <n v="1846300.840336134"/>
    <n v="200"/>
    <n v="530"/>
    <n v="200"/>
    <n v="0"/>
    <n v="0"/>
    <n v="0"/>
    <n v="500"/>
    <n v="2676923.9999999995"/>
    <n v="1010159.9999999999"/>
    <n v="0"/>
    <n v="2525399.9999999995"/>
    <n v="530"/>
    <n v="5202323.9999999991"/>
    <n v="2092474.285714285"/>
    <n v="120"/>
    <n v="330"/>
    <n v="120"/>
    <n v="0"/>
    <n v="0"/>
    <n v="1666763.9999999998"/>
    <n v="606095.99999999988"/>
    <n v="0"/>
    <n v="0"/>
    <n v="330"/>
    <n v="1666763.9999999998"/>
    <n v="1318258.7999999996"/>
    <n v="200"/>
    <n v="210"/>
    <n v="200"/>
    <n v="500"/>
    <n v="500"/>
    <n v="1060667.9999999998"/>
    <n v="1010159.9999999999"/>
    <n v="2525399.9999999995"/>
    <n v="710"/>
    <n v="3586067.9999999991"/>
    <n v="2461734.4537815121"/>
    <n v="72"/>
    <n v="510"/>
    <n v="72"/>
    <n v="0"/>
    <m/>
    <n v="2575907.9999999995"/>
    <n v="351535.67999999993"/>
    <n v="0"/>
    <n v="510"/>
    <n v="2575907.9999999995"/>
    <n v="886224.40336134424"/>
  </r>
  <r>
    <s v="Simplit-Organización"/>
    <x v="2"/>
    <x v="19"/>
    <x v="52"/>
    <n v="1627418180602"/>
    <x v="519"/>
    <x v="359"/>
    <x v="0"/>
    <x v="4"/>
    <n v="1"/>
    <x v="309"/>
    <n v="261"/>
    <m/>
    <n v="0"/>
    <n v="5828.7841896114032"/>
    <n v="1521312.6734885762"/>
    <n v="5.35"/>
    <n v="5844.875"/>
    <n v="12596.638655462186"/>
    <n v="10915.966386554623"/>
    <s v="Shenzhen"/>
    <x v="0"/>
    <n v="30"/>
    <n v="100"/>
    <n v="132"/>
    <n v="0.4555171202207749"/>
    <n v="54"/>
    <n v="0.41242741363677682"/>
    <n v="127"/>
    <n v="0.45782931582310488"/>
    <n v="58"/>
    <n v="0.46191545881937923"/>
    <n v="104"/>
    <n v="0.41189771254205249"/>
    <n v="170"/>
    <n v="0.45832530195314297"/>
    <n v="84"/>
    <n v="0.47276148406958413"/>
    <n v="93"/>
    <n v="0.44434798988186808"/>
    <n v="64"/>
    <n v="0.43505734852482558"/>
    <n v="176"/>
    <n v="0.40547239828673054"/>
    <n v="42"/>
    <n v="0.46462629395857591"/>
    <n v="55"/>
    <n v="0.45742342347743786"/>
    <n v="55"/>
    <n v="0.4436240314903161"/>
    <n v="36"/>
    <n v="0.49562756507712719"/>
    <n v="96"/>
    <n v="0.40342167043505245"/>
    <n v="79"/>
    <n v="0.46511247022170499"/>
    <n v="0.98750000000000004"/>
    <n v="148"/>
    <n v="0.41969795950041605"/>
    <n v="1.48"/>
    <n v="142"/>
    <n v="0.45380204948182118"/>
    <n v="0.83529411764705885"/>
    <n v="40"/>
    <n v="0.48638120949623331"/>
    <n v="0.47058823529411764"/>
    <n v="120"/>
    <n v="229"/>
    <n v="50"/>
    <n v="300"/>
    <n v="300"/>
    <n v="0"/>
    <n v="1165756.8379222807"/>
    <n v="1268030.25"/>
    <n v="291439.20948057016"/>
    <n v="0"/>
    <n v="261"/>
    <n v="1521312.6734885762"/>
    <n v="529270.53174210864"/>
    <n v="60"/>
    <n v="488"/>
    <n v="54"/>
    <n v="130"/>
    <n v="130"/>
    <n v="0"/>
    <n v="1334791.5794210113"/>
    <n v="2702178"/>
    <n v="314754.34623901575"/>
    <n v="0"/>
    <n v="261"/>
    <n v="1521312.6734885762"/>
    <n v="571612.17428147735"/>
    <n v="130"/>
    <n v="357"/>
    <n v="96"/>
    <n v="0"/>
    <n v="0"/>
    <n v="1573762.2331819956"/>
    <n v="2080875.955691271"/>
    <n v="559563.28220269468"/>
    <n v="0"/>
    <n v="261"/>
    <n v="1521312.6734885762"/>
    <n v="1209277.3109243698"/>
    <n v="80"/>
    <n v="585"/>
    <n v="79"/>
    <n v="100"/>
    <n v="0"/>
    <n v="3239291.25"/>
    <n v="460473.95097930083"/>
    <x v="76"/>
    <x v="0"/>
    <n v="261"/>
    <n v="1521312.6734885762"/>
    <n v="995134.45378151268"/>
    <n v="100"/>
    <n v="409"/>
    <n v="100"/>
    <m/>
    <n v="0"/>
    <n v="0"/>
    <n v="2383972.733551064"/>
    <n v="553725"/>
    <x v="0"/>
    <n v="0"/>
    <n v="261"/>
    <n v="1521312.6734885762"/>
    <n v="1259663.8655462186"/>
    <n v="170"/>
    <n v="403"/>
    <n v="142"/>
    <m/>
    <n v="0"/>
    <n v="0"/>
    <n v="2349000.0284133954"/>
    <n v="786289.5"/>
    <n v="0"/>
    <n v="0"/>
    <n v="403"/>
    <n v="1521312.6734885762"/>
    <n v="1788722.6890756304"/>
    <n v="85"/>
    <n v="301"/>
    <n v="85"/>
    <n v="100"/>
    <n v="100"/>
    <n v="0"/>
    <n v="1754464.0410730324"/>
    <n v="470666.25"/>
    <n v="535267.49999999988"/>
    <n v="0"/>
    <n v="301"/>
    <n v="1521312.6734885762"/>
    <n v="1070714.2857142859"/>
    <n v="101"/>
    <n v="216"/>
    <n v="101"/>
    <n v="0"/>
    <n v="0"/>
    <n v="0"/>
    <n v="1259017.384956063"/>
    <n v="559262.25"/>
    <n v="0"/>
    <n v="0"/>
    <n v="216"/>
    <n v="1259017.384956063"/>
    <n v="1272260.5042016809"/>
    <n v="65"/>
    <n v="115"/>
    <n v="65"/>
    <n v="200"/>
    <n v="200"/>
    <n v="0"/>
    <n v="636783.75"/>
    <n v="359921.25"/>
    <n v="1107450"/>
    <n v="0"/>
    <n v="115"/>
    <n v="636783.75"/>
    <n v="818781.51260504208"/>
    <n v="140"/>
    <n v="250"/>
    <n v="140"/>
    <n v="0"/>
    <n v="0"/>
    <n v="0"/>
    <n v="200"/>
    <n v="1384312.5"/>
    <n v="775215"/>
    <n v="0"/>
    <n v="1107450"/>
    <n v="250"/>
    <n v="2491762.5"/>
    <n v="1528235.2941176472"/>
    <n v="70"/>
    <n v="110"/>
    <n v="70"/>
    <n v="0"/>
    <n v="0"/>
    <n v="609097.5"/>
    <n v="387607.5"/>
    <n v="0"/>
    <n v="0"/>
    <n v="110"/>
    <n v="609097.5"/>
    <n v="802323.52941176482"/>
    <n v="90"/>
    <n v="40"/>
    <n v="90"/>
    <n v="0"/>
    <n v="0"/>
    <n v="221490"/>
    <n v="498352.5"/>
    <n v="0"/>
    <n v="40"/>
    <n v="221490"/>
    <n v="1133697.4789915967"/>
    <n v="42"/>
    <n v="0"/>
    <n v="42"/>
    <n v="0"/>
    <m/>
    <n v="0"/>
    <n v="244808.93596367893"/>
    <n v="0"/>
    <n v="0"/>
    <n v="0"/>
    <n v="529058.82352941181"/>
  </r>
  <r>
    <s v="Simplit-Organización"/>
    <x v="2"/>
    <x v="19"/>
    <x v="52"/>
    <n v="1660857800718"/>
    <x v="520"/>
    <x v="360"/>
    <x v="0"/>
    <x v="3"/>
    <n v="1"/>
    <x v="310"/>
    <n v="325"/>
    <m/>
    <n v="0"/>
    <n v="5537.3403733961604"/>
    <n v="1799635.6213537522"/>
    <n v="5.15"/>
    <n v="5626.375"/>
    <n v="12596.638655462186"/>
    <n v="10915.966386554623"/>
    <s v="Shenzhen"/>
    <x v="0"/>
    <n v="30"/>
    <n v="300"/>
    <n v="149"/>
    <n v="0.51961688157372377"/>
    <n v="115"/>
    <n v="0.52669933914546929"/>
    <n v="164"/>
    <n v="0.55953378065209514"/>
    <n v="106"/>
    <n v="0.58640414231653659"/>
    <n v="103"/>
    <n v="0.54682907545666082"/>
    <n v="13"/>
    <n v="0.57967355728312575"/>
    <n v="125"/>
    <n v="0.60440992790599701"/>
    <n v="129"/>
    <n v="0.62436641643272128"/>
    <n v="99"/>
    <n v="0.60544118409475434"/>
    <n v="196"/>
    <n v="0.53593211258768592"/>
    <n v="117"/>
    <n v="0.52681544219419218"/>
    <n v="60"/>
    <n v="0.57628603706964088"/>
    <n v="111"/>
    <n v="0.51280223279593007"/>
    <n v="148"/>
    <n v="0.55688751754841326"/>
    <n v="203"/>
    <n v="0.52604890695267792"/>
    <n v="204"/>
    <n v="0.58670170533251109"/>
    <n v="1.5692307692307692"/>
    <n v="77"/>
    <n v="0.54638335795973492"/>
    <n v="0.59230769230769231"/>
    <n v="25"/>
    <n v="0.57257933451754439"/>
    <n v="0.125"/>
    <n v="40"/>
    <n v="0.60544678264799234"/>
    <n v="0.26666666666666666"/>
    <n v="150"/>
    <n v="311"/>
    <n v="120"/>
    <n v="320"/>
    <n v="320"/>
    <n v="0"/>
    <n v="3017850.5035009072"/>
    <n v="1657707.75"/>
    <n v="664480.84480753925"/>
    <n v="0"/>
    <n v="325"/>
    <n v="1799635.6213537522"/>
    <n v="1270249.2761810608"/>
    <n v="120"/>
    <n v="512"/>
    <n v="222"/>
    <n v="0"/>
    <n v="0"/>
    <n v="0"/>
    <n v="3482987.0948661845"/>
    <n v="2729088"/>
    <n v="1229289.5628939476"/>
    <n v="0"/>
    <n v="325"/>
    <n v="1799635.6213537522"/>
    <n v="2349961.1609349628"/>
    <n v="150"/>
    <n v="370"/>
    <n v="203"/>
    <n v="0"/>
    <n v="0"/>
    <n v="2946630.0319722369"/>
    <n v="2048815.9381565794"/>
    <n v="1124080.0957994205"/>
    <n v="0"/>
    <n v="325"/>
    <n v="1799635.6213537522"/>
    <n v="2557117.6470588236"/>
    <n v="130"/>
    <n v="273"/>
    <n v="204"/>
    <n v="0"/>
    <n v="0"/>
    <n v="1455158.25"/>
    <n v="1129617.4361728167"/>
    <x v="0"/>
    <x v="0"/>
    <n v="325"/>
    <n v="1799635.6213537522"/>
    <n v="2569714.2857142859"/>
    <n v="130"/>
    <n v="402"/>
    <n v="130"/>
    <m/>
    <n v="0"/>
    <n v="0"/>
    <n v="2226010.8301052563"/>
    <n v="692932.5"/>
    <x v="0"/>
    <n v="0"/>
    <n v="325"/>
    <n v="1799635.6213537522"/>
    <n v="1637563.0252100842"/>
    <n v="200"/>
    <n v="350"/>
    <n v="25"/>
    <m/>
    <n v="0"/>
    <n v="0"/>
    <n v="1938069.1306886561"/>
    <n v="133256.25"/>
    <n v="0"/>
    <n v="0"/>
    <n v="350"/>
    <n v="1799635.6213537522"/>
    <n v="314915.96638655465"/>
    <n v="150"/>
    <n v="365"/>
    <n v="150"/>
    <n v="300"/>
    <n v="300"/>
    <n v="0"/>
    <n v="2021129.2362895985"/>
    <n v="799537.5"/>
    <n v="1545772.5"/>
    <n v="0"/>
    <n v="365"/>
    <n v="1799635.6213537522"/>
    <n v="1889495.7983193279"/>
    <n v="130"/>
    <n v="215"/>
    <n v="130"/>
    <n v="300"/>
    <n v="300"/>
    <n v="300"/>
    <n v="1190528.1802801746"/>
    <n v="692932.5"/>
    <n v="1599075"/>
    <n v="1599075"/>
    <n v="515"/>
    <n v="2789603.1802801746"/>
    <n v="1637563.0252100842"/>
    <n v="108"/>
    <n v="385"/>
    <n v="108"/>
    <n v="300"/>
    <n v="0"/>
    <m/>
    <n v="2052146.25"/>
    <n v="575667"/>
    <n v="1599075"/>
    <n v="0"/>
    <n v="385"/>
    <n v="2052146.25"/>
    <n v="1360436.9747899161"/>
    <n v="200"/>
    <n v="477"/>
    <n v="200"/>
    <n v="0"/>
    <n v="0"/>
    <n v="0"/>
    <n v="200"/>
    <n v="2542529.25"/>
    <n v="1066050"/>
    <n v="0"/>
    <n v="1066050"/>
    <n v="477"/>
    <n v="3608579.25"/>
    <n v="2183193.2773109246"/>
    <n v="100"/>
    <n v="277"/>
    <n v="100"/>
    <n v="0"/>
    <n v="0"/>
    <n v="1476479.25"/>
    <n v="533025"/>
    <n v="0"/>
    <n v="0"/>
    <n v="277"/>
    <n v="1476479.25"/>
    <n v="1146176.4705882354"/>
    <n v="120"/>
    <n v="177"/>
    <n v="120"/>
    <n v="300"/>
    <n v="300"/>
    <n v="943454.25"/>
    <n v="639630"/>
    <n v="1599075"/>
    <n v="477"/>
    <n v="2542529.25"/>
    <n v="1511596.6386554623"/>
    <n v="60"/>
    <n v="357"/>
    <n v="60"/>
    <n v="0"/>
    <m/>
    <n v="1902899.25"/>
    <n v="332240.42240376963"/>
    <n v="0"/>
    <n v="357"/>
    <n v="1902899.25"/>
    <n v="755798.31932773115"/>
  </r>
  <r>
    <s v="Simplit-Organización"/>
    <x v="2"/>
    <x v="19"/>
    <x v="52"/>
    <n v="1660858702400"/>
    <x v="521"/>
    <x v="361"/>
    <x v="0"/>
    <x v="0"/>
    <n v="1"/>
    <x v="311"/>
    <n v="217"/>
    <m/>
    <n v="0"/>
    <n v="3343.6076388888891"/>
    <n v="725562.85763888899"/>
    <n v="3.3"/>
    <n v="3605.2499999999995"/>
    <n v="10915.966386554623"/>
    <n v="7554.6218487394963"/>
    <s v="Shenzhen"/>
    <x v="0"/>
    <n v="30"/>
    <n v="100"/>
    <n v="37"/>
    <n v="0.64296093130744858"/>
    <n v="28"/>
    <n v="0.67002537445429389"/>
    <n v="40"/>
    <n v="0.63692187720288773"/>
    <n v="26"/>
    <n v="0.64572251519321888"/>
    <n v="51"/>
    <n v="0.62650505516535349"/>
    <n v="107"/>
    <n v="0.58891398662276195"/>
    <n v="47"/>
    <n v="0.59058024448298541"/>
    <n v="56"/>
    <n v="0.6346806756947696"/>
    <n v="42"/>
    <n v="0.6418878422145281"/>
    <n v="38"/>
    <n v="0.72593491202370819"/>
    <n v="-1"/>
    <n v="0.61104493773687063"/>
    <n v="0"/>
    <s v=""/>
    <n v="3"/>
    <n v="0.63157649689612627"/>
    <n v="15"/>
    <n v="0.67055079796707129"/>
    <n v="54"/>
    <n v="0.65097455135929383"/>
    <n v="36"/>
    <n v="0.6471863493494957"/>
    <n v="1.0285714285714285"/>
    <n v="37"/>
    <n v="0.6293569446368904"/>
    <n v="0.74"/>
    <n v="42"/>
    <n v="0.58324432260223302"/>
    <n v="0.42"/>
    <n v="6"/>
    <n v="0.58582390626280623"/>
    <n v="0.12"/>
    <n v="35"/>
    <n v="4"/>
    <n v="20"/>
    <n v="150"/>
    <n v="150"/>
    <n v="0"/>
    <n v="322658.13715277775"/>
    <n v="13661.999999999998"/>
    <n v="66872.152777777781"/>
    <n v="0"/>
    <n v="217"/>
    <n v="725562.85763888899"/>
    <n v="183461.61994209452"/>
    <n v="30"/>
    <n v="147"/>
    <n v="22.5"/>
    <n v="0"/>
    <n v="0"/>
    <n v="0"/>
    <n v="376155.859375"/>
    <n v="502078.49999999994"/>
    <n v="75231.171875"/>
    <n v="0"/>
    <n v="217"/>
    <n v="725562.85763888899"/>
    <n v="206394.32243485632"/>
    <n v="40"/>
    <n v="117"/>
    <n v="54"/>
    <n v="0"/>
    <n v="0"/>
    <n v="471699.6875"/>
    <n v="391202.09375000006"/>
    <n v="180554.8125"/>
    <n v="0"/>
    <n v="217"/>
    <n v="725562.85763888899"/>
    <n v="589462.18487394962"/>
    <n v="35"/>
    <n v="176"/>
    <n v="36"/>
    <n v="100"/>
    <n v="0"/>
    <n v="601127.99999999988"/>
    <n v="120369.87500000001"/>
    <x v="77"/>
    <x v="0"/>
    <n v="217"/>
    <n v="725562.85763888899"/>
    <n v="392974.78991596639"/>
    <n v="50"/>
    <n v="254"/>
    <n v="50"/>
    <m/>
    <n v="0"/>
    <n v="0"/>
    <n v="849276.34027777787"/>
    <n v="170774.99999999997"/>
    <x v="0"/>
    <n v="0"/>
    <n v="217"/>
    <n v="725562.85763888899"/>
    <n v="545798.31932773115"/>
    <n v="100"/>
    <n v="259"/>
    <n v="42"/>
    <m/>
    <n v="0"/>
    <n v="0"/>
    <n v="865994.37847222225"/>
    <n v="143450.99999999997"/>
    <n v="0"/>
    <n v="0"/>
    <n v="259"/>
    <n v="725562.85763888899"/>
    <n v="458470.58823529416"/>
    <n v="50"/>
    <n v="223"/>
    <n v="50"/>
    <n v="150"/>
    <n v="150"/>
    <n v="0"/>
    <n v="745624.50347222225"/>
    <n v="170774.99999999997"/>
    <n v="495247.49999999994"/>
    <n v="0"/>
    <n v="223"/>
    <n v="725562.85763888899"/>
    <n v="545798.31932773115"/>
    <n v="50"/>
    <n v="173"/>
    <n v="50"/>
    <n v="0"/>
    <n v="0"/>
    <n v="0"/>
    <n v="578444.12152777787"/>
    <n v="170774.99999999997"/>
    <n v="0"/>
    <n v="0"/>
    <n v="173"/>
    <n v="578444.12152777787"/>
    <n v="545798.31932773115"/>
    <n v="50"/>
    <n v="123"/>
    <n v="50"/>
    <n v="200"/>
    <n v="100"/>
    <n v="0"/>
    <n v="420106.49999999994"/>
    <n v="170774.99999999997"/>
    <n v="683099.99999999988"/>
    <n v="0"/>
    <n v="123"/>
    <n v="420106.49999999994"/>
    <n v="545798.31932773115"/>
    <n v="60"/>
    <n v="173"/>
    <n v="60"/>
    <n v="0"/>
    <n v="0"/>
    <n v="0"/>
    <n v="100"/>
    <n v="590881.49999999988"/>
    <n v="204929.99999999997"/>
    <n v="0"/>
    <n v="341549.99999999994"/>
    <n v="173"/>
    <n v="932431.49999999977"/>
    <n v="453277.31092436978"/>
    <n v="50"/>
    <n v="113"/>
    <n v="50"/>
    <n v="0"/>
    <n v="0"/>
    <n v="385951.49999999994"/>
    <n v="170774.99999999997"/>
    <n v="0"/>
    <n v="0"/>
    <n v="113"/>
    <n v="385951.49999999994"/>
    <n v="396617.64705882355"/>
    <n v="60"/>
    <n v="63"/>
    <n v="60"/>
    <n v="0"/>
    <n v="0"/>
    <n v="215176.49999999997"/>
    <n v="204929.99999999997"/>
    <n v="0"/>
    <n v="63"/>
    <n v="215176.49999999997"/>
    <n v="654957.98319327738"/>
    <n v="30"/>
    <n v="3"/>
    <n v="30"/>
    <n v="0"/>
    <m/>
    <n v="10246.499999999998"/>
    <n v="100308.22916666667"/>
    <n v="0"/>
    <n v="3"/>
    <n v="10246.499999999998"/>
    <n v="327478.99159663869"/>
  </r>
  <r>
    <m/>
    <x v="2"/>
    <x v="19"/>
    <x v="52"/>
    <s v="SIMMOLVER-WD"/>
    <x v="522"/>
    <x v="362"/>
    <x v="0"/>
    <x v="0"/>
    <n v="1"/>
    <x v="312"/>
    <n v="123"/>
    <m/>
    <n v="0"/>
    <n v="6715"/>
    <n v="825945"/>
    <n v="0.65"/>
    <n v="710.125"/>
    <n v="14277.310924369749"/>
    <n v="12596.638655462186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3"/>
    <n v="0.61789977282774744"/>
    <n v="14"/>
    <n v="0.51722896288759068"/>
    <n v="12"/>
    <s v=""/>
    <n v="19"/>
    <s v=""/>
    <n v="17"/>
    <s v=""/>
    <n v="26"/>
    <s v=""/>
    <n v="1.04"/>
    <n v="36"/>
    <s v=""/>
    <n v="1.8"/>
    <n v="35"/>
    <s v=""/>
    <n v="1"/>
    <n v="11"/>
    <s v=""/>
    <n v="0.44"/>
    <n v="25"/>
    <n v="270"/>
    <n v="20"/>
    <n v="0"/>
    <n v="0"/>
    <n v="0"/>
    <n v="439832.5"/>
    <n v="181642.5"/>
    <n v="134300"/>
    <n v="0"/>
    <n v="123"/>
    <n v="825945"/>
    <n v="239954.80545159243"/>
    <n v="25"/>
    <n v="259"/>
    <n v="28.5"/>
    <n v="0"/>
    <n v="0"/>
    <n v="0"/>
    <n v="480122.5"/>
    <n v="174242.25"/>
    <n v="191377.5"/>
    <n v="0"/>
    <n v="123"/>
    <n v="825945"/>
    <n v="341935.59776851925"/>
    <n v="45"/>
    <n v="241"/>
    <n v="17"/>
    <n v="0"/>
    <n v="0"/>
    <n v="302200"/>
    <n v="1618315"/>
    <n v="114155"/>
    <n v="0"/>
    <n v="123"/>
    <n v="825945"/>
    <n v="242714.28571428574"/>
    <n v="25"/>
    <n v="225"/>
    <n v="26"/>
    <n v="0"/>
    <n v="0"/>
    <n v="151368.75"/>
    <n v="174590"/>
    <x v="0"/>
    <x v="0"/>
    <n v="123"/>
    <n v="825945"/>
    <n v="371210.0840336135"/>
    <n v="20"/>
    <n v="159"/>
    <n v="20"/>
    <m/>
    <n v="0"/>
    <n v="0"/>
    <n v="1067685"/>
    <n v="13455"/>
    <x v="0"/>
    <n v="0"/>
    <n v="123"/>
    <n v="825945"/>
    <n v="285546.21848739497"/>
    <n v="35"/>
    <n v="158"/>
    <n v="35"/>
    <m/>
    <n v="0"/>
    <n v="0"/>
    <n v="1060970"/>
    <n v="23546.25"/>
    <n v="0"/>
    <n v="0"/>
    <n v="158"/>
    <n v="825945"/>
    <n v="499705.8823529412"/>
    <n v="25"/>
    <n v="134"/>
    <n v="25"/>
    <n v="0"/>
    <n v="0"/>
    <n v="0"/>
    <n v="899810"/>
    <n v="16818.75"/>
    <n v="0"/>
    <n v="0"/>
    <n v="134"/>
    <n v="825945"/>
    <n v="356932.77310924372"/>
    <n v="20"/>
    <n v="109"/>
    <n v="20"/>
    <n v="0"/>
    <n v="0"/>
    <n v="0"/>
    <n v="731935"/>
    <n v="13455"/>
    <n v="0"/>
    <n v="0"/>
    <n v="109"/>
    <n v="731935"/>
    <n v="285546.21848739497"/>
    <n v="30"/>
    <n v="89"/>
    <n v="30"/>
    <n v="0"/>
    <n v="0"/>
    <m/>
    <n v="59874.75"/>
    <n v="20182.5"/>
    <n v="0"/>
    <n v="0"/>
    <n v="89"/>
    <n v="59874.75"/>
    <n v="428319.32773109246"/>
    <n v="30"/>
    <n v="59"/>
    <n v="30"/>
    <n v="0"/>
    <n v="0"/>
    <n v="0"/>
    <m/>
    <n v="39692.25"/>
    <n v="20182.5"/>
    <n v="0"/>
    <n v="0"/>
    <n v="59"/>
    <n v="39692.25"/>
    <n v="377899.15966386558"/>
    <n v="30"/>
    <n v="29"/>
    <n v="30"/>
    <n v="150"/>
    <n v="150"/>
    <n v="19509.75"/>
    <n v="20182.5"/>
    <n v="100912.5"/>
    <n v="100912.5"/>
    <n v="179"/>
    <n v="120422.25"/>
    <n v="396794.11764705885"/>
    <n v="50"/>
    <n v="149"/>
    <n v="50"/>
    <n v="0"/>
    <n v="0"/>
    <n v="100239.75"/>
    <n v="33637.5"/>
    <n v="0"/>
    <n v="149"/>
    <n v="100239.75"/>
    <n v="713865.54621848743"/>
    <n v="18"/>
    <n v="99"/>
    <n v="18"/>
    <n v="0"/>
    <m/>
    <n v="66602.25"/>
    <n v="120870"/>
    <n v="0"/>
    <n v="99"/>
    <n v="66602.25"/>
    <n v="256991.59663865549"/>
  </r>
  <r>
    <s v="Simplit-Organización"/>
    <x v="2"/>
    <x v="19"/>
    <x v="53"/>
    <n v="1660858341796"/>
    <x v="523"/>
    <x v="363"/>
    <x v="0"/>
    <x v="3"/>
    <n v="1"/>
    <x v="313"/>
    <n v="1926"/>
    <m/>
    <n v="0"/>
    <n v="6340.0416459545286"/>
    <n v="12210920.210108422"/>
    <n v="5"/>
    <n v="5462.5"/>
    <n v="16798.319327731093"/>
    <n v="12596.638655462186"/>
    <s v="Ningbo"/>
    <x v="2"/>
    <n v="30"/>
    <n v="100"/>
    <n v="280"/>
    <n v="0.597432372410997"/>
    <n v="225"/>
    <n v="0.62827439761555237"/>
    <n v="353"/>
    <n v="0.62861719009579409"/>
    <n v="214"/>
    <n v="0.62146639571969231"/>
    <n v="318"/>
    <n v="0.60014280186293789"/>
    <n v="576"/>
    <n v="0.60037390813116798"/>
    <n v="331"/>
    <n v="0.59298182547292677"/>
    <n v="442"/>
    <n v="0.60016668124375427"/>
    <n v="387"/>
    <n v="0.60142345664083963"/>
    <n v="498"/>
    <n v="0.5542023718525021"/>
    <n v="132"/>
    <n v="0.61637535221557738"/>
    <n v="148"/>
    <n v="0.56548356234304742"/>
    <n v="155"/>
    <n v="0.59496342615395603"/>
    <n v="192"/>
    <n v="0.63908483494213042"/>
    <n v="205"/>
    <n v="0.61561663796863608"/>
    <n v="97"/>
    <n v="0.62227208742604834"/>
    <n v="0.48499999999999999"/>
    <n v="118"/>
    <n v="0.6017914653073988"/>
    <n v="0.39333333333333331"/>
    <n v="203"/>
    <n v="0.59948180216963398"/>
    <n v="0.36909090909090908"/>
    <n v="62"/>
    <n v="0.59594062041764262"/>
    <n v="0.248"/>
    <n v="250"/>
    <n v="931"/>
    <n v="230"/>
    <n v="600"/>
    <n v="600"/>
    <n v="0"/>
    <n v="4583850.1100251246"/>
    <n v="4817925"/>
    <n v="1458209.5785695417"/>
    <n v="0"/>
    <n v="1926"/>
    <n v="12210920.210108422"/>
    <n v="3246733.9877127325"/>
    <n v="200"/>
    <n v="1017"/>
    <n v="288"/>
    <n v="600"/>
    <n v="300"/>
    <n v="0"/>
    <n v="3740624.571113172"/>
    <n v="5262975"/>
    <n v="1825931.9940349043"/>
    <n v="0"/>
    <n v="1926"/>
    <n v="12210920.210108422"/>
    <n v="4065475.6020055083"/>
    <n v="455"/>
    <n v="794"/>
    <n v="205"/>
    <n v="0"/>
    <n v="0"/>
    <n v="3467192.5770782679"/>
    <n v="5033993.0668878956"/>
    <n v="1299708.5374206784"/>
    <n v="0"/>
    <n v="1926"/>
    <n v="12210920.210108422"/>
    <n v="3443655.4621848739"/>
    <n v="200"/>
    <n v="860"/>
    <n v="97"/>
    <n v="500"/>
    <n v="0"/>
    <n v="4450500"/>
    <n v="614984.03965758928"/>
    <x v="78"/>
    <x v="0"/>
    <n v="1926"/>
    <n v="12210920.210108422"/>
    <n v="1629436.9747899161"/>
    <n v="300"/>
    <n v="2044"/>
    <n v="300"/>
    <m/>
    <n v="800"/>
    <n v="0"/>
    <n v="12959045.124331057"/>
    <n v="1552500"/>
    <x v="0"/>
    <n v="0"/>
    <n v="1926"/>
    <n v="12210920.210108422"/>
    <n v="5039495.7983193276"/>
    <n v="550"/>
    <n v="2129"/>
    <n v="203"/>
    <m/>
    <n v="500"/>
    <n v="0"/>
    <n v="13497948.664237192"/>
    <n v="1050525"/>
    <n v="0"/>
    <n v="0"/>
    <n v="2129"/>
    <n v="12210920.210108422"/>
    <n v="3410058.823529412"/>
    <n v="250"/>
    <n v="1988"/>
    <n v="250"/>
    <n v="850"/>
    <n v="850"/>
    <n v="0"/>
    <n v="12604002.792157603"/>
    <n v="1293750"/>
    <n v="4252125"/>
    <n v="0"/>
    <n v="1988"/>
    <n v="12210920.210108422"/>
    <n v="4199579.8319327729"/>
    <n v="300"/>
    <n v="1738"/>
    <n v="300"/>
    <n v="0"/>
    <n v="0"/>
    <n v="0"/>
    <n v="11018992.38066897"/>
    <n v="1552500"/>
    <n v="0"/>
    <n v="0"/>
    <n v="1738"/>
    <n v="11018992.38066897"/>
    <n v="5039495.7983193276"/>
    <n v="300"/>
    <n v="1438"/>
    <n v="300"/>
    <n v="0"/>
    <n v="0"/>
    <m/>
    <n v="7441650"/>
    <n v="1552500"/>
    <n v="0"/>
    <n v="0"/>
    <n v="1438"/>
    <n v="7441650"/>
    <n v="5039495.7983193276"/>
    <n v="300"/>
    <n v="1138"/>
    <n v="300"/>
    <n v="0"/>
    <n v="0"/>
    <n v="0"/>
    <m/>
    <n v="5889150"/>
    <n v="1552500"/>
    <n v="0"/>
    <n v="0"/>
    <n v="1138"/>
    <n v="5889150"/>
    <n v="3778991.5966386558"/>
    <n v="150"/>
    <n v="838"/>
    <n v="150"/>
    <n v="0"/>
    <n v="0"/>
    <n v="4336650"/>
    <n v="776250"/>
    <n v="0"/>
    <n v="0"/>
    <n v="838"/>
    <n v="4336650"/>
    <n v="1983970.5882352944"/>
    <n v="150"/>
    <n v="688"/>
    <n v="150"/>
    <n v="0"/>
    <n v="0"/>
    <n v="3560400"/>
    <n v="776250"/>
    <n v="0"/>
    <n v="688"/>
    <n v="3560400"/>
    <n v="2519747.8991596638"/>
    <n v="90"/>
    <n v="538"/>
    <n v="90"/>
    <n v="0"/>
    <m/>
    <n v="2784150"/>
    <n v="570603.74813590758"/>
    <n v="0"/>
    <n v="538"/>
    <n v="2784150"/>
    <n v="1511848.7394957985"/>
  </r>
  <r>
    <s v="Simplit-Organización"/>
    <x v="2"/>
    <x v="19"/>
    <x v="53"/>
    <n v="1660858356962"/>
    <x v="524"/>
    <x v="364"/>
    <x v="0"/>
    <x v="3"/>
    <n v="1"/>
    <x v="314"/>
    <n v="1228"/>
    <m/>
    <n v="0"/>
    <n v="6049.2350486787209"/>
    <n v="7428460.6397774694"/>
    <n v="5"/>
    <n v="5462.5"/>
    <n v="16798.319327731093"/>
    <n v="12596.638655462186"/>
    <s v="Ningbo"/>
    <x v="2"/>
    <n v="30"/>
    <n v="100"/>
    <n v="214"/>
    <n v="0.60401469072256198"/>
    <n v="126"/>
    <n v="0.58440283813220784"/>
    <n v="212"/>
    <n v="0.6391616064667317"/>
    <n v="124"/>
    <n v="0.64018355624230094"/>
    <n v="213"/>
    <n v="0.6017962136579339"/>
    <n v="311"/>
    <n v="0.60007060980553073"/>
    <n v="153"/>
    <n v="0.61597696947748815"/>
    <n v="183"/>
    <n v="0.61272398607191925"/>
    <n v="149"/>
    <n v="0.61860291266810252"/>
    <n v="347"/>
    <n v="0.55875294881349069"/>
    <n v="182"/>
    <n v="0.59590617742725238"/>
    <n v="117"/>
    <n v="0.59963332882040954"/>
    <n v="74"/>
    <n v="0.59928422672350001"/>
    <n v="92"/>
    <n v="0.62058479663042476"/>
    <n v="66"/>
    <n v="0.60292797718458646"/>
    <n v="58"/>
    <n v="0.64004695410239554"/>
    <n v="0.57999999999999996"/>
    <n v="93"/>
    <n v="0.60148084045073325"/>
    <n v="0.46500000000000002"/>
    <n v="90"/>
    <n v="0.60390924593758166"/>
    <n v="0.29032258064516131"/>
    <n v="27"/>
    <n v="0.62037523729959199"/>
    <n v="0.18"/>
    <n v="200"/>
    <n v="691"/>
    <n v="100"/>
    <n v="250"/>
    <n v="250"/>
    <n v="0"/>
    <n v="1838967.4547983313"/>
    <n v="3575925"/>
    <n v="604923.50486787211"/>
    <n v="0"/>
    <n v="1228"/>
    <n v="7428460.6397774694"/>
    <n v="1411623.4729185794"/>
    <n v="120"/>
    <n v="718"/>
    <n v="138"/>
    <n v="200"/>
    <n v="200"/>
    <n v="0"/>
    <n v="1584899.5827538248"/>
    <n v="3715650"/>
    <n v="834794.43671766343"/>
    <n v="0"/>
    <n v="1228"/>
    <n v="7428460.6397774694"/>
    <n v="1948040.3926276395"/>
    <n v="200"/>
    <n v="619"/>
    <n v="66"/>
    <n v="0"/>
    <n v="0"/>
    <n v="1785105.1460361613"/>
    <n v="3744476.4951321282"/>
    <n v="399249.5132127956"/>
    <n v="0"/>
    <n v="1228"/>
    <n v="7428460.6397774694"/>
    <n v="1108689.0756302522"/>
    <n v="100"/>
    <n v="541"/>
    <n v="58"/>
    <n v="400"/>
    <n v="0"/>
    <n v="2799675"/>
    <n v="350855.6328233658"/>
    <x v="79"/>
    <x v="0"/>
    <n v="1228"/>
    <n v="7428460.6397774694"/>
    <n v="974302.52100840339"/>
    <n v="200"/>
    <n v="1321"/>
    <n v="200"/>
    <m/>
    <n v="400"/>
    <n v="0"/>
    <n v="7991039.4993045907"/>
    <n v="1035000"/>
    <x v="0"/>
    <n v="0"/>
    <n v="1228"/>
    <n v="7428460.6397774694"/>
    <n v="3359663.8655462186"/>
    <n v="310"/>
    <n v="1318"/>
    <n v="90"/>
    <m/>
    <n v="400"/>
    <n v="0"/>
    <n v="7972891.7941585537"/>
    <n v="465750"/>
    <n v="0"/>
    <n v="0"/>
    <n v="1318"/>
    <n v="7428460.6397774694"/>
    <n v="1511848.7394957985"/>
    <n v="150"/>
    <n v="1255"/>
    <n v="150"/>
    <n v="500"/>
    <n v="500"/>
    <n v="0"/>
    <n v="7591789.9860917944"/>
    <n v="776250"/>
    <n v="2501250"/>
    <n v="0"/>
    <n v="1255"/>
    <n v="7428460.6397774694"/>
    <n v="2519747.8991596638"/>
    <n v="150"/>
    <n v="1105"/>
    <n v="150"/>
    <n v="0"/>
    <n v="0"/>
    <n v="0"/>
    <n v="6684404.728789987"/>
    <n v="776250"/>
    <n v="0"/>
    <n v="0"/>
    <n v="1105"/>
    <n v="6684404.728789987"/>
    <n v="2519747.8991596638"/>
    <n v="150"/>
    <n v="955"/>
    <n v="150"/>
    <n v="0"/>
    <n v="0"/>
    <m/>
    <n v="4942125"/>
    <n v="776250"/>
    <n v="0"/>
    <n v="0"/>
    <n v="955"/>
    <n v="4942125"/>
    <n v="2519747.8991596638"/>
    <n v="200"/>
    <n v="805"/>
    <n v="200"/>
    <n v="0"/>
    <n v="0"/>
    <n v="0"/>
    <m/>
    <n v="4165875"/>
    <n v="1035000"/>
    <n v="0"/>
    <n v="0"/>
    <n v="805"/>
    <n v="4165875"/>
    <n v="2519327.7310924372"/>
    <n v="150"/>
    <n v="605"/>
    <n v="150"/>
    <n v="0"/>
    <n v="0"/>
    <n v="3130875"/>
    <n v="776250"/>
    <n v="0"/>
    <n v="0"/>
    <n v="605"/>
    <n v="3130875"/>
    <n v="1983970.5882352944"/>
    <n v="150"/>
    <n v="455"/>
    <n v="150"/>
    <n v="0"/>
    <n v="0"/>
    <n v="2354625"/>
    <n v="776250"/>
    <n v="0"/>
    <n v="455"/>
    <n v="2354625"/>
    <n v="2519747.8991596638"/>
    <n v="90"/>
    <n v="305"/>
    <n v="90"/>
    <n v="0"/>
    <m/>
    <n v="1578375"/>
    <n v="544431.15438108484"/>
    <n v="0"/>
    <n v="305"/>
    <n v="1578375"/>
    <n v="1511848.7394957985"/>
  </r>
  <r>
    <s v="Simplit-Organización"/>
    <x v="2"/>
    <x v="19"/>
    <x v="53"/>
    <n v="68540048936286"/>
    <x v="525"/>
    <x v="365"/>
    <x v="0"/>
    <x v="3"/>
    <n v="1"/>
    <x v="315"/>
    <n v="1101"/>
    <m/>
    <n v="0"/>
    <n v="5594.78082462774"/>
    <n v="6159853.6879151417"/>
    <n v="3.9000000000000004"/>
    <n v="4260.75"/>
    <n v="12596.638655462186"/>
    <n v="10915.966386554623"/>
    <s v="Ningbo"/>
    <x v="2"/>
    <n v="30"/>
    <n v="100"/>
    <n v="336"/>
    <n v="0.65578283234620982"/>
    <n v="187"/>
    <n v="0.7279778177306514"/>
    <n v="192"/>
    <n v="0.62222003700145356"/>
    <n v="220"/>
    <n v="0.59611861579462688"/>
    <n v="305"/>
    <n v="0.59454255420837909"/>
    <n v="278"/>
    <n v="0.53350548449985302"/>
    <n v="204"/>
    <n v="0.60877436652145189"/>
    <n v="246"/>
    <n v="0.61436592662027723"/>
    <n v="30"/>
    <n v="0.6224804603425218"/>
    <n v="374"/>
    <n v="0.53655411235533956"/>
    <n v="287"/>
    <n v="0.56907956470687604"/>
    <n v="208"/>
    <n v="0.57911124357443167"/>
    <n v="136"/>
    <n v="0.64509016437465172"/>
    <n v="252"/>
    <n v="0.73440660154670967"/>
    <n v="192"/>
    <n v="0.61358238021302614"/>
    <n v="130"/>
    <n v="0.59734339772477762"/>
    <n v="0.59090909090909094"/>
    <n v="190"/>
    <n v="0.59243651605279835"/>
    <n v="0.6785714285714286"/>
    <n v="176"/>
    <n v="0.53421078447004688"/>
    <n v="0.58666666666666667"/>
    <n v="52"/>
    <n v="0.61996282933966562"/>
    <n v="0.34666666666666668"/>
    <n v="280"/>
    <n v="439"/>
    <n v="160"/>
    <n v="300"/>
    <n v="300"/>
    <n v="0"/>
    <n v="4084190.0019782498"/>
    <n v="1772023.5"/>
    <n v="895164.93194043846"/>
    <n v="0"/>
    <n v="1101"/>
    <n v="6159853.6879151417"/>
    <n v="1693665.7015747479"/>
    <n v="190"/>
    <n v="273"/>
    <n v="378"/>
    <n v="600"/>
    <n v="600"/>
    <n v="0"/>
    <n v="3916346.5772394175"/>
    <n v="1101964.5"/>
    <n v="2114827.1517092856"/>
    <n v="0"/>
    <n v="1101"/>
    <n v="6159853.6879151417"/>
    <n v="4001285.2199703418"/>
    <n v="300"/>
    <n v="528"/>
    <n v="192"/>
    <n v="0"/>
    <n v="0"/>
    <n v="2931739.4255301319"/>
    <n v="2954044.2754034465"/>
    <n v="1074197.918328526"/>
    <n v="0"/>
    <n v="1101"/>
    <n v="6159853.6879151417"/>
    <n v="2418554.6218487397"/>
    <n v="220"/>
    <n v="404"/>
    <n v="130"/>
    <n v="500"/>
    <n v="0"/>
    <n v="1630746"/>
    <n v="727321.50720160617"/>
    <x v="80"/>
    <x v="0"/>
    <n v="1101"/>
    <n v="6159853.6879151417"/>
    <n v="1637563.0252100842"/>
    <n v="280"/>
    <n v="1291"/>
    <n v="280"/>
    <m/>
    <n v="500"/>
    <n v="0"/>
    <n v="7222862.0445944127"/>
    <n v="1130220"/>
    <x v="0"/>
    <n v="0"/>
    <n v="1101"/>
    <n v="6159853.6879151417"/>
    <n v="3527058.823529412"/>
    <n v="300"/>
    <n v="1277"/>
    <n v="176"/>
    <m/>
    <n v="500"/>
    <n v="0"/>
    <n v="7144535.1130496236"/>
    <n v="710424"/>
    <n v="0"/>
    <n v="0"/>
    <n v="1277"/>
    <n v="6159853.6879151417"/>
    <n v="2217008.4033613447"/>
    <n v="150"/>
    <n v="1153"/>
    <n v="150"/>
    <n v="650"/>
    <n v="650"/>
    <n v="0"/>
    <n v="6450782.2907957844"/>
    <n v="605475"/>
    <n v="2536267.5"/>
    <n v="0"/>
    <n v="1153"/>
    <n v="6159853.6879151417"/>
    <n v="1889495.7983193279"/>
    <n v="200"/>
    <n v="1003"/>
    <n v="200"/>
    <n v="0"/>
    <n v="0"/>
    <n v="0"/>
    <n v="5611565.1671016235"/>
    <n v="807300"/>
    <n v="0"/>
    <n v="0"/>
    <n v="1003"/>
    <n v="5611565.1671016235"/>
    <n v="2519327.7310924372"/>
    <n v="150"/>
    <n v="803"/>
    <n v="150"/>
    <n v="0"/>
    <n v="0"/>
    <m/>
    <n v="3241309.5"/>
    <n v="605475"/>
    <n v="0"/>
    <n v="0"/>
    <n v="803"/>
    <n v="3241309.5"/>
    <n v="1889495.7983193279"/>
    <n v="250"/>
    <n v="653"/>
    <n v="250"/>
    <n v="0"/>
    <n v="0"/>
    <n v="0"/>
    <m/>
    <n v="2635834.5"/>
    <n v="1009125"/>
    <n v="0"/>
    <n v="0"/>
    <n v="653"/>
    <n v="2635834.5"/>
    <n v="2728991.5966386558"/>
    <n v="200"/>
    <n v="403"/>
    <n v="200"/>
    <n v="0"/>
    <n v="0"/>
    <n v="1626709.5"/>
    <n v="807300"/>
    <n v="0"/>
    <n v="0"/>
    <n v="403"/>
    <n v="1626709.5"/>
    <n v="2292352.9411764708"/>
    <n v="200"/>
    <n v="203"/>
    <n v="200"/>
    <n v="0"/>
    <n v="0"/>
    <n v="819409.5"/>
    <n v="807300"/>
    <n v="0"/>
    <n v="203"/>
    <n v="819409.5"/>
    <n v="2519327.7310924372"/>
    <n v="120"/>
    <n v="3"/>
    <n v="120"/>
    <n v="0"/>
    <m/>
    <n v="12109.5"/>
    <n v="671373.69895532879"/>
    <n v="0"/>
    <n v="3"/>
    <n v="12109.5"/>
    <n v="1511596.6386554623"/>
  </r>
  <r>
    <s v="Simplit-Organización"/>
    <x v="2"/>
    <x v="19"/>
    <x v="53"/>
    <n v="68540051413139"/>
    <x v="526"/>
    <x v="366"/>
    <x v="0"/>
    <x v="3"/>
    <n v="1"/>
    <x v="316"/>
    <n v="655"/>
    <m/>
    <n v="0"/>
    <n v="5766.1874770215918"/>
    <n v="3776852.7974491427"/>
    <n v="3.9000000000000004"/>
    <n v="4260.75"/>
    <n v="12596.638655462186"/>
    <n v="10915.966386554623"/>
    <s v="Ningbo"/>
    <x v="2"/>
    <n v="30"/>
    <n v="100"/>
    <n v="88"/>
    <n v="0.69366610952732233"/>
    <n v="125"/>
    <n v="0.66532212011286185"/>
    <n v="126"/>
    <n v="0.64841747379445114"/>
    <n v="80"/>
    <n v="0.64180377847601366"/>
    <n v="154"/>
    <n v="0.6269529636996698"/>
    <n v="215"/>
    <n v="0.61765255470523239"/>
    <n v="172"/>
    <n v="0.60282638308243741"/>
    <n v="166"/>
    <n v="0.60960166449295006"/>
    <n v="126"/>
    <n v="0.609219962252738"/>
    <n v="229"/>
    <n v="0.54266507091765348"/>
    <n v="122"/>
    <n v="0.55652124244664747"/>
    <n v="88"/>
    <n v="0.51770946824994979"/>
    <n v="140"/>
    <n v="0.68378070237693778"/>
    <n v="149"/>
    <n v="0.68615158058510339"/>
    <n v="174"/>
    <n v="0.62574411153670928"/>
    <n v="79"/>
    <n v="0.64187680621771048"/>
    <n v="0.87777777777777777"/>
    <n v="174"/>
    <n v="0.6262677924845037"/>
    <n v="1.1599999999999999"/>
    <n v="189"/>
    <n v="0.61596146681144959"/>
    <n v="0.9"/>
    <n v="60"/>
    <n v="0.60785774199783826"/>
    <n v="0.46153846153846156"/>
    <n v="90"/>
    <n v="344"/>
    <n v="140"/>
    <n v="0"/>
    <n v="0"/>
    <n v="0"/>
    <n v="3099325.7688991055"/>
    <n v="1388556"/>
    <n v="807266.24678302289"/>
    <n v="0"/>
    <n v="655"/>
    <n v="3776852.7974491427"/>
    <n v="1481957.4888779044"/>
    <n v="120"/>
    <n v="437"/>
    <n v="223.5"/>
    <n v="300"/>
    <n v="300"/>
    <n v="0"/>
    <n v="2747588.3328007883"/>
    <n v="1763950.5"/>
    <n v="1288742.9011143257"/>
    <n v="0"/>
    <n v="655"/>
    <n v="3776852.7974491427"/>
    <n v="2365839.2768872259"/>
    <n v="225"/>
    <n v="344"/>
    <n v="174"/>
    <n v="0"/>
    <n v="0"/>
    <n v="2064320.4316864628"/>
    <n v="1983568.4920954276"/>
    <n v="1003316.621001757"/>
    <n v="0"/>
    <n v="655"/>
    <n v="3776852.7974491427"/>
    <n v="2191815.1260504201"/>
    <n v="90"/>
    <n v="178"/>
    <n v="79"/>
    <n v="450"/>
    <n v="0"/>
    <n v="718497"/>
    <n v="455528.81068470574"/>
    <x v="81"/>
    <x v="0"/>
    <n v="655"/>
    <n v="3776852.7974491427"/>
    <n v="995134.45378151268"/>
    <n v="150"/>
    <n v="829"/>
    <n v="150"/>
    <m/>
    <n v="450"/>
    <n v="0"/>
    <n v="4780169.4184508994"/>
    <n v="605475"/>
    <x v="0"/>
    <n v="0"/>
    <n v="655"/>
    <n v="3776852.7974491427"/>
    <n v="1889495.7983193279"/>
    <n v="210"/>
    <n v="844"/>
    <n v="189"/>
    <m/>
    <n v="452"/>
    <n v="0"/>
    <n v="4866662.2306062235"/>
    <n v="762898.5"/>
    <n v="0"/>
    <n v="0"/>
    <n v="844"/>
    <n v="3776852.7974491427"/>
    <n v="2380764.7058823532"/>
    <n v="130"/>
    <n v="715"/>
    <n v="130"/>
    <n v="450"/>
    <n v="450"/>
    <n v="0"/>
    <n v="4122824.0460704383"/>
    <n v="524745"/>
    <n v="1755877.5000000002"/>
    <n v="0"/>
    <n v="715"/>
    <n v="3776852.7974491427"/>
    <n v="1637563.0252100842"/>
    <n v="150"/>
    <n v="585"/>
    <n v="150"/>
    <n v="0"/>
    <n v="0"/>
    <n v="0"/>
    <n v="3373219.6740576313"/>
    <n v="605475"/>
    <n v="0"/>
    <n v="0"/>
    <n v="585"/>
    <n v="3373219.6740576313"/>
    <n v="1889495.7983193279"/>
    <n v="100"/>
    <n v="435"/>
    <n v="100"/>
    <n v="0"/>
    <n v="0"/>
    <m/>
    <n v="1755877.5"/>
    <n v="403650"/>
    <n v="0"/>
    <n v="0"/>
    <n v="435"/>
    <n v="1755877.5"/>
    <n v="1259663.8655462186"/>
    <n v="200"/>
    <n v="335"/>
    <n v="200"/>
    <n v="0"/>
    <n v="0"/>
    <n v="0"/>
    <m/>
    <n v="1352227.5"/>
    <n v="807300"/>
    <n v="0"/>
    <n v="0"/>
    <n v="335"/>
    <n v="1352227.5"/>
    <n v="2183193.2773109246"/>
    <n v="100"/>
    <n v="135"/>
    <n v="100"/>
    <n v="0"/>
    <n v="0"/>
    <n v="544927.5"/>
    <n v="403650"/>
    <n v="0"/>
    <n v="0"/>
    <n v="135"/>
    <n v="544927.5"/>
    <n v="1146176.4705882354"/>
    <n v="100"/>
    <n v="35"/>
    <n v="100"/>
    <n v="0"/>
    <n v="0"/>
    <n v="141277.5"/>
    <n v="403650"/>
    <n v="0"/>
    <n v="35"/>
    <n v="141277.5"/>
    <n v="1259663.8655462186"/>
    <n v="60"/>
    <n v="0"/>
    <n v="60"/>
    <n v="0"/>
    <m/>
    <n v="0"/>
    <n v="345971.2486212955"/>
    <n v="0"/>
    <n v="0"/>
    <n v="0"/>
    <n v="755798.31932773115"/>
  </r>
  <r>
    <m/>
    <x v="2"/>
    <x v="19"/>
    <x v="53"/>
    <s v="SIMSECBIL"/>
    <x v="527"/>
    <x v="367"/>
    <x v="0"/>
    <x v="4"/>
    <n v="1"/>
    <x v="317"/>
    <n v="341"/>
    <m/>
    <n v="0"/>
    <n v="5857"/>
    <n v="1997237"/>
    <n v="5.2"/>
    <n v="5025.5"/>
    <n v="14277.310924369749"/>
    <n v="10915.966386554623"/>
    <s v="Ningbo"/>
    <x v="2"/>
    <n v="30"/>
    <n v="300"/>
    <n v="0"/>
    <s v=""/>
    <n v="0"/>
    <s v=""/>
    <n v="0"/>
    <s v=""/>
    <n v="0"/>
    <s v=""/>
    <n v="0"/>
    <s v=""/>
    <n v="0"/>
    <s v=""/>
    <n v="0"/>
    <s v=""/>
    <n v="0"/>
    <s v=""/>
    <n v="5"/>
    <n v="0.67307134871009155"/>
    <n v="26"/>
    <n v="0.59784524763472746"/>
    <n v="57"/>
    <n v="0.59603767658536189"/>
    <n v="36"/>
    <n v="0.61016554420499369"/>
    <n v="31"/>
    <s v=""/>
    <n v="56"/>
    <s v=""/>
    <n v="89"/>
    <s v=""/>
    <n v="93"/>
    <s v=""/>
    <n v="1.55"/>
    <n v="54"/>
    <s v=""/>
    <n v="0.98181818181818181"/>
    <n v="105"/>
    <s v=""/>
    <n v="0.875"/>
    <n v="27"/>
    <s v=""/>
    <n v="0.27"/>
    <n v="60"/>
    <n v="348"/>
    <n v="50"/>
    <n v="0"/>
    <n v="0"/>
    <n v="0"/>
    <n v="1306111"/>
    <n v="1872936"/>
    <n v="292850"/>
    <n v="0"/>
    <n v="341"/>
    <n v="1997237"/>
    <n v="599887.01362898108"/>
    <n v="50"/>
    <n v="418"/>
    <n v="84"/>
    <n v="250"/>
    <n v="250"/>
    <n v="0"/>
    <n v="1557962"/>
    <n v="2249676"/>
    <n v="491988"/>
    <n v="0"/>
    <n v="341"/>
    <n v="1997237"/>
    <n v="1007810.1828966882"/>
    <n v="120"/>
    <n v="355"/>
    <n v="89"/>
    <n v="0"/>
    <n v="0"/>
    <n v="1361984"/>
    <n v="2079235"/>
    <n v="521273"/>
    <n v="0"/>
    <n v="341"/>
    <n v="1997237"/>
    <n v="1270680.6722689078"/>
    <n v="60"/>
    <n v="229"/>
    <n v="93"/>
    <n v="0"/>
    <n v="0"/>
    <n v="1232478"/>
    <n v="544701"/>
    <x v="0"/>
    <x v="0"/>
    <n v="341"/>
    <n v="1997237"/>
    <n v="1327789.9159663867"/>
    <n v="55"/>
    <n v="395"/>
    <n v="55"/>
    <m/>
    <n v="0"/>
    <n v="0"/>
    <n v="2313515"/>
    <n v="296010"/>
    <x v="0"/>
    <n v="0"/>
    <n v="341"/>
    <n v="1997237"/>
    <n v="785252.10084033618"/>
    <n v="120"/>
    <n v="446"/>
    <n v="105"/>
    <m/>
    <n v="146"/>
    <n v="0"/>
    <n v="2612222"/>
    <n v="565110"/>
    <n v="0"/>
    <n v="0"/>
    <n v="446"/>
    <n v="1997237"/>
    <n v="1499117.6470588236"/>
    <n v="100"/>
    <n v="368"/>
    <n v="100"/>
    <n v="200"/>
    <n v="200"/>
    <n v="0"/>
    <n v="2155376"/>
    <n v="538200"/>
    <n v="1040519.9999999999"/>
    <n v="0"/>
    <n v="368"/>
    <n v="1997237"/>
    <n v="1427731.0924369749"/>
    <n v="51"/>
    <n v="268"/>
    <n v="51"/>
    <n v="0"/>
    <n v="0"/>
    <n v="0"/>
    <n v="1569676"/>
    <n v="274482"/>
    <n v="0"/>
    <n v="0"/>
    <n v="268"/>
    <n v="1569676"/>
    <n v="728142.85714285716"/>
    <n v="40"/>
    <n v="217"/>
    <n v="40"/>
    <n v="0"/>
    <n v="0"/>
    <m/>
    <n v="1167894"/>
    <n v="215280"/>
    <n v="0"/>
    <n v="0"/>
    <n v="217"/>
    <n v="1167894"/>
    <n v="571092.43697478995"/>
    <n v="80"/>
    <n v="177"/>
    <n v="80"/>
    <n v="0"/>
    <n v="0"/>
    <n v="0"/>
    <m/>
    <n v="952614"/>
    <n v="430560"/>
    <n v="0"/>
    <n v="0"/>
    <n v="177"/>
    <n v="952614"/>
    <n v="873277.31092436984"/>
    <n v="60"/>
    <n v="97"/>
    <n v="60"/>
    <n v="0"/>
    <n v="0"/>
    <n v="522054"/>
    <n v="322920"/>
    <n v="0"/>
    <n v="0"/>
    <n v="97"/>
    <n v="522054"/>
    <n v="687705.88235294132"/>
    <n v="60"/>
    <n v="37"/>
    <n v="60"/>
    <n v="0"/>
    <n v="0"/>
    <n v="199134"/>
    <n v="322920"/>
    <n v="0"/>
    <n v="37"/>
    <n v="199134"/>
    <n v="856638.65546218492"/>
    <n v="36"/>
    <n v="0"/>
    <n v="36"/>
    <n v="0"/>
    <m/>
    <n v="0"/>
    <n v="210852"/>
    <n v="0"/>
    <n v="0"/>
    <n v="0"/>
    <n v="513983.19327731099"/>
  </r>
  <r>
    <m/>
    <x v="2"/>
    <x v="19"/>
    <x v="53"/>
    <s v="SIMSECBIL"/>
    <x v="528"/>
    <x v="367"/>
    <x v="0"/>
    <x v="4"/>
    <n v="1"/>
    <x v="318"/>
    <n v="351"/>
    <m/>
    <n v="0"/>
    <n v="5868"/>
    <n v="2059668"/>
    <n v="5.2"/>
    <n v="5025.5"/>
    <n v="14277.310924369749"/>
    <n v="10915.966386554623"/>
    <s v="Ningbo"/>
    <x v="2"/>
    <n v="30"/>
    <n v="300"/>
    <n v="0"/>
    <s v=""/>
    <n v="0"/>
    <s v=""/>
    <n v="0"/>
    <s v=""/>
    <n v="0"/>
    <s v=""/>
    <n v="0"/>
    <s v=""/>
    <n v="0"/>
    <s v=""/>
    <n v="0"/>
    <s v=""/>
    <n v="0"/>
    <s v=""/>
    <n v="4"/>
    <n v="0.66580242340864593"/>
    <n v="30"/>
    <n v="0.59070841900205739"/>
    <n v="21"/>
    <n v="0.60189044281847837"/>
    <n v="36"/>
    <n v="0.60576967647628388"/>
    <n v="34"/>
    <s v=""/>
    <n v="59"/>
    <s v=""/>
    <n v="68"/>
    <s v=""/>
    <n v="46"/>
    <s v=""/>
    <n v="0.92"/>
    <n v="106"/>
    <s v=""/>
    <n v="2.12"/>
    <n v="75"/>
    <s v=""/>
    <n v="0.75"/>
    <n v="22"/>
    <s v=""/>
    <n v="0.24444444444444444"/>
    <n v="50"/>
    <n v="501"/>
    <n v="50"/>
    <n v="0"/>
    <n v="0"/>
    <n v="0"/>
    <n v="1211742"/>
    <n v="2696382"/>
    <n v="293400"/>
    <n v="0"/>
    <n v="351"/>
    <n v="2059668"/>
    <n v="599887.01362898108"/>
    <n v="40"/>
    <n v="614"/>
    <n v="88.5"/>
    <n v="250"/>
    <n v="250"/>
    <n v="0"/>
    <n v="1188270"/>
    <n v="3304548"/>
    <n v="519318"/>
    <n v="0"/>
    <n v="351"/>
    <n v="2059668"/>
    <n v="1061800.0141232966"/>
    <n v="90"/>
    <n v="551"/>
    <n v="68"/>
    <n v="0"/>
    <n v="0"/>
    <n v="938052"/>
    <n v="3233268"/>
    <n v="399024"/>
    <n v="0"/>
    <n v="351"/>
    <n v="2059668"/>
    <n v="970857.14285714296"/>
    <n v="50"/>
    <n v="480"/>
    <n v="46"/>
    <n v="0"/>
    <n v="0"/>
    <n v="2583360"/>
    <n v="269928"/>
    <x v="0"/>
    <x v="0"/>
    <n v="351"/>
    <n v="2059668"/>
    <n v="656756.30252100842"/>
    <n v="50"/>
    <n v="457"/>
    <n v="50"/>
    <m/>
    <n v="0"/>
    <n v="0"/>
    <n v="2681676"/>
    <n v="269100"/>
    <x v="0"/>
    <n v="0"/>
    <n v="351"/>
    <n v="2059668"/>
    <n v="713865.54621848743"/>
    <n v="100"/>
    <n v="426"/>
    <n v="75"/>
    <m/>
    <n v="0"/>
    <n v="0"/>
    <n v="2499768"/>
    <n v="403650"/>
    <n v="0"/>
    <n v="0"/>
    <n v="426"/>
    <n v="2059668"/>
    <n v="1070798.3193277312"/>
    <n v="90"/>
    <n v="373"/>
    <n v="90"/>
    <n v="0"/>
    <n v="98"/>
    <n v="0"/>
    <n v="2188764"/>
    <n v="484380"/>
    <n v="0"/>
    <n v="0"/>
    <n v="373"/>
    <n v="2059668"/>
    <n v="1284957.9831932774"/>
    <n v="47"/>
    <n v="283"/>
    <n v="47"/>
    <n v="0"/>
    <n v="0"/>
    <n v="0"/>
    <n v="1660644"/>
    <n v="252954"/>
    <n v="0"/>
    <n v="0"/>
    <n v="283"/>
    <n v="1660644"/>
    <n v="671033.61344537826"/>
    <n v="30"/>
    <n v="236"/>
    <n v="30"/>
    <n v="0"/>
    <n v="0"/>
    <m/>
    <n v="1270152"/>
    <n v="161460"/>
    <n v="0"/>
    <n v="0"/>
    <n v="236"/>
    <n v="1270152"/>
    <n v="428319.32773109246"/>
    <n v="100"/>
    <n v="206"/>
    <n v="100"/>
    <n v="0"/>
    <n v="0"/>
    <n v="0"/>
    <m/>
    <n v="1108692"/>
    <n v="538200"/>
    <n v="0"/>
    <n v="0"/>
    <n v="206"/>
    <n v="1108692"/>
    <n v="1091596.6386554623"/>
    <n v="60"/>
    <n v="106"/>
    <n v="60"/>
    <n v="0"/>
    <n v="0"/>
    <n v="570492"/>
    <n v="322920"/>
    <n v="0"/>
    <n v="0"/>
    <n v="106"/>
    <n v="570492"/>
    <n v="687705.88235294132"/>
    <n v="60"/>
    <n v="46"/>
    <n v="60"/>
    <n v="0"/>
    <n v="0"/>
    <n v="247572"/>
    <n v="322920"/>
    <n v="0"/>
    <n v="46"/>
    <n v="247572"/>
    <n v="856638.65546218492"/>
    <n v="36"/>
    <n v="0"/>
    <n v="36"/>
    <n v="0"/>
    <m/>
    <n v="0"/>
    <n v="211248"/>
    <n v="0"/>
    <n v="0"/>
    <n v="0"/>
    <n v="513983.19327731099"/>
  </r>
  <r>
    <m/>
    <x v="2"/>
    <x v="19"/>
    <x v="53"/>
    <s v="SIMSECVAL"/>
    <x v="529"/>
    <x v="368"/>
    <x v="0"/>
    <x v="3"/>
    <n v="1.3"/>
    <x v="319"/>
    <n v="579"/>
    <m/>
    <n v="0"/>
    <n v="9073"/>
    <n v="5253267"/>
    <n v="6.6"/>
    <n v="7210.4999999999991"/>
    <n v="21000"/>
    <n v="19319.327731092439"/>
    <s v="Ningbo"/>
    <x v="2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9"/>
    <n v="0.552145225697384"/>
    <n v="120"/>
    <n v="0.55448900686830715"/>
    <n v="145"/>
    <n v="0.54276809624518929"/>
    <n v="30"/>
    <n v="0.57109605695530818"/>
    <n v="99"/>
    <s v=""/>
    <n v="137"/>
    <s v=""/>
    <n v="155"/>
    <s v=""/>
    <n v="117"/>
    <s v=""/>
    <n v="0.78"/>
    <n v="178"/>
    <s v=""/>
    <n v="1.4833333333333334"/>
    <n v="333"/>
    <s v=""/>
    <n v="1.665"/>
    <n v="78"/>
    <s v=""/>
    <n v="0.52"/>
    <n v="150"/>
    <n v="471"/>
    <n v="120"/>
    <n v="0"/>
    <n v="0"/>
    <n v="0"/>
    <n v="4359576.5"/>
    <n v="3217400.9999999995"/>
    <n v="1088760"/>
    <n v="0"/>
    <n v="579"/>
    <n v="5253267"/>
    <n v="2117647.0588235296"/>
    <n v="150"/>
    <n v="404"/>
    <n v="205.5"/>
    <n v="350"/>
    <n v="350"/>
    <n v="0"/>
    <n v="4332357.5"/>
    <n v="2759723.9999999995"/>
    <n v="1864501.5"/>
    <n v="0"/>
    <n v="579"/>
    <n v="5253267"/>
    <n v="3626470.5882352944"/>
    <n v="200"/>
    <n v="411"/>
    <n v="155"/>
    <n v="0"/>
    <n v="0"/>
    <n v="3533492"/>
    <n v="3729003"/>
    <n v="1406315"/>
    <n v="0"/>
    <n v="579"/>
    <n v="5253267"/>
    <n v="3255000"/>
    <n v="150"/>
    <n v="405"/>
    <n v="117"/>
    <n v="450"/>
    <n v="0"/>
    <n v="2766554.9999999995"/>
    <n v="1061541"/>
    <x v="82"/>
    <x v="0"/>
    <n v="579"/>
    <n v="5253267"/>
    <n v="2457000"/>
    <n v="120"/>
    <n v="757"/>
    <n v="156"/>
    <m/>
    <n v="450"/>
    <n v="0"/>
    <n v="6868261"/>
    <n v="1065635.9999999998"/>
    <x v="0"/>
    <n v="0"/>
    <n v="579"/>
    <n v="5253267"/>
    <n v="3276000"/>
    <n v="200"/>
    <n v="912"/>
    <n v="333"/>
    <m/>
    <n v="452"/>
    <n v="0"/>
    <n v="8274576"/>
    <n v="2274722.9999999995"/>
    <n v="0"/>
    <n v="0"/>
    <n v="912"/>
    <n v="5253267"/>
    <n v="6993000"/>
    <n v="150"/>
    <n v="657"/>
    <n v="195"/>
    <n v="350"/>
    <n v="350"/>
    <n v="0"/>
    <n v="5960961"/>
    <n v="1332044.9999999998"/>
    <n v="2311154.9999999995"/>
    <n v="0"/>
    <n v="657"/>
    <n v="5253267"/>
    <n v="4095000"/>
    <n v="140"/>
    <n v="462"/>
    <n v="182"/>
    <n v="0"/>
    <n v="0"/>
    <n v="0"/>
    <n v="4191726"/>
    <n v="1243241.9999999998"/>
    <n v="0"/>
    <n v="0"/>
    <n v="462"/>
    <n v="4191726"/>
    <n v="3822000"/>
    <n v="100"/>
    <n v="280"/>
    <n v="130"/>
    <n v="0"/>
    <n v="0"/>
    <m/>
    <n v="1912679.9999999998"/>
    <n v="888029.99999999988"/>
    <n v="0"/>
    <n v="0"/>
    <n v="280"/>
    <n v="1912679.9999999998"/>
    <n v="2730000"/>
    <n v="200"/>
    <n v="150"/>
    <n v="150"/>
    <n v="400"/>
    <n v="400"/>
    <n v="400"/>
    <n v="0"/>
    <n v="1024649.9999999999"/>
    <n v="1024649.9999999999"/>
    <n v="2732399.9999999995"/>
    <n v="2732399.9999999995"/>
    <n v="550"/>
    <n v="3757049.9999999995"/>
    <n v="2897899.1596638658"/>
    <n v="150"/>
    <n v="400"/>
    <n v="195"/>
    <n v="0"/>
    <n v="0"/>
    <n v="2732399.9999999995"/>
    <n v="1332044.9999999998"/>
    <n v="0"/>
    <n v="0"/>
    <n v="400"/>
    <n v="2732399.9999999995"/>
    <n v="3955632.3529411769"/>
    <n v="150"/>
    <n v="205"/>
    <n v="195"/>
    <n v="0"/>
    <n v="0"/>
    <n v="1400354.9999999998"/>
    <n v="1332044.9999999998"/>
    <n v="0"/>
    <n v="205"/>
    <n v="1400354.9999999998"/>
    <n v="4095000"/>
    <n v="90"/>
    <n v="10"/>
    <n v="117"/>
    <n v="0"/>
    <m/>
    <n v="68309.999999999985"/>
    <n v="1061541"/>
    <n v="0"/>
    <n v="10"/>
    <n v="68309.999999999985"/>
    <n v="2457000"/>
  </r>
  <r>
    <m/>
    <x v="2"/>
    <x v="19"/>
    <x v="53"/>
    <s v="SIMSECVAL"/>
    <x v="530"/>
    <x v="368"/>
    <x v="0"/>
    <x v="3"/>
    <n v="1"/>
    <x v="320"/>
    <n v="600"/>
    <m/>
    <n v="0"/>
    <n v="8954"/>
    <n v="5372400"/>
    <n v="6.6"/>
    <n v="7210.4999999999991"/>
    <n v="21000"/>
    <n v="19319.327731092439"/>
    <s v="Ningbo"/>
    <x v="2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5"/>
    <n v="0.56620325982742092"/>
    <n v="60"/>
    <n v="0.56672597412530989"/>
    <n v="108"/>
    <n v="0.53674761546076266"/>
    <n v="13"/>
    <n v="0.57393880822395171"/>
    <n v="31"/>
    <s v=""/>
    <n v="66"/>
    <s v=""/>
    <n v="78"/>
    <s v=""/>
    <n v="57"/>
    <s v=""/>
    <n v="0.56999999999999995"/>
    <n v="91"/>
    <s v=""/>
    <n v="1.0111111111111111"/>
    <n v="151"/>
    <s v=""/>
    <n v="1.1185185185185185"/>
    <n v="39"/>
    <s v=""/>
    <n v="0.39"/>
    <n v="100"/>
    <n v="306"/>
    <n v="50"/>
    <n v="0"/>
    <n v="0"/>
    <n v="0"/>
    <n v="2032558"/>
    <n v="2090285.9999999998"/>
    <n v="447700"/>
    <n v="0"/>
    <n v="600"/>
    <n v="5372400"/>
    <n v="882352.9411764706"/>
    <n v="100"/>
    <n v="266"/>
    <n v="99"/>
    <n v="250"/>
    <n v="250"/>
    <n v="0"/>
    <n v="2095236"/>
    <n v="1817045.9999999998"/>
    <n v="886446"/>
    <n v="0"/>
    <n v="600"/>
    <n v="5372400"/>
    <n v="1747058.8235294118"/>
    <n v="120"/>
    <n v="370"/>
    <n v="78"/>
    <n v="0"/>
    <n v="0"/>
    <n v="1823580"/>
    <n v="3312980"/>
    <n v="698412"/>
    <n v="0"/>
    <n v="600"/>
    <n v="5372400"/>
    <n v="1638000"/>
    <n v="100"/>
    <n v="336"/>
    <n v="57"/>
    <n v="300"/>
    <n v="0"/>
    <n v="2295215.9999999995"/>
    <n v="510378"/>
    <x v="83"/>
    <x v="0"/>
    <n v="600"/>
    <n v="5372400"/>
    <n v="1197000"/>
    <n v="90"/>
    <n v="691"/>
    <n v="90"/>
    <m/>
    <n v="300"/>
    <n v="0"/>
    <n v="6187214"/>
    <n v="614789.99999999988"/>
    <x v="0"/>
    <n v="0"/>
    <n v="600"/>
    <n v="5372400"/>
    <n v="1890000"/>
    <n v="135"/>
    <n v="751"/>
    <n v="151"/>
    <m/>
    <n v="300"/>
    <n v="0"/>
    <n v="6724454"/>
    <n v="1031480.9999999999"/>
    <n v="0"/>
    <n v="0"/>
    <n v="751"/>
    <n v="5372400"/>
    <n v="3171000"/>
    <n v="100"/>
    <n v="639"/>
    <n v="100"/>
    <n v="250"/>
    <n v="250"/>
    <n v="0"/>
    <n v="5721606"/>
    <n v="683099.99999999988"/>
    <n v="1650824.9999999998"/>
    <n v="0"/>
    <n v="639"/>
    <n v="5372400"/>
    <n v="2100000"/>
    <n v="81"/>
    <n v="539"/>
    <n v="81"/>
    <n v="0"/>
    <n v="0"/>
    <n v="0"/>
    <n v="4826206"/>
    <n v="553310.99999999988"/>
    <n v="0"/>
    <n v="0"/>
    <n v="539"/>
    <n v="4826206"/>
    <n v="1701000"/>
    <n v="60"/>
    <n v="458"/>
    <n v="60"/>
    <n v="0"/>
    <n v="0"/>
    <m/>
    <n v="3128597.9999999995"/>
    <n v="409859.99999999994"/>
    <n v="0"/>
    <n v="0"/>
    <n v="458"/>
    <n v="3128597.9999999995"/>
    <n v="1260000"/>
    <n v="100"/>
    <n v="398"/>
    <n v="100"/>
    <n v="0"/>
    <n v="0"/>
    <n v="0"/>
    <m/>
    <n v="2718737.9999999995"/>
    <n v="683099.99999999988"/>
    <n v="0"/>
    <n v="0"/>
    <n v="398"/>
    <n v="2718737.9999999995"/>
    <n v="1931932.7731092439"/>
    <n v="60"/>
    <n v="298"/>
    <n v="60"/>
    <n v="0"/>
    <n v="0"/>
    <n v="2035637.9999999998"/>
    <n v="409859.99999999994"/>
    <n v="0"/>
    <n v="0"/>
    <n v="298"/>
    <n v="2035637.9999999998"/>
    <n v="1217117.6470588236"/>
    <n v="80"/>
    <n v="238"/>
    <n v="80"/>
    <n v="0"/>
    <n v="0"/>
    <n v="1625777.9999999998"/>
    <n v="546479.99999999988"/>
    <n v="0"/>
    <n v="238"/>
    <n v="1625777.9999999998"/>
    <n v="1680000"/>
    <n v="36"/>
    <n v="158"/>
    <n v="36"/>
    <n v="0"/>
    <m/>
    <n v="1079297.9999999998"/>
    <n v="322344"/>
    <n v="0"/>
    <n v="158"/>
    <n v="1079297.9999999998"/>
    <n v="756000"/>
  </r>
  <r>
    <s v="Simplit-Organización"/>
    <x v="2"/>
    <x v="19"/>
    <x v="54"/>
    <s v="SIMBACOIR-40"/>
    <x v="531"/>
    <x v="369"/>
    <x v="0"/>
    <x v="3"/>
    <n v="0.8"/>
    <x v="321"/>
    <n v="126"/>
    <m/>
    <n v="0"/>
    <n v="27280"/>
    <n v="3437280"/>
    <n v="26"/>
    <n v="28404.999999999996"/>
    <n v="67218.487394957992"/>
    <n v="64697.478991596639"/>
    <s v="Shenzhen"/>
    <x v="0"/>
    <n v="45"/>
    <n v="300"/>
    <n v="16"/>
    <n v="0.64289262998467889"/>
    <n v="0"/>
    <s v=""/>
    <n v="4"/>
    <n v="0.6111963760282153"/>
    <n v="24"/>
    <n v="0.6687372264720286"/>
    <n v="16"/>
    <n v="0.66310391476834341"/>
    <n v="24"/>
    <n v="0.64235064083462179"/>
    <n v="21"/>
    <n v="0.64621373808259897"/>
    <n v="22"/>
    <n v="0.64021630782406014"/>
    <n v="13"/>
    <n v="0.62574086031741982"/>
    <n v="29"/>
    <n v="0.60089617422568553"/>
    <n v="11"/>
    <n v="0.54530801335606116"/>
    <n v="39"/>
    <n v="0.57593829142097053"/>
    <n v="45"/>
    <s v=""/>
    <n v="60"/>
    <s v=""/>
    <n v="-6"/>
    <s v=""/>
    <n v="16"/>
    <s v=""/>
    <n v="0.64"/>
    <n v="23"/>
    <s v=""/>
    <n v="0.8214285714285714"/>
    <n v="42"/>
    <s v=""/>
    <n v="0.84"/>
    <n v="14"/>
    <s v=""/>
    <n v="0.31111111111111112"/>
    <n v="25"/>
    <n v="93"/>
    <n v="30"/>
    <n v="0"/>
    <n v="0"/>
    <n v="0"/>
    <n v="3109920"/>
    <n v="2502629.9999999995"/>
    <n v="818400"/>
    <n v="0"/>
    <n v="126"/>
    <n v="3437280"/>
    <n v="1694583.7158392773"/>
    <n v="25"/>
    <n v="64"/>
    <n v="90"/>
    <n v="100"/>
    <n v="100"/>
    <n v="0"/>
    <n v="2728000"/>
    <n v="1722239.9999999998"/>
    <n v="2455200"/>
    <n v="0"/>
    <n v="126"/>
    <n v="3437280"/>
    <n v="5083751.147517832"/>
    <n v="70"/>
    <n v="11"/>
    <n v="-6"/>
    <n v="0"/>
    <n v="0"/>
    <n v="875584"/>
    <n v="300080"/>
    <n v="-163680"/>
    <n v="0"/>
    <n v="126"/>
    <n v="3437280"/>
    <n v="-403310.92436974798"/>
    <n v="25"/>
    <n v="107"/>
    <n v="16"/>
    <n v="50"/>
    <n v="0"/>
    <n v="2879369.9999999995"/>
    <n v="436480"/>
    <x v="84"/>
    <x v="0"/>
    <n v="126"/>
    <n v="3437280"/>
    <n v="1075495.7983193279"/>
    <n v="28"/>
    <n v="149"/>
    <n v="22.400000000000002"/>
    <m/>
    <n v="0"/>
    <n v="0"/>
    <n v="4064720"/>
    <n v="602784"/>
    <x v="0"/>
    <n v="0"/>
    <n v="126"/>
    <n v="3437280"/>
    <n v="1505694.1176470593"/>
    <n v="50"/>
    <n v="168"/>
    <n v="42"/>
    <m/>
    <n v="100"/>
    <n v="0"/>
    <n v="4583040"/>
    <n v="1130219.9999999998"/>
    <n v="0"/>
    <n v="0"/>
    <n v="168"/>
    <n v="3437280"/>
    <n v="2823176.4705882357"/>
    <n v="45"/>
    <n v="140"/>
    <n v="36"/>
    <n v="200"/>
    <n v="200"/>
    <n v="0"/>
    <n v="3819200"/>
    <n v="968759.99999999988"/>
    <n v="5202599.9999999991"/>
    <n v="0"/>
    <n v="140"/>
    <n v="3437280"/>
    <n v="2419865.5462184879"/>
    <n v="70"/>
    <n v="104"/>
    <n v="56"/>
    <n v="0"/>
    <n v="200"/>
    <n v="200"/>
    <n v="2837120"/>
    <n v="1506959.9999999998"/>
    <n v="0"/>
    <n v="5381999.9999999991"/>
    <n v="304"/>
    <n v="2837120"/>
    <n v="3764235.2941176477"/>
    <n v="38"/>
    <n v="248"/>
    <n v="30.400000000000002"/>
    <n v="0"/>
    <n v="0"/>
    <m/>
    <n v="6673679.9999999991"/>
    <n v="818064"/>
    <n v="0"/>
    <n v="0"/>
    <n v="248"/>
    <n v="6673679.9999999991"/>
    <n v="2043442.0168067231"/>
    <n v="50"/>
    <n v="217.6"/>
    <n v="40"/>
    <n v="0"/>
    <n v="0"/>
    <n v="0"/>
    <m/>
    <n v="5855615.9999999991"/>
    <n v="1076399.9999999998"/>
    <n v="0"/>
    <n v="0"/>
    <n v="217.6"/>
    <n v="5855615.9999999991"/>
    <n v="2587899.1596638653"/>
    <n v="45"/>
    <n v="177.6"/>
    <n v="36"/>
    <n v="0"/>
    <n v="0"/>
    <n v="4779215.9999999991"/>
    <n v="968759.99999999988"/>
    <n v="0"/>
    <n v="0"/>
    <n v="177.6"/>
    <n v="4779215.9999999991"/>
    <n v="2445564.7058823528"/>
    <n v="60"/>
    <n v="141.6"/>
    <n v="48"/>
    <n v="0"/>
    <n v="0"/>
    <n v="3810455.9999999995"/>
    <n v="1291679.9999999998"/>
    <n v="0"/>
    <n v="141.6"/>
    <n v="3810455.9999999995"/>
    <n v="3226487.3949579839"/>
    <n v="27"/>
    <n v="93.6"/>
    <n v="21.6"/>
    <n v="0"/>
    <m/>
    <n v="2518775.9999999995"/>
    <n v="589248"/>
    <n v="0"/>
    <n v="93.6"/>
    <n v="2518775.9999999995"/>
    <n v="1451919.3277310927"/>
  </r>
  <r>
    <s v="Simplit-Organización"/>
    <x v="2"/>
    <x v="19"/>
    <x v="54"/>
    <s v="SIMBACOUR-30"/>
    <x v="532"/>
    <x v="370"/>
    <x v="0"/>
    <x v="4"/>
    <n v="0.8"/>
    <x v="322"/>
    <n v="321"/>
    <m/>
    <n v="0"/>
    <n v="16414"/>
    <n v="5268894"/>
    <n v="15.2"/>
    <n v="16606"/>
    <n v="42008.403361344543"/>
    <n v="40327.731092436974"/>
    <s v="Shenzhen"/>
    <x v="0"/>
    <n v="45"/>
    <n v="300"/>
    <n v="8"/>
    <n v="0.70492295826236473"/>
    <n v="3"/>
    <n v="0.7156791382264277"/>
    <n v="8"/>
    <n v="0.70000406521751479"/>
    <n v="18"/>
    <n v="0.66348697007424262"/>
    <n v="14"/>
    <n v="0.68287372170866556"/>
    <n v="9"/>
    <n v="0.63561149990586996"/>
    <n v="29"/>
    <n v="0.6279868830464499"/>
    <n v="58"/>
    <n v="0.59226155544171588"/>
    <n v="71"/>
    <n v="0.57174179074205256"/>
    <n v="78"/>
    <n v="0.54607178734061901"/>
    <n v="3"/>
    <n v="0.5834634873086102"/>
    <n v="1"/>
    <n v="0.51156436609152278"/>
    <n v="5"/>
    <s v=""/>
    <n v="5"/>
    <s v=""/>
    <n v="16"/>
    <s v=""/>
    <n v="23"/>
    <s v=""/>
    <n v="0.28749999999999998"/>
    <n v="14"/>
    <s v=""/>
    <n v="0.46666666666666667"/>
    <n v="32"/>
    <s v=""/>
    <n v="0.71111111111111114"/>
    <n v="13"/>
    <s v=""/>
    <n v="0.37142857142857144"/>
    <n v="60"/>
    <n v="12"/>
    <n v="12"/>
    <n v="100"/>
    <n v="100"/>
    <n v="0"/>
    <n v="582697"/>
    <n v="188783.99999999997"/>
    <n v="196968"/>
    <n v="0"/>
    <n v="321"/>
    <n v="5268894"/>
    <n v="423614.15154297021"/>
    <n v="0"/>
    <n v="11"/>
    <n v="7.5"/>
    <n v="200"/>
    <n v="100"/>
    <n v="0"/>
    <n v="763251"/>
    <n v="173051.99999999997"/>
    <n v="123105"/>
    <n v="0"/>
    <n v="321"/>
    <n v="5268894"/>
    <n v="264758.84471435635"/>
    <n v="30"/>
    <n v="337"/>
    <n v="16"/>
    <n v="0"/>
    <n v="0"/>
    <n v="1017714"/>
    <n v="5531518"/>
    <n v="262624"/>
    <n v="0"/>
    <n v="321"/>
    <n v="5268894"/>
    <n v="672134.45378151268"/>
    <n v="80"/>
    <n v="290"/>
    <n v="23"/>
    <n v="180"/>
    <n v="0"/>
    <n v="4562279.9999999991"/>
    <n v="377522"/>
    <x v="85"/>
    <x v="0"/>
    <n v="321"/>
    <n v="5268894"/>
    <n v="966193.27731092449"/>
    <n v="30"/>
    <n v="335"/>
    <n v="24"/>
    <m/>
    <n v="0"/>
    <n v="0"/>
    <n v="5498690"/>
    <n v="377567.99999999994"/>
    <x v="0"/>
    <n v="0"/>
    <n v="321"/>
    <n v="5268894"/>
    <n v="1008201.6806722691"/>
    <n v="45"/>
    <n v="353"/>
    <n v="32"/>
    <m/>
    <n v="100"/>
    <n v="0"/>
    <n v="5794142"/>
    <n v="503423.99999999994"/>
    <n v="0"/>
    <n v="0"/>
    <n v="353"/>
    <n v="5268894"/>
    <n v="1344268.9075630254"/>
    <n v="35"/>
    <n v="334"/>
    <n v="28"/>
    <n v="0"/>
    <n v="0"/>
    <n v="0"/>
    <n v="5482276"/>
    <n v="440495.99999999994"/>
    <n v="0"/>
    <n v="0"/>
    <n v="334"/>
    <n v="5268894"/>
    <n v="1176235.2941176472"/>
    <n v="52"/>
    <n v="306"/>
    <n v="41.6"/>
    <n v="0"/>
    <n v="0"/>
    <n v="0"/>
    <n v="5022684"/>
    <n v="654451.19999999995"/>
    <n v="0"/>
    <n v="0"/>
    <n v="306"/>
    <n v="5022684"/>
    <n v="1747549.5798319331"/>
    <n v="64"/>
    <n v="264.39999999999998"/>
    <n v="51.2"/>
    <n v="0"/>
    <n v="0"/>
    <m/>
    <n v="4159540.7999999993"/>
    <n v="805478.39999999991"/>
    <n v="0"/>
    <n v="0"/>
    <n v="264.39999999999998"/>
    <n v="4159540.7999999993"/>
    <n v="2150830.2521008407"/>
    <n v="80"/>
    <n v="213.2"/>
    <n v="64"/>
    <n v="0"/>
    <n v="0"/>
    <n v="0"/>
    <m/>
    <n v="3354062.3999999994"/>
    <n v="1006847.9999999999"/>
    <n v="0"/>
    <n v="0"/>
    <n v="213.2"/>
    <n v="3354062.3999999994"/>
    <n v="2580974.7899159663"/>
    <n v="40"/>
    <n v="149.19999999999999"/>
    <n v="32"/>
    <n v="0"/>
    <n v="0"/>
    <n v="2347214.3999999994"/>
    <n v="503423.99999999994"/>
    <n v="0"/>
    <n v="0"/>
    <n v="149.19999999999999"/>
    <n v="2347214.3999999994"/>
    <n v="1355011.7647058824"/>
    <n v="60"/>
    <n v="117.19999999999999"/>
    <n v="48"/>
    <n v="0"/>
    <n v="0"/>
    <n v="1843790.3999999997"/>
    <n v="755135.99999999988"/>
    <n v="0"/>
    <n v="117.19999999999999"/>
    <n v="1843790.3999999997"/>
    <n v="2016403.3613445382"/>
    <n v="24"/>
    <n v="69.199999999999989"/>
    <n v="19.200000000000003"/>
    <n v="0"/>
    <m/>
    <n v="1088654.3999999997"/>
    <n v="315148.80000000005"/>
    <n v="0"/>
    <n v="69.199999999999989"/>
    <n v="1088654.3999999997"/>
    <n v="806561.34453781531"/>
  </r>
  <r>
    <s v="Simplit-Organización"/>
    <x v="2"/>
    <x v="19"/>
    <x v="54"/>
    <s v="SIMBACOHA-55"/>
    <x v="533"/>
    <x v="371"/>
    <x v="0"/>
    <x v="3"/>
    <n v="1"/>
    <x v="323"/>
    <n v="191"/>
    <m/>
    <n v="0"/>
    <n v="25511"/>
    <n v="4872601"/>
    <n v="19.899999999999999"/>
    <n v="21740.75"/>
    <n v="58815.126050420171"/>
    <n v="50411.764705882357"/>
    <s v="Shenzhen"/>
    <x v="0"/>
    <n v="45"/>
    <n v="300"/>
    <n v="29"/>
    <n v="0.66843281730902504"/>
    <n v="47"/>
    <n v="0.6568065686555643"/>
    <n v="17"/>
    <n v="0.65722129691812647"/>
    <n v="4"/>
    <n v="0.66576010751343928"/>
    <n v="0"/>
    <n v="0.66575768395370294"/>
    <n v="9"/>
    <n v="0.63981417168266452"/>
    <n v="42"/>
    <n v="0.66129479500326072"/>
    <n v="50"/>
    <n v="0.64638249465309394"/>
    <n v="49"/>
    <n v="0.64221508946244665"/>
    <n v="119"/>
    <n v="0.56955378533336565"/>
    <n v="79"/>
    <n v="0.56570239898229868"/>
    <n v="53"/>
    <n v="0.56022148829745277"/>
    <n v="43"/>
    <s v=""/>
    <n v="7"/>
    <s v=""/>
    <n v="22"/>
    <s v=""/>
    <n v="18"/>
    <s v=""/>
    <n v="0.25714285714285712"/>
    <n v="18"/>
    <s v=""/>
    <n v="0.51428571428571423"/>
    <n v="42"/>
    <s v=""/>
    <n v="1.1666666666666667"/>
    <n v="17"/>
    <s v=""/>
    <n v="0.44736842105263158"/>
    <n v="20"/>
    <n v="20"/>
    <n v="20"/>
    <n v="100"/>
    <n v="100"/>
    <n v="0"/>
    <n v="1339327.5"/>
    <n v="411930"/>
    <n v="510220"/>
    <n v="0"/>
    <n v="191"/>
    <n v="4872601"/>
    <n v="988489.5134524398"/>
    <n v="40"/>
    <n v="27"/>
    <n v="10.5"/>
    <n v="100"/>
    <n v="100"/>
    <n v="0"/>
    <n v="1288305.5"/>
    <n v="556105.5"/>
    <n v="267865.5"/>
    <n v="0"/>
    <n v="191"/>
    <n v="4872601"/>
    <n v="518956.99456253095"/>
    <n v="100"/>
    <n v="213"/>
    <n v="22"/>
    <n v="0"/>
    <n v="0"/>
    <n v="1741317.5"/>
    <n v="5433843"/>
    <n v="561242"/>
    <n v="0"/>
    <n v="191"/>
    <n v="4872601"/>
    <n v="1293932.7731092437"/>
    <n v="70"/>
    <n v="195"/>
    <n v="18"/>
    <n v="250"/>
    <n v="0"/>
    <n v="4016317.5"/>
    <n v="459198"/>
    <x v="86"/>
    <x v="0"/>
    <n v="191"/>
    <n v="4872601"/>
    <n v="1058672.2689075631"/>
    <n v="35"/>
    <n v="209"/>
    <n v="35"/>
    <m/>
    <n v="0"/>
    <n v="0"/>
    <n v="5331799"/>
    <n v="720877.5"/>
    <x v="0"/>
    <n v="0"/>
    <n v="191"/>
    <n v="4872601"/>
    <n v="2058529.411764706"/>
    <n v="36"/>
    <n v="233"/>
    <n v="42"/>
    <m/>
    <n v="100"/>
    <n v="0"/>
    <n v="5944063"/>
    <n v="865053"/>
    <n v="0"/>
    <n v="0"/>
    <n v="233"/>
    <n v="4872601"/>
    <n v="2470235.2941176472"/>
    <n v="38"/>
    <n v="208"/>
    <n v="38"/>
    <n v="0"/>
    <n v="0"/>
    <n v="0"/>
    <n v="5306288"/>
    <n v="782667"/>
    <n v="0"/>
    <n v="0"/>
    <n v="208"/>
    <n v="4872601"/>
    <n v="2234974.7899159663"/>
    <n v="50"/>
    <n v="170"/>
    <n v="50"/>
    <n v="0"/>
    <n v="0"/>
    <n v="0"/>
    <n v="4336870"/>
    <n v="1029825"/>
    <n v="0"/>
    <n v="0"/>
    <n v="170"/>
    <n v="4336870"/>
    <n v="2940756.3025210085"/>
    <n v="44"/>
    <n v="120"/>
    <n v="44"/>
    <n v="0"/>
    <n v="150"/>
    <n v="0"/>
    <n v="2471580"/>
    <n v="906246"/>
    <n v="0"/>
    <n v="0"/>
    <n v="120"/>
    <n v="2471580"/>
    <n v="2587865.5462184874"/>
    <n v="120"/>
    <n v="226"/>
    <n v="120"/>
    <n v="0"/>
    <n v="0"/>
    <n v="0"/>
    <n v="150"/>
    <n v="4654809"/>
    <n v="2471580"/>
    <n v="0"/>
    <n v="3089475"/>
    <n v="226"/>
    <n v="7744284"/>
    <n v="6049411.7647058824"/>
    <n v="80"/>
    <n v="106"/>
    <n v="80"/>
    <n v="0"/>
    <n v="0"/>
    <n v="2183229"/>
    <n v="1647720"/>
    <n v="0"/>
    <n v="0"/>
    <n v="106"/>
    <n v="2183229"/>
    <n v="4234588.2352941176"/>
    <n v="80"/>
    <n v="26"/>
    <n v="80"/>
    <n v="0"/>
    <n v="0"/>
    <n v="535509"/>
    <n v="1647720"/>
    <n v="0"/>
    <n v="26"/>
    <n v="535509"/>
    <n v="4705210.084033614"/>
    <n v="48"/>
    <n v="0"/>
    <n v="48"/>
    <n v="0"/>
    <m/>
    <n v="0"/>
    <n v="1224528"/>
    <n v="0"/>
    <n v="0"/>
    <n v="0"/>
    <n v="2823126.0504201683"/>
  </r>
  <r>
    <m/>
    <x v="2"/>
    <x v="19"/>
    <x v="54"/>
    <s v="SIMBASLUC-GR"/>
    <x v="534"/>
    <x v="372"/>
    <x v="0"/>
    <x v="2"/>
    <n v="1"/>
    <x v="12"/>
    <n v="0"/>
    <m/>
    <n v="0"/>
    <n v="8904.4499999999989"/>
    <n v="0"/>
    <n v="8.9"/>
    <n v="8904.4499999999989"/>
    <n v="22448.193277310926"/>
    <n v="19080.964285714286"/>
    <s v="Shenzhen"/>
    <x v="0"/>
    <n v="45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20"/>
    <n v="0"/>
    <n v="20"/>
    <n v="200"/>
    <n v="200"/>
    <n v="0"/>
    <n v="0"/>
    <n v="184230"/>
    <n v="1780889.9999999998"/>
    <n v="0"/>
    <n v="0"/>
    <n v="0"/>
    <n v="448963.86554621853"/>
    <n v="40"/>
    <n v="0"/>
    <n v="40"/>
    <n v="0"/>
    <n v="200"/>
    <n v="199"/>
    <n v="0"/>
    <n v="368460"/>
    <n v="0"/>
    <n v="1833088.5"/>
    <n v="200"/>
    <n v="0"/>
    <n v="897927.73109243705"/>
    <n v="40"/>
    <n v="159"/>
    <n v="40"/>
    <n v="0"/>
    <n v="0"/>
    <m/>
    <n v="1464628.5"/>
    <n v="368460"/>
    <n v="0"/>
    <n v="0"/>
    <n v="159"/>
    <n v="1464628.5"/>
    <n v="897927.73109243705"/>
    <n v="50"/>
    <n v="119"/>
    <n v="50"/>
    <n v="0"/>
    <n v="0"/>
    <n v="0"/>
    <m/>
    <n v="1096168.5"/>
    <n v="460575"/>
    <n v="0"/>
    <n v="0"/>
    <n v="119"/>
    <n v="1096168.5"/>
    <n v="954048.21428571432"/>
    <n v="50"/>
    <n v="69"/>
    <n v="50"/>
    <n v="0"/>
    <n v="0"/>
    <n v="635593.5"/>
    <n v="460575"/>
    <n v="0"/>
    <n v="0"/>
    <n v="69"/>
    <n v="635593.5"/>
    <n v="1001750.6250000001"/>
    <n v="60"/>
    <n v="19"/>
    <n v="60"/>
    <n v="0"/>
    <n v="0"/>
    <n v="175018.5"/>
    <n v="552690"/>
    <n v="0"/>
    <n v="19"/>
    <n v="175018.5"/>
    <n v="1346891.5966386555"/>
    <n v="30"/>
    <n v="0"/>
    <n v="30"/>
    <n v="0"/>
    <m/>
    <n v="0"/>
    <n v="267133.49999999994"/>
    <n v="0"/>
    <n v="0"/>
    <n v="0"/>
    <n v="673445.79831932776"/>
  </r>
  <r>
    <m/>
    <x v="2"/>
    <x v="19"/>
    <x v="54"/>
    <s v="SIMBASLIV-BK"/>
    <x v="535"/>
    <x v="373"/>
    <x v="0"/>
    <x v="2"/>
    <n v="1"/>
    <x v="12"/>
    <n v="0"/>
    <m/>
    <n v="0"/>
    <n v="8904.4499999999989"/>
    <n v="0"/>
    <n v="8.9"/>
    <n v="8904.4499999999989"/>
    <n v="22448.193277310926"/>
    <n v="19080.964285714286"/>
    <s v="Shenzhen"/>
    <x v="0"/>
    <n v="45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20"/>
    <n v="0"/>
    <n v="20"/>
    <n v="200"/>
    <n v="200"/>
    <n v="0"/>
    <n v="0"/>
    <n v="184230"/>
    <n v="1780889.9999999998"/>
    <n v="0"/>
    <n v="0"/>
    <n v="0"/>
    <n v="448963.86554621853"/>
    <n v="60"/>
    <n v="0"/>
    <n v="60"/>
    <n v="0"/>
    <n v="200"/>
    <n v="199"/>
    <n v="0"/>
    <n v="552690"/>
    <n v="0"/>
    <n v="1833088.5"/>
    <n v="200"/>
    <n v="0"/>
    <n v="1346891.5966386555"/>
    <n v="60"/>
    <n v="139"/>
    <n v="60"/>
    <n v="0"/>
    <n v="0"/>
    <m/>
    <n v="1280398.5"/>
    <n v="552690"/>
    <n v="0"/>
    <n v="0"/>
    <n v="139"/>
    <n v="1280398.5"/>
    <n v="1346891.5966386555"/>
    <n v="100"/>
    <n v="79"/>
    <n v="79"/>
    <n v="200"/>
    <n v="200"/>
    <n v="200"/>
    <n v="0"/>
    <n v="727708.5"/>
    <n v="727708.5"/>
    <n v="1842300"/>
    <n v="1842300"/>
    <n v="279"/>
    <n v="2570008.5"/>
    <n v="1507396.1785714286"/>
    <n v="80"/>
    <n v="200"/>
    <n v="80"/>
    <n v="0"/>
    <n v="0"/>
    <n v="1842300"/>
    <n v="736920"/>
    <n v="0"/>
    <n v="0"/>
    <n v="200"/>
    <n v="1842300"/>
    <n v="1602801.0000000002"/>
    <n v="100"/>
    <n v="120"/>
    <n v="100"/>
    <n v="0"/>
    <n v="0"/>
    <n v="1105380"/>
    <n v="921150"/>
    <n v="0"/>
    <n v="120"/>
    <n v="1105380"/>
    <n v="2244819.3277310925"/>
    <n v="48"/>
    <n v="20"/>
    <n v="48"/>
    <n v="0"/>
    <m/>
    <n v="184230"/>
    <n v="427413.6"/>
    <n v="0"/>
    <n v="20"/>
    <n v="184230"/>
    <n v="1077513.2773109244"/>
  </r>
  <r>
    <s v="Simplit-Cristalería y Bar"/>
    <x v="2"/>
    <x v="20"/>
    <x v="55"/>
    <n v="66800507665930"/>
    <x v="536"/>
    <x v="374"/>
    <x v="0"/>
    <x v="4"/>
    <n v="1"/>
    <x v="324"/>
    <n v="644"/>
    <m/>
    <n v="0"/>
    <n v="1623"/>
    <n v="1045212"/>
    <n v="1.52"/>
    <n v="1660.6"/>
    <n v="3352.9411764705883"/>
    <n v="3352.9411764705883"/>
    <s v="Shenzhen"/>
    <x v="0"/>
    <n v="30"/>
    <n v="100"/>
    <n v="245"/>
    <n v="0.61450862097197234"/>
    <n v="60"/>
    <n v="0.97964629472539455"/>
    <n v="45"/>
    <n v="0.56971295352090567"/>
    <n v="97"/>
    <n v="0.58571583273476924"/>
    <n v="63"/>
    <n v="0.46883751263456486"/>
    <n v="97"/>
    <n v="0.55747938087313909"/>
    <n v="20"/>
    <n v="0.65144047360597479"/>
    <n v="37"/>
    <n v="0.6434407898606691"/>
    <n v="24"/>
    <n v="0.62649825092738087"/>
    <n v="58"/>
    <n v="0.58479996828402547"/>
    <n v="49"/>
    <n v="0.6406024923682222"/>
    <n v="75"/>
    <n v="0.6291769302278013"/>
    <n v="71"/>
    <n v="0.67248750006620128"/>
    <n v="107"/>
    <n v="0.5998098715449055"/>
    <n v="132"/>
    <n v="0.57037446517998325"/>
    <n v="99"/>
    <n v="0.58571583034641916"/>
    <n v="0.99"/>
    <n v="71"/>
    <n v="0.45074287847899031"/>
    <n v="1.0142857142857142"/>
    <n v="94"/>
    <n v="0.56072215388132163"/>
    <n v="0.94"/>
    <n v="27"/>
    <n v="0.63430676171434974"/>
    <n v="0.54"/>
    <n v="240"/>
    <n v="494"/>
    <n v="80"/>
    <n v="450"/>
    <n v="450"/>
    <n v="0"/>
    <n v="604567.5"/>
    <n v="777160.79999999993"/>
    <n v="129840"/>
    <n v="0"/>
    <n v="644"/>
    <n v="1045212"/>
    <n v="225407.81018289673"/>
    <n v="80"/>
    <n v="846"/>
    <n v="160.5"/>
    <n v="300"/>
    <n v="0"/>
    <n v="0"/>
    <n v="635404.5"/>
    <n v="1330927.2"/>
    <n v="260491.5"/>
    <n v="0"/>
    <n v="644"/>
    <n v="1045212"/>
    <n v="452224.41917943652"/>
    <n v="150"/>
    <n v="726"/>
    <n v="132"/>
    <n v="0"/>
    <n v="0"/>
    <n v="485037"/>
    <n v="1178298"/>
    <n v="214236"/>
    <n v="0"/>
    <n v="644"/>
    <n v="1045212"/>
    <n v="442588.23529411765"/>
    <n v="100"/>
    <n v="596"/>
    <n v="99"/>
    <n v="0"/>
    <n v="0"/>
    <n v="937627.19999999984"/>
    <n v="160677"/>
    <x v="0"/>
    <x v="0"/>
    <n v="644"/>
    <n v="1045212"/>
    <n v="331941.17647058825"/>
    <n v="70"/>
    <n v="715"/>
    <n v="70"/>
    <m/>
    <n v="0"/>
    <n v="0"/>
    <n v="1160445"/>
    <n v="110123.99999999999"/>
    <x v="0"/>
    <n v="0"/>
    <n v="644"/>
    <n v="1045212"/>
    <n v="234705.88235294117"/>
    <n v="100"/>
    <n v="738"/>
    <n v="94"/>
    <m/>
    <n v="0"/>
    <n v="0"/>
    <n v="1197774"/>
    <n v="147880.79999999999"/>
    <n v="0"/>
    <n v="0"/>
    <n v="738"/>
    <n v="1045212"/>
    <n v="315176.4705882353"/>
    <n v="50"/>
    <n v="671"/>
    <n v="50"/>
    <n v="0"/>
    <n v="0"/>
    <n v="0"/>
    <n v="1089033"/>
    <n v="78659.999999999985"/>
    <n v="0"/>
    <n v="0"/>
    <n v="671"/>
    <n v="1045212"/>
    <n v="167647.05882352943"/>
    <n v="50"/>
    <n v="621"/>
    <n v="50"/>
    <n v="0"/>
    <n v="0"/>
    <n v="0"/>
    <n v="1007883"/>
    <n v="78659.999999999985"/>
    <n v="0"/>
    <n v="0"/>
    <n v="621"/>
    <n v="1007883"/>
    <n v="167647.05882352943"/>
    <n v="50"/>
    <n v="571"/>
    <n v="50"/>
    <n v="0"/>
    <n v="0"/>
    <m/>
    <n v="898297.2"/>
    <n v="78659.999999999985"/>
    <n v="0"/>
    <n v="0"/>
    <n v="571"/>
    <n v="898297.2"/>
    <n v="167647.05882352943"/>
    <n v="100"/>
    <n v="521"/>
    <n v="100"/>
    <n v="0"/>
    <n v="0"/>
    <n v="0"/>
    <m/>
    <n v="819637.2"/>
    <n v="157319.99999999997"/>
    <n v="0"/>
    <n v="0"/>
    <n v="521"/>
    <n v="819637.2"/>
    <n v="335294.11764705885"/>
    <n v="50"/>
    <n v="421"/>
    <n v="50"/>
    <n v="0"/>
    <n v="0"/>
    <n v="662317.19999999995"/>
    <n v="78659.999999999985"/>
    <n v="0"/>
    <n v="0"/>
    <n v="421"/>
    <n v="662317.19999999995"/>
    <n v="176029.4117647059"/>
    <n v="100"/>
    <n v="371"/>
    <n v="100"/>
    <n v="0"/>
    <n v="0"/>
    <n v="583657.19999999995"/>
    <n v="157319.99999999997"/>
    <n v="0"/>
    <n v="371"/>
    <n v="583657.19999999995"/>
    <n v="335294.11764705885"/>
    <n v="30"/>
    <n v="271"/>
    <n v="30"/>
    <n v="0"/>
    <m/>
    <n v="426337.19999999995"/>
    <n v="48690"/>
    <n v="0"/>
    <n v="271"/>
    <n v="426337.19999999995"/>
    <n v="100588.23529411765"/>
  </r>
  <r>
    <s v="Simplit-Cristalería y Bar"/>
    <x v="2"/>
    <x v="20"/>
    <x v="55"/>
    <n v="66800506435054"/>
    <x v="537"/>
    <x v="375"/>
    <x v="0"/>
    <x v="0"/>
    <n v="1.5"/>
    <x v="325"/>
    <n v="190"/>
    <m/>
    <n v="0"/>
    <n v="691"/>
    <n v="131290"/>
    <n v="0.62"/>
    <n v="677.34999999999991"/>
    <n v="3352.9411764705883"/>
    <n v="3352.9411764705883"/>
    <s v="Shenzhen"/>
    <x v="0"/>
    <n v="30"/>
    <n v="100"/>
    <n v="121"/>
    <n v="0.84230750538644705"/>
    <n v="79"/>
    <n v="0.8097072510153841"/>
    <n v="46"/>
    <n v="0.79638429623991858"/>
    <n v="52"/>
    <n v="0.82075715714586939"/>
    <n v="82"/>
    <n v="0.80752572086688268"/>
    <n v="81"/>
    <n v="0.80522790951876366"/>
    <n v="53"/>
    <n v="0.80787330657821166"/>
    <n v="27"/>
    <n v="0.87101340319097298"/>
    <n v="40"/>
    <n v="0.88064865553011173"/>
    <n v="69"/>
    <n v="0.82909501095114102"/>
    <n v="36"/>
    <n v="0.86325471700466483"/>
    <n v="66"/>
    <n v="0.85118691134175528"/>
    <n v="81"/>
    <n v="0.83851218905222147"/>
    <n v="88"/>
    <n v="0.80970718167128519"/>
    <n v="108"/>
    <n v="0.80364071829129935"/>
    <n v="92"/>
    <n v="0.8216660799265505"/>
    <n v="1.5333333333333334"/>
    <n v="65"/>
    <n v="0.80902071339601467"/>
    <n v="0.8125"/>
    <n v="88"/>
    <n v="0.80953213798967716"/>
    <n v="1.0352941176470589"/>
    <n v="27"/>
    <n v="0.80851618058096586"/>
    <n v="0.39705882352941174"/>
    <n v="130"/>
    <n v="496"/>
    <n v="120"/>
    <n v="0"/>
    <n v="0"/>
    <n v="0"/>
    <n v="248760"/>
    <n v="318283.19999999995"/>
    <n v="82920"/>
    <n v="0"/>
    <n v="190"/>
    <n v="131290"/>
    <n v="338111.71527434507"/>
    <n v="100"/>
    <n v="389"/>
    <n v="132"/>
    <n v="200"/>
    <n v="0"/>
    <n v="0"/>
    <n v="229412"/>
    <n v="249621.29999999996"/>
    <n v="91212"/>
    <n v="0"/>
    <n v="190"/>
    <n v="131290"/>
    <n v="371922.88680177956"/>
    <n v="50"/>
    <n v="304"/>
    <n v="108"/>
    <n v="0"/>
    <n v="0"/>
    <n v="215204"/>
    <n v="210064"/>
    <n v="74628"/>
    <n v="0"/>
    <n v="190"/>
    <n v="131290"/>
    <n v="362117.64705882355"/>
    <n v="60"/>
    <n v="218"/>
    <n v="92"/>
    <n v="0"/>
    <n v="0"/>
    <n v="139890.59999999998"/>
    <n v="63572"/>
    <x v="0"/>
    <x v="0"/>
    <n v="190"/>
    <n v="131290"/>
    <n v="308470.5882352941"/>
    <n v="80"/>
    <n v="255"/>
    <n v="120"/>
    <m/>
    <n v="0"/>
    <n v="0"/>
    <n v="176205"/>
    <n v="77003.999999999985"/>
    <x v="0"/>
    <n v="0"/>
    <n v="190"/>
    <n v="131290"/>
    <n v="402352.9411764706"/>
    <n v="85"/>
    <n v="278"/>
    <n v="88"/>
    <m/>
    <n v="200"/>
    <n v="0"/>
    <n v="192098"/>
    <n v="56469.599999999991"/>
    <n v="0"/>
    <n v="0"/>
    <n v="278"/>
    <n v="131290"/>
    <n v="295058.82352941175"/>
    <n v="68"/>
    <n v="217"/>
    <n v="102"/>
    <n v="0"/>
    <n v="0"/>
    <n v="0"/>
    <n v="149947"/>
    <n v="65453.399999999994"/>
    <n v="0"/>
    <n v="0"/>
    <n v="217"/>
    <n v="131290"/>
    <n v="342000"/>
    <n v="91"/>
    <n v="115"/>
    <n v="136.5"/>
    <n v="0"/>
    <n v="0"/>
    <n v="0"/>
    <n v="79465"/>
    <n v="87592.049999999988"/>
    <n v="0"/>
    <n v="0"/>
    <n v="115"/>
    <n v="79465"/>
    <n v="457676.4705882353"/>
    <n v="56"/>
    <n v="0"/>
    <n v="84"/>
    <n v="0"/>
    <n v="0"/>
    <m/>
    <n v="0"/>
    <n v="53902.799999999996"/>
    <n v="0"/>
    <n v="0"/>
    <n v="0"/>
    <n v="0"/>
    <n v="281647.0588235294"/>
    <n v="70"/>
    <n v="0"/>
    <n v="0"/>
    <n v="350"/>
    <n v="350"/>
    <n v="350"/>
    <n v="0"/>
    <n v="0"/>
    <n v="0"/>
    <n v="224594.99999999997"/>
    <n v="224594.99999999997"/>
    <n v="350"/>
    <n v="224594.99999999997"/>
    <n v="0"/>
    <n v="60"/>
    <n v="350"/>
    <n v="90"/>
    <n v="0"/>
    <n v="0"/>
    <n v="224594.99999999997"/>
    <n v="57752.999999999993"/>
    <n v="0"/>
    <n v="0"/>
    <n v="350"/>
    <n v="224594.99999999997"/>
    <n v="316852.9411764706"/>
    <n v="85"/>
    <n v="260"/>
    <n v="127.5"/>
    <n v="0"/>
    <n v="0"/>
    <n v="166841.99999999997"/>
    <n v="81816.749999999985"/>
    <n v="0"/>
    <n v="260"/>
    <n v="166841.99999999997"/>
    <n v="427500"/>
    <n v="36"/>
    <n v="132.5"/>
    <n v="54"/>
    <n v="0"/>
    <m/>
    <n v="85025.249999999985"/>
    <n v="37314"/>
    <n v="0"/>
    <n v="132.5"/>
    <n v="85025.249999999985"/>
    <n v="181058.82352941178"/>
  </r>
  <r>
    <s v="Simplit-Cristalería y Bar"/>
    <x v="2"/>
    <x v="20"/>
    <x v="55"/>
    <n v="66800509015029"/>
    <x v="538"/>
    <x v="376"/>
    <x v="0"/>
    <x v="0"/>
    <n v="1"/>
    <x v="326"/>
    <n v="320"/>
    <m/>
    <n v="0"/>
    <n v="1538"/>
    <n v="492160"/>
    <n v="1.42"/>
    <n v="1551.35"/>
    <n v="3352.9411764705883"/>
    <n v="3352.9411764705883"/>
    <s v="Shenzhen"/>
    <x v="0"/>
    <n v="30"/>
    <n v="100"/>
    <n v="190"/>
    <n v="0.59873444627274264"/>
    <n v="89"/>
    <n v="0.72030722530293001"/>
    <n v="107"/>
    <n v="0.5526804662765038"/>
    <n v="92"/>
    <n v="0.5972165059951885"/>
    <n v="70"/>
    <n v="0.55872439845300015"/>
    <n v="112"/>
    <n v="0.59713032259552745"/>
    <n v="43"/>
    <n v="0.64750628732831306"/>
    <n v="28"/>
    <n v="0.57626784103478756"/>
    <n v="3"/>
    <n v="0.796094927433461"/>
    <n v="70"/>
    <n v="0.58595869076335116"/>
    <n v="47"/>
    <n v="0.74967103042124628"/>
    <n v="68"/>
    <n v="0.69270302178523169"/>
    <n v="79"/>
    <n v="0.62174275570611659"/>
    <n v="84"/>
    <n v="0.64190052913578655"/>
    <n v="118"/>
    <n v="0.55268045831660917"/>
    <n v="125"/>
    <n v="0.59875275062941691"/>
    <n v="1.0416666666666667"/>
    <n v="88"/>
    <n v="0.558736968768488"/>
    <n v="1.2571428571428571"/>
    <n v="109"/>
    <n v="0.60716572877727248"/>
    <n v="0.90833333333333333"/>
    <n v="38"/>
    <n v="0.65733092352090894"/>
    <n v="0.51351351351351349"/>
    <n v="200"/>
    <n v="474"/>
    <n v="80"/>
    <n v="300"/>
    <n v="300"/>
    <n v="0"/>
    <n v="498312"/>
    <n v="696637.79999999993"/>
    <n v="123040"/>
    <n v="0"/>
    <n v="320"/>
    <n v="492160"/>
    <n v="225407.81018289673"/>
    <n v="100"/>
    <n v="661"/>
    <n v="126"/>
    <n v="200"/>
    <n v="0"/>
    <n v="0"/>
    <n v="567522"/>
    <n v="971471.69999999984"/>
    <n v="193788"/>
    <n v="0"/>
    <n v="320"/>
    <n v="492160"/>
    <n v="355017.30103806232"/>
    <n v="110"/>
    <n v="583"/>
    <n v="118"/>
    <n v="0"/>
    <n v="0"/>
    <n v="476613"/>
    <n v="896654"/>
    <n v="181484"/>
    <n v="0"/>
    <n v="320"/>
    <n v="492160"/>
    <n v="395647.0588235294"/>
    <n v="120"/>
    <n v="440"/>
    <n v="125"/>
    <n v="0"/>
    <n v="0"/>
    <n v="646667.99999999988"/>
    <n v="192250"/>
    <x v="0"/>
    <x v="0"/>
    <n v="320"/>
    <n v="492160"/>
    <n v="419117.64705882355"/>
    <n v="70"/>
    <n v="408"/>
    <n v="70"/>
    <m/>
    <n v="0"/>
    <n v="0"/>
    <n v="627504"/>
    <n v="102878.99999999999"/>
    <x v="0"/>
    <n v="0"/>
    <n v="320"/>
    <n v="492160"/>
    <n v="234705.88235294117"/>
    <n v="120"/>
    <n v="429"/>
    <n v="109"/>
    <m/>
    <n v="200"/>
    <n v="0"/>
    <n v="659802"/>
    <n v="160197.29999999999"/>
    <n v="0"/>
    <n v="0"/>
    <n v="429"/>
    <n v="492160"/>
    <n v="365470.5882352941"/>
    <n v="74"/>
    <n v="358"/>
    <n v="74"/>
    <n v="0"/>
    <n v="0"/>
    <n v="0"/>
    <n v="550604"/>
    <n v="108757.79999999999"/>
    <n v="0"/>
    <n v="0"/>
    <n v="358"/>
    <n v="492160"/>
    <n v="248117.64705882352"/>
    <n v="60"/>
    <n v="284"/>
    <n v="60"/>
    <n v="0"/>
    <n v="0"/>
    <n v="0"/>
    <n v="436792"/>
    <n v="88181.999999999985"/>
    <n v="0"/>
    <n v="0"/>
    <n v="284"/>
    <n v="436792"/>
    <n v="201176.4705882353"/>
    <n v="57"/>
    <n v="224"/>
    <n v="57"/>
    <n v="0"/>
    <n v="0"/>
    <m/>
    <n v="329212.79999999993"/>
    <n v="83772.899999999994"/>
    <n v="0"/>
    <n v="0"/>
    <n v="224"/>
    <n v="329212.79999999993"/>
    <n v="191117.64705882352"/>
    <n v="50"/>
    <n v="167"/>
    <n v="50"/>
    <n v="0"/>
    <n v="0"/>
    <n v="0"/>
    <m/>
    <n v="245439.89999999997"/>
    <n v="73484.999999999985"/>
    <n v="0"/>
    <n v="0"/>
    <n v="167"/>
    <n v="245439.89999999997"/>
    <n v="167647.05882352943"/>
    <n v="50"/>
    <n v="117"/>
    <n v="50"/>
    <n v="0"/>
    <n v="0"/>
    <n v="171954.89999999997"/>
    <n v="73484.999999999985"/>
    <n v="0"/>
    <n v="0"/>
    <n v="117"/>
    <n v="171954.89999999997"/>
    <n v="176029.4117647059"/>
    <n v="80"/>
    <n v="67"/>
    <n v="80"/>
    <n v="0"/>
    <n v="0"/>
    <n v="98469.9"/>
    <n v="117575.99999999999"/>
    <n v="0"/>
    <n v="67"/>
    <n v="98469.9"/>
    <n v="268235.29411764705"/>
    <n v="30"/>
    <n v="0"/>
    <n v="30"/>
    <n v="0"/>
    <m/>
    <n v="0"/>
    <n v="46140"/>
    <n v="0"/>
    <n v="0"/>
    <n v="0"/>
    <n v="100588.23529411765"/>
  </r>
  <r>
    <s v="Simplit-Cristalería y Bar"/>
    <x v="2"/>
    <x v="20"/>
    <x v="55"/>
    <n v="66800510263382"/>
    <x v="539"/>
    <x v="377"/>
    <x v="0"/>
    <x v="4"/>
    <n v="1.1000000000000001"/>
    <x v="327"/>
    <n v="1903"/>
    <m/>
    <n v="0"/>
    <n v="1312"/>
    <n v="2496736"/>
    <n v="1.1200000000000001"/>
    <n v="1223.5999999999999"/>
    <n v="3352.9411764705883"/>
    <n v="3352.9411764705883"/>
    <s v="Shenzhen"/>
    <x v="0"/>
    <n v="30"/>
    <n v="300"/>
    <n v="418"/>
    <n v="0.65973875272610039"/>
    <n v="351"/>
    <n v="0.79030310885255428"/>
    <n v="258"/>
    <n v="0.68192810990876118"/>
    <n v="174"/>
    <n v="0.65979379857126819"/>
    <n v="120"/>
    <n v="0.63496801334733233"/>
    <n v="68"/>
    <n v="0.63066986855692186"/>
    <n v="13"/>
    <n v="0.63391469521671562"/>
    <n v="41"/>
    <n v="0.70048998061600909"/>
    <n v="12"/>
    <n v="0.81470159436501988"/>
    <n v="51"/>
    <n v="0.69815253814431955"/>
    <n v="36"/>
    <n v="0.82192064102910689"/>
    <n v="53"/>
    <n v="0.75919030369412921"/>
    <n v="137"/>
    <n v="0.7162480483011533"/>
    <n v="79"/>
    <n v="0.72393373041760423"/>
    <n v="194"/>
    <n v="0.6894343444083797"/>
    <n v="121"/>
    <n v="0.66027086983000283"/>
    <n v="1.21"/>
    <n v="96"/>
    <n v="0.63733023775823494"/>
    <n v="0.96"/>
    <n v="143"/>
    <n v="0.63087727393198634"/>
    <n v="0.95333333333333337"/>
    <n v="32"/>
    <n v="0.63391469162344161"/>
    <n v="0.38095238095238093"/>
    <n v="400"/>
    <n v="1480"/>
    <n v="150"/>
    <n v="550"/>
    <n v="550"/>
    <n v="0"/>
    <n v="606800"/>
    <n v="1715616"/>
    <n v="196800"/>
    <n v="0"/>
    <n v="1903"/>
    <n v="2496736"/>
    <n v="422639.64409293135"/>
    <n v="351"/>
    <n v="1873"/>
    <n v="118.5"/>
    <n v="650"/>
    <n v="0"/>
    <n v="0"/>
    <n v="568752"/>
    <n v="2171181.6"/>
    <n v="155472"/>
    <n v="0"/>
    <n v="1903"/>
    <n v="2496736"/>
    <n v="333885.31883341575"/>
    <n v="250"/>
    <n v="1799"/>
    <n v="194"/>
    <n v="0"/>
    <n v="0"/>
    <n v="540792"/>
    <n v="2360288"/>
    <n v="254528"/>
    <n v="0"/>
    <n v="1903"/>
    <n v="2496736"/>
    <n v="650470.5882352941"/>
    <n v="100"/>
    <n v="1568"/>
    <n v="121"/>
    <n v="0"/>
    <n v="0"/>
    <n v="1817625.6000000001"/>
    <n v="158752"/>
    <x v="0"/>
    <x v="0"/>
    <n v="1903"/>
    <n v="2496736"/>
    <n v="405705.8823529412"/>
    <n v="100"/>
    <n v="1999"/>
    <n v="110.00000000000001"/>
    <m/>
    <n v="0"/>
    <n v="0"/>
    <n v="2622688"/>
    <n v="127512.00000000001"/>
    <x v="0"/>
    <n v="0"/>
    <n v="1903"/>
    <n v="2496736"/>
    <n v="368823.52941176476"/>
    <n v="150"/>
    <n v="2046"/>
    <n v="143"/>
    <m/>
    <n v="0"/>
    <n v="0"/>
    <n v="2684352"/>
    <n v="165765.6"/>
    <n v="0"/>
    <n v="0"/>
    <n v="2046"/>
    <n v="2496736"/>
    <n v="479470.5882352941"/>
    <n v="84"/>
    <n v="1935"/>
    <n v="92.4"/>
    <n v="0"/>
    <n v="0"/>
    <n v="0"/>
    <n v="2538720"/>
    <n v="107110.08000000002"/>
    <n v="0"/>
    <n v="0"/>
    <n v="1935"/>
    <n v="2496736"/>
    <n v="309811.76470588235"/>
    <n v="80"/>
    <n v="1842.6"/>
    <n v="88"/>
    <n v="0"/>
    <n v="0"/>
    <n v="0"/>
    <n v="2417491.1999999997"/>
    <n v="102009.60000000001"/>
    <n v="0"/>
    <n v="0"/>
    <n v="1842.6"/>
    <n v="2417491.1999999997"/>
    <n v="295058.82352941175"/>
    <n v="68"/>
    <n v="1754.6"/>
    <n v="74.800000000000011"/>
    <n v="0"/>
    <n v="0"/>
    <m/>
    <n v="2033932.32"/>
    <n v="86708.160000000018"/>
    <n v="0"/>
    <n v="0"/>
    <n v="1754.6"/>
    <n v="2033932.32"/>
    <n v="250800.00000000003"/>
    <n v="80"/>
    <n v="1679.8"/>
    <n v="88"/>
    <n v="0"/>
    <n v="0"/>
    <n v="0"/>
    <m/>
    <n v="1947224.16"/>
    <n v="102009.60000000001"/>
    <n v="0"/>
    <n v="0"/>
    <n v="1679.8"/>
    <n v="1947224.16"/>
    <n v="295058.82352941175"/>
    <n v="60"/>
    <n v="1591.8"/>
    <n v="66"/>
    <n v="0"/>
    <n v="0"/>
    <n v="1845214.56"/>
    <n v="76507.199999999997"/>
    <n v="0"/>
    <n v="0"/>
    <n v="1591.8"/>
    <n v="1845214.56"/>
    <n v="232358.82352941178"/>
    <n v="100"/>
    <n v="1525.8"/>
    <n v="110.00000000000001"/>
    <n v="0"/>
    <n v="0"/>
    <n v="1768707.36"/>
    <n v="127512.00000000001"/>
    <n v="0"/>
    <n v="1525.8"/>
    <n v="1768707.36"/>
    <n v="368823.52941176476"/>
    <n v="36"/>
    <n v="1415.8"/>
    <n v="39.6"/>
    <n v="0"/>
    <m/>
    <n v="1641195.36"/>
    <n v="51955.200000000004"/>
    <n v="0"/>
    <n v="1415.8"/>
    <n v="1641195.36"/>
    <n v="132776.4705882353"/>
  </r>
  <r>
    <s v="Simplit-Cristalería y Bar"/>
    <x v="2"/>
    <x v="20"/>
    <x v="56"/>
    <n v="67933856404072"/>
    <x v="540"/>
    <x v="378"/>
    <x v="0"/>
    <x v="3"/>
    <n v="1"/>
    <x v="328"/>
    <n v="74"/>
    <m/>
    <n v="0"/>
    <n v="2380.3324878333669"/>
    <n v="176144.60409966914"/>
    <n v="3.15"/>
    <n v="3441.3749999999995"/>
    <n v="8394.957983193277"/>
    <n v="7554.6218487394963"/>
    <s v="Shenzhen"/>
    <x v="0"/>
    <n v="30"/>
    <n v="100"/>
    <n v="66"/>
    <n v="0.69358553829274505"/>
    <n v="68"/>
    <n v="0.68054838193990064"/>
    <n v="50"/>
    <n v="0.72343286872591606"/>
    <n v="75"/>
    <n v="0.72511985517336863"/>
    <n v="8"/>
    <n v="0.76164386899383596"/>
    <n v="113"/>
    <n v="0.74476613716014406"/>
    <n v="76"/>
    <n v="0.76764040392959132"/>
    <n v="68"/>
    <n v="0.78287398774498029"/>
    <n v="55"/>
    <n v="0.77289284020682381"/>
    <n v="89"/>
    <n v="0.73049512197938804"/>
    <n v="96"/>
    <n v="0.71583849100720853"/>
    <n v="107"/>
    <n v="0.75188803535858373"/>
    <n v="95"/>
    <n v="0.68713240152551414"/>
    <n v="111"/>
    <n v="0.67122348214074889"/>
    <n v="137"/>
    <n v="0.71676060897403604"/>
    <n v="104"/>
    <n v="0.72410858818785906"/>
    <n v="1.04"/>
    <n v="112"/>
    <n v="0.75121147677682554"/>
    <n v="0.89600000000000002"/>
    <n v="155"/>
    <n v="0.74503424694071285"/>
    <n v="0.68888888888888888"/>
    <n v="24"/>
    <n v="0.76752385342544527"/>
    <n v="0.21238938053097345"/>
    <n v="80"/>
    <n v="227"/>
    <n v="120"/>
    <n v="200"/>
    <n v="200"/>
    <n v="0"/>
    <n v="1008070.8085974308"/>
    <n v="740076.74999999988"/>
    <n v="285639.89854000404"/>
    <n v="0"/>
    <n v="74"/>
    <n v="176144.60409966914"/>
    <n v="846550.3848598263"/>
    <n v="100"/>
    <n v="328"/>
    <n v="166.5"/>
    <n v="200"/>
    <n v="100"/>
    <n v="0"/>
    <n v="969985.48879209708"/>
    <n v="1069361.9999999998"/>
    <n v="396325.3592242556"/>
    <n v="0"/>
    <n v="74"/>
    <n v="176144.60409966914"/>
    <n v="1174588.658993009"/>
    <n v="120"/>
    <n v="205"/>
    <n v="137"/>
    <n v="0"/>
    <n v="0"/>
    <n v="981191.3795678413"/>
    <n v="487968.16000584024"/>
    <n v="326105.55083317129"/>
    <n v="0"/>
    <n v="74"/>
    <n v="176144.60409966914"/>
    <n v="1150109.2436974789"/>
    <n v="100"/>
    <n v="279"/>
    <n v="104"/>
    <n v="0"/>
    <n v="0"/>
    <n v="909609.74999999988"/>
    <n v="247554.57873467015"/>
    <x v="0"/>
    <x v="0"/>
    <n v="74"/>
    <n v="176144.60409966914"/>
    <n v="873075.63025210076"/>
    <n v="125"/>
    <n v="186"/>
    <n v="125"/>
    <m/>
    <n v="0"/>
    <n v="0"/>
    <n v="442741.84273700626"/>
    <n v="407531.24999999994"/>
    <x v="0"/>
    <n v="0"/>
    <n v="74"/>
    <n v="176144.60409966914"/>
    <n v="1049369.7478991596"/>
    <n v="225"/>
    <n v="229"/>
    <n v="155"/>
    <m/>
    <n v="0"/>
    <n v="0"/>
    <n v="545096.13971384102"/>
    <n v="505338.74999999994"/>
    <n v="0"/>
    <n v="0"/>
    <n v="229"/>
    <n v="176144.60409966914"/>
    <n v="1301218.487394958"/>
    <n v="113"/>
    <n v="98"/>
    <n v="113"/>
    <n v="200"/>
    <n v="200"/>
    <n v="0"/>
    <n v="233272.58380766996"/>
    <n v="368408.24999999994"/>
    <n v="630315"/>
    <n v="0"/>
    <n v="98"/>
    <n v="176144.60409966914"/>
    <n v="948630.25210084033"/>
    <n v="88"/>
    <n v="0"/>
    <n v="88"/>
    <n v="150"/>
    <n v="150"/>
    <n v="0"/>
    <n v="0"/>
    <n v="286901.99999999994"/>
    <n v="489037.49999999994"/>
    <n v="0"/>
    <n v="150"/>
    <n v="489037.49999999994"/>
    <n v="738756.30252100842"/>
    <n v="81"/>
    <n v="0"/>
    <n v="81"/>
    <n v="300"/>
    <n v="300"/>
    <n v="300"/>
    <n v="0"/>
    <n v="264080.24999999994"/>
    <n v="978074.99999999988"/>
    <n v="978074.99999999988"/>
    <n v="300"/>
    <n v="978074.99999999988"/>
    <n v="679991.59663865541"/>
    <n v="120"/>
    <n v="219"/>
    <n v="120"/>
    <n v="0"/>
    <n v="0"/>
    <n v="0"/>
    <m/>
    <n v="713994.74999999988"/>
    <n v="391229.99999999994"/>
    <n v="0"/>
    <n v="0"/>
    <n v="219"/>
    <n v="713994.74999999988"/>
    <n v="906554.62184873957"/>
    <n v="80"/>
    <n v="99"/>
    <n v="80"/>
    <n v="0"/>
    <n v="0"/>
    <n v="322764.74999999994"/>
    <n v="260819.99999999997"/>
    <n v="0"/>
    <n v="0"/>
    <n v="99"/>
    <n v="322764.74999999994"/>
    <n v="634588.23529411771"/>
    <n v="120"/>
    <n v="19"/>
    <n v="120"/>
    <n v="0"/>
    <n v="0"/>
    <n v="61944.749999999993"/>
    <n v="391229.99999999994"/>
    <n v="0"/>
    <n v="19"/>
    <n v="61944.749999999993"/>
    <n v="1007394.9579831932"/>
    <n v="48"/>
    <n v="0"/>
    <n v="48"/>
    <n v="0"/>
    <m/>
    <n v="0"/>
    <n v="114255.95941600161"/>
    <n v="0"/>
    <n v="0"/>
    <n v="0"/>
    <n v="402957.98319327726"/>
  </r>
  <r>
    <s v="Simplit-Cristalería y Bar"/>
    <x v="2"/>
    <x v="20"/>
    <x v="56"/>
    <n v="67933857637909"/>
    <x v="541"/>
    <x v="379"/>
    <x v="0"/>
    <x v="3"/>
    <n v="1"/>
    <x v="329"/>
    <n v="99"/>
    <m/>
    <n v="0"/>
    <n v="3131.240390927825"/>
    <n v="309992.79870185466"/>
    <n v="3.7"/>
    <n v="4042.2499999999995"/>
    <n v="12596.638655462186"/>
    <n v="11756.302521008403"/>
    <s v="Shenzhen"/>
    <x v="0"/>
    <n v="30"/>
    <n v="100"/>
    <n v="121"/>
    <n v="0.77934341681499086"/>
    <n v="90"/>
    <n v="0.76498683038048298"/>
    <n v="94"/>
    <n v="0.75664346899573309"/>
    <n v="147"/>
    <n v="0.76768414235646665"/>
    <n v="71"/>
    <n v="0.77818123370343451"/>
    <n v="232"/>
    <n v="0.75220224971808858"/>
    <n v="61"/>
    <n v="0.78035605129967145"/>
    <n v="19"/>
    <n v="0.806787292992451"/>
    <n v="101"/>
    <n v="0.7878532280341114"/>
    <n v="196"/>
    <n v="0.72514424639268449"/>
    <n v="177"/>
    <n v="0.80650350316627772"/>
    <n v="209"/>
    <n v="0.768945063920348"/>
    <n v="217"/>
    <n v="0.74982251292808455"/>
    <n v="175"/>
    <n v="0.75867085594359951"/>
    <n v="156"/>
    <n v="0.7570648725050495"/>
    <n v="119"/>
    <n v="0.76699779440643645"/>
    <n v="0.79333333333333333"/>
    <n v="171"/>
    <n v="0.77710969122566365"/>
    <n v="1.3153846153846154"/>
    <n v="264"/>
    <n v="0.75230859372215897"/>
    <n v="1.1478260869565218"/>
    <n v="45"/>
    <n v="0.78065313939093606"/>
    <n v="0.375"/>
    <n v="120"/>
    <n v="411"/>
    <n v="250"/>
    <n v="200"/>
    <n v="200"/>
    <n v="0"/>
    <n v="2093234.2013352511"/>
    <n v="1573924.4999999998"/>
    <n v="782810.09773195628"/>
    <n v="0"/>
    <n v="99"/>
    <n v="309992.79870185466"/>
    <n v="2646352.6587105435"/>
    <n v="180"/>
    <n v="345"/>
    <n v="262.5"/>
    <n v="350"/>
    <n v="100"/>
    <n v="0"/>
    <n v="1683041.7101237061"/>
    <n v="1321177.4999999998"/>
    <n v="821950.60261855402"/>
    <n v="0"/>
    <n v="99"/>
    <n v="309992.79870185466"/>
    <n v="2778670.2916460708"/>
    <n v="183"/>
    <n v="102"/>
    <n v="156"/>
    <n v="0"/>
    <n v="0"/>
    <n v="1358926.107505152"/>
    <n v="319386.51987463818"/>
    <n v="488473.50098474073"/>
    <n v="0"/>
    <n v="99"/>
    <n v="309992.79870185466"/>
    <n v="1965075.630252101"/>
    <n v="150"/>
    <n v="301"/>
    <n v="119"/>
    <n v="0"/>
    <n v="0"/>
    <n v="1152679.4999999998"/>
    <n v="372617.60652041121"/>
    <x v="0"/>
    <x v="0"/>
    <n v="99"/>
    <n v="309992.79870185466"/>
    <n v="1499000"/>
    <n v="130"/>
    <n v="270"/>
    <n v="130"/>
    <m/>
    <n v="0"/>
    <n v="0"/>
    <n v="845434.90555051272"/>
    <n v="497834.99999999994"/>
    <x v="0"/>
    <n v="0"/>
    <n v="99"/>
    <n v="309992.79870185466"/>
    <n v="1637563.0252100842"/>
    <n v="230"/>
    <n v="363"/>
    <n v="264"/>
    <m/>
    <n v="0"/>
    <n v="0"/>
    <n v="1136640.2619068006"/>
    <n v="1010987.9999999999"/>
    <n v="0"/>
    <n v="0"/>
    <n v="363"/>
    <n v="309992.79870185466"/>
    <n v="3325512.6050420171"/>
    <n v="120"/>
    <n v="144"/>
    <n v="120"/>
    <n v="300"/>
    <n v="300"/>
    <n v="0"/>
    <n v="450898.61629360681"/>
    <n v="459539.99999999994"/>
    <n v="1110555"/>
    <n v="0"/>
    <n v="144"/>
    <n v="309992.79870185466"/>
    <n v="1511596.6386554623"/>
    <n v="81"/>
    <n v="24"/>
    <n v="81"/>
    <n v="200"/>
    <n v="200"/>
    <n v="0"/>
    <n v="75149.769382267797"/>
    <n v="310189.49999999994"/>
    <n v="765899.99999999988"/>
    <n v="0"/>
    <n v="224"/>
    <n v="841049.76938226772"/>
    <n v="1020327.7310924371"/>
    <n v="100"/>
    <n v="0"/>
    <n v="100"/>
    <n v="300"/>
    <n v="300"/>
    <n v="300"/>
    <n v="0"/>
    <n v="382949.99999999994"/>
    <n v="1148849.9999999998"/>
    <n v="1148849.9999999998"/>
    <n v="300"/>
    <n v="1148849.9999999998"/>
    <n v="1259663.8655462186"/>
    <n v="200"/>
    <n v="200"/>
    <n v="200"/>
    <n v="0"/>
    <n v="0"/>
    <n v="0"/>
    <m/>
    <n v="765899.99999999988"/>
    <n v="765899.99999999988"/>
    <n v="0"/>
    <n v="0"/>
    <n v="200"/>
    <n v="765899.99999999988"/>
    <n v="2351260.5042016809"/>
    <n v="150"/>
    <n v="0"/>
    <n v="150"/>
    <n v="300"/>
    <n v="300"/>
    <n v="0"/>
    <n v="574424.99999999988"/>
    <n v="1148849.9999999998"/>
    <n v="1148849.9999999998"/>
    <n v="300"/>
    <n v="1148849.9999999998"/>
    <n v="1851617.6470588236"/>
    <n v="180"/>
    <n v="150"/>
    <n v="180"/>
    <n v="0"/>
    <n v="0"/>
    <n v="574424.99999999988"/>
    <n v="689309.99999999988"/>
    <n v="0"/>
    <n v="150"/>
    <n v="574424.99999999988"/>
    <n v="2267394.9579831935"/>
    <n v="90"/>
    <n v="0"/>
    <n v="90"/>
    <n v="0"/>
    <m/>
    <n v="0"/>
    <n v="281811.63518350426"/>
    <n v="0"/>
    <n v="0"/>
    <n v="0"/>
    <n v="1133697.4789915967"/>
  </r>
  <r>
    <s v="Simplit-Cristalería y Bar"/>
    <x v="2"/>
    <x v="20"/>
    <x v="56"/>
    <n v="67933859111971"/>
    <x v="542"/>
    <x v="380"/>
    <x v="0"/>
    <x v="0"/>
    <n v="1"/>
    <x v="330"/>
    <n v="176"/>
    <m/>
    <n v="0"/>
    <n v="3727.1587499999991"/>
    <n v="655979.93999999983"/>
    <n v="3.5999999999999996"/>
    <n v="3932.9999999999991"/>
    <n v="9235.2941176470595"/>
    <n v="8394.957983193277"/>
    <s v="Shenzhen"/>
    <x v="0"/>
    <n v="30"/>
    <n v="100"/>
    <n v="170"/>
    <n v="0.55815730379666961"/>
    <n v="44"/>
    <n v="0.53365983380937165"/>
    <n v="75"/>
    <n v="0.50520572039149991"/>
    <n v="43"/>
    <n v="0.55132791949577953"/>
    <n v="36"/>
    <n v="0.56692980991053543"/>
    <n v="103"/>
    <n v="0.5326810105352402"/>
    <n v="48"/>
    <n v="0.5853942024137192"/>
    <n v="30"/>
    <n v="0.5935495336691935"/>
    <n v="32"/>
    <n v="0.61735124210426917"/>
    <n v="68"/>
    <n v="0.56573190647028937"/>
    <n v="46"/>
    <n v="0.59295232946721099"/>
    <n v="58"/>
    <n v="0.62035047559567158"/>
    <n v="43"/>
    <n v="0.55402738271137542"/>
    <n v="28"/>
    <n v="0.52422967351378702"/>
    <n v="53"/>
    <n v="0.50408184777946785"/>
    <n v="56"/>
    <n v="0.55043255840302197"/>
    <n v="1.1200000000000001"/>
    <n v="68"/>
    <n v="0.56692980537903315"/>
    <n v="1.7"/>
    <n v="38"/>
    <n v="0.53195895375041646"/>
    <n v="0.40860215053763443"/>
    <n v="32"/>
    <n v="0.58779409879154432"/>
    <n v="0.71111111111111114"/>
    <n v="100"/>
    <n v="148"/>
    <n v="30"/>
    <n v="200"/>
    <n v="200"/>
    <n v="0"/>
    <n v="465894.84374999988"/>
    <n v="551447.99999999988"/>
    <n v="111814.76249999997"/>
    <n v="0"/>
    <n v="176"/>
    <n v="655979.93999999983"/>
    <n v="232822.54078101832"/>
    <n v="60"/>
    <n v="319"/>
    <n v="42"/>
    <n v="100"/>
    <n v="100"/>
    <n v="0"/>
    <n v="562800.97124999994"/>
    <n v="1188593.9999999998"/>
    <n v="156540.66749999995"/>
    <n v="0"/>
    <n v="176"/>
    <n v="655979.93999999983"/>
    <n v="325951.55709342565"/>
    <n v="80"/>
    <n v="288"/>
    <n v="53"/>
    <n v="0"/>
    <n v="0"/>
    <n v="555300.30374999985"/>
    <n v="1073421.7199999997"/>
    <n v="197539.41374999995"/>
    <n v="0"/>
    <n v="176"/>
    <n v="655979.93999999983"/>
    <n v="489470.58823529416"/>
    <n v="50"/>
    <n v="338"/>
    <n v="56"/>
    <n v="0"/>
    <n v="0"/>
    <n v="1259387.9999999998"/>
    <n v="208720.88999999996"/>
    <x v="0"/>
    <x v="0"/>
    <n v="176"/>
    <n v="655979.93999999983"/>
    <n v="517176.4705882353"/>
    <n v="40"/>
    <n v="244"/>
    <n v="40"/>
    <m/>
    <n v="0"/>
    <n v="0"/>
    <n v="909426.73499999975"/>
    <n v="149039.99999999997"/>
    <x v="0"/>
    <n v="0"/>
    <n v="176"/>
    <n v="655979.93999999983"/>
    <n v="369411.76470588241"/>
    <n v="93"/>
    <n v="214"/>
    <n v="38"/>
    <m/>
    <n v="0"/>
    <n v="0"/>
    <n v="797611.9724999998"/>
    <n v="141587.99999999997"/>
    <n v="0"/>
    <n v="0"/>
    <n v="214"/>
    <n v="655979.93999999983"/>
    <n v="350941.17647058825"/>
    <n v="45"/>
    <n v="208"/>
    <n v="45"/>
    <n v="0"/>
    <n v="0"/>
    <n v="0"/>
    <n v="775249.01999999979"/>
    <n v="167669.99999999997"/>
    <n v="0"/>
    <n v="0"/>
    <n v="208"/>
    <n v="655979.93999999983"/>
    <n v="415588.23529411765"/>
    <n v="30"/>
    <n v="163"/>
    <n v="30"/>
    <n v="0"/>
    <n v="0"/>
    <n v="0"/>
    <n v="607526.87624999986"/>
    <n v="111779.99999999997"/>
    <n v="0"/>
    <n v="0"/>
    <n v="163"/>
    <n v="607526.87624999986"/>
    <n v="277058.82352941181"/>
    <n v="40"/>
    <n v="133"/>
    <n v="40"/>
    <n v="100"/>
    <n v="100"/>
    <n v="0"/>
    <n v="495557.99999999988"/>
    <n v="149039.99999999997"/>
    <n v="372599.99999999988"/>
    <n v="0"/>
    <n v="133"/>
    <n v="495557.99999999988"/>
    <n v="369411.76470588241"/>
    <n v="70"/>
    <n v="93"/>
    <n v="70"/>
    <n v="0"/>
    <n v="0"/>
    <n v="0"/>
    <n v="100"/>
    <n v="346517.99999999994"/>
    <n v="260819.99999999994"/>
    <n v="0"/>
    <n v="372599.99999999988"/>
    <n v="93"/>
    <n v="719117.99999999977"/>
    <n v="587647.0588235294"/>
    <n v="40"/>
    <n v="23"/>
    <n v="40"/>
    <n v="150"/>
    <n v="150"/>
    <n v="85697.999999999985"/>
    <n v="149039.99999999997"/>
    <n v="558899.99999999988"/>
    <n v="558899.99999999988"/>
    <n v="173"/>
    <n v="644597.99999999988"/>
    <n v="352588.23529411765"/>
    <n v="50"/>
    <n v="133"/>
    <n v="50"/>
    <n v="0"/>
    <n v="0"/>
    <n v="495557.99999999988"/>
    <n v="186299.99999999994"/>
    <n v="0"/>
    <n v="133"/>
    <n v="495557.99999999988"/>
    <n v="461764.70588235295"/>
    <n v="24"/>
    <n v="83"/>
    <n v="24"/>
    <n v="0"/>
    <m/>
    <n v="309257.99999999994"/>
    <n v="89451.809999999983"/>
    <n v="0"/>
    <n v="83"/>
    <n v="309257.99999999994"/>
    <n v="221647.05882352943"/>
  </r>
  <r>
    <s v="Simplit-Cristalería y Bar"/>
    <x v="2"/>
    <x v="20"/>
    <x v="56"/>
    <n v="67933863068841"/>
    <x v="543"/>
    <x v="381"/>
    <x v="0"/>
    <x v="4"/>
    <n v="1"/>
    <x v="331"/>
    <n v="143"/>
    <m/>
    <n v="0"/>
    <n v="4301.9228070175441"/>
    <n v="615174.96140350879"/>
    <n v="3.95"/>
    <n v="4315.375"/>
    <n v="9235.2941176470595"/>
    <n v="8394.957983193277"/>
    <s v="Shenzhen"/>
    <x v="0"/>
    <n v="30"/>
    <n v="100"/>
    <n v="97"/>
    <n v="0.4856001070502316"/>
    <n v="40"/>
    <n v="0.47488685209596632"/>
    <n v="58"/>
    <n v="0.47576880637712476"/>
    <n v="33"/>
    <n v="0.51678933670447991"/>
    <n v="29"/>
    <n v="0.57811436975346453"/>
    <n v="74"/>
    <n v="0.52123946632703677"/>
    <n v="39"/>
    <n v="0.5246671625849938"/>
    <n v="18"/>
    <n v="0.55559413055602958"/>
    <n v="30"/>
    <n v="0.5533248390285046"/>
    <n v="63"/>
    <n v="0.5021993783965355"/>
    <n v="49"/>
    <n v="0.50376264498790646"/>
    <n v="69"/>
    <n v="0.50444132137937125"/>
    <n v="37"/>
    <n v="0.47607829951283664"/>
    <n v="32"/>
    <n v="0.48736450580194518"/>
    <n v="29"/>
    <n v="0.47579833150494838"/>
    <n v="57"/>
    <n v="0.51678933533865345"/>
    <n v="0.95"/>
    <n v="24"/>
    <n v="0.56390812055202411"/>
    <n v="0.6"/>
    <n v="34"/>
    <n v="0.51300095332266882"/>
    <n v="0.42499999999999999"/>
    <n v="5"/>
    <n v="0.52477374903801521"/>
    <n v="0.125"/>
    <n v="65"/>
    <n v="77"/>
    <n v="20"/>
    <n v="120"/>
    <n v="120"/>
    <n v="0"/>
    <n v="417286.51228070178"/>
    <n v="314795.24999999994"/>
    <n v="86038.456140350885"/>
    <n v="0"/>
    <n v="143"/>
    <n v="615174.96140350879"/>
    <n v="155215.02718734555"/>
    <n v="40"/>
    <n v="159"/>
    <n v="48"/>
    <n v="0"/>
    <n v="0"/>
    <n v="0"/>
    <n v="576457.65614035085"/>
    <n v="650031.74999999988"/>
    <n v="206492.2947368421"/>
    <n v="0"/>
    <n v="143"/>
    <n v="615174.96140350879"/>
    <n v="372516.06524962932"/>
    <n v="60"/>
    <n v="128"/>
    <n v="29"/>
    <n v="0"/>
    <n v="0"/>
    <n v="533495.36140350881"/>
    <n v="550646.11929824564"/>
    <n v="124755.76140350878"/>
    <n v="0"/>
    <n v="143"/>
    <n v="615174.96140350879"/>
    <n v="267823.5294117647"/>
    <n v="60"/>
    <n v="250"/>
    <n v="57"/>
    <n v="150"/>
    <n v="0"/>
    <n v="1022062.4999999999"/>
    <n v="245209.60000000001"/>
    <x v="87"/>
    <x v="0"/>
    <n v="143"/>
    <n v="615174.96140350879"/>
    <n v="526411.76470588241"/>
    <n v="40"/>
    <n v="167"/>
    <n v="40"/>
    <m/>
    <n v="0"/>
    <n v="0"/>
    <n v="718421.10877192987"/>
    <n v="163529.99999999997"/>
    <x v="0"/>
    <n v="0"/>
    <n v="143"/>
    <n v="615174.96140350879"/>
    <n v="369411.76470588241"/>
    <n v="80"/>
    <n v="177"/>
    <n v="34"/>
    <m/>
    <n v="0"/>
    <n v="0"/>
    <n v="761440.33684210526"/>
    <n v="139000.49999999997"/>
    <n v="0"/>
    <n v="0"/>
    <n v="177"/>
    <n v="615174.96140350879"/>
    <n v="314000"/>
    <n v="40"/>
    <n v="148"/>
    <n v="40"/>
    <n v="0"/>
    <n v="0"/>
    <n v="0"/>
    <n v="636684.57543859654"/>
    <n v="163529.99999999997"/>
    <n v="0"/>
    <n v="0"/>
    <n v="148"/>
    <n v="615174.96140350879"/>
    <n v="369411.76470588241"/>
    <n v="34"/>
    <n v="108"/>
    <n v="34"/>
    <n v="0"/>
    <n v="0"/>
    <n v="0"/>
    <n v="464607.66315789474"/>
    <n v="139000.49999999997"/>
    <n v="0"/>
    <n v="0"/>
    <n v="108"/>
    <n v="464607.66315789474"/>
    <n v="314000"/>
    <n v="30"/>
    <n v="74"/>
    <n v="30"/>
    <n v="200"/>
    <n v="200"/>
    <n v="200"/>
    <n v="302530.49999999994"/>
    <n v="122647.49999999999"/>
    <n v="817649.99999999988"/>
    <n v="817649.99999999988"/>
    <n v="274"/>
    <n v="1120180.4999999998"/>
    <n v="277058.82352941181"/>
    <n v="65"/>
    <n v="244"/>
    <n v="65"/>
    <n v="0"/>
    <n v="0"/>
    <n v="0"/>
    <m/>
    <n v="997532.99999999988"/>
    <n v="265736.24999999994"/>
    <n v="0"/>
    <n v="0"/>
    <n v="244"/>
    <n v="997532.99999999988"/>
    <n v="545672.26890756295"/>
    <n v="40"/>
    <n v="179"/>
    <n v="40"/>
    <n v="0"/>
    <n v="0"/>
    <n v="731796.74999999988"/>
    <n v="163529.99999999997"/>
    <n v="0"/>
    <n v="0"/>
    <n v="179"/>
    <n v="731796.74999999988"/>
    <n v="352588.23529411765"/>
    <n v="65"/>
    <n v="139"/>
    <n v="65"/>
    <n v="0"/>
    <n v="0"/>
    <n v="568266.74999999988"/>
    <n v="265736.24999999994"/>
    <n v="0"/>
    <n v="139"/>
    <n v="568266.74999999988"/>
    <n v="600294.11764705891"/>
    <n v="24"/>
    <n v="74"/>
    <n v="24"/>
    <n v="0"/>
    <m/>
    <n v="302530.49999999994"/>
    <n v="103246.14736842105"/>
    <n v="0"/>
    <n v="74"/>
    <n v="302530.49999999994"/>
    <n v="221647.05882352943"/>
  </r>
  <r>
    <s v="Simplit-Cristalería y Bar"/>
    <x v="2"/>
    <x v="20"/>
    <x v="56"/>
    <n v="1650298908518"/>
    <x v="544"/>
    <x v="382"/>
    <x v="0"/>
    <x v="0"/>
    <n v="0.6"/>
    <x v="332"/>
    <n v="655"/>
    <m/>
    <n v="0"/>
    <n v="5055.0236866985397"/>
    <n v="3311040.5147875436"/>
    <n v="5.25"/>
    <n v="5735.625"/>
    <n v="10915.966386554623"/>
    <n v="8394.957983193277"/>
    <s v="Shenzhen"/>
    <x v="0"/>
    <n v="30"/>
    <n v="200"/>
    <n v="272"/>
    <n v="0.44985115683192228"/>
    <n v="183"/>
    <n v="0.53945883848639697"/>
    <n v="138"/>
    <n v="0.64483458454113241"/>
    <n v="175"/>
    <n v="0.55603939185589935"/>
    <n v="129"/>
    <n v="0.46122518223690556"/>
    <n v="445"/>
    <n v="0.49754335357790602"/>
    <n v="347"/>
    <n v="0.50069085481682496"/>
    <n v="381"/>
    <n v="0.41463889243154478"/>
    <n v="325"/>
    <n v="0.55712877163388363"/>
    <n v="208"/>
    <n v="0.45661808942125148"/>
    <n v="91"/>
    <n v="0.52267930662538464"/>
    <n v="74"/>
    <n v="0.54106003705049721"/>
    <n v="23"/>
    <n v="0.46018099467847068"/>
    <n v="94"/>
    <n v="0.53971940222993064"/>
    <n v="136"/>
    <n v="0.64713453856843217"/>
    <n v="39"/>
    <n v="0.5520295367386765"/>
    <n v="0.21666666666666667"/>
    <n v="120"/>
    <n v="0.47393132216648087"/>
    <n v="0.92307692307692313"/>
    <n v="113"/>
    <n v="0.49898066578074579"/>
    <n v="0.25111111111111112"/>
    <n v="48"/>
    <n v="0.50069086785929351"/>
    <n v="0.16"/>
    <n v="250"/>
    <n v="46"/>
    <n v="50"/>
    <n v="300"/>
    <n v="300"/>
    <n v="0"/>
    <n v="1652992.7455504225"/>
    <n v="249952.5"/>
    <n v="252751.18433492698"/>
    <n v="0"/>
    <n v="655"/>
    <n v="3311040.5147875436"/>
    <n v="458654.04985523626"/>
    <n v="180"/>
    <n v="316"/>
    <n v="141"/>
    <n v="500"/>
    <n v="400"/>
    <n v="0"/>
    <n v="1597387.4849967384"/>
    <n v="1717065"/>
    <n v="712758.33982449409"/>
    <n v="0"/>
    <n v="655"/>
    <n v="3311040.5147875436"/>
    <n v="1293404.4205917662"/>
    <n v="150"/>
    <n v="286"/>
    <n v="136"/>
    <n v="0"/>
    <n v="0"/>
    <n v="1308461.6451722444"/>
    <n v="1445736.7743957823"/>
    <n v="687483.22139100137"/>
    <n v="0"/>
    <n v="655"/>
    <n v="3311040.5147875436"/>
    <n v="1484571.4285714286"/>
    <n v="180"/>
    <n v="590"/>
    <n v="39"/>
    <n v="0"/>
    <n v="0"/>
    <n v="3205912.5"/>
    <n v="197145.92378124304"/>
    <x v="0"/>
    <x v="0"/>
    <n v="655"/>
    <n v="3311040.5147875436"/>
    <n v="425722.68907563027"/>
    <n v="130"/>
    <n v="775"/>
    <n v="78"/>
    <m/>
    <n v="0"/>
    <n v="0"/>
    <n v="3917643.3571913685"/>
    <n v="423832.5"/>
    <x v="0"/>
    <n v="0"/>
    <n v="655"/>
    <n v="3311040.5147875436"/>
    <n v="851445.37815126055"/>
    <n v="450"/>
    <n v="768"/>
    <n v="113"/>
    <m/>
    <n v="0"/>
    <n v="0"/>
    <n v="3882258.1913844785"/>
    <n v="614013.75"/>
    <n v="0"/>
    <n v="0"/>
    <n v="768"/>
    <n v="3311040.5147875436"/>
    <n v="1233504.2016806724"/>
    <n v="300"/>
    <n v="703"/>
    <n v="180"/>
    <n v="350"/>
    <n v="350"/>
    <n v="0"/>
    <n v="3553681.6517490735"/>
    <n v="978075"/>
    <n v="1838418.75"/>
    <n v="0"/>
    <n v="703"/>
    <n v="3311040.5147875436"/>
    <n v="1964873.9495798321"/>
    <n v="250"/>
    <n v="523"/>
    <n v="150"/>
    <n v="600"/>
    <n v="600"/>
    <n v="0"/>
    <n v="2643777.3881433364"/>
    <n v="815062.5"/>
    <n v="3260250"/>
    <n v="0"/>
    <n v="1123"/>
    <n v="5904027.3881433364"/>
    <n v="1637394.9579831935"/>
    <n v="350"/>
    <n v="373"/>
    <n v="210"/>
    <n v="0"/>
    <n v="0"/>
    <n v="600"/>
    <n v="2026788.75"/>
    <n v="1141087.5"/>
    <n v="0"/>
    <n v="3260250"/>
    <n v="973"/>
    <n v="5287038.75"/>
    <n v="2292352.9411764708"/>
    <n v="350"/>
    <n v="763"/>
    <n v="210"/>
    <n v="0"/>
    <n v="0"/>
    <n v="0"/>
    <m/>
    <n v="4145951.25"/>
    <n v="1141087.5"/>
    <n v="0"/>
    <n v="0"/>
    <n v="763"/>
    <n v="4145951.25"/>
    <n v="1762941.1764705882"/>
    <n v="150"/>
    <n v="553"/>
    <n v="90"/>
    <n v="0"/>
    <n v="0"/>
    <n v="3004863.75"/>
    <n v="489037.5"/>
    <n v="0"/>
    <n v="0"/>
    <n v="553"/>
    <n v="3004863.75"/>
    <n v="793323.5294117647"/>
    <n v="250"/>
    <n v="463"/>
    <n v="150"/>
    <n v="0"/>
    <n v="0"/>
    <n v="2515826.25"/>
    <n v="815062.5"/>
    <n v="0"/>
    <n v="463"/>
    <n v="2515826.25"/>
    <n v="1637394.9579831935"/>
    <n v="90"/>
    <n v="313"/>
    <n v="54"/>
    <n v="0"/>
    <m/>
    <n v="1700763.75"/>
    <n v="272971.27908172115"/>
    <n v="0"/>
    <n v="313"/>
    <n v="1700763.75"/>
    <n v="589462.18487394962"/>
  </r>
  <r>
    <s v="Simplit-Cristalería y Bar"/>
    <x v="2"/>
    <x v="20"/>
    <x v="56"/>
    <n v="1654207372101"/>
    <x v="545"/>
    <x v="383"/>
    <x v="0"/>
    <x v="0"/>
    <n v="1"/>
    <x v="333"/>
    <n v="39"/>
    <m/>
    <n v="0"/>
    <n v="2648"/>
    <n v="103272"/>
    <n v="1.4"/>
    <n v="1529.4999999999998"/>
    <n v="5873.9495798319331"/>
    <n v="5453.7815126050418"/>
    <s v="Shenzhen"/>
    <x v="0"/>
    <n v="30"/>
    <n v="50"/>
    <n v="54"/>
    <n v="0.77196068308181098"/>
    <n v="21"/>
    <n v="0.82466262901527898"/>
    <n v="60"/>
    <n v="0.7255204695582772"/>
    <n v="87"/>
    <n v="0.69398030947822076"/>
    <n v="83"/>
    <n v="0.69222606213395732"/>
    <n v="128"/>
    <n v="0.69336160320559337"/>
    <n v="146"/>
    <n v="0.74015221283107158"/>
    <n v="48"/>
    <n v="0.74844240040954146"/>
    <n v="36"/>
    <n v="0.75465428015525404"/>
    <n v="99"/>
    <n v="0.71236680377099715"/>
    <n v="54"/>
    <n v="0.76470661651059124"/>
    <n v="48"/>
    <n v="0.64148298113201774"/>
    <n v="76"/>
    <n v="0.77196068854658473"/>
    <n v="63"/>
    <n v="0.82466262699556125"/>
    <n v="122"/>
    <n v="0.72552047817291576"/>
    <n v="69"/>
    <n v="0.68558024895457503"/>
    <n v="0.76666666666666672"/>
    <n v="43"/>
    <n v="0.72140529483127847"/>
    <n v="0.4777777777777778"/>
    <n v="39"/>
    <n v="0.6982243631817866"/>
    <n v="0.3"/>
    <n v="9"/>
    <n v="0.73660556596459603"/>
    <n v="0.06"/>
    <n v="60"/>
    <n v="277"/>
    <n v="90"/>
    <n v="200"/>
    <n v="200"/>
    <n v="0"/>
    <n v="811612"/>
    <n v="401373"/>
    <n v="238320"/>
    <n v="0"/>
    <n v="39"/>
    <n v="103272"/>
    <n v="444248.28755031433"/>
    <n v="70"/>
    <n v="474"/>
    <n v="94.5"/>
    <n v="0"/>
    <n v="0"/>
    <n v="0"/>
    <n v="756004"/>
    <n v="686826"/>
    <n v="250236"/>
    <n v="0"/>
    <n v="39"/>
    <n v="103272"/>
    <n v="466460.70192783"/>
    <n v="100"/>
    <n v="464"/>
    <n v="122"/>
    <n v="0"/>
    <n v="0"/>
    <n v="636178"/>
    <n v="1228672"/>
    <n v="323056"/>
    <n v="0"/>
    <n v="39"/>
    <n v="103272"/>
    <n v="716621.84873949585"/>
    <n v="90"/>
    <n v="109"/>
    <n v="69"/>
    <n v="100"/>
    <n v="0"/>
    <n v="157941"/>
    <n v="182712"/>
    <x v="88"/>
    <x v="0"/>
    <n v="39"/>
    <n v="103272"/>
    <n v="405302.52100840339"/>
    <n v="90"/>
    <n v="82"/>
    <n v="90"/>
    <m/>
    <n v="0"/>
    <n v="0"/>
    <n v="217136"/>
    <n v="130410"/>
    <x v="0"/>
    <n v="0"/>
    <n v="39"/>
    <n v="103272"/>
    <n v="528655.46218487399"/>
    <n v="130"/>
    <n v="78"/>
    <n v="39"/>
    <m/>
    <n v="0"/>
    <n v="0"/>
    <n v="206544"/>
    <n v="56511"/>
    <n v="0"/>
    <n v="0"/>
    <n v="78"/>
    <n v="103272"/>
    <n v="229084.03361344538"/>
    <n v="150"/>
    <n v="48"/>
    <n v="150"/>
    <n v="200"/>
    <n v="200"/>
    <n v="0"/>
    <n v="127104"/>
    <n v="217350"/>
    <n v="280139.99999999994"/>
    <n v="0"/>
    <n v="48"/>
    <n v="103272"/>
    <n v="881092.43697478995"/>
    <n v="48"/>
    <n v="0"/>
    <n v="48"/>
    <n v="0"/>
    <n v="0"/>
    <n v="0"/>
    <n v="0"/>
    <n v="69552"/>
    <n v="0"/>
    <n v="0"/>
    <n v="0"/>
    <n v="0"/>
    <n v="281949.57983193279"/>
    <n v="40"/>
    <n v="0"/>
    <n v="40"/>
    <n v="0"/>
    <n v="0"/>
    <m/>
    <n v="0"/>
    <n v="57960"/>
    <n v="0"/>
    <n v="0"/>
    <n v="0"/>
    <n v="0"/>
    <n v="234957.98319327732"/>
    <n v="100"/>
    <n v="0"/>
    <n v="0"/>
    <n v="0"/>
    <n v="0"/>
    <n v="0"/>
    <m/>
    <n v="0"/>
    <n v="0"/>
    <n v="0"/>
    <n v="0"/>
    <n v="0"/>
    <n v="0"/>
    <n v="0"/>
    <n v="60"/>
    <n v="0"/>
    <n v="60"/>
    <n v="0"/>
    <n v="0"/>
    <n v="0"/>
    <n v="86940"/>
    <n v="0"/>
    <n v="0"/>
    <n v="0"/>
    <n v="0"/>
    <n v="343588.23529411765"/>
    <n v="0"/>
    <n v="0"/>
    <n v="0"/>
    <n v="0"/>
    <n v="0"/>
    <n v="0"/>
    <n v="0"/>
    <n v="0"/>
    <n v="0"/>
    <n v="0"/>
    <n v="0"/>
    <n v="36"/>
    <n v="0"/>
    <n v="36"/>
    <n v="0"/>
    <m/>
    <n v="0"/>
    <n v="95328"/>
    <n v="0"/>
    <n v="0"/>
    <n v="0"/>
    <n v="211462.18487394959"/>
  </r>
  <r>
    <m/>
    <x v="2"/>
    <x v="20"/>
    <x v="56"/>
    <s v="SMVABOR4"/>
    <x v="546"/>
    <x v="384"/>
    <x v="0"/>
    <x v="0"/>
    <n v="1"/>
    <x v="334"/>
    <n v="0"/>
    <m/>
    <m/>
    <m/>
    <n v="0"/>
    <n v="2.2000000000000002"/>
    <m/>
    <n v="0"/>
    <n v="0"/>
    <s v="Shenzhen"/>
    <x v="3"/>
    <n v="30"/>
    <n v="5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40"/>
    <n v="309"/>
    <n v="0"/>
    <m/>
    <n v="0"/>
    <m/>
    <m/>
    <x v="8"/>
    <x v="1"/>
    <n v="0"/>
    <n v="0"/>
    <n v="0"/>
    <n v="40"/>
    <n v="0"/>
    <n v="40"/>
    <m/>
    <m/>
    <n v="0"/>
    <n v="0"/>
    <n v="91080"/>
    <x v="0"/>
    <m/>
    <n v="0"/>
    <n v="0"/>
    <n v="0"/>
    <n v="40"/>
    <n v="0"/>
    <n v="0"/>
    <m/>
    <m/>
    <n v="0"/>
    <n v="0"/>
    <n v="0"/>
    <m/>
    <n v="0"/>
    <n v="0"/>
    <n v="0"/>
    <n v="0"/>
    <n v="40"/>
    <n v="0"/>
    <n v="40"/>
    <n v="0"/>
    <n v="0"/>
    <n v="0"/>
    <n v="0"/>
    <n v="91080"/>
    <n v="0"/>
    <n v="0"/>
    <n v="0"/>
    <n v="0"/>
    <m/>
    <n v="40"/>
    <n v="0"/>
    <n v="40"/>
    <m/>
    <m/>
    <n v="0"/>
    <n v="0"/>
    <n v="91080"/>
    <m/>
    <n v="0"/>
    <m/>
    <m/>
    <m/>
    <n v="40"/>
    <n v="0"/>
    <n v="40"/>
    <n v="100"/>
    <n v="100"/>
    <n v="0"/>
    <m/>
    <n v="91080"/>
    <n v="227700"/>
    <n v="0"/>
    <n v="0"/>
    <m/>
    <m/>
    <n v="40"/>
    <n v="100"/>
    <n v="40"/>
    <n v="0"/>
    <n v="0"/>
    <n v="0"/>
    <n v="100"/>
    <n v="227700"/>
    <n v="91080"/>
    <n v="0"/>
    <n v="227700"/>
    <n v="100"/>
    <n v="455400"/>
    <n v="0"/>
    <n v="40"/>
    <n v="60"/>
    <n v="40"/>
    <n v="0"/>
    <n v="0"/>
    <n v="136620"/>
    <n v="91080"/>
    <n v="0"/>
    <n v="0"/>
    <n v="60"/>
    <n v="136620"/>
    <n v="0"/>
    <n v="40"/>
    <m/>
    <n v="40"/>
    <n v="0"/>
    <n v="0"/>
    <n v="0"/>
    <n v="91080"/>
    <n v="0"/>
    <n v="0"/>
    <n v="0"/>
    <n v="0"/>
    <n v="24"/>
    <m/>
    <n v="24"/>
    <n v="0"/>
    <m/>
    <n v="0"/>
    <n v="0"/>
    <n v="0"/>
    <n v="0"/>
    <n v="0"/>
    <n v="0"/>
  </r>
  <r>
    <s v="Simplit-Cristalería y Bar"/>
    <x v="2"/>
    <x v="20"/>
    <x v="56"/>
    <n v="1654207352499"/>
    <x v="547"/>
    <x v="385"/>
    <x v="0"/>
    <x v="0"/>
    <n v="1"/>
    <x v="335"/>
    <n v="317"/>
    <m/>
    <n v="0"/>
    <n v="3550"/>
    <n v="1125350"/>
    <n v="2.9"/>
    <n v="3168.2499999999995"/>
    <n v="6714.2857142857147"/>
    <n v="5873.9495798319331"/>
    <s v="Shenzhen"/>
    <x v="0"/>
    <n v="30"/>
    <n v="100"/>
    <n v="3"/>
    <s v=""/>
    <n v="2"/>
    <s v=""/>
    <n v="43"/>
    <n v="0.53467951257019042"/>
    <n v="8"/>
    <n v="0.65265545705555228"/>
    <n v="14"/>
    <n v="0.55535944084176525"/>
    <n v="22"/>
    <n v="0.61238105713028723"/>
    <n v="15"/>
    <n v="0.65367520512307387"/>
    <n v="18"/>
    <n v="0.48764716040854583"/>
    <n v="10"/>
    <n v="0.55067819709900379"/>
    <n v="20"/>
    <n v="0.56030722261817023"/>
    <n v="19"/>
    <n v="0.60796112267953284"/>
    <n v="40"/>
    <n v="0.4829471103438191"/>
    <n v="24"/>
    <s v=""/>
    <n v="9"/>
    <s v=""/>
    <n v="18"/>
    <n v="0.53467950324188529"/>
    <n v="23"/>
    <n v="0.65265547086006992"/>
    <n v="0.92"/>
    <n v="11"/>
    <n v="0.68315356660812532"/>
    <n v="0.73333333333333328"/>
    <n v="20"/>
    <n v="0.57683568639922855"/>
    <n v="0.8"/>
    <n v="0"/>
    <n v="0.65367519361710003"/>
    <n v="0"/>
    <n v="30"/>
    <n v="427"/>
    <n v="30"/>
    <n v="0"/>
    <n v="0"/>
    <n v="0"/>
    <n v="218325"/>
    <n v="1281640.4999999998"/>
    <n v="106500"/>
    <n v="0"/>
    <n v="317"/>
    <n v="1125350"/>
    <n v="169267.70708283316"/>
    <n v="30"/>
    <n v="400"/>
    <n v="13.5"/>
    <n v="0"/>
    <n v="0"/>
    <n v="0"/>
    <n v="193475"/>
    <n v="1200599.9999999998"/>
    <n v="47925"/>
    <n v="0"/>
    <n v="317"/>
    <n v="1125350"/>
    <n v="76170.468187274921"/>
    <n v="40"/>
    <n v="397"/>
    <n v="18"/>
    <n v="0"/>
    <n v="0"/>
    <n v="190572.5"/>
    <n v="1409350"/>
    <n v="63900"/>
    <n v="0"/>
    <n v="317"/>
    <n v="1125350"/>
    <n v="120857.14285714287"/>
    <n v="25"/>
    <n v="372"/>
    <n v="23"/>
    <n v="0"/>
    <n v="0"/>
    <n v="1116557.9999999998"/>
    <n v="81650"/>
    <x v="0"/>
    <x v="0"/>
    <n v="317"/>
    <n v="1125350"/>
    <n v="154428.57142857145"/>
    <n v="15"/>
    <n v="328"/>
    <n v="15"/>
    <m/>
    <n v="0"/>
    <n v="0"/>
    <n v="1164400"/>
    <n v="45022.499999999993"/>
    <x v="0"/>
    <n v="0"/>
    <n v="317"/>
    <n v="1125350"/>
    <n v="100714.28571428572"/>
    <n v="25"/>
    <n v="337"/>
    <n v="20"/>
    <m/>
    <n v="0"/>
    <n v="0"/>
    <n v="1196350"/>
    <n v="60029.999999999993"/>
    <n v="0"/>
    <n v="0"/>
    <n v="337"/>
    <n v="1125350"/>
    <n v="134285.71428571429"/>
    <n v="20"/>
    <n v="317"/>
    <n v="20"/>
    <n v="0"/>
    <n v="0"/>
    <n v="0"/>
    <n v="1125350"/>
    <n v="60029.999999999993"/>
    <n v="0"/>
    <n v="0"/>
    <n v="317"/>
    <n v="1125350"/>
    <n v="134285.71428571429"/>
    <n v="20"/>
    <n v="297"/>
    <n v="20"/>
    <n v="0"/>
    <n v="0"/>
    <n v="0"/>
    <n v="1054350"/>
    <n v="60029.999999999993"/>
    <n v="0"/>
    <n v="0"/>
    <n v="297"/>
    <n v="1054350"/>
    <n v="134285.71428571429"/>
    <n v="20"/>
    <n v="277"/>
    <n v="20"/>
    <n v="0"/>
    <n v="0"/>
    <m/>
    <n v="831415.49999999988"/>
    <n v="60029.999999999993"/>
    <n v="0"/>
    <n v="0"/>
    <n v="277"/>
    <n v="831415.49999999988"/>
    <n v="134285.71428571429"/>
    <n v="35"/>
    <n v="257"/>
    <n v="35"/>
    <n v="0"/>
    <n v="0"/>
    <n v="0"/>
    <m/>
    <n v="771385.49999999988"/>
    <n v="105052.49999999999"/>
    <n v="0"/>
    <n v="0"/>
    <n v="257"/>
    <n v="771385.49999999988"/>
    <n v="205588.23529411765"/>
    <n v="35"/>
    <n v="222"/>
    <n v="35"/>
    <n v="0"/>
    <n v="0"/>
    <n v="666332.99999999988"/>
    <n v="105052.49999999999"/>
    <n v="0"/>
    <n v="0"/>
    <n v="222"/>
    <n v="666332.99999999988"/>
    <n v="215867.64705882355"/>
    <n v="40"/>
    <n v="187"/>
    <n v="40"/>
    <n v="0"/>
    <n v="0"/>
    <n v="561280.49999999988"/>
    <n v="120059.99999999999"/>
    <n v="0"/>
    <n v="187"/>
    <n v="561280.49999999988"/>
    <n v="268571.42857142858"/>
    <n v="21"/>
    <n v="147"/>
    <n v="21"/>
    <n v="0"/>
    <m/>
    <n v="441220.49999999994"/>
    <n v="74550"/>
    <n v="0"/>
    <n v="147"/>
    <n v="441220.49999999994"/>
    <n v="141000"/>
  </r>
  <r>
    <n v="3"/>
    <x v="2"/>
    <x v="20"/>
    <x v="56"/>
    <n v="1660857914743"/>
    <x v="548"/>
    <x v="386"/>
    <x v="0"/>
    <x v="0"/>
    <n v="1.1000000000000001"/>
    <x v="336"/>
    <n v="113"/>
    <m/>
    <n v="0"/>
    <n v="1457.6221405054091"/>
    <n v="164711.30187711123"/>
    <n v="1"/>
    <n v="1092.5"/>
    <n v="5873.9495798319331"/>
    <n v="5453.7815126050418"/>
    <s v="Shenzhen"/>
    <x v="0"/>
    <n v="30"/>
    <n v="100"/>
    <n v="7"/>
    <n v="0.51524265409823988"/>
    <n v="0"/>
    <s v=""/>
    <n v="43"/>
    <n v="0.77520024013807942"/>
    <n v="106"/>
    <n v="0.75536427324984623"/>
    <n v="40"/>
    <n v="0.79564869459022847"/>
    <n v="97"/>
    <n v="0.82256295623624731"/>
    <n v="53"/>
    <n v="0.79843548057955238"/>
    <n v="52"/>
    <n v="0.80686636130351164"/>
    <n v="77"/>
    <n v="0.73879197491399529"/>
    <n v="152"/>
    <n v="0.77024336199551624"/>
    <n v="46"/>
    <n v="0.4407769516363011"/>
    <n v="30"/>
    <n v="0.73738835999607422"/>
    <n v="13"/>
    <n v="0.51524267024647197"/>
    <n v="154"/>
    <s v=""/>
    <n v="104"/>
    <n v="0.77520025752461352"/>
    <n v="164"/>
    <n v="0.75536425595970558"/>
    <n v="1.1714285714285715"/>
    <n v="40"/>
    <n v="0.79564867716981569"/>
    <n v="0.44444444444444442"/>
    <n v="4"/>
    <n v="0.82852601815714599"/>
    <n v="2.6666666666666668E-2"/>
    <n v="23"/>
    <n v="0.79843549225328725"/>
    <n v="0.19166666666666668"/>
    <n v="60"/>
    <n v="13"/>
    <n v="40"/>
    <n v="200"/>
    <n v="200"/>
    <n v="0"/>
    <n v="546608.30268952844"/>
    <n v="13455"/>
    <n v="58304.885620216366"/>
    <n v="0"/>
    <n v="113"/>
    <n v="164711.30187711123"/>
    <n v="197443.68335569525"/>
    <n v="50"/>
    <n v="182"/>
    <n v="231"/>
    <n v="150"/>
    <n v="100"/>
    <n v="0"/>
    <n v="727353.4481121992"/>
    <n v="188370"/>
    <n v="336710.7144567495"/>
    <n v="0"/>
    <n v="113"/>
    <n v="164711.30187711123"/>
    <n v="1140237.27137914"/>
    <n v="80"/>
    <n v="217"/>
    <n v="104"/>
    <n v="0"/>
    <n v="0"/>
    <n v="493107.73365544964"/>
    <n v="316304.00448967377"/>
    <n v="151592.70261256254"/>
    <n v="0"/>
    <n v="113"/>
    <n v="164711.30187711123"/>
    <n v="610890.7563025211"/>
    <n v="140"/>
    <n v="224"/>
    <n v="164"/>
    <n v="150"/>
    <n v="0"/>
    <n v="231840"/>
    <n v="239050.0310428871"/>
    <x v="89"/>
    <x v="0"/>
    <n v="113"/>
    <n v="164711.30187711123"/>
    <n v="963327.73109243705"/>
    <n v="90"/>
    <n v="153"/>
    <n v="99.000000000000014"/>
    <m/>
    <n v="0"/>
    <n v="0"/>
    <n v="223016.1874973276"/>
    <n v="102465.00000000001"/>
    <x v="0"/>
    <n v="0"/>
    <n v="113"/>
    <n v="164711.30187711123"/>
    <n v="581521.00840336143"/>
    <n v="150"/>
    <n v="117"/>
    <n v="4"/>
    <m/>
    <n v="0"/>
    <n v="0"/>
    <n v="170541.79043913286"/>
    <n v="4140"/>
    <n v="0"/>
    <n v="0"/>
    <n v="117"/>
    <n v="164711.30187711123"/>
    <n v="23495.798319327732"/>
    <n v="120"/>
    <n v="136"/>
    <n v="132"/>
    <n v="100"/>
    <n v="100"/>
    <n v="0"/>
    <n v="198236.61110873564"/>
    <n v="136620"/>
    <n v="100049.99999999999"/>
    <n v="0"/>
    <n v="136"/>
    <n v="164711.30187711123"/>
    <n v="775361.3445378152"/>
    <n v="65"/>
    <n v="4"/>
    <n v="71.5"/>
    <n v="300"/>
    <n v="300"/>
    <n v="0"/>
    <n v="5830.4885620216364"/>
    <n v="74002.5"/>
    <n v="310500"/>
    <n v="0"/>
    <n v="304"/>
    <n v="316330.48856202164"/>
    <n v="419987.39495798323"/>
    <n v="80"/>
    <n v="0"/>
    <n v="88"/>
    <n v="0"/>
    <n v="0"/>
    <n v="300"/>
    <n v="0"/>
    <n v="91080"/>
    <n v="0"/>
    <n v="310500"/>
    <n v="300"/>
    <n v="310500"/>
    <n v="516907.56302521011"/>
    <n v="140"/>
    <n v="212"/>
    <n v="154"/>
    <n v="300"/>
    <n v="300"/>
    <n v="300"/>
    <n v="0"/>
    <n v="219420"/>
    <n v="159390"/>
    <n v="310500"/>
    <n v="310500"/>
    <n v="512"/>
    <n v="529920"/>
    <n v="839882.35294117639"/>
    <n v="100"/>
    <n v="358"/>
    <n v="110.00000000000001"/>
    <n v="0"/>
    <n v="0"/>
    <n v="370530"/>
    <n v="113850.00000000001"/>
    <n v="0"/>
    <n v="0"/>
    <n v="358"/>
    <n v="370530"/>
    <n v="629911.76470588241"/>
    <n v="150"/>
    <n v="248"/>
    <n v="165"/>
    <n v="0"/>
    <n v="0"/>
    <n v="256680"/>
    <n v="170775"/>
    <n v="0"/>
    <n v="248"/>
    <n v="256680"/>
    <n v="969201.68067226897"/>
    <n v="60"/>
    <n v="83"/>
    <n v="66"/>
    <n v="0"/>
    <m/>
    <n v="85905"/>
    <n v="96203.061273357001"/>
    <n v="0"/>
    <n v="83"/>
    <n v="85905"/>
    <n v="387680.6722689076"/>
  </r>
  <r>
    <s v="Simplit-Cristalería y Bar"/>
    <x v="2"/>
    <x v="20"/>
    <x v="56"/>
    <n v="67933854599885"/>
    <x v="549"/>
    <x v="387"/>
    <x v="0"/>
    <x v="1"/>
    <n v="1.2"/>
    <x v="337"/>
    <n v="155"/>
    <m/>
    <n v="0"/>
    <n v="6108"/>
    <n v="946740"/>
    <n v="5.3"/>
    <n v="5790.25"/>
    <n v="10915.966386554623"/>
    <n v="8394.957983193277"/>
    <s v="Shenzhen"/>
    <x v="0"/>
    <n v="30"/>
    <n v="100"/>
    <n v="0"/>
    <n v="0.50869254584424861"/>
    <n v="0"/>
    <s v=""/>
    <n v="2"/>
    <s v=""/>
    <n v="4"/>
    <n v="0.44066006715958544"/>
    <n v="3"/>
    <n v="0.5733849932292524"/>
    <n v="43"/>
    <n v="0.61636052968816735"/>
    <n v="12"/>
    <n v="0.55455326894815249"/>
    <n v="16"/>
    <s v=""/>
    <n v="11"/>
    <n v="0.40262057234340604"/>
    <n v="32"/>
    <n v="0.38950364432007195"/>
    <n v="45"/>
    <n v="0.45841089395381829"/>
    <n v="111"/>
    <n v="0.52255573491557961"/>
    <n v="40"/>
    <s v=""/>
    <n v="25"/>
    <s v=""/>
    <n v="24"/>
    <s v=""/>
    <n v="29"/>
    <n v="0.44066008535019546"/>
    <n v="1.1599999999999999"/>
    <n v="38"/>
    <n v="0.57338496553644347"/>
    <n v="0.95"/>
    <n v="79"/>
    <n v="0.62769815198302448"/>
    <n v="1.58"/>
    <n v="24"/>
    <n v="0.55455325063110605"/>
    <n v="0.68571428571428572"/>
    <n v="50"/>
    <n v="397"/>
    <n v="40"/>
    <n v="0"/>
    <n v="0"/>
    <n v="0"/>
    <n v="619962"/>
    <n v="2177743.5"/>
    <n v="244320"/>
    <n v="0"/>
    <n v="155"/>
    <n v="946740"/>
    <n v="366923.23988418904"/>
    <n v="50"/>
    <n v="365"/>
    <n v="37.5"/>
    <n v="0"/>
    <n v="0"/>
    <n v="0"/>
    <n v="552774"/>
    <n v="2002207.5"/>
    <n v="229050"/>
    <n v="0"/>
    <n v="155"/>
    <n v="946740"/>
    <n v="343990.53739142721"/>
    <n v="50"/>
    <n v="362"/>
    <n v="24"/>
    <n v="0"/>
    <n v="0"/>
    <n v="587028"/>
    <n v="2211096"/>
    <n v="146592"/>
    <n v="0"/>
    <n v="155"/>
    <n v="946740"/>
    <n v="261983.19327731093"/>
    <n v="25"/>
    <n v="316"/>
    <n v="29"/>
    <n v="0"/>
    <n v="0"/>
    <n v="1733418"/>
    <n v="177132"/>
    <x v="0"/>
    <x v="0"/>
    <n v="155"/>
    <n v="946740"/>
    <n v="316563.02521008404"/>
    <n v="40"/>
    <n v="193"/>
    <n v="48"/>
    <m/>
    <n v="0"/>
    <n v="0"/>
    <n v="1178844"/>
    <n v="263304"/>
    <x v="0"/>
    <n v="0"/>
    <n v="155"/>
    <n v="946740"/>
    <n v="523966.38655462186"/>
    <n v="50"/>
    <n v="234"/>
    <n v="79"/>
    <m/>
    <n v="0"/>
    <n v="0"/>
    <n v="1429272"/>
    <n v="433354.5"/>
    <n v="0"/>
    <n v="0"/>
    <n v="234"/>
    <n v="946740"/>
    <n v="862361.3445378152"/>
    <n v="35"/>
    <n v="179"/>
    <n v="42"/>
    <n v="0"/>
    <n v="0"/>
    <n v="0"/>
    <n v="1093332"/>
    <n v="230391"/>
    <n v="0"/>
    <n v="0"/>
    <n v="179"/>
    <n v="946740"/>
    <n v="458470.58823529416"/>
    <n v="30"/>
    <n v="137"/>
    <n v="36"/>
    <n v="0"/>
    <n v="0"/>
    <n v="0"/>
    <n v="836796"/>
    <n v="197478"/>
    <n v="0"/>
    <n v="0"/>
    <n v="137"/>
    <n v="836796"/>
    <n v="392974.78991596639"/>
    <n v="30"/>
    <n v="101"/>
    <n v="36"/>
    <n v="0"/>
    <n v="0"/>
    <m/>
    <n v="554035.5"/>
    <n v="197478"/>
    <n v="0"/>
    <n v="0"/>
    <n v="101"/>
    <n v="554035.5"/>
    <n v="392974.78991596639"/>
    <n v="55"/>
    <n v="65"/>
    <n v="65"/>
    <n v="0"/>
    <n v="0"/>
    <n v="0"/>
    <m/>
    <n v="356557.5"/>
    <n v="356557.5"/>
    <n v="0"/>
    <n v="0"/>
    <n v="65"/>
    <n v="356557.5"/>
    <n v="545672.26890756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Cristalería y Bar"/>
    <x v="2"/>
    <x v="20"/>
    <x v="56"/>
    <n v="67933860407346"/>
    <x v="550"/>
    <x v="388"/>
    <x v="0"/>
    <x v="0"/>
    <n v="0.9"/>
    <x v="338"/>
    <n v="337"/>
    <m/>
    <n v="0"/>
    <n v="3070.4613913043481"/>
    <n v="1034745.4888695653"/>
    <n v="2.4"/>
    <n v="2622"/>
    <n v="6714.2857142857147"/>
    <n v="5873.9495798319331"/>
    <s v="Shenzhen"/>
    <x v="0"/>
    <n v="30"/>
    <n v="100"/>
    <n v="37"/>
    <n v="0.66633267348291714"/>
    <n v="91"/>
    <n v="0.6541357472899636"/>
    <n v="47"/>
    <n v="0.64575812448693759"/>
    <n v="23"/>
    <n v="0.56564517968998484"/>
    <n v="11"/>
    <n v="0.53457247223119553"/>
    <n v="49"/>
    <n v="0.53005882425741901"/>
    <n v="42"/>
    <n v="0.56431519163322685"/>
    <n v="39"/>
    <n v="0.53575729749535206"/>
    <n v="51"/>
    <n v="0.54175653515302435"/>
    <n v="27"/>
    <n v="0.55425283786988699"/>
    <n v="13"/>
    <n v="0.6254390382762548"/>
    <n v="10"/>
    <n v="0.60716440821764583"/>
    <n v="26"/>
    <n v="0.64926854509932841"/>
    <n v="16"/>
    <n v="0.65337900073955779"/>
    <n v="34"/>
    <n v="0.64575811740732558"/>
    <n v="25"/>
    <n v="0.56693984601657499"/>
    <n v="0.625"/>
    <n v="22"/>
    <n v="0.58934277757660725"/>
    <n v="0.88"/>
    <n v="34"/>
    <n v="0.52817447556514296"/>
    <n v="0.61818181818181817"/>
    <n v="7"/>
    <n v="0.56505796181787216"/>
    <n v="0.15555555555555556"/>
    <n v="50"/>
    <n v="241"/>
    <n v="20"/>
    <n v="150"/>
    <n v="150"/>
    <n v="0"/>
    <n v="239495.98852173917"/>
    <n v="598644"/>
    <n v="61409.227826086964"/>
    <n v="0"/>
    <n v="337"/>
    <n v="1034745.4888695653"/>
    <n v="112845.13805522211"/>
    <n v="40"/>
    <n v="366"/>
    <n v="24"/>
    <n v="100"/>
    <n v="100"/>
    <n v="0"/>
    <n v="254848.2954782609"/>
    <n v="909144"/>
    <n v="73691.073391304351"/>
    <n v="0"/>
    <n v="337"/>
    <n v="1034745.4888695653"/>
    <n v="135414.16566626652"/>
    <n v="50"/>
    <n v="456"/>
    <n v="34"/>
    <n v="0"/>
    <n v="0"/>
    <n v="237047.22208695655"/>
    <n v="1400130.3944347827"/>
    <n v="104395.68730434784"/>
    <n v="0"/>
    <n v="337"/>
    <n v="1034745.4888695653"/>
    <n v="228285.71428571429"/>
    <n v="40"/>
    <n v="420"/>
    <n v="25"/>
    <n v="0"/>
    <n v="0"/>
    <n v="1043280"/>
    <n v="76761.534782608709"/>
    <x v="0"/>
    <x v="0"/>
    <n v="337"/>
    <n v="1034745.4888695653"/>
    <n v="167857.14285714287"/>
    <n v="25"/>
    <n v="359"/>
    <n v="22.5"/>
    <m/>
    <n v="0"/>
    <n v="0"/>
    <n v="1102295.6394782609"/>
    <n v="55890"/>
    <x v="0"/>
    <n v="0"/>
    <n v="337"/>
    <n v="1034745.4888695653"/>
    <n v="151071.42857142858"/>
    <n v="55"/>
    <n v="371"/>
    <n v="34"/>
    <m/>
    <n v="0"/>
    <n v="0"/>
    <n v="1139141.1761739131"/>
    <n v="84456"/>
    <n v="0"/>
    <n v="0"/>
    <n v="371"/>
    <n v="1034745.4888695653"/>
    <n v="228285.71428571429"/>
    <n v="45"/>
    <n v="344"/>
    <n v="40.5"/>
    <n v="0"/>
    <n v="0"/>
    <n v="0"/>
    <n v="1056238.7186086958"/>
    <n v="100602"/>
    <n v="0"/>
    <n v="0"/>
    <n v="344"/>
    <n v="1034745.4888695653"/>
    <n v="271928.57142857142"/>
    <n v="39"/>
    <n v="303.5"/>
    <n v="35.1"/>
    <n v="0"/>
    <n v="0"/>
    <n v="0"/>
    <n v="931885.03226086963"/>
    <n v="87188.400000000009"/>
    <n v="0"/>
    <n v="0"/>
    <n v="303.5"/>
    <n v="931885.03226086963"/>
    <n v="235671.42857142861"/>
    <n v="50"/>
    <n v="268.39999999999998"/>
    <n v="45"/>
    <n v="0"/>
    <n v="0"/>
    <m/>
    <n v="666705.6"/>
    <n v="111780"/>
    <n v="0"/>
    <n v="0"/>
    <n v="268.39999999999998"/>
    <n v="666705.6"/>
    <n v="302142.85714285716"/>
    <n v="45"/>
    <n v="223.39999999999998"/>
    <n v="40.5"/>
    <n v="0"/>
    <n v="0"/>
    <n v="0"/>
    <m/>
    <n v="554925.6"/>
    <n v="100602"/>
    <n v="0"/>
    <n v="0"/>
    <n v="223.39999999999998"/>
    <n v="554925.6"/>
    <n v="237894.95798319328"/>
    <n v="40"/>
    <n v="182.89999999999998"/>
    <n v="36"/>
    <n v="0"/>
    <n v="0"/>
    <n v="454323.59999999992"/>
    <n v="89424"/>
    <n v="0"/>
    <n v="0"/>
    <n v="182.89999999999998"/>
    <n v="454323.59999999992"/>
    <n v="222035.29411764708"/>
    <n v="45"/>
    <n v="146.89999999999998"/>
    <n v="40.5"/>
    <n v="0"/>
    <n v="0"/>
    <n v="364899.59999999992"/>
    <n v="100602"/>
    <n v="0"/>
    <n v="146.89999999999998"/>
    <n v="364899.59999999992"/>
    <n v="271928.57142857142"/>
    <n v="24"/>
    <n v="106.39999999999998"/>
    <n v="21.6"/>
    <n v="0"/>
    <m/>
    <n v="264297.59999999992"/>
    <n v="66321.966052173928"/>
    <n v="0"/>
    <n v="106.39999999999998"/>
    <n v="264297.59999999992"/>
    <n v="145028.57142857145"/>
  </r>
  <r>
    <s v="Simplit-Cristalería y Bar"/>
    <x v="2"/>
    <x v="20"/>
    <x v="56"/>
    <n v="67933861722733"/>
    <x v="551"/>
    <x v="389"/>
    <x v="0"/>
    <x v="6"/>
    <n v="0.7"/>
    <x v="12"/>
    <n v="131"/>
    <m/>
    <n v="0"/>
    <n v="3567"/>
    <n v="467277"/>
    <n v="2.7"/>
    <n v="2949.7499999999995"/>
    <n v="6714.2857142857147"/>
    <n v="5873.9495798319331"/>
    <s v="Shenzhen"/>
    <x v="0"/>
    <n v="30"/>
    <n v="100"/>
    <n v="15"/>
    <n v="0.64606985010626095"/>
    <n v="16"/>
    <n v="0.57915453541180795"/>
    <n v="84"/>
    <n v="0.61228543343323294"/>
    <n v="14"/>
    <n v="0.44609599442076031"/>
    <n v="42"/>
    <n v="0.50343743382375195"/>
    <n v="29"/>
    <n v="0.55037966107472625"/>
    <n v="9"/>
    <n v="0.57571384458459907"/>
    <n v="10"/>
    <n v="0.59061144519883602"/>
    <n v="24"/>
    <n v="0.54162177813757595"/>
    <n v="43"/>
    <n v="0.51049482456724238"/>
    <n v="23"/>
    <n v="0.52086744365696391"/>
    <n v="36"/>
    <n v="0.42941154402296827"/>
    <n v="14"/>
    <n v="0.6460871505582757"/>
    <n v="12"/>
    <n v="0.55665863078691802"/>
    <n v="14"/>
    <n v="0.61228543709270655"/>
    <n v="11"/>
    <n v="0.44609599747133494"/>
    <n v="0.44"/>
    <n v="7"/>
    <n v="0.5034374360391547"/>
    <n v="0.17499999999999999"/>
    <n v="13"/>
    <n v="0.55318451446735806"/>
    <n v="0.43333333333333335"/>
    <n v="1"/>
    <n v="0.59280714227452935"/>
    <n v="0.05"/>
    <n v="20"/>
    <n v="199"/>
    <n v="20"/>
    <n v="0"/>
    <n v="0"/>
    <n v="0"/>
    <n v="185484"/>
    <n v="556105.5"/>
    <n v="71340"/>
    <n v="0"/>
    <n v="131"/>
    <n v="467277"/>
    <n v="112845.13805522211"/>
    <n v="20"/>
    <n v="189"/>
    <n v="18"/>
    <n v="0"/>
    <n v="0"/>
    <n v="0"/>
    <n v="153381"/>
    <n v="528160.5"/>
    <n v="64206"/>
    <n v="0"/>
    <n v="131"/>
    <n v="467277"/>
    <n v="101560.62424969989"/>
    <n v="40"/>
    <n v="177"/>
    <n v="14"/>
    <n v="0"/>
    <n v="0"/>
    <n v="167421"/>
    <n v="631359"/>
    <n v="49938"/>
    <n v="0"/>
    <n v="131"/>
    <n v="467277"/>
    <n v="94000"/>
    <n v="25"/>
    <n v="163"/>
    <n v="11"/>
    <n v="0"/>
    <n v="0"/>
    <n v="455503.5"/>
    <n v="39237"/>
    <x v="0"/>
    <x v="0"/>
    <n v="131"/>
    <n v="467277"/>
    <n v="73857.142857142855"/>
    <n v="40"/>
    <n v="138"/>
    <n v="28"/>
    <m/>
    <n v="0"/>
    <n v="0"/>
    <n v="492246"/>
    <n v="78246"/>
    <x v="0"/>
    <n v="0"/>
    <n v="131"/>
    <n v="467277"/>
    <n v="188000"/>
    <n v="30"/>
    <n v="144"/>
    <n v="13"/>
    <m/>
    <n v="0"/>
    <n v="0"/>
    <n v="513648"/>
    <n v="36328.5"/>
    <n v="0"/>
    <n v="0"/>
    <n v="144"/>
    <n v="467277"/>
    <n v="87285.71428571429"/>
    <n v="20"/>
    <n v="132"/>
    <n v="14"/>
    <n v="0"/>
    <n v="0"/>
    <n v="0"/>
    <n v="470844"/>
    <n v="39123"/>
    <n v="0"/>
    <n v="0"/>
    <n v="132"/>
    <n v="467277"/>
    <n v="94000"/>
    <n v="24"/>
    <n v="118"/>
    <n v="16.799999999999997"/>
    <n v="0"/>
    <n v="0"/>
    <n v="0"/>
    <n v="420906"/>
    <n v="46947.599999999991"/>
    <n v="0"/>
    <n v="0"/>
    <n v="118"/>
    <n v="420906"/>
    <n v="112799.99999999999"/>
    <n v="24"/>
    <n v="101.2"/>
    <n v="16.799999999999997"/>
    <n v="0"/>
    <n v="0"/>
    <m/>
    <n v="282803.40000000002"/>
    <n v="46947.599999999991"/>
    <n v="0"/>
    <n v="0"/>
    <n v="101.2"/>
    <n v="282803.40000000002"/>
    <n v="112799.99999999999"/>
    <n v="45"/>
    <n v="84.4"/>
    <n v="31.499999999999996"/>
    <n v="0"/>
    <n v="0"/>
    <n v="0"/>
    <m/>
    <n v="235855.80000000002"/>
    <n v="88026.749999999985"/>
    <n v="0"/>
    <n v="0"/>
    <n v="84.4"/>
    <n v="235855.80000000002"/>
    <n v="185029.41176470587"/>
    <n v="30"/>
    <n v="52.900000000000006"/>
    <n v="21"/>
    <n v="0"/>
    <n v="0"/>
    <n v="147829.05000000002"/>
    <n v="58684.5"/>
    <n v="0"/>
    <n v="0"/>
    <n v="52.900000000000006"/>
    <n v="147829.05000000002"/>
    <n v="129520.58823529414"/>
    <n v="40"/>
    <n v="31.900000000000006"/>
    <n v="28"/>
    <n v="0"/>
    <n v="0"/>
    <n v="89144.550000000017"/>
    <n v="78246"/>
    <n v="0"/>
    <n v="31.900000000000006"/>
    <n v="89144.550000000017"/>
    <n v="188000"/>
    <n v="18"/>
    <n v="3.9000000000000057"/>
    <n v="12.6"/>
    <n v="0"/>
    <m/>
    <n v="10898.550000000016"/>
    <n v="44944.2"/>
    <n v="0"/>
    <n v="3.9000000000000057"/>
    <n v="10898.550000000016"/>
    <n v="84600"/>
  </r>
  <r>
    <m/>
    <x v="2"/>
    <x v="20"/>
    <x v="56"/>
    <s v="SIMCOPESPMON"/>
    <x v="552"/>
    <x v="390"/>
    <x v="0"/>
    <x v="4"/>
    <n v="1"/>
    <x v="339"/>
    <n v="316"/>
    <m/>
    <n v="0"/>
    <n v="6366"/>
    <n v="2011656"/>
    <n v="5.66"/>
    <n v="6183.5499999999993"/>
    <n v="15117.64705882353"/>
    <n v="10915.966386554623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2"/>
    <n v="0.52218639643789344"/>
    <n v="37"/>
    <n v="0.58192915294028247"/>
    <n v="25"/>
    <s v=""/>
    <n v="33"/>
    <s v=""/>
    <n v="42"/>
    <s v=""/>
    <n v="36"/>
    <s v=""/>
    <n v="0.72"/>
    <n v="38"/>
    <s v=""/>
    <n v="1.2666666666666666"/>
    <n v="44"/>
    <s v=""/>
    <n v="0.8"/>
    <n v="9"/>
    <s v=""/>
    <n v="0.18"/>
    <n v="40"/>
    <n v="242"/>
    <n v="30"/>
    <n v="300"/>
    <n v="200"/>
    <n v="0"/>
    <n v="773469"/>
    <n v="1417660.2"/>
    <n v="190980"/>
    <n v="0"/>
    <n v="316"/>
    <n v="2011656"/>
    <n v="381117.15274345037"/>
    <n v="30"/>
    <n v="522"/>
    <n v="49.5"/>
    <n v="0"/>
    <n v="0"/>
    <n v="0"/>
    <n v="811665"/>
    <n v="3057928.1999999997"/>
    <n v="315117"/>
    <n v="0"/>
    <n v="316"/>
    <n v="2011656"/>
    <n v="628843.30202669313"/>
    <n v="50"/>
    <n v="459"/>
    <n v="42"/>
    <n v="0"/>
    <n v="0"/>
    <n v="672291"/>
    <n v="2921994"/>
    <n v="267372"/>
    <n v="0"/>
    <n v="316"/>
    <n v="2011656"/>
    <n v="634941.17647058819"/>
    <n v="50"/>
    <n v="446"/>
    <n v="36"/>
    <n v="0"/>
    <n v="0"/>
    <n v="2612712.5999999996"/>
    <n v="229176"/>
    <x v="0"/>
    <x v="0"/>
    <n v="316"/>
    <n v="2011656"/>
    <n v="544235.29411764711"/>
    <n v="30"/>
    <n v="354"/>
    <n v="30"/>
    <m/>
    <n v="0"/>
    <n v="0"/>
    <n v="2253564"/>
    <n v="175742.99999999997"/>
    <x v="0"/>
    <n v="0"/>
    <n v="316"/>
    <n v="2011656"/>
    <n v="453529.4117647059"/>
    <n v="55"/>
    <n v="360"/>
    <n v="44"/>
    <m/>
    <n v="0"/>
    <n v="0"/>
    <n v="2291760"/>
    <n v="257756.39999999997"/>
    <n v="0"/>
    <n v="0"/>
    <n v="360"/>
    <n v="2011656"/>
    <n v="665176.4705882353"/>
    <n v="50"/>
    <n v="325"/>
    <n v="50"/>
    <n v="0"/>
    <n v="0"/>
    <n v="0"/>
    <n v="2068950"/>
    <n v="292905"/>
    <n v="0"/>
    <n v="0"/>
    <n v="325"/>
    <n v="2011656"/>
    <n v="755882.3529411765"/>
    <n v="39"/>
    <n v="275"/>
    <n v="39"/>
    <n v="0"/>
    <n v="0"/>
    <n v="0"/>
    <n v="1750650"/>
    <n v="228465.89999999997"/>
    <n v="0"/>
    <n v="0"/>
    <n v="275"/>
    <n v="1750650"/>
    <n v="589588.23529411771"/>
    <n v="41"/>
    <n v="236"/>
    <n v="41"/>
    <n v="0"/>
    <n v="0"/>
    <m/>
    <n v="1382511.5999999999"/>
    <n v="240182.09999999998"/>
    <n v="0"/>
    <n v="0"/>
    <n v="236"/>
    <n v="1382511.5999999999"/>
    <n v="619823.5294117647"/>
    <n v="60"/>
    <n v="195"/>
    <n v="60"/>
    <n v="0"/>
    <n v="0"/>
    <n v="0"/>
    <m/>
    <n v="1142329.5"/>
    <n v="351485.99999999994"/>
    <n v="0"/>
    <n v="0"/>
    <n v="195"/>
    <n v="1142329.5"/>
    <n v="654957.98319327738"/>
    <n v="40"/>
    <n v="135"/>
    <n v="40"/>
    <n v="0"/>
    <n v="0"/>
    <n v="790843.49999999988"/>
    <n v="234323.99999999997"/>
    <n v="0"/>
    <n v="0"/>
    <n v="135"/>
    <n v="790843.49999999988"/>
    <n v="458470.58823529421"/>
    <n v="100"/>
    <n v="95"/>
    <n v="100"/>
    <n v="0"/>
    <n v="0"/>
    <n v="556519.5"/>
    <n v="585810"/>
    <n v="0"/>
    <n v="95"/>
    <n v="556519.5"/>
    <n v="1511764.705882353"/>
    <n v="24"/>
    <n v="0"/>
    <n v="24"/>
    <n v="0"/>
    <m/>
    <n v="0"/>
    <n v="152784"/>
    <n v="0"/>
    <n v="0"/>
    <n v="0"/>
    <n v="362823.5294117647"/>
  </r>
  <r>
    <m/>
    <x v="2"/>
    <x v="20"/>
    <x v="56"/>
    <s v="SIMCOPVINPIAM"/>
    <x v="553"/>
    <x v="391"/>
    <x v="0"/>
    <x v="4"/>
    <n v="1.2"/>
    <x v="340"/>
    <n v="167"/>
    <m/>
    <n v="0"/>
    <n v="7187"/>
    <n v="1200229"/>
    <n v="6.28"/>
    <n v="6860.9"/>
    <n v="16798.319327731093"/>
    <n v="15117.64705882353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58454651656061352"/>
    <n v="52"/>
    <n v="0.60930810887311038"/>
    <n v="35"/>
    <s v=""/>
    <n v="33"/>
    <s v=""/>
    <n v="53"/>
    <s v=""/>
    <n v="57"/>
    <s v=""/>
    <n v="0.95"/>
    <n v="59"/>
    <s v=""/>
    <n v="1.84375"/>
    <n v="99"/>
    <s v=""/>
    <n v="1.7068965517241379"/>
    <n v="26"/>
    <s v=""/>
    <n v="0.5"/>
    <n v="50"/>
    <n v="219"/>
    <n v="20"/>
    <n v="300"/>
    <n v="200"/>
    <n v="0"/>
    <n v="880407.5"/>
    <n v="1423456.2"/>
    <n v="143740"/>
    <n v="0"/>
    <n v="167"/>
    <n v="1200229"/>
    <n v="282324.69458371587"/>
    <n v="40"/>
    <n v="473"/>
    <n v="49.5"/>
    <n v="0"/>
    <n v="0"/>
    <n v="0"/>
    <n v="1146326.5"/>
    <n v="3074405.3999999994"/>
    <n v="355756.5"/>
    <n v="0"/>
    <n v="167"/>
    <n v="1200229"/>
    <n v="698753.61909469671"/>
    <n v="60"/>
    <n v="414"/>
    <n v="53"/>
    <n v="0"/>
    <n v="0"/>
    <n v="1040162.32"/>
    <n v="2975418"/>
    <n v="380911"/>
    <n v="0"/>
    <n v="167"/>
    <n v="1200229"/>
    <n v="890310.92436974798"/>
    <n v="60"/>
    <n v="388"/>
    <n v="57"/>
    <n v="0"/>
    <n v="0"/>
    <n v="2521922.4"/>
    <n v="409659"/>
    <x v="0"/>
    <x v="0"/>
    <n v="167"/>
    <n v="1200229"/>
    <n v="957504.20168067235"/>
    <n v="32"/>
    <n v="226"/>
    <n v="38.4"/>
    <m/>
    <n v="0"/>
    <n v="0"/>
    <n v="1624262"/>
    <n v="249592.31999999995"/>
    <x v="0"/>
    <n v="0"/>
    <n v="167"/>
    <n v="1200229"/>
    <n v="645055.46218487399"/>
    <n v="58"/>
    <n v="266"/>
    <n v="99"/>
    <m/>
    <n v="0"/>
    <n v="0"/>
    <n v="1911742"/>
    <n v="643480.19999999995"/>
    <n v="0"/>
    <n v="0"/>
    <n v="266"/>
    <n v="1200229"/>
    <n v="1663033.6134453781"/>
    <n v="52"/>
    <n v="193"/>
    <n v="62.4"/>
    <n v="0"/>
    <n v="0"/>
    <n v="0"/>
    <n v="1387091"/>
    <n v="405587.51999999996"/>
    <n v="0"/>
    <n v="0"/>
    <n v="193"/>
    <n v="1200229"/>
    <n v="1048215.1260504202"/>
    <n v="41"/>
    <n v="130.6"/>
    <n v="49.199999999999996"/>
    <n v="0"/>
    <n v="0"/>
    <n v="0"/>
    <n v="938622.2"/>
    <n v="319790.15999999992"/>
    <n v="0"/>
    <n v="0"/>
    <n v="130.6"/>
    <n v="938622.2"/>
    <n v="826477.31092436973"/>
    <n v="44"/>
    <n v="81.400000000000006"/>
    <n v="52.8"/>
    <n v="0"/>
    <n v="0"/>
    <m/>
    <n v="529083.72"/>
    <n v="343189.43999999994"/>
    <n v="0"/>
    <n v="0"/>
    <n v="81.400000000000006"/>
    <n v="529083.72"/>
    <n v="886951.26050420164"/>
    <n v="60"/>
    <n v="28.600000000000009"/>
    <n v="28.600000000000009"/>
    <n v="300"/>
    <n v="300"/>
    <n v="300"/>
    <n v="0"/>
    <n v="185894.28000000003"/>
    <n v="185894.28000000003"/>
    <n v="1949939.9999999998"/>
    <n v="1949939.9999999998"/>
    <n v="328.6"/>
    <n v="2135834.2799999998"/>
    <n v="432364.70588235307"/>
    <n v="50"/>
    <n v="300"/>
    <n v="60"/>
    <n v="0"/>
    <n v="0"/>
    <n v="1949939.9999999998"/>
    <n v="389987.99999999994"/>
    <n v="0"/>
    <n v="0"/>
    <n v="300"/>
    <n v="1949939.9999999998"/>
    <n v="952411.76470588241"/>
    <n v="80"/>
    <n v="240"/>
    <n v="96"/>
    <n v="0"/>
    <n v="0"/>
    <n v="1559951.9999999998"/>
    <n v="623980.79999999993"/>
    <n v="0"/>
    <n v="240"/>
    <n v="1559951.9999999998"/>
    <n v="1612638.6554621849"/>
    <n v="30"/>
    <n v="144"/>
    <n v="36"/>
    <n v="0"/>
    <m/>
    <n v="935971.2"/>
    <n v="258732"/>
    <n v="0"/>
    <n v="144"/>
    <n v="935971.2"/>
    <n v="604739.49579831935"/>
  </r>
  <r>
    <m/>
    <x v="2"/>
    <x v="20"/>
    <x v="56"/>
    <s v="SIMCOPVINALSA"/>
    <x v="554"/>
    <x v="392"/>
    <x v="0"/>
    <x v="0"/>
    <n v="0.8"/>
    <x v="341"/>
    <n v="481"/>
    <m/>
    <n v="0"/>
    <n v="6983"/>
    <n v="3358823"/>
    <n v="6.12"/>
    <n v="6686.0999999999995"/>
    <n v="16798.319327731093"/>
    <n v="10915.966386554623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2388074717462016"/>
    <n v="23"/>
    <n v="0.5915237911547353"/>
    <n v="10"/>
    <s v=""/>
    <n v="10"/>
    <s v=""/>
    <n v="7"/>
    <s v=""/>
    <n v="15"/>
    <s v=""/>
    <n v="0.375"/>
    <n v="14"/>
    <s v=""/>
    <n v="0.56000000000000005"/>
    <n v="31"/>
    <s v=""/>
    <n v="1.55"/>
    <n v="6"/>
    <s v=""/>
    <n v="0.24"/>
    <n v="30"/>
    <n v="269"/>
    <n v="10"/>
    <n v="300"/>
    <n v="200"/>
    <n v="0"/>
    <n v="223456"/>
    <n v="1703899.8"/>
    <n v="69830"/>
    <n v="0"/>
    <n v="481"/>
    <n v="3358823"/>
    <n v="141162.34729185794"/>
    <n v="30"/>
    <n v="565"/>
    <n v="15"/>
    <n v="0"/>
    <n v="0"/>
    <n v="0"/>
    <n v="258371"/>
    <n v="3578823"/>
    <n v="104745"/>
    <n v="0"/>
    <n v="481"/>
    <n v="3358823"/>
    <n v="211743.5209377869"/>
    <n v="40"/>
    <n v="552"/>
    <n v="7"/>
    <n v="0"/>
    <n v="0"/>
    <n v="280310"/>
    <n v="3854616"/>
    <n v="48881"/>
    <n v="0"/>
    <n v="481"/>
    <n v="3358823"/>
    <n v="117588.23529411765"/>
    <n v="40"/>
    <n v="546"/>
    <n v="15"/>
    <n v="0"/>
    <n v="0"/>
    <n v="3458473.1999999997"/>
    <n v="104745"/>
    <x v="0"/>
    <x v="0"/>
    <n v="481"/>
    <n v="3358823"/>
    <n v="251974.78991596639"/>
    <n v="25"/>
    <n v="495"/>
    <n v="20"/>
    <m/>
    <n v="0"/>
    <n v="0"/>
    <n v="3456585"/>
    <n v="126684"/>
    <x v="0"/>
    <n v="0"/>
    <n v="481"/>
    <n v="3358823"/>
    <n v="335966.38655462186"/>
    <n v="20"/>
    <n v="512"/>
    <n v="31"/>
    <m/>
    <n v="0"/>
    <n v="0"/>
    <n v="3575296"/>
    <n v="196360.19999999998"/>
    <n v="0"/>
    <n v="0"/>
    <n v="512"/>
    <n v="3358823"/>
    <n v="520747.89915966388"/>
    <n v="25"/>
    <n v="487"/>
    <n v="20"/>
    <n v="0"/>
    <n v="0"/>
    <n v="0"/>
    <n v="3400721"/>
    <n v="126684"/>
    <n v="0"/>
    <n v="0"/>
    <n v="487"/>
    <n v="3358823"/>
    <n v="335966.38655462186"/>
    <n v="20"/>
    <n v="467"/>
    <n v="16"/>
    <n v="0"/>
    <n v="0"/>
    <n v="0"/>
    <n v="3261061"/>
    <n v="101347.2"/>
    <n v="0"/>
    <n v="0"/>
    <n v="467"/>
    <n v="3261061"/>
    <n v="268773.10924369749"/>
    <n v="15"/>
    <n v="451"/>
    <n v="12"/>
    <n v="0"/>
    <n v="0"/>
    <m/>
    <n v="2856724.1999999997"/>
    <n v="76010.399999999994"/>
    <n v="0"/>
    <n v="0"/>
    <n v="451"/>
    <n v="2856724.1999999997"/>
    <n v="201579.83193277312"/>
    <n v="30"/>
    <n v="439"/>
    <n v="24"/>
    <n v="0"/>
    <n v="0"/>
    <n v="0"/>
    <m/>
    <n v="2780713.8"/>
    <n v="152020.79999999999"/>
    <n v="0"/>
    <n v="0"/>
    <n v="439"/>
    <n v="2780713.8"/>
    <n v="261983.19327731093"/>
    <n v="30"/>
    <n v="415"/>
    <n v="24"/>
    <n v="0"/>
    <n v="0"/>
    <n v="2628693"/>
    <n v="152020.79999999999"/>
    <n v="0"/>
    <n v="0"/>
    <n v="415"/>
    <n v="2628693"/>
    <n v="275082.3529411765"/>
    <n v="30"/>
    <n v="391"/>
    <n v="24"/>
    <n v="0"/>
    <n v="0"/>
    <n v="2476672.1999999997"/>
    <n v="152020.79999999999"/>
    <n v="0"/>
    <n v="391"/>
    <n v="2476672.1999999997"/>
    <n v="403159.66386554623"/>
    <n v="18"/>
    <n v="367"/>
    <n v="14.4"/>
    <n v="0"/>
    <m/>
    <n v="2324651.4"/>
    <n v="100555.2"/>
    <n v="0"/>
    <n v="367"/>
    <n v="2324651.4"/>
    <n v="241895.79831932773"/>
  </r>
  <r>
    <m/>
    <x v="2"/>
    <x v="20"/>
    <x v="56"/>
    <s v="SIMCOPGINLDN"/>
    <x v="555"/>
    <x v="393"/>
    <x v="0"/>
    <x v="4"/>
    <n v="1"/>
    <x v="342"/>
    <n v="321"/>
    <m/>
    <n v="0"/>
    <n v="7818"/>
    <n v="2509578"/>
    <n v="6.45"/>
    <n v="7046.6249999999991"/>
    <n v="19319.327731092439"/>
    <n v="18478.991596638658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2"/>
    <n v="0.6026597772224811"/>
    <n v="55"/>
    <n v="0.59870095607936658"/>
    <n v="51"/>
    <s v=""/>
    <n v="38"/>
    <s v=""/>
    <n v="49"/>
    <s v=""/>
    <n v="47"/>
    <s v=""/>
    <n v="0.8545454545454545"/>
    <n v="22"/>
    <s v=""/>
    <n v="0.59459459459459463"/>
    <n v="8"/>
    <s v=""/>
    <n v="0.11940298507462686"/>
    <n v="0"/>
    <s v=""/>
    <n v="0"/>
    <n v="30"/>
    <n v="228"/>
    <n v="30"/>
    <n v="0"/>
    <n v="0"/>
    <n v="0"/>
    <n v="1063248"/>
    <n v="1522070.9999999998"/>
    <n v="234540"/>
    <n v="0"/>
    <n v="321"/>
    <n v="2509578"/>
    <n v="487041.87557375897"/>
    <n v="25"/>
    <n v="175"/>
    <n v="57"/>
    <n v="0"/>
    <n v="0"/>
    <n v="0"/>
    <n v="1196154"/>
    <n v="1168256.2499999998"/>
    <n v="445626"/>
    <n v="0"/>
    <n v="321"/>
    <n v="2509578"/>
    <n v="925379.56359014206"/>
    <n v="52.5"/>
    <n v="124"/>
    <n v="49"/>
    <n v="0"/>
    <n v="0"/>
    <n v="997530.75"/>
    <n v="969432"/>
    <n v="383082"/>
    <n v="0"/>
    <n v="321"/>
    <n v="2509578"/>
    <n v="946647.05882352951"/>
    <n v="55"/>
    <n v="85"/>
    <n v="47"/>
    <n v="0"/>
    <n v="0"/>
    <n v="567438.74999999988"/>
    <n v="367446"/>
    <x v="0"/>
    <x v="0"/>
    <n v="321"/>
    <n v="2509578"/>
    <n v="908008.40336134459"/>
    <n v="37"/>
    <n v="343"/>
    <n v="37"/>
    <m/>
    <n v="0"/>
    <n v="0"/>
    <n v="2681574"/>
    <n v="247002.74999999997"/>
    <x v="0"/>
    <n v="0"/>
    <n v="321"/>
    <n v="2509578"/>
    <n v="714815.12605042022"/>
    <n v="67"/>
    <n v="329"/>
    <n v="8"/>
    <m/>
    <n v="0"/>
    <n v="0"/>
    <n v="2572122"/>
    <n v="53405.999999999993"/>
    <n v="0"/>
    <n v="0"/>
    <n v="329"/>
    <n v="2509578"/>
    <n v="154554.62184873951"/>
    <n v="60"/>
    <n v="321"/>
    <n v="60"/>
    <n v="300"/>
    <n v="300"/>
    <n v="0"/>
    <n v="2509578"/>
    <n v="400544.99999999994"/>
    <n v="1935967.4999999998"/>
    <n v="0"/>
    <n v="321"/>
    <n v="2509578"/>
    <n v="1159159.6638655462"/>
    <n v="47"/>
    <n v="261"/>
    <n v="47"/>
    <n v="0"/>
    <n v="0"/>
    <n v="0"/>
    <n v="2040498"/>
    <n v="313760.24999999994"/>
    <n v="0"/>
    <n v="0"/>
    <n v="261"/>
    <n v="2040498"/>
    <n v="908008.40336134459"/>
    <n v="50"/>
    <n v="214"/>
    <n v="50"/>
    <n v="0"/>
    <n v="0"/>
    <m/>
    <n v="1428610.4999999998"/>
    <n v="333787.49999999994"/>
    <n v="0"/>
    <n v="0"/>
    <n v="214"/>
    <n v="1428610.4999999998"/>
    <n v="965966.38655462197"/>
    <n v="60"/>
    <n v="164"/>
    <n v="60"/>
    <n v="0"/>
    <n v="0"/>
    <n v="0"/>
    <m/>
    <n v="1094822.9999999998"/>
    <n v="400544.99999999994"/>
    <n v="0"/>
    <n v="0"/>
    <n v="164"/>
    <n v="1094822.9999999998"/>
    <n v="1108739.4957983196"/>
    <n v="50"/>
    <n v="104"/>
    <n v="50"/>
    <n v="0"/>
    <n v="0"/>
    <n v="694277.99999999988"/>
    <n v="333787.49999999994"/>
    <n v="0"/>
    <n v="0"/>
    <n v="104"/>
    <n v="694277.99999999988"/>
    <n v="970147.05882352963"/>
    <n v="80"/>
    <n v="54"/>
    <n v="80"/>
    <n v="0"/>
    <n v="0"/>
    <n v="360490.49999999994"/>
    <n v="534059.99999999988"/>
    <n v="0"/>
    <n v="54"/>
    <n v="360490.49999999994"/>
    <n v="1545546.218487395"/>
    <n v="30"/>
    <n v="0"/>
    <n v="30"/>
    <n v="0"/>
    <m/>
    <n v="0"/>
    <n v="234540"/>
    <n v="0"/>
    <n v="0"/>
    <n v="0"/>
    <n v="579579.83193277312"/>
  </r>
  <r>
    <m/>
    <x v="2"/>
    <x v="20"/>
    <x v="56"/>
    <s v="SIMVASLARGINE"/>
    <x v="556"/>
    <x v="394"/>
    <x v="0"/>
    <x v="3"/>
    <n v="1"/>
    <x v="343"/>
    <n v="339"/>
    <m/>
    <n v="0"/>
    <n v="3648"/>
    <n v="1236672"/>
    <n v="3.19"/>
    <n v="3485.0749999999998"/>
    <n v="10915.966386554623"/>
    <n v="10075.63025210084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8"/>
    <n v="0.66080680812984871"/>
    <n v="42"/>
    <n v="0.63952398709021618"/>
    <n v="93"/>
    <s v=""/>
    <n v="89"/>
    <s v=""/>
    <n v="116"/>
    <s v=""/>
    <n v="106"/>
    <s v=""/>
    <n v="1.06"/>
    <n v="73"/>
    <s v=""/>
    <n v="0.91249999999999998"/>
    <n v="9"/>
    <s v=""/>
    <n v="0.06"/>
    <n v="5"/>
    <s v=""/>
    <n v="7.1428571428571425E-2"/>
    <n v="50"/>
    <n v="215"/>
    <n v="120"/>
    <n v="300"/>
    <n v="200"/>
    <n v="0"/>
    <n v="1347936"/>
    <n v="709854.74999999988"/>
    <n v="437760"/>
    <n v="0"/>
    <n v="339"/>
    <n v="1236672"/>
    <n v="1100769.7196525671"/>
    <n v="90"/>
    <n v="410"/>
    <n v="133.5"/>
    <n v="0"/>
    <n v="0"/>
    <n v="0"/>
    <n v="1296864"/>
    <n v="1353676.4999999998"/>
    <n v="487008"/>
    <n v="0"/>
    <n v="339"/>
    <n v="1236672"/>
    <n v="1224606.3131134808"/>
    <n v="120"/>
    <n v="246"/>
    <n v="116"/>
    <n v="0"/>
    <n v="0"/>
    <n v="1073988"/>
    <n v="897408"/>
    <n v="423168"/>
    <n v="0"/>
    <n v="339"/>
    <n v="1236672"/>
    <n v="1266252.1008403362"/>
    <n v="100"/>
    <n v="198"/>
    <n v="106"/>
    <n v="0"/>
    <n v="0"/>
    <n v="653726.69999999995"/>
    <n v="386688"/>
    <x v="0"/>
    <x v="0"/>
    <n v="339"/>
    <n v="1236672"/>
    <n v="1157092.4369747899"/>
    <n v="80"/>
    <n v="412"/>
    <n v="80"/>
    <m/>
    <n v="0"/>
    <n v="0"/>
    <n v="1502976"/>
    <n v="264132"/>
    <x v="0"/>
    <n v="0"/>
    <n v="339"/>
    <n v="1236672"/>
    <n v="873277.31092436984"/>
    <n v="150"/>
    <n v="348"/>
    <n v="9"/>
    <m/>
    <n v="0"/>
    <n v="0"/>
    <n v="1269504"/>
    <n v="29714.85"/>
    <n v="0"/>
    <n v="0"/>
    <n v="348"/>
    <n v="1236672"/>
    <n v="98243.697478991598"/>
    <n v="70"/>
    <n v="344"/>
    <n v="70"/>
    <n v="300"/>
    <n v="300"/>
    <n v="0"/>
    <n v="1254912"/>
    <n v="231115.49999999997"/>
    <n v="957478.49999999977"/>
    <n v="0"/>
    <n v="344"/>
    <n v="1236672"/>
    <n v="764117.64705882361"/>
    <n v="60"/>
    <n v="274"/>
    <n v="60"/>
    <n v="0"/>
    <n v="0"/>
    <n v="0"/>
    <n v="999552"/>
    <n v="198098.99999999997"/>
    <n v="0"/>
    <n v="0"/>
    <n v="274"/>
    <n v="999552"/>
    <n v="654957.98319327738"/>
    <n v="80"/>
    <n v="214"/>
    <n v="80"/>
    <n v="300"/>
    <n v="300"/>
    <n v="0"/>
    <n v="706553.1"/>
    <n v="264132"/>
    <n v="990494.99999999988"/>
    <n v="0"/>
    <n v="214"/>
    <n v="706553.1"/>
    <n v="873277.31092436984"/>
    <n v="120"/>
    <n v="434"/>
    <n v="120"/>
    <n v="0"/>
    <n v="0"/>
    <n v="0"/>
    <n v="300"/>
    <n v="1432916.0999999999"/>
    <n v="396197.99999999994"/>
    <n v="0"/>
    <n v="990494.99999999988"/>
    <n v="434"/>
    <n v="2423411.0999999996"/>
    <n v="1209075.6302521008"/>
    <n v="80"/>
    <n v="314"/>
    <n v="80"/>
    <n v="0"/>
    <n v="0"/>
    <n v="1036718.0999999999"/>
    <n v="264132"/>
    <n v="0"/>
    <n v="0"/>
    <n v="314"/>
    <n v="1036718.0999999999"/>
    <n v="846352.9411764706"/>
    <n v="150"/>
    <n v="234"/>
    <n v="150"/>
    <n v="0"/>
    <n v="0"/>
    <n v="772586.09999999986"/>
    <n v="495247.49999999994"/>
    <n v="0"/>
    <n v="234"/>
    <n v="772586.09999999986"/>
    <n v="1637394.9579831935"/>
    <n v="48"/>
    <n v="84"/>
    <n v="48"/>
    <n v="0"/>
    <m/>
    <n v="277338.59999999998"/>
    <n v="175104"/>
    <n v="0"/>
    <n v="84"/>
    <n v="277338.59999999998"/>
    <n v="523966.38655462186"/>
  </r>
  <r>
    <m/>
    <x v="2"/>
    <x v="20"/>
    <x v="56"/>
    <s v="SIMVASCORGINE"/>
    <x v="557"/>
    <x v="395"/>
    <x v="0"/>
    <x v="4"/>
    <n v="1"/>
    <x v="344"/>
    <n v="285"/>
    <m/>
    <n v="0"/>
    <n v="3142"/>
    <n v="895470"/>
    <n v="2.46"/>
    <n v="2687.5499999999997"/>
    <n v="8394.957983193277"/>
    <n v="7134.453781512605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5"/>
    <n v="0.63522716057505679"/>
    <n v="18"/>
    <n v="0.59429693502945447"/>
    <n v="25"/>
    <s v=""/>
    <n v="22"/>
    <s v=""/>
    <n v="74"/>
    <s v=""/>
    <n v="47"/>
    <s v=""/>
    <n v="0.78333333333333333"/>
    <n v="45"/>
    <s v=""/>
    <n v="1.125"/>
    <n v="54"/>
    <s v=""/>
    <n v="0.72"/>
    <n v="9"/>
    <s v=""/>
    <n v="0.2"/>
    <n v="50"/>
    <n v="273"/>
    <n v="35"/>
    <n v="300"/>
    <n v="200"/>
    <n v="0"/>
    <n v="446164"/>
    <n v="695085.29999999993"/>
    <n v="109970"/>
    <n v="0"/>
    <n v="285"/>
    <n v="895470"/>
    <n v="246910.52891744935"/>
    <n v="40"/>
    <n v="552"/>
    <n v="33"/>
    <n v="0"/>
    <n v="0"/>
    <n v="0"/>
    <n v="483868"/>
    <n v="1405447.2"/>
    <n v="103686"/>
    <n v="0"/>
    <n v="285"/>
    <n v="895470"/>
    <n v="232801.35583645222"/>
    <n v="60"/>
    <n v="498"/>
    <n v="74"/>
    <n v="0"/>
    <n v="0"/>
    <n v="482026"/>
    <n v="1564716"/>
    <n v="232508"/>
    <n v="0"/>
    <n v="285"/>
    <n v="895470"/>
    <n v="621226.89075630251"/>
    <n v="60"/>
    <n v="448"/>
    <n v="47"/>
    <n v="0"/>
    <n v="0"/>
    <n v="1140652.8"/>
    <n v="147674"/>
    <x v="0"/>
    <x v="0"/>
    <n v="285"/>
    <n v="895470"/>
    <n v="394563.02521008404"/>
    <n v="40"/>
    <n v="330"/>
    <n v="40"/>
    <m/>
    <n v="0"/>
    <n v="0"/>
    <n v="1036860"/>
    <n v="101844"/>
    <x v="0"/>
    <n v="0"/>
    <n v="285"/>
    <n v="895470"/>
    <n v="335798.31932773109"/>
    <n v="75"/>
    <n v="339"/>
    <n v="54"/>
    <m/>
    <n v="0"/>
    <n v="0"/>
    <n v="1065138"/>
    <n v="137489.4"/>
    <n v="0"/>
    <n v="0"/>
    <n v="339"/>
    <n v="895470"/>
    <n v="453327.73109243694"/>
    <n v="45"/>
    <n v="294"/>
    <n v="45"/>
    <n v="0"/>
    <n v="0"/>
    <n v="0"/>
    <n v="923748"/>
    <n v="114574.5"/>
    <n v="0"/>
    <n v="0"/>
    <n v="294"/>
    <n v="895470"/>
    <n v="377773.10924369749"/>
    <n v="40"/>
    <n v="249"/>
    <n v="40"/>
    <n v="0"/>
    <n v="0"/>
    <n v="0"/>
    <n v="782358"/>
    <n v="101844"/>
    <n v="0"/>
    <n v="0"/>
    <n v="249"/>
    <n v="782358"/>
    <n v="335798.31932773109"/>
    <n v="45"/>
    <n v="209"/>
    <n v="45"/>
    <n v="0"/>
    <n v="0"/>
    <m/>
    <n v="532134.9"/>
    <n v="114574.5"/>
    <n v="0"/>
    <n v="0"/>
    <n v="209"/>
    <n v="532134.9"/>
    <n v="377773.10924369749"/>
    <n v="100"/>
    <n v="164"/>
    <n v="100"/>
    <n v="0"/>
    <n v="0"/>
    <n v="0"/>
    <m/>
    <n v="417560.39999999997"/>
    <n v="254610"/>
    <n v="0"/>
    <n v="0"/>
    <n v="164"/>
    <n v="417560.39999999997"/>
    <n v="713445.37815126055"/>
    <n v="60"/>
    <n v="64"/>
    <n v="60"/>
    <n v="300"/>
    <n v="300"/>
    <n v="162950.39999999999"/>
    <n v="152766"/>
    <n v="763830"/>
    <n v="763830"/>
    <n v="364"/>
    <n v="926780.4"/>
    <n v="449470.5882352941"/>
    <n v="130"/>
    <n v="304"/>
    <n v="130"/>
    <n v="0"/>
    <n v="0"/>
    <n v="774014.4"/>
    <n v="330993"/>
    <n v="0"/>
    <n v="304"/>
    <n v="774014.4"/>
    <n v="1091344.5378151259"/>
    <n v="36"/>
    <n v="174"/>
    <n v="36"/>
    <n v="0"/>
    <m/>
    <n v="443021.39999999997"/>
    <n v="113112"/>
    <n v="0"/>
    <n v="174"/>
    <n v="443021.39999999997"/>
    <n v="302218.48739495798"/>
  </r>
  <r>
    <s v="Simplit-Cristalería y Bar"/>
    <x v="2"/>
    <x v="20"/>
    <x v="57"/>
    <s v="SIMDESSOM"/>
    <x v="558"/>
    <x v="396"/>
    <x v="0"/>
    <x v="1"/>
    <n v="0.7"/>
    <x v="345"/>
    <n v="58"/>
    <m/>
    <n v="0"/>
    <n v="2274"/>
    <n v="131892"/>
    <n v="2.3199999999999998"/>
    <n v="2534.6"/>
    <n v="8394.957983193277"/>
    <n v="8394.957983193277"/>
    <s v="Shenzhen"/>
    <x v="0"/>
    <n v="30"/>
    <n v="200"/>
    <n v="5"/>
    <n v="0.67543573914756683"/>
    <n v="8"/>
    <n v="0.668329212694875"/>
    <n v="6"/>
    <n v="0.72831435292291546"/>
    <n v="11"/>
    <n v="0.70186590304899288"/>
    <n v="13"/>
    <n v="0.66237254303534088"/>
    <n v="33"/>
    <n v="0.6585272663183217"/>
    <n v="18"/>
    <n v="0.65609096967259151"/>
    <n v="22"/>
    <n v="0.68516546388168087"/>
    <n v="12"/>
    <n v="0.69016703396549006"/>
    <n v="25"/>
    <n v="0.6633307069088924"/>
    <n v="25"/>
    <n v="0.72858579487743136"/>
    <n v="13"/>
    <n v="0.75156100935690962"/>
    <n v="5"/>
    <s v=""/>
    <n v="13"/>
    <s v=""/>
    <n v="15"/>
    <s v=""/>
    <n v="9"/>
    <s v=""/>
    <n v="0.6"/>
    <n v="20"/>
    <s v=""/>
    <n v="1.6666666666666667"/>
    <n v="14"/>
    <s v=""/>
    <n v="0.46666666666666667"/>
    <n v="7"/>
    <s v=""/>
    <n v="0.4375"/>
    <n v="15"/>
    <n v="6"/>
    <n v="15"/>
    <n v="50"/>
    <n v="50"/>
    <n v="0"/>
    <n v="112563"/>
    <n v="14407.199999999999"/>
    <n v="34110"/>
    <n v="0"/>
    <n v="58"/>
    <n v="131892"/>
    <n v="105818.79810747829"/>
    <n v="15"/>
    <n v="46"/>
    <n v="19.5"/>
    <n v="0"/>
    <n v="0"/>
    <n v="0"/>
    <n v="98919"/>
    <n v="110455.2"/>
    <n v="44343"/>
    <n v="0"/>
    <n v="58"/>
    <n v="131892"/>
    <n v="137564.43753972178"/>
    <n v="15"/>
    <n v="31"/>
    <n v="15"/>
    <n v="0"/>
    <n v="0"/>
    <n v="74746.079999999987"/>
    <n v="70494"/>
    <n v="34110"/>
    <n v="0"/>
    <n v="58"/>
    <n v="131892"/>
    <n v="125924.36974789915"/>
    <n v="15"/>
    <n v="118"/>
    <n v="9"/>
    <n v="100"/>
    <n v="0"/>
    <n v="283341.59999999998"/>
    <n v="20466"/>
    <x v="90"/>
    <x v="0"/>
    <n v="58"/>
    <n v="131892"/>
    <n v="75554.621848739494"/>
    <n v="12"/>
    <n v="78"/>
    <n v="8.3999999999999986"/>
    <m/>
    <n v="0"/>
    <n v="0"/>
    <n v="177372"/>
    <n v="20170.079999999994"/>
    <x v="0"/>
    <n v="0"/>
    <n v="58"/>
    <n v="131892"/>
    <n v="70517.64705882351"/>
    <n v="30"/>
    <n v="72"/>
    <n v="14"/>
    <m/>
    <n v="0"/>
    <n v="0"/>
    <n v="163728"/>
    <n v="33616.799999999996"/>
    <n v="0"/>
    <n v="0"/>
    <n v="72"/>
    <n v="131892"/>
    <n v="117529.41176470587"/>
    <n v="16"/>
    <n v="65"/>
    <n v="11.2"/>
    <n v="0"/>
    <n v="0"/>
    <n v="0"/>
    <n v="147810"/>
    <n v="26893.439999999995"/>
    <n v="0"/>
    <n v="0"/>
    <n v="65"/>
    <n v="131892"/>
    <n v="94023.529411764699"/>
    <n v="22"/>
    <n v="53.8"/>
    <n v="15.399999999999999"/>
    <n v="0"/>
    <n v="0"/>
    <n v="0"/>
    <n v="122341.2"/>
    <n v="36978.479999999996"/>
    <n v="0"/>
    <n v="0"/>
    <n v="53.8"/>
    <n v="122341.2"/>
    <n v="129282.35294117645"/>
    <n v="20"/>
    <n v="38.4"/>
    <n v="14"/>
    <n v="100"/>
    <n v="100"/>
    <n v="0"/>
    <n v="92206.079999999987"/>
    <n v="33616.799999999996"/>
    <n v="240119.99999999997"/>
    <n v="0"/>
    <n v="38.4"/>
    <n v="92206.079999999987"/>
    <n v="117529.41176470587"/>
    <n v="25"/>
    <n v="124.4"/>
    <n v="17.5"/>
    <n v="0"/>
    <n v="0"/>
    <n v="0"/>
    <n v="100"/>
    <n v="298709.27999999997"/>
    <n v="42021"/>
    <n v="0"/>
    <n v="240119.99999999997"/>
    <n v="124.4"/>
    <n v="538829.27999999991"/>
    <n v="146911.76470588235"/>
    <n v="25"/>
    <n v="106.9"/>
    <n v="17.5"/>
    <n v="0"/>
    <n v="0"/>
    <n v="256688.28"/>
    <n v="42021"/>
    <n v="0"/>
    <n v="0"/>
    <n v="106.9"/>
    <n v="256688.28"/>
    <n v="154257.35294117648"/>
    <n v="30"/>
    <n v="89.4"/>
    <n v="21"/>
    <n v="0"/>
    <n v="0"/>
    <n v="214667.28"/>
    <n v="50425.2"/>
    <n v="0"/>
    <n v="89.4"/>
    <n v="214667.28"/>
    <n v="176294.11764705883"/>
    <n v="15"/>
    <n v="68.400000000000006"/>
    <n v="10.5"/>
    <n v="0"/>
    <m/>
    <n v="164242.07999999999"/>
    <n v="23877"/>
    <n v="0"/>
    <n v="68.400000000000006"/>
    <n v="164242.07999999999"/>
    <n v="88147.058823529413"/>
  </r>
  <r>
    <s v="Simplit-Cristalería y Bar"/>
    <x v="2"/>
    <x v="20"/>
    <x v="57"/>
    <s v="SIMDECCHA"/>
    <x v="559"/>
    <x v="397"/>
    <x v="0"/>
    <x v="1"/>
    <n v="1.2"/>
    <x v="346"/>
    <n v="100"/>
    <m/>
    <n v="0"/>
    <n v="6175"/>
    <n v="617500"/>
    <n v="6"/>
    <n v="6554.9999999999991"/>
    <n v="14277.310924369749"/>
    <n v="10915.966386554623"/>
    <s v="Shenzhen"/>
    <x v="0"/>
    <n v="30"/>
    <n v="100"/>
    <n v="2"/>
    <n v="0.61956809523809531"/>
    <n v="0"/>
    <s v=""/>
    <n v="2"/>
    <n v="0.5471305481548665"/>
    <n v="14"/>
    <n v="0.43767422201891981"/>
    <n v="0"/>
    <s v=""/>
    <n v="6"/>
    <n v="0.46624202337089571"/>
    <n v="1"/>
    <n v="1.0000000000000002"/>
    <n v="7"/>
    <n v="0.62818387829761568"/>
    <n v="4"/>
    <n v="0.59909324375579653"/>
    <n v="7"/>
    <n v="0.50298032853665975"/>
    <n v="6"/>
    <n v="0.55862723183803642"/>
    <n v="19"/>
    <n v="0.55267726582881449"/>
    <n v="1"/>
    <s v=""/>
    <n v="7"/>
    <s v=""/>
    <n v="8"/>
    <s v=""/>
    <n v="4"/>
    <s v=""/>
    <n v="0.2"/>
    <n v="5"/>
    <s v=""/>
    <n v="1.6666666666666667"/>
    <n v="9"/>
    <s v=""/>
    <n v="1.8"/>
    <n v="1"/>
    <s v=""/>
    <n v="0.25"/>
    <n v="12"/>
    <n v="81"/>
    <n v="6"/>
    <n v="50"/>
    <n v="50"/>
    <n v="0"/>
    <n v="151287.5"/>
    <n v="503009.99999999994"/>
    <n v="37050"/>
    <n v="0"/>
    <n v="100"/>
    <n v="617500"/>
    <n v="71986.441635477735"/>
    <n v="5"/>
    <n v="135"/>
    <n v="10.5"/>
    <n v="0"/>
    <n v="0"/>
    <n v="0"/>
    <n v="138937.5"/>
    <n v="838349.99999999988"/>
    <n v="64837.5"/>
    <n v="0"/>
    <n v="100"/>
    <n v="617500"/>
    <n v="125976.27286208603"/>
    <n v="15"/>
    <n v="127"/>
    <n v="8"/>
    <n v="0"/>
    <n v="0"/>
    <n v="96456"/>
    <n v="784225"/>
    <n v="49400"/>
    <n v="0"/>
    <n v="100"/>
    <n v="617500"/>
    <n v="114218.48739495799"/>
    <n v="20"/>
    <n v="119"/>
    <n v="4"/>
    <n v="0"/>
    <n v="0"/>
    <n v="738989.99999999988"/>
    <n v="24700"/>
    <x v="0"/>
    <x v="0"/>
    <n v="100"/>
    <n v="617500"/>
    <n v="57109.243697478996"/>
    <n v="3"/>
    <n v="105"/>
    <n v="3.5999999999999996"/>
    <m/>
    <n v="0"/>
    <n v="0"/>
    <n v="648375"/>
    <n v="22355.999999999993"/>
    <x v="0"/>
    <n v="0"/>
    <n v="100"/>
    <n v="617500"/>
    <n v="51398.319327731093"/>
    <n v="5"/>
    <n v="109"/>
    <n v="9"/>
    <m/>
    <n v="0"/>
    <n v="0"/>
    <n v="673075"/>
    <n v="55889.999999999993"/>
    <n v="0"/>
    <n v="0"/>
    <n v="109"/>
    <n v="617500"/>
    <n v="128495.79831932775"/>
    <n v="4"/>
    <n v="101"/>
    <n v="4.8"/>
    <n v="0"/>
    <n v="0"/>
    <n v="0"/>
    <n v="623675"/>
    <n v="29807.999999999993"/>
    <n v="0"/>
    <n v="0"/>
    <n v="101"/>
    <n v="617500"/>
    <n v="68531.092436974795"/>
    <n v="7"/>
    <n v="96.2"/>
    <n v="8.4"/>
    <n v="0"/>
    <n v="0"/>
    <n v="0"/>
    <n v="594035"/>
    <n v="52163.999999999993"/>
    <n v="0"/>
    <n v="0"/>
    <n v="96.2"/>
    <n v="594035"/>
    <n v="119929.4117647059"/>
    <n v="4"/>
    <n v="87.8"/>
    <n v="4.8"/>
    <n v="0"/>
    <n v="0"/>
    <m/>
    <n v="545237.99999999988"/>
    <n v="29807.999999999993"/>
    <n v="0"/>
    <n v="0"/>
    <n v="87.8"/>
    <n v="545237.99999999988"/>
    <n v="68531.092436974795"/>
    <n v="10"/>
    <n v="83"/>
    <n v="12"/>
    <n v="0"/>
    <n v="0"/>
    <n v="0"/>
    <m/>
    <n v="515429.99999999994"/>
    <n v="74519.999999999985"/>
    <n v="0"/>
    <n v="0"/>
    <n v="83"/>
    <n v="515429.99999999994"/>
    <n v="130991.59663865546"/>
    <n v="15"/>
    <n v="71"/>
    <n v="18"/>
    <n v="0"/>
    <n v="0"/>
    <n v="440909.99999999994"/>
    <n v="111779.99999999999"/>
    <n v="0"/>
    <n v="0"/>
    <n v="71"/>
    <n v="440909.99999999994"/>
    <n v="206311.76470588238"/>
    <n v="20"/>
    <n v="53"/>
    <n v="24"/>
    <n v="0"/>
    <n v="0"/>
    <n v="329129.99999999994"/>
    <n v="149039.99999999997"/>
    <n v="0"/>
    <n v="53"/>
    <n v="329129.99999999994"/>
    <n v="342655.46218487399"/>
    <n v="9"/>
    <n v="29"/>
    <n v="10.799999999999999"/>
    <n v="0"/>
    <m/>
    <n v="180089.99999999997"/>
    <n v="66690"/>
    <n v="0"/>
    <n v="29"/>
    <n v="180089.99999999997"/>
    <n v="154194.95798319328"/>
  </r>
  <r>
    <s v="Simplit-Cristalería y Bar"/>
    <x v="2"/>
    <x v="20"/>
    <x v="57"/>
    <s v="SIMDECROU"/>
    <x v="560"/>
    <x v="398"/>
    <x v="0"/>
    <x v="1"/>
    <n v="1"/>
    <x v="347"/>
    <n v="10"/>
    <m/>
    <n v="0"/>
    <n v="5603"/>
    <n v="56030"/>
    <n v="3.86"/>
    <n v="4217.0499999999993"/>
    <n v="16798.319327731093"/>
    <n v="16798.319327731093"/>
    <s v="Shenzhen"/>
    <x v="0"/>
    <n v="30"/>
    <n v="100"/>
    <n v="4"/>
    <n v="0.66644600547684241"/>
    <n v="9"/>
    <n v="0.58677899092302133"/>
    <n v="9"/>
    <n v="0.63179076033383696"/>
    <n v="24"/>
    <n v="0.55954452168870539"/>
    <n v="13"/>
    <n v="0.62937750329589603"/>
    <n v="27"/>
    <n v="0.52595091458128762"/>
    <n v="4"/>
    <n v="0.56850113171404115"/>
    <n v="3"/>
    <n v="0.4867130817149139"/>
    <n v="1"/>
    <n v="0.73318952380952374"/>
    <n v="0"/>
    <s v=""/>
    <n v="0"/>
    <s v=""/>
    <n v="0"/>
    <s v=""/>
    <n v="6"/>
    <s v=""/>
    <n v="8"/>
    <s v=""/>
    <n v="10"/>
    <s v=""/>
    <n v="3"/>
    <s v=""/>
    <n v="0.12"/>
    <n v="4"/>
    <s v=""/>
    <n v="0.33333333333333331"/>
    <n v="4"/>
    <s v=""/>
    <n v="0.26666666666666666"/>
    <n v="1"/>
    <s v=""/>
    <n v="0.14285714285714285"/>
    <n v="15"/>
    <n v="47"/>
    <n v="6"/>
    <n v="50"/>
    <n v="50"/>
    <n v="0"/>
    <n v="156884"/>
    <n v="187769.69999999998"/>
    <n v="33618"/>
    <n v="0"/>
    <n v="10"/>
    <n v="56030"/>
    <n v="84697.408375114755"/>
    <n v="5"/>
    <n v="41"/>
    <n v="12"/>
    <n v="0"/>
    <n v="0"/>
    <n v="0"/>
    <n v="140075"/>
    <n v="163799.1"/>
    <n v="67236"/>
    <n v="0"/>
    <n v="10"/>
    <n v="56030"/>
    <n v="169394.81675022951"/>
    <n v="20"/>
    <n v="33"/>
    <n v="10"/>
    <n v="0"/>
    <n v="0"/>
    <n v="120780.2"/>
    <n v="184899"/>
    <n v="56030"/>
    <n v="0"/>
    <n v="10"/>
    <n v="56030"/>
    <n v="167983.19327731093"/>
    <n v="25"/>
    <n v="22"/>
    <n v="3"/>
    <n v="100"/>
    <n v="0"/>
    <n v="87892.2"/>
    <n v="16809"/>
    <x v="91"/>
    <x v="0"/>
    <n v="10"/>
    <n v="56030"/>
    <n v="50394.957983193279"/>
    <n v="12"/>
    <n v="14"/>
    <n v="12"/>
    <m/>
    <n v="0"/>
    <n v="0"/>
    <n v="78442"/>
    <n v="47941.2"/>
    <x v="0"/>
    <n v="0"/>
    <n v="10"/>
    <n v="56030"/>
    <n v="201579.83193277312"/>
    <n v="15"/>
    <n v="14"/>
    <n v="4"/>
    <m/>
    <n v="0"/>
    <n v="0"/>
    <n v="78442"/>
    <n v="15980.4"/>
    <n v="0"/>
    <n v="0"/>
    <n v="14"/>
    <n v="56030"/>
    <n v="67193.277310924372"/>
    <n v="7"/>
    <n v="11"/>
    <n v="7"/>
    <n v="0"/>
    <n v="0"/>
    <n v="0"/>
    <n v="61633"/>
    <n v="27965.7"/>
    <n v="0"/>
    <n v="0"/>
    <n v="11"/>
    <n v="56030"/>
    <n v="117588.23529411765"/>
    <n v="8"/>
    <n v="4"/>
    <n v="8"/>
    <n v="0"/>
    <n v="0"/>
    <n v="0"/>
    <n v="22412"/>
    <n v="31960.799999999999"/>
    <n v="0"/>
    <n v="0"/>
    <n v="4"/>
    <n v="22412"/>
    <n v="134386.55462184874"/>
    <n v="6"/>
    <n v="0"/>
    <n v="6"/>
    <n v="100"/>
    <n v="100"/>
    <n v="0"/>
    <n v="0"/>
    <n v="23970.6"/>
    <n v="399510"/>
    <n v="0"/>
    <n v="0"/>
    <n v="0"/>
    <n v="100789.91596638656"/>
    <n v="20"/>
    <n v="100"/>
    <n v="20"/>
    <n v="0"/>
    <n v="0"/>
    <n v="0"/>
    <n v="100"/>
    <n v="399510"/>
    <n v="79902"/>
    <n v="0"/>
    <n v="399510"/>
    <n v="100"/>
    <n v="799020"/>
    <n v="335966.38655462186"/>
    <n v="20"/>
    <n v="80"/>
    <n v="20"/>
    <n v="0"/>
    <n v="0"/>
    <n v="319608"/>
    <n v="79902"/>
    <n v="0"/>
    <n v="0"/>
    <n v="80"/>
    <n v="319608"/>
    <n v="352764.70588235295"/>
    <n v="100"/>
    <n v="60"/>
    <n v="100"/>
    <n v="0"/>
    <n v="0"/>
    <n v="239706"/>
    <n v="399510"/>
    <n v="0"/>
    <n v="60"/>
    <n v="239706"/>
    <n v="1679831.9327731093"/>
    <n v="12"/>
    <n v="0"/>
    <n v="12"/>
    <n v="0"/>
    <m/>
    <n v="0"/>
    <n v="67236"/>
    <n v="0"/>
    <n v="0"/>
    <n v="0"/>
    <n v="201579.83193277312"/>
  </r>
  <r>
    <s v="Simplit-Cristalería y Bar"/>
    <x v="2"/>
    <x v="20"/>
    <x v="57"/>
    <s v="SIMHIECHAR"/>
    <x v="561"/>
    <x v="399"/>
    <x v="0"/>
    <x v="4"/>
    <n v="1"/>
    <x v="348"/>
    <n v="16"/>
    <m/>
    <n v="0"/>
    <n v="7340"/>
    <n v="117440"/>
    <n v="7.09"/>
    <n v="7745.8249999999998"/>
    <n v="14277.310924369749"/>
    <n v="22680.672268907565"/>
    <s v="Shenzhen"/>
    <x v="0"/>
    <n v="30"/>
    <n v="300"/>
    <n v="8"/>
    <n v="0.52825159488744755"/>
    <n v="12"/>
    <n v="0.5475667772507854"/>
    <n v="33"/>
    <n v="0.51068514120296982"/>
    <n v="59"/>
    <n v="0.51431677731617775"/>
    <n v="43"/>
    <n v="0.54102244238419128"/>
    <n v="63"/>
    <n v="0.49493476467060382"/>
    <n v="31"/>
    <n v="0.53197572894325251"/>
    <n v="44"/>
    <n v="0.52687682170646888"/>
    <n v="17"/>
    <n v="0.57296837823877866"/>
    <n v="75"/>
    <n v="0.4785079322589943"/>
    <n v="97"/>
    <n v="0.53445491347792362"/>
    <n v="93"/>
    <n v="0.49736146540122333"/>
    <n v="62"/>
    <s v=""/>
    <n v="59"/>
    <s v=""/>
    <n v="186"/>
    <s v=""/>
    <n v="94"/>
    <s v=""/>
    <n v="0.94"/>
    <n v="24"/>
    <s v=""/>
    <n v="0.4"/>
    <n v="-1"/>
    <s v=""/>
    <n v="-1.2500000000000001E-2"/>
    <n v="4"/>
    <s v=""/>
    <n v="8.8888888888888892E-2"/>
    <n v="70"/>
    <n v="428"/>
    <n v="70"/>
    <n v="0"/>
    <n v="0"/>
    <n v="0"/>
    <n v="2528630"/>
    <n v="3140728.1999999997"/>
    <n v="513800"/>
    <n v="0"/>
    <n v="16"/>
    <n v="117440"/>
    <n v="839841.81908057351"/>
    <n v="50"/>
    <n v="366"/>
    <n v="88.5"/>
    <n v="0"/>
    <n v="0"/>
    <n v="0"/>
    <n v="2704790"/>
    <n v="2685762.9"/>
    <n v="649590"/>
    <n v="0"/>
    <n v="16"/>
    <n v="117440"/>
    <n v="1061800.0141232966"/>
    <n v="60"/>
    <n v="299"/>
    <n v="186"/>
    <n v="0"/>
    <n v="0"/>
    <n v="2495489"/>
    <n v="2194660"/>
    <n v="1365240"/>
    <n v="0"/>
    <n v="16"/>
    <n v="117440"/>
    <n v="2655579.8319327733"/>
    <n v="100"/>
    <n v="106"/>
    <n v="94"/>
    <n v="0"/>
    <n v="0"/>
    <n v="777843.89999999991"/>
    <n v="689960"/>
    <x v="0"/>
    <x v="0"/>
    <n v="16"/>
    <n v="117440"/>
    <n v="1342067.2268907565"/>
    <n v="60"/>
    <n v="40"/>
    <n v="60"/>
    <m/>
    <n v="0"/>
    <n v="0"/>
    <n v="293600"/>
    <n v="440289"/>
    <x v="0"/>
    <n v="0"/>
    <n v="16"/>
    <n v="117440"/>
    <n v="856638.65546218492"/>
    <n v="80"/>
    <n v="15"/>
    <n v="-1"/>
    <m/>
    <n v="0"/>
    <n v="0"/>
    <n v="110100"/>
    <n v="-7338.15"/>
    <n v="0"/>
    <n v="0"/>
    <n v="15"/>
    <n v="117440"/>
    <n v="-14277.310924369749"/>
    <n v="45"/>
    <n v="20"/>
    <n v="45"/>
    <n v="0"/>
    <n v="0"/>
    <n v="0"/>
    <n v="146800"/>
    <n v="330216.75"/>
    <n v="0"/>
    <n v="0"/>
    <n v="20"/>
    <n v="117440"/>
    <n v="642478.99159663869"/>
    <n v="44"/>
    <n v="0"/>
    <n v="44"/>
    <n v="0"/>
    <n v="0"/>
    <n v="0"/>
    <n v="0"/>
    <n v="322878.59999999998"/>
    <n v="0"/>
    <n v="0"/>
    <n v="0"/>
    <n v="0"/>
    <n v="628201.68067226897"/>
    <n v="40"/>
    <n v="0"/>
    <n v="40"/>
    <n v="504"/>
    <n v="504"/>
    <m/>
    <n v="0"/>
    <n v="293526"/>
    <n v="3698427.5999999996"/>
    <n v="0"/>
    <n v="0"/>
    <n v="0"/>
    <n v="571092.43697478995"/>
    <n v="60"/>
    <n v="504"/>
    <n v="60"/>
    <n v="0"/>
    <n v="0"/>
    <n v="0"/>
    <n v="504"/>
    <n v="3698427.5999999996"/>
    <n v="440289"/>
    <n v="0"/>
    <n v="3698427.5999999996"/>
    <n v="504"/>
    <n v="7396855.1999999993"/>
    <n v="1360840.336134454"/>
    <n v="50"/>
    <n v="444"/>
    <n v="50"/>
    <n v="0"/>
    <n v="0"/>
    <n v="3258138.5999999996"/>
    <n v="366907.5"/>
    <n v="0"/>
    <n v="0"/>
    <n v="444"/>
    <n v="3258138.5999999996"/>
    <n v="1190735.294117647"/>
    <n v="100"/>
    <n v="394"/>
    <n v="100"/>
    <n v="0"/>
    <n v="0"/>
    <n v="2891231.0999999996"/>
    <n v="733815"/>
    <n v="0"/>
    <n v="394"/>
    <n v="2891231.0999999996"/>
    <n v="1427731.0924369749"/>
    <n v="30"/>
    <n v="294"/>
    <n v="30"/>
    <n v="0"/>
    <m/>
    <n v="2157416.1"/>
    <n v="220200"/>
    <n v="0"/>
    <n v="294"/>
    <n v="2157416.1"/>
    <n v="428319.32773109246"/>
  </r>
  <r>
    <s v="Simplit-Electrodomésticos"/>
    <x v="2"/>
    <x v="21"/>
    <x v="58"/>
    <n v="1660859171584"/>
    <x v="562"/>
    <x v="400"/>
    <x v="0"/>
    <x v="3"/>
    <n v="1"/>
    <x v="349"/>
    <n v="229"/>
    <m/>
    <n v="0"/>
    <n v="13822"/>
    <n v="3165238"/>
    <n v="14.350000000000001"/>
    <n v="15677.375"/>
    <n v="27722.689075630253"/>
    <n v="29403.361344537818"/>
    <s v="Shenzhen"/>
    <x v="2"/>
    <n v="30"/>
    <n v="200"/>
    <n v="234"/>
    <n v="0.47732784573646597"/>
    <n v="179"/>
    <n v="0.49913557725569602"/>
    <n v="258"/>
    <n v="0.48193111092421503"/>
    <n v="118"/>
    <n v="0.5259204996304373"/>
    <n v="15"/>
    <n v="0.50834522577825569"/>
    <n v="157"/>
    <n v="0.47166749577614286"/>
    <n v="366"/>
    <n v="0.48238694240464192"/>
    <n v="201"/>
    <n v="0.51717094936813823"/>
    <n v="133"/>
    <n v="0.54039216309614035"/>
    <n v="282"/>
    <n v="0.42381095253376883"/>
    <n v="115"/>
    <n v="0.43341443516443368"/>
    <n v="207"/>
    <n v="0.45423728730516783"/>
    <n v="103"/>
    <n v="0.47352359956443879"/>
    <n v="109"/>
    <n v="0.49618439093057642"/>
    <n v="342"/>
    <n v="0.48297323579835894"/>
    <n v="313"/>
    <n v="0.52555427274289701"/>
    <n v="1.252"/>
    <n v="321"/>
    <n v="0.51297870305384907"/>
    <n v="1.07"/>
    <n v="344"/>
    <n v="0.46882965048351788"/>
    <n v="1.1466666666666667"/>
    <n v="74"/>
    <n v="0.48138460328096666"/>
    <n v="0.37"/>
    <n v="250"/>
    <n v="779"/>
    <n v="90"/>
    <n v="0"/>
    <n v="0"/>
    <n v="0"/>
    <n v="8231001"/>
    <n v="11569902.750000002"/>
    <n v="1243980"/>
    <n v="0"/>
    <n v="229"/>
    <n v="3165238"/>
    <n v="2096673.9637031285"/>
    <n v="150"/>
    <n v="684"/>
    <n v="163.5"/>
    <n v="500"/>
    <n v="150"/>
    <n v="0"/>
    <n v="11313307"/>
    <n v="10158939.000000002"/>
    <n v="2259897"/>
    <n v="0"/>
    <n v="229"/>
    <n v="3165238"/>
    <n v="3808957.7007273501"/>
    <n v="220"/>
    <n v="558"/>
    <n v="342"/>
    <n v="0"/>
    <n v="0"/>
    <n v="13509085"/>
    <n v="7712676"/>
    <n v="4727124"/>
    <n v="0"/>
    <n v="229"/>
    <n v="3165238"/>
    <n v="9481159.6638655458"/>
    <n v="250"/>
    <n v="1076"/>
    <n v="313"/>
    <n v="400"/>
    <n v="0"/>
    <n v="15981021.000000002"/>
    <n v="4326286"/>
    <x v="92"/>
    <x v="0"/>
    <n v="229"/>
    <n v="3165238"/>
    <n v="8677201.6806722693"/>
    <n v="300"/>
    <n v="550"/>
    <n v="300"/>
    <m/>
    <n v="408"/>
    <n v="0"/>
    <n v="7602100"/>
    <n v="4455675.0000000009"/>
    <x v="0"/>
    <n v="0"/>
    <n v="229"/>
    <n v="3165238"/>
    <n v="8316806.7226890754"/>
    <n v="300"/>
    <n v="573"/>
    <n v="344"/>
    <m/>
    <n v="0"/>
    <n v="0"/>
    <n v="7920006"/>
    <n v="5109174.0000000009"/>
    <n v="0"/>
    <n v="0"/>
    <n v="573"/>
    <n v="3165238"/>
    <n v="9536605.0420168061"/>
    <n v="200"/>
    <n v="303"/>
    <n v="200"/>
    <n v="0"/>
    <n v="0"/>
    <n v="0"/>
    <n v="4188066"/>
    <n v="2970450.0000000005"/>
    <n v="0"/>
    <n v="0"/>
    <n v="303"/>
    <n v="3165238"/>
    <n v="5544537.8151260503"/>
    <n v="200"/>
    <n v="103"/>
    <n v="200"/>
    <n v="200"/>
    <n v="200"/>
    <n v="0"/>
    <n v="1423666"/>
    <n v="2970450.0000000005"/>
    <n v="2970450.0000000005"/>
    <n v="0"/>
    <n v="303"/>
    <n v="4394116"/>
    <n v="5544537.8151260503"/>
    <n v="200"/>
    <n v="0"/>
    <n v="200"/>
    <n v="400"/>
    <n v="400"/>
    <n v="400"/>
    <n v="0"/>
    <n v="2970450.0000000005"/>
    <n v="5940900.0000000009"/>
    <n v="5940900.0000000009"/>
    <n v="400"/>
    <n v="5940900.0000000009"/>
    <n v="5544537.8151260503"/>
    <n v="280"/>
    <n v="200"/>
    <n v="200"/>
    <n v="200"/>
    <n v="200"/>
    <n v="200"/>
    <m/>
    <n v="2970450.0000000005"/>
    <n v="2970450.0000000005"/>
    <n v="2970450.0000000005"/>
    <n v="2970450.0000000005"/>
    <n v="400"/>
    <n v="5940900.0000000009"/>
    <n v="5880672.2689075638"/>
    <n v="115"/>
    <n v="200"/>
    <n v="115"/>
    <n v="400"/>
    <n v="400"/>
    <n v="2970450.0000000005"/>
    <n v="1708008.7500000002"/>
    <n v="5940900.0000000009"/>
    <n v="5940900.0000000009"/>
    <n v="600"/>
    <n v="8911350.0000000019"/>
    <n v="3550455.8823529417"/>
    <n v="205"/>
    <n v="485"/>
    <n v="205"/>
    <n v="0"/>
    <n v="0"/>
    <n v="7203341.2500000009"/>
    <n v="3044711.2500000005"/>
    <n v="0"/>
    <n v="485"/>
    <n v="7203341.2500000009"/>
    <n v="5683151.260504202"/>
    <n v="69"/>
    <n v="280"/>
    <n v="69"/>
    <n v="0"/>
    <m/>
    <n v="4158630.0000000005"/>
    <n v="953718"/>
    <n v="0"/>
    <n v="280"/>
    <n v="4158630.0000000005"/>
    <n v="1912865.5462184874"/>
  </r>
  <r>
    <s v="Simplit-Electrodomésticos"/>
    <x v="2"/>
    <x v="21"/>
    <x v="58"/>
    <n v="68432930518995"/>
    <x v="563"/>
    <x v="401"/>
    <x v="0"/>
    <x v="3"/>
    <n v="1"/>
    <x v="350"/>
    <n v="454"/>
    <m/>
    <n v="0"/>
    <n v="14797"/>
    <n v="6717838"/>
    <n v="14.350000000000001"/>
    <n v="15677.375"/>
    <n v="27722.689075630253"/>
    <n v="25201.680672268907"/>
    <s v="Shenzhen"/>
    <x v="2"/>
    <n v="30"/>
    <n v="200"/>
    <n v="54"/>
    <n v="0.45954614072524164"/>
    <n v="62"/>
    <n v="0.45941462808610395"/>
    <n v="121"/>
    <n v="0.43726065073235665"/>
    <n v="124"/>
    <n v="0.4696017656783642"/>
    <n v="187"/>
    <n v="0.5024589251008843"/>
    <n v="169"/>
    <n v="0.41657370175737929"/>
    <n v="73"/>
    <n v="0.48812873555237535"/>
    <n v="103"/>
    <n v="0.5184234998508076"/>
    <n v="54"/>
    <n v="0.51914446542656856"/>
    <n v="110"/>
    <n v="0.43545370140597522"/>
    <n v="50"/>
    <n v="0.38101611759310361"/>
    <n v="96"/>
    <n v="0.4248087681341492"/>
    <n v="54"/>
    <n v="0.46231064326465549"/>
    <n v="34"/>
    <n v="0.46249335909778438"/>
    <n v="110"/>
    <n v="0.44061371883835831"/>
    <n v="85"/>
    <n v="0.46960177853924012"/>
    <n v="0.85"/>
    <n v="87"/>
    <n v="0.5038050787915056"/>
    <n v="0.72499999999999998"/>
    <n v="347"/>
    <n v="0.40751148469258625"/>
    <n v="0.99142857142857144"/>
    <n v="61"/>
    <n v="0.49576824709049505"/>
    <n v="0.24399999999999999"/>
    <n v="80"/>
    <n v="408"/>
    <n v="40"/>
    <n v="0"/>
    <n v="0"/>
    <n v="0"/>
    <n v="2974197"/>
    <n v="6059718.0000000009"/>
    <n v="591880"/>
    <n v="0"/>
    <n v="454"/>
    <n v="6717838"/>
    <n v="931855.09497916815"/>
    <n v="60"/>
    <n v="368"/>
    <n v="51"/>
    <n v="100"/>
    <n v="100"/>
    <n v="0"/>
    <n v="3640062"/>
    <n v="5465628.0000000009"/>
    <n v="754647"/>
    <n v="0"/>
    <n v="454"/>
    <n v="6717838"/>
    <n v="1188115.2460984394"/>
    <n v="130"/>
    <n v="320"/>
    <n v="110"/>
    <n v="0"/>
    <n v="0"/>
    <n v="4667685"/>
    <n v="4735040"/>
    <n v="1627670"/>
    <n v="0"/>
    <n v="454"/>
    <n v="6717838"/>
    <n v="3049495.7983193276"/>
    <n v="100"/>
    <n v="982"/>
    <n v="85"/>
    <n v="650"/>
    <n v="0"/>
    <n v="14584909.500000002"/>
    <n v="1257745"/>
    <x v="93"/>
    <x v="0"/>
    <n v="454"/>
    <n v="6717838"/>
    <n v="2356428.5714285714"/>
    <n v="120"/>
    <n v="541"/>
    <n v="120"/>
    <m/>
    <n v="648"/>
    <n v="0"/>
    <n v="8005177"/>
    <n v="1782270.0000000002"/>
    <x v="0"/>
    <n v="0"/>
    <n v="454"/>
    <n v="6717838"/>
    <n v="3326722.6890756302"/>
    <n v="350"/>
    <n v="801"/>
    <n v="347"/>
    <m/>
    <n v="0"/>
    <n v="0"/>
    <n v="11852397"/>
    <n v="5153730.7500000009"/>
    <n v="0"/>
    <n v="0"/>
    <n v="801"/>
    <n v="6717838"/>
    <n v="9619773.1092436984"/>
    <n v="250"/>
    <n v="515"/>
    <n v="250"/>
    <n v="0"/>
    <n v="0"/>
    <n v="0"/>
    <n v="7620455"/>
    <n v="3713062.5000000005"/>
    <n v="0"/>
    <n v="0"/>
    <n v="515"/>
    <n v="6717838"/>
    <n v="6930672.2689075628"/>
    <n v="100"/>
    <n v="265"/>
    <n v="100"/>
    <n v="0"/>
    <n v="0"/>
    <n v="0"/>
    <n v="3921205"/>
    <n v="1485225.0000000002"/>
    <n v="0"/>
    <n v="0"/>
    <n v="265"/>
    <n v="3921205"/>
    <n v="2772268.9075630251"/>
    <n v="100"/>
    <n v="165"/>
    <n v="100"/>
    <n v="200"/>
    <n v="200"/>
    <n v="200"/>
    <n v="2450621.2500000005"/>
    <n v="1485225.0000000002"/>
    <n v="2970450.0000000005"/>
    <n v="2970450.0000000005"/>
    <n v="365"/>
    <n v="5421071.2500000009"/>
    <n v="2772268.9075630251"/>
    <n v="100"/>
    <n v="265"/>
    <n v="100"/>
    <n v="150"/>
    <n v="150"/>
    <n v="150"/>
    <m/>
    <n v="3935846.2500000005"/>
    <n v="1485225.0000000002"/>
    <n v="2227837.5000000005"/>
    <n v="2227837.5000000005"/>
    <n v="415"/>
    <n v="6163683.7500000009"/>
    <n v="2520168.0672268905"/>
    <n v="50"/>
    <n v="315"/>
    <n v="50"/>
    <n v="0"/>
    <n v="0"/>
    <n v="4678458.7500000009"/>
    <n v="742612.50000000012"/>
    <n v="0"/>
    <n v="0"/>
    <n v="315"/>
    <n v="4678458.7500000009"/>
    <n v="1323088.2352941176"/>
    <n v="100"/>
    <n v="265"/>
    <n v="100"/>
    <n v="0"/>
    <n v="0"/>
    <n v="3935846.2500000005"/>
    <n v="1485225.0000000002"/>
    <n v="0"/>
    <n v="265"/>
    <n v="3935846.2500000005"/>
    <n v="2772268.9075630251"/>
    <n v="30"/>
    <n v="165"/>
    <n v="30"/>
    <n v="0"/>
    <m/>
    <n v="2450621.2500000005"/>
    <n v="443910"/>
    <n v="0"/>
    <n v="165"/>
    <n v="2450621.2500000005"/>
    <n v="831680.67226890754"/>
  </r>
  <r>
    <s v="Simplit-Juegos de Mesa"/>
    <x v="2"/>
    <x v="22"/>
    <x v="59"/>
    <n v="1628018206370"/>
    <x v="564"/>
    <x v="402"/>
    <x v="0"/>
    <x v="0"/>
    <n v="0.8"/>
    <x v="351"/>
    <n v="28"/>
    <m/>
    <n v="0"/>
    <n v="4487"/>
    <n v="125636"/>
    <n v="3.6"/>
    <n v="3932.9999999999995"/>
    <n v="12596.638655462186"/>
    <n v="12596.638655462186"/>
    <s v="Shenzhen"/>
    <x v="0"/>
    <n v="30"/>
    <n v="300"/>
    <n v="6"/>
    <n v="0.72260882614611899"/>
    <n v="5"/>
    <n v="0.69931504071477979"/>
    <n v="17"/>
    <n v="0.73326941733346418"/>
    <n v="17"/>
    <n v="0.66897655912257381"/>
    <n v="13"/>
    <n v="0.64382176610728614"/>
    <n v="81"/>
    <n v="0.59490361759801047"/>
    <n v="15"/>
    <n v="0.70444410671590674"/>
    <n v="32"/>
    <n v="0.67120400553291248"/>
    <n v="32"/>
    <n v="0.66134256077185893"/>
    <n v="47"/>
    <n v="0.62751871326179631"/>
    <n v="36"/>
    <n v="0.63685199314006591"/>
    <n v="21"/>
    <n v="0.68970261029389213"/>
    <n v="11"/>
    <n v="0.70020510900412725"/>
    <n v="87"/>
    <n v="0.69591337991522628"/>
    <n v="36"/>
    <n v="0.73346905659710659"/>
    <n v="12"/>
    <n v="0.66304726732768859"/>
    <n v="0.6"/>
    <n v="178"/>
    <n v="0.68522552086044219"/>
    <n v="8.9"/>
    <n v="-1"/>
    <n v="0.58651025995457096"/>
    <n v="-1.2500000000000001E-2"/>
    <n v="2"/>
    <n v="0.70444409319993584"/>
    <n v="2.5000000000000001E-2"/>
    <n v="35"/>
    <n v="238"/>
    <n v="35"/>
    <n v="100"/>
    <n v="100"/>
    <n v="0"/>
    <n v="904130.5"/>
    <n v="886787.99999999988"/>
    <n v="157045"/>
    <n v="0"/>
    <n v="28"/>
    <n v="125636"/>
    <n v="370489.37221947609"/>
    <n v="25"/>
    <n v="326"/>
    <n v="130.5"/>
    <n v="0"/>
    <n v="0"/>
    <n v="0"/>
    <n v="800929.5"/>
    <n v="1214675.9999999998"/>
    <n v="585553.5"/>
    <n v="0"/>
    <n v="28"/>
    <n v="125636"/>
    <n v="1381396.0878469036"/>
    <n v="60"/>
    <n v="234"/>
    <n v="36"/>
    <n v="0"/>
    <n v="0"/>
    <n v="274992"/>
    <n v="1049958"/>
    <n v="161532"/>
    <n v="0"/>
    <n v="28"/>
    <n v="125636"/>
    <n v="453478.99159663869"/>
    <n v="20"/>
    <n v="202"/>
    <n v="12"/>
    <n v="0"/>
    <n v="0"/>
    <n v="752651.99999999988"/>
    <n v="53844"/>
    <x v="0"/>
    <x v="0"/>
    <n v="28"/>
    <n v="125636"/>
    <n v="151159.66386554623"/>
    <n v="20"/>
    <n v="206"/>
    <n v="16"/>
    <m/>
    <n v="0"/>
    <n v="0"/>
    <n v="924322"/>
    <n v="59615.999999999993"/>
    <x v="0"/>
    <n v="0"/>
    <n v="28"/>
    <n v="125636"/>
    <n v="201546.21848739497"/>
    <n v="80"/>
    <n v="27"/>
    <n v="-1"/>
    <m/>
    <n v="0"/>
    <n v="0"/>
    <n v="121149"/>
    <n v="-3725.9999999999995"/>
    <n v="0"/>
    <n v="0"/>
    <n v="27"/>
    <n v="125636"/>
    <n v="-12596.638655462186"/>
    <n v="80"/>
    <n v="30"/>
    <n v="64"/>
    <n v="0"/>
    <n v="0"/>
    <n v="0"/>
    <n v="134610"/>
    <n v="238463.99999999997"/>
    <n v="0"/>
    <n v="0"/>
    <n v="30"/>
    <n v="125636"/>
    <n v="806184.87394957989"/>
    <n v="41"/>
    <n v="0"/>
    <n v="32.800000000000004"/>
    <n v="150"/>
    <n v="150"/>
    <n v="150"/>
    <n v="0"/>
    <n v="122212.8"/>
    <n v="558899.99999999988"/>
    <n v="558899.99999999988"/>
    <n v="150"/>
    <n v="558899.99999999988"/>
    <n v="413169.74789915973"/>
    <n v="35"/>
    <n v="117.19999999999999"/>
    <n v="28"/>
    <n v="100"/>
    <n v="100"/>
    <n v="0"/>
    <n v="436687.1999999999"/>
    <n v="104327.99999999999"/>
    <n v="372599.99999999994"/>
    <n v="0"/>
    <n v="117.19999999999999"/>
    <n v="436687.1999999999"/>
    <n v="352705.8823529412"/>
    <n v="60"/>
    <n v="189.2"/>
    <n v="48"/>
    <n v="0"/>
    <n v="0"/>
    <n v="0"/>
    <n v="100"/>
    <n v="704959.19999999984"/>
    <n v="178847.99999999997"/>
    <n v="0"/>
    <n v="372599.99999999994"/>
    <n v="189.2"/>
    <n v="1077559.1999999997"/>
    <n v="604638.65546218492"/>
    <n v="60"/>
    <n v="141.19999999999999"/>
    <n v="48"/>
    <n v="0"/>
    <n v="0"/>
    <n v="526111.19999999984"/>
    <n v="178847.99999999997"/>
    <n v="0"/>
    <n v="0"/>
    <n v="141.19999999999999"/>
    <n v="526111.19999999984"/>
    <n v="634870.58823529421"/>
    <n v="60"/>
    <n v="93.199999999999989"/>
    <n v="48"/>
    <n v="0"/>
    <n v="0"/>
    <n v="347263.1999999999"/>
    <n v="178847.99999999997"/>
    <n v="0"/>
    <n v="93.199999999999989"/>
    <n v="347263.1999999999"/>
    <n v="604638.65546218492"/>
    <n v="36"/>
    <n v="45.199999999999989"/>
    <n v="28.8"/>
    <n v="0"/>
    <m/>
    <n v="168415.19999999992"/>
    <n v="129225.60000000001"/>
    <n v="0"/>
    <n v="45.199999999999989"/>
    <n v="168415.19999999992"/>
    <n v="362783.19327731099"/>
  </r>
  <r>
    <s v="Simplit-Vajilla"/>
    <x v="2"/>
    <x v="23"/>
    <x v="60"/>
    <n v="1659989549286"/>
    <x v="565"/>
    <x v="403"/>
    <x v="0"/>
    <x v="4"/>
    <n v="1"/>
    <x v="352"/>
    <n v="250"/>
    <m/>
    <n v="0"/>
    <n v="3611.314417140778"/>
    <n v="902828.60428519454"/>
    <n v="3.75"/>
    <n v="4096.875"/>
    <n v="10915.966386554623"/>
    <n v="8394.957983193277"/>
    <s v="Shenzhen"/>
    <x v="0"/>
    <n v="30"/>
    <n v="100"/>
    <n v="77"/>
    <n v="0.59105832252005375"/>
    <n v="43"/>
    <n v="0.62015481442344123"/>
    <n v="77"/>
    <n v="0.596814001220764"/>
    <n v="55"/>
    <n v="0.60020559727733391"/>
    <n v="94"/>
    <n v="0.61027232342380966"/>
    <n v="102"/>
    <n v="0.55926157227813278"/>
    <n v="44"/>
    <n v="0.57661174861124254"/>
    <n v="18"/>
    <n v="0.66129202443615609"/>
    <n v="97"/>
    <n v="0.64828652390819896"/>
    <n v="136"/>
    <n v="0.58610040631596261"/>
    <n v="28"/>
    <n v="0.673717200027518"/>
    <n v="3"/>
    <n v="0.63411506046170762"/>
    <n v="43"/>
    <n v="0.59156647817802821"/>
    <n v="45"/>
    <n v="0.61530137015947428"/>
    <n v="71"/>
    <n v="0.60187245341186846"/>
    <n v="68"/>
    <n v="0.60078697848453477"/>
    <n v="1.0461538461538462"/>
    <n v="74"/>
    <n v="0.60878187999126443"/>
    <n v="0.82222222222222219"/>
    <n v="120"/>
    <n v="0.55237395674021761"/>
    <n v="1.2"/>
    <n v="19"/>
    <n v="0.59301369875962884"/>
    <n v="0.23749999999999999"/>
    <n v="90"/>
    <n v="80"/>
    <n v="90"/>
    <n v="250"/>
    <n v="250"/>
    <n v="0"/>
    <n v="825185.34431666776"/>
    <n v="310499.99999999994"/>
    <n v="325018.29754267004"/>
    <n v="0"/>
    <n v="250"/>
    <n v="902828.60428519454"/>
    <n v="825577.28973942529"/>
    <n v="65"/>
    <n v="303"/>
    <n v="67.5"/>
    <n v="100"/>
    <n v="0"/>
    <n v="0"/>
    <n v="745736.42713957059"/>
    <n v="1176018.7499999998"/>
    <n v="243763.7231570025"/>
    <n v="0"/>
    <n v="250"/>
    <n v="902828.60428519454"/>
    <n v="619182.96730456897"/>
    <n v="90"/>
    <n v="210"/>
    <n v="71"/>
    <n v="0"/>
    <n v="0"/>
    <n v="851285.20398256811"/>
    <n v="758376.02759956336"/>
    <n v="256403.32361699524"/>
    <n v="0"/>
    <n v="250"/>
    <n v="902828.60428519454"/>
    <n v="775033.61344537826"/>
    <n v="65"/>
    <n v="305"/>
    <n v="68"/>
    <n v="150"/>
    <n v="0"/>
    <n v="1183781.2499999998"/>
    <n v="245569.3803655729"/>
    <x v="94"/>
    <x v="0"/>
    <n v="250"/>
    <n v="902828.60428519454"/>
    <n v="742285.71428571432"/>
    <n v="90"/>
    <n v="324"/>
    <n v="90"/>
    <m/>
    <n v="0"/>
    <n v="0"/>
    <n v="1170065.8711536122"/>
    <n v="349312.49999999994"/>
    <x v="0"/>
    <n v="0"/>
    <n v="250"/>
    <n v="902828.60428519454"/>
    <n v="982436.97478991607"/>
    <n v="100"/>
    <n v="370"/>
    <n v="120"/>
    <m/>
    <n v="0"/>
    <n v="0"/>
    <n v="1336186.3343420879"/>
    <n v="465749.99999999994"/>
    <n v="0"/>
    <n v="0"/>
    <n v="370"/>
    <n v="902828.60428519454"/>
    <n v="1309915.9663865548"/>
    <n v="80"/>
    <n v="269"/>
    <n v="80"/>
    <n v="250"/>
    <n v="250"/>
    <n v="0"/>
    <n v="971443.57821086934"/>
    <n v="310499.99999999994"/>
    <n v="937968.74999999988"/>
    <n v="0"/>
    <n v="269"/>
    <n v="902828.60428519454"/>
    <n v="873277.31092436984"/>
    <n v="100"/>
    <n v="189"/>
    <n v="100"/>
    <n v="150"/>
    <n v="150"/>
    <n v="0"/>
    <n v="682538.42483960709"/>
    <n v="388124.99999999994"/>
    <n v="582187.49999999988"/>
    <n v="0"/>
    <n v="339"/>
    <n v="1264725.924839607"/>
    <n v="1091596.6386554623"/>
    <n v="100"/>
    <n v="89"/>
    <n v="100"/>
    <n v="0"/>
    <n v="0"/>
    <n v="150"/>
    <n v="345431.24999999994"/>
    <n v="388124.99999999994"/>
    <n v="0"/>
    <n v="582187.49999999988"/>
    <n v="239"/>
    <n v="927618.74999999977"/>
    <n v="1091596.6386554623"/>
    <n v="150"/>
    <n v="139"/>
    <n v="139"/>
    <n v="0"/>
    <n v="0"/>
    <n v="0"/>
    <m/>
    <n v="539493.74999999988"/>
    <n v="539493.74999999988"/>
    <n v="0"/>
    <n v="0"/>
    <n v="139"/>
    <n v="539493.74999999988"/>
    <n v="1166899.1596638656"/>
    <n v="120"/>
    <n v="0"/>
    <n v="120"/>
    <n v="300"/>
    <n v="300"/>
    <n v="0"/>
    <n v="465749.99999999994"/>
    <n v="1164374.9999999998"/>
    <n v="1164374.9999999998"/>
    <n v="300"/>
    <n v="1164374.9999999998"/>
    <n v="1057764.705882353"/>
    <n v="180"/>
    <n v="180"/>
    <n v="180"/>
    <n v="0"/>
    <n v="0"/>
    <n v="698624.99999999988"/>
    <n v="698624.99999999988"/>
    <n v="0"/>
    <n v="180"/>
    <n v="698624.99999999988"/>
    <n v="1964873.9495798321"/>
    <n v="72"/>
    <n v="0"/>
    <n v="72"/>
    <n v="0"/>
    <m/>
    <n v="0"/>
    <n v="260014.63803413601"/>
    <n v="0"/>
    <n v="0"/>
    <n v="0"/>
    <n v="785949.57983193279"/>
  </r>
  <r>
    <s v="Simplit-Vajilla"/>
    <x v="2"/>
    <x v="23"/>
    <x v="61"/>
    <s v="SIMJULZSIE-30"/>
    <x v="566"/>
    <x v="404"/>
    <x v="0"/>
    <x v="3"/>
    <n v="1"/>
    <x v="353"/>
    <n v="702"/>
    <n v="300"/>
    <n v="4246500"/>
    <n v="18311"/>
    <n v="12854322"/>
    <n v="14.9"/>
    <n v="16278.249999999998"/>
    <n v="44529.411764705881"/>
    <n v="39487.394957983197"/>
    <s v="Shenzhen"/>
    <x v="0"/>
    <n v="60"/>
    <n v="500"/>
    <n v="15"/>
    <n v="0.73044989982303365"/>
    <n v="0"/>
    <s v=""/>
    <n v="124"/>
    <n v="0.58991418451062416"/>
    <n v="287"/>
    <n v="0.58215222475455841"/>
    <n v="194"/>
    <n v="0.58574111714251365"/>
    <n v="587"/>
    <n v="0.54099238652012749"/>
    <n v="43"/>
    <n v="0.65986455043968417"/>
    <n v="4"/>
    <n v="-6.5003685740092132E-2"/>
    <n v="68"/>
    <n v="0.63356286279155893"/>
    <n v="519"/>
    <n v="0.55723484236460297"/>
    <n v="284"/>
    <n v="0.62292412800384112"/>
    <n v="104"/>
    <n v="0.58514881787754847"/>
    <n v="172"/>
    <s v=""/>
    <n v="273"/>
    <s v=""/>
    <n v="589"/>
    <s v=""/>
    <n v="414"/>
    <s v=""/>
    <n v="1.0349999999999999"/>
    <n v="313"/>
    <s v=""/>
    <n v="1.0433333333333332"/>
    <n v="666"/>
    <s v=""/>
    <n v="1.48"/>
    <n v="38"/>
    <s v=""/>
    <n v="8.4444444444444447E-2"/>
    <n v="300"/>
    <n v="1180"/>
    <n v="150"/>
    <n v="600"/>
    <n v="1500"/>
    <n v="0"/>
    <n v="21030183.5"/>
    <n v="18197369.999999996"/>
    <n v="2746650"/>
    <n v="0"/>
    <n v="702"/>
    <n v="12854322"/>
    <n v="5612951.0627780529"/>
    <n v="250"/>
    <n v="1302"/>
    <n v="409.5"/>
    <n v="0"/>
    <n v="0"/>
    <n v="0"/>
    <n v="25864287.5"/>
    <n v="20078792.999999996"/>
    <n v="7498354.5"/>
    <n v="0"/>
    <n v="702"/>
    <n v="12854322"/>
    <n v="15323356.401384084"/>
    <n v="500"/>
    <n v="1009"/>
    <n v="589"/>
    <n v="0"/>
    <n v="0"/>
    <n v="22992383"/>
    <n v="18475799"/>
    <n v="10785179"/>
    <n v="0"/>
    <n v="702"/>
    <n v="12854322"/>
    <n v="26227823.529411763"/>
    <n v="400"/>
    <n v="965"/>
    <n v="414"/>
    <n v="500"/>
    <n v="0"/>
    <n v="14881747.499999998"/>
    <n v="7580754"/>
    <x v="95"/>
    <x v="0"/>
    <n v="702"/>
    <n v="12854322"/>
    <n v="18435176.470588233"/>
    <n v="300"/>
    <n v="1015"/>
    <n v="300"/>
    <m/>
    <n v="0"/>
    <n v="0"/>
    <n v="18585665"/>
    <n v="4626449.9999999991"/>
    <x v="0"/>
    <n v="0"/>
    <n v="702"/>
    <n v="12854322"/>
    <n v="13358823.529411765"/>
    <n v="450"/>
    <n v="1368"/>
    <n v="666"/>
    <m/>
    <n v="400"/>
    <n v="0"/>
    <n v="25049448"/>
    <n v="10270718.999999998"/>
    <n v="0"/>
    <n v="0"/>
    <n v="1368"/>
    <n v="12854322"/>
    <n v="29656588.235294119"/>
    <n v="450"/>
    <n v="740"/>
    <n v="450"/>
    <n v="0"/>
    <n v="600"/>
    <n v="0"/>
    <n v="13550140"/>
    <n v="6939674.9999999991"/>
    <n v="0"/>
    <n v="0"/>
    <n v="740"/>
    <n v="12854322"/>
    <n v="20038235.294117648"/>
    <n v="350"/>
    <n v="290"/>
    <n v="350"/>
    <n v="600"/>
    <n v="500"/>
    <n v="500"/>
    <n v="5310190"/>
    <n v="5397524.9999999991"/>
    <n v="9252899.9999999981"/>
    <n v="7710749.9999999991"/>
    <n v="790"/>
    <n v="14563089.999999998"/>
    <n v="15585294.117647059"/>
    <n v="350"/>
    <n v="440"/>
    <n v="350"/>
    <n v="1500"/>
    <n v="1200"/>
    <n v="300"/>
    <n v="6785459.9999999991"/>
    <n v="5397524.9999999991"/>
    <n v="23132249.999999996"/>
    <n v="4626449.9999999991"/>
    <n v="740"/>
    <n v="11411909.999999998"/>
    <n v="15585294.117647059"/>
    <n v="600"/>
    <n v="1290"/>
    <n v="600"/>
    <n v="0"/>
    <n v="0"/>
    <n v="0"/>
    <n v="900"/>
    <n v="19893734.999999996"/>
    <n v="9252899.9999999981"/>
    <n v="0"/>
    <n v="13879349.999999998"/>
    <n v="1290"/>
    <n v="33773084.999999993"/>
    <n v="23692436.974789917"/>
    <n v="350"/>
    <n v="690"/>
    <n v="350"/>
    <n v="0"/>
    <n v="600"/>
    <n v="10640834.999999998"/>
    <n v="5397524.9999999991"/>
    <n v="0"/>
    <n v="6477029.9999999981"/>
    <n v="1290"/>
    <n v="17117864.999999996"/>
    <n v="14511617.647058826"/>
    <n v="500"/>
    <n v="940"/>
    <n v="500"/>
    <n v="600"/>
    <n v="300"/>
    <n v="14496209.999999998"/>
    <n v="7710749.9999999991"/>
    <n v="4626449.9999999991"/>
    <n v="1240"/>
    <n v="19122659.999999996"/>
    <n v="22264705.882352941"/>
    <n v="210"/>
    <n v="740"/>
    <n v="210"/>
    <n v="600"/>
    <m/>
    <n v="11411909.999999998"/>
    <n v="3845310"/>
    <n v="0"/>
    <n v="740"/>
    <n v="11411909.999999998"/>
    <n v="9351176.4705882352"/>
  </r>
  <r>
    <s v="Simplit-Vajilla"/>
    <x v="2"/>
    <x v="23"/>
    <x v="61"/>
    <s v="SIMJULZAMA-16"/>
    <x v="567"/>
    <x v="405"/>
    <x v="0"/>
    <x v="6"/>
    <n v="1"/>
    <x v="12"/>
    <n v="24"/>
    <m/>
    <n v="0"/>
    <n v="13680"/>
    <n v="328320"/>
    <n v="12.4"/>
    <n v="13546.999999999998"/>
    <n v="33605.042016806721"/>
    <n v="33605.042016806721"/>
    <s v="Shenzhen"/>
    <x v="0"/>
    <n v="60"/>
    <n v="500"/>
    <n v="136"/>
    <n v="0.57796125367137319"/>
    <n v="45"/>
    <n v="0.63707195349517776"/>
    <n v="52"/>
    <n v="0.62396273929989665"/>
    <n v="104"/>
    <n v="0.59015232630937731"/>
    <n v="73"/>
    <n v="0.6071629012015104"/>
    <n v="179"/>
    <n v="0.50953772031215794"/>
    <n v="105"/>
    <n v="0.56451532493855561"/>
    <n v="51"/>
    <n v="0.64629356536809657"/>
    <n v="24"/>
    <n v="0.60610207805822325"/>
    <n v="76"/>
    <n v="0.50250752154285494"/>
    <n v="62"/>
    <n v="0.51700176104234064"/>
    <n v="158"/>
    <n v="0.51083216846666601"/>
    <n v="16"/>
    <s v=""/>
    <n v="3"/>
    <s v=""/>
    <n v="6"/>
    <s v=""/>
    <n v="2"/>
    <s v=""/>
    <n v="0"/>
    <n v="0"/>
    <s v=""/>
    <n v="0"/>
    <n v="0"/>
    <s v=""/>
    <n v="0"/>
    <n v="7"/>
    <s v=""/>
    <n v="0"/>
    <n v="0"/>
    <n v="35"/>
    <n v="16"/>
    <n v="0"/>
    <n v="0"/>
    <n v="0"/>
    <n v="362520"/>
    <n v="449189.99999999994"/>
    <n v="218880"/>
    <n v="0"/>
    <n v="24"/>
    <n v="328320"/>
    <n v="451832.49770496436"/>
    <n v="19"/>
    <n v="21"/>
    <n v="4.5"/>
    <n v="0"/>
    <n v="0"/>
    <n v="0"/>
    <n v="171000"/>
    <n v="269513.99999999994"/>
    <n v="61560"/>
    <n v="0"/>
    <n v="24"/>
    <n v="328320"/>
    <n v="127077.88997952122"/>
    <n v="0"/>
    <n v="18"/>
    <n v="6"/>
    <n v="0"/>
    <n v="0"/>
    <n v="122274"/>
    <n v="246240"/>
    <n v="82080"/>
    <n v="0"/>
    <n v="24"/>
    <n v="328320"/>
    <n v="201630.25210084033"/>
    <n v="0"/>
    <n v="16"/>
    <n v="2"/>
    <n v="0"/>
    <n v="0"/>
    <n v="205343.99999999997"/>
    <n v="27360"/>
    <x v="0"/>
    <x v="0"/>
    <n v="24"/>
    <n v="328320"/>
    <n v="67210.084033613442"/>
    <n v="1"/>
    <n v="24"/>
    <n v="1"/>
    <m/>
    <n v="0"/>
    <n v="0"/>
    <n v="328320"/>
    <n v="12833.999999999998"/>
    <x v="0"/>
    <n v="0"/>
    <n v="24"/>
    <n v="328320"/>
    <n v="33605.042016806721"/>
    <n v="11"/>
    <n v="24"/>
    <n v="0"/>
    <m/>
    <n v="0"/>
    <n v="0"/>
    <n v="328320"/>
    <n v="0"/>
    <n v="0"/>
    <n v="0"/>
    <n v="24"/>
    <n v="328320"/>
    <n v="0"/>
    <n v="0"/>
    <n v="31"/>
    <n v="0"/>
    <n v="0"/>
    <n v="0"/>
    <n v="0"/>
    <n v="424080"/>
    <n v="0"/>
    <n v="0"/>
    <n v="0"/>
    <n v="31"/>
    <n v="328320"/>
    <n v="0"/>
    <n v="0"/>
    <n v="31"/>
    <n v="0"/>
    <n v="0"/>
    <n v="0"/>
    <n v="0"/>
    <n v="424080"/>
    <n v="0"/>
    <n v="0"/>
    <n v="0"/>
    <n v="31"/>
    <n v="424080"/>
    <n v="0"/>
    <n v="0"/>
    <n v="31"/>
    <n v="0"/>
    <n v="0"/>
    <n v="0"/>
    <m/>
    <n v="397853.99999999994"/>
    <n v="0"/>
    <n v="0"/>
    <n v="0"/>
    <n v="31"/>
    <n v="397853.99999999994"/>
    <n v="0"/>
    <n v="0"/>
    <n v="31"/>
    <n v="0"/>
    <n v="0"/>
    <n v="0"/>
    <n v="0"/>
    <m/>
    <n v="397853.99999999994"/>
    <n v="0"/>
    <n v="0"/>
    <n v="0"/>
    <n v="31"/>
    <n v="397853.99999999994"/>
    <n v="0"/>
    <n v="0"/>
    <n v="31"/>
    <n v="0"/>
    <n v="0"/>
    <n v="0"/>
    <n v="397853.99999999994"/>
    <n v="0"/>
    <n v="0"/>
    <n v="0"/>
    <n v="31"/>
    <n v="397853.99999999994"/>
    <n v="0"/>
    <n v="0"/>
    <n v="31"/>
    <n v="0"/>
    <n v="0"/>
    <n v="0"/>
    <n v="397853.99999999994"/>
    <n v="0"/>
    <n v="0"/>
    <n v="31"/>
    <n v="397853.99999999994"/>
    <n v="0"/>
    <n v="0"/>
    <n v="31"/>
    <n v="0"/>
    <n v="0"/>
    <m/>
    <n v="397853.99999999994"/>
    <n v="0"/>
    <n v="0"/>
    <n v="31"/>
    <n v="397853.99999999994"/>
    <n v="0"/>
  </r>
  <r>
    <m/>
    <x v="2"/>
    <x v="23"/>
    <x v="61"/>
    <s v="SIMJULZAMA-24"/>
    <x v="568"/>
    <x v="406"/>
    <x v="0"/>
    <x v="2"/>
    <n v="1"/>
    <x v="354"/>
    <n v="363"/>
    <n v="250"/>
    <n v="3016250"/>
    <n v="13749.012788229989"/>
    <n v="4990891.6421274859"/>
    <n v="12.7"/>
    <n v="13874.749999999998"/>
    <n v="33605.042016806721"/>
    <n v="29403.361344537818"/>
    <s v="Shenzhen"/>
    <x v="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1"/>
    <s v=""/>
    <n v="52"/>
    <s v=""/>
    <n v="70"/>
    <s v=""/>
    <n v="0.875"/>
    <n v="128"/>
    <s v=""/>
    <n v="1.9692307692307693"/>
    <n v="133"/>
    <s v=""/>
    <n v="1.1083333333333334"/>
    <n v="30"/>
    <s v=""/>
    <n v="0.3"/>
    <n v="0"/>
    <n v="0"/>
    <n v="0"/>
    <n v="500"/>
    <n v="0"/>
    <n v="0"/>
    <n v="735572.18417030445"/>
    <n v="0"/>
    <n v="0"/>
    <n v="0"/>
    <n v="363"/>
    <n v="4990891.6421274859"/>
    <n v="0"/>
    <n v="10"/>
    <n v="0"/>
    <n v="1.5"/>
    <n v="0"/>
    <n v="200"/>
    <n v="0"/>
    <n v="1698003.0793464037"/>
    <n v="0"/>
    <n v="20623.519182344986"/>
    <n v="0"/>
    <n v="363"/>
    <n v="4990891.6421274859"/>
    <n v="42359.296659840409"/>
    <n v="150"/>
    <n v="0"/>
    <n v="52"/>
    <n v="0"/>
    <n v="0"/>
    <n v="2531772.0601640586"/>
    <n v="0"/>
    <n v="714948.66498795943"/>
    <n v="0"/>
    <n v="363"/>
    <n v="4990891.6421274859"/>
    <n v="1747462.1848739495"/>
    <n v="80"/>
    <n v="446"/>
    <n v="70"/>
    <n v="0"/>
    <n v="0"/>
    <n v="5862446.9999999991"/>
    <n v="962430.89517609926"/>
    <x v="0"/>
    <x v="0"/>
    <n v="363"/>
    <n v="4990891.6421274859"/>
    <n v="2352352.9411764704"/>
    <n v="65"/>
    <n v="491"/>
    <n v="65"/>
    <m/>
    <n v="0"/>
    <n v="0"/>
    <n v="6750765.2790209251"/>
    <n v="854392.49999999988"/>
    <x v="0"/>
    <n v="0"/>
    <n v="363"/>
    <n v="4990891.6421274859"/>
    <n v="2184327.7310924367"/>
    <n v="120"/>
    <n v="496"/>
    <n v="133"/>
    <m/>
    <n v="0"/>
    <n v="0"/>
    <n v="6819510.342962075"/>
    <n v="1748218.4999999998"/>
    <n v="0"/>
    <n v="0"/>
    <n v="496"/>
    <n v="4990891.6421274859"/>
    <n v="4469470.5882352935"/>
    <n v="100"/>
    <n v="393"/>
    <n v="100"/>
    <n v="0"/>
    <n v="250"/>
    <n v="0"/>
    <n v="5403362.0257743858"/>
    <n v="1314449.9999999998"/>
    <n v="0"/>
    <n v="0"/>
    <n v="393"/>
    <n v="4990891.6421274859"/>
    <n v="3360504.2016806724"/>
    <n v="90"/>
    <n v="293"/>
    <n v="90"/>
    <n v="0"/>
    <n v="0"/>
    <n v="0"/>
    <n v="4028460.7469513868"/>
    <n v="1183004.9999999998"/>
    <n v="0"/>
    <n v="0"/>
    <n v="293"/>
    <n v="4028460.7469513868"/>
    <n v="3024453.781512605"/>
    <n v="80"/>
    <n v="203"/>
    <n v="80"/>
    <n v="0"/>
    <n v="250"/>
    <n v="250"/>
    <n v="2668333.4999999995"/>
    <n v="1051559.9999999998"/>
    <n v="0"/>
    <n v="3286124.9999999995"/>
    <n v="453"/>
    <n v="5954458.4999999991"/>
    <n v="2688403.3613445377"/>
    <n v="150"/>
    <n v="373"/>
    <n v="150"/>
    <n v="0"/>
    <n v="0"/>
    <n v="0"/>
    <m/>
    <n v="4902898.4999999991"/>
    <n v="1971674.9999999998"/>
    <n v="0"/>
    <n v="0"/>
    <n v="373"/>
    <n v="4902898.4999999991"/>
    <n v="4410504.2016806724"/>
    <n v="120"/>
    <n v="223"/>
    <n v="120"/>
    <n v="500"/>
    <n v="500"/>
    <n v="2931223.4999999995"/>
    <n v="1577339.9999999998"/>
    <n v="6572249.9999999991"/>
    <n v="6572249.9999999991"/>
    <n v="723"/>
    <n v="9503473.4999999981"/>
    <n v="3704823.5294117653"/>
    <n v="125"/>
    <n v="603"/>
    <n v="125"/>
    <n v="0"/>
    <n v="0"/>
    <n v="7926133.4999999991"/>
    <n v="1643062.4999999998"/>
    <n v="0"/>
    <n v="603"/>
    <n v="7926133.4999999991"/>
    <n v="4200630.2521008402"/>
    <n v="72"/>
    <n v="478"/>
    <n v="72"/>
    <n v="0"/>
    <m/>
    <n v="6283070.9999999991"/>
    <n v="989928.92075255921"/>
    <n v="0"/>
    <n v="478"/>
    <n v="6283070.9999999991"/>
    <n v="2419563.0252100839"/>
  </r>
  <r>
    <s v="Simplit-Vajilla"/>
    <x v="2"/>
    <x v="23"/>
    <x v="61"/>
    <s v="SIMJULZTOS-12"/>
    <x v="569"/>
    <x v="407"/>
    <x v="0"/>
    <x v="6"/>
    <n v="1"/>
    <x v="12"/>
    <n v="3"/>
    <m/>
    <n v="0"/>
    <n v="11026"/>
    <n v="33078"/>
    <n v="9.8000000000000007"/>
    <n v="10706.5"/>
    <n v="29403.361344537818"/>
    <n v="29403.361344537818"/>
    <s v="Shenzhen"/>
    <x v="0"/>
    <n v="60"/>
    <n v="500"/>
    <n v="107"/>
    <n v="0.57331216405078089"/>
    <n v="53"/>
    <n v="0.63440732272192712"/>
    <n v="49"/>
    <n v="0.59139219042240776"/>
    <n v="49"/>
    <n v="0.55986699594970879"/>
    <n v="48"/>
    <n v="0.56406110629120554"/>
    <n v="86"/>
    <n v="0.48631614012627045"/>
    <n v="16"/>
    <n v="0.59303885035992765"/>
    <n v="17"/>
    <n v="0.59823151125401919"/>
    <n v="6"/>
    <s v=""/>
    <n v="5"/>
    <n v="0.42929587646802964"/>
    <n v="2"/>
    <s v=""/>
    <n v="0"/>
    <s v=""/>
    <n v="0"/>
    <s v=""/>
    <n v="6"/>
    <s v=""/>
    <n v="0"/>
    <s v=""/>
    <n v="0"/>
    <s v=""/>
    <n v="0"/>
    <n v="0"/>
    <s v=""/>
    <n v="0"/>
    <n v="0"/>
    <s v=""/>
    <n v="0"/>
    <n v="0"/>
    <s v=""/>
    <n v="0"/>
    <n v="0"/>
    <n v="2"/>
    <n v="0"/>
    <n v="0"/>
    <n v="0"/>
    <n v="0"/>
    <n v="99234"/>
    <n v="20286"/>
    <n v="0"/>
    <n v="0"/>
    <n v="3"/>
    <n v="33078"/>
    <n v="0"/>
    <n v="0"/>
    <n v="7"/>
    <n v="9"/>
    <n v="0"/>
    <n v="0"/>
    <n v="0"/>
    <n v="99234"/>
    <n v="71001"/>
    <n v="99234"/>
    <n v="0"/>
    <n v="3"/>
    <n v="33078"/>
    <n v="222378.36310994989"/>
    <n v="0"/>
    <n v="7"/>
    <n v="0"/>
    <n v="0"/>
    <n v="0"/>
    <n v="0"/>
    <n v="77182"/>
    <n v="0"/>
    <n v="0"/>
    <n v="3"/>
    <n v="33078"/>
    <n v="0"/>
    <n v="0"/>
    <n v="2"/>
    <n v="0"/>
    <n v="0"/>
    <n v="0"/>
    <n v="20286"/>
    <n v="0"/>
    <x v="0"/>
    <x v="0"/>
    <n v="3"/>
    <n v="33078"/>
    <n v="0"/>
    <n v="0"/>
    <n v="3"/>
    <n v="0"/>
    <m/>
    <n v="0"/>
    <n v="0"/>
    <n v="33078"/>
    <n v="0"/>
    <x v="0"/>
    <n v="0"/>
    <n v="3"/>
    <n v="33078"/>
    <n v="0"/>
    <n v="0"/>
    <n v="3"/>
    <n v="0"/>
    <m/>
    <n v="0"/>
    <n v="0"/>
    <n v="33078"/>
    <n v="0"/>
    <n v="0"/>
    <n v="0"/>
    <n v="3"/>
    <n v="33078"/>
    <n v="0"/>
    <n v="0"/>
    <n v="3"/>
    <n v="0"/>
    <n v="0"/>
    <n v="0"/>
    <n v="0"/>
    <n v="33078"/>
    <n v="0"/>
    <n v="0"/>
    <n v="0"/>
    <n v="3"/>
    <n v="33078"/>
    <n v="0"/>
    <n v="0"/>
    <n v="3"/>
    <n v="0"/>
    <n v="0"/>
    <n v="0"/>
    <n v="0"/>
    <n v="33078"/>
    <n v="0"/>
    <n v="0"/>
    <n v="0"/>
    <n v="3"/>
    <n v="33078"/>
    <n v="0"/>
    <n v="0"/>
    <n v="3"/>
    <n v="0"/>
    <n v="0"/>
    <n v="0"/>
    <m/>
    <n v="30429"/>
    <n v="0"/>
    <n v="0"/>
    <n v="0"/>
    <n v="3"/>
    <n v="30429"/>
    <n v="0"/>
    <n v="0"/>
    <n v="3"/>
    <n v="0"/>
    <n v="0"/>
    <n v="0"/>
    <n v="0"/>
    <m/>
    <n v="30429"/>
    <n v="0"/>
    <n v="0"/>
    <n v="0"/>
    <n v="3"/>
    <n v="30429"/>
    <n v="0"/>
    <n v="0"/>
    <n v="3"/>
    <n v="0"/>
    <n v="0"/>
    <n v="0"/>
    <n v="30429"/>
    <n v="0"/>
    <n v="0"/>
    <n v="0"/>
    <n v="3"/>
    <n v="30429"/>
    <n v="0"/>
    <n v="0"/>
    <n v="3"/>
    <n v="0"/>
    <n v="0"/>
    <n v="0"/>
    <n v="30429"/>
    <n v="0"/>
    <n v="0"/>
    <n v="3"/>
    <n v="30429"/>
    <n v="0"/>
    <n v="0"/>
    <n v="3"/>
    <n v="0"/>
    <n v="0"/>
    <m/>
    <n v="30429"/>
    <n v="0"/>
    <n v="0"/>
    <n v="3"/>
    <n v="30429"/>
    <n v="0"/>
  </r>
  <r>
    <m/>
    <x v="2"/>
    <x v="23"/>
    <x v="61"/>
    <s v="SIMJULZBRU-30"/>
    <x v="570"/>
    <x v="408"/>
    <x v="0"/>
    <x v="3"/>
    <n v="1"/>
    <x v="355"/>
    <n v="342"/>
    <m/>
    <n v="0"/>
    <n v="20415"/>
    <n v="6981930"/>
    <n v="18.95"/>
    <n v="20702.875"/>
    <n v="52932.773109243702"/>
    <n v="46210.08403361345"/>
    <s v="Shenzhen"/>
    <x v="0"/>
    <n v="6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90"/>
    <n v="0.57329861252600633"/>
    <n v="144"/>
    <n v="0.57013957051011677"/>
    <n v="222"/>
    <n v="0.57669648454939937"/>
    <n v="26"/>
    <s v=""/>
    <n v="8"/>
    <s v=""/>
    <n v="152"/>
    <s v=""/>
    <n v="252"/>
    <s v=""/>
    <n v="1.008"/>
    <n v="187"/>
    <s v=""/>
    <n v="0.93500000000000005"/>
    <n v="442"/>
    <s v=""/>
    <n v="1.4733333333333334"/>
    <n v="99"/>
    <s v=""/>
    <n v="0.39600000000000002"/>
    <n v="18"/>
    <n v="39"/>
    <n v="39"/>
    <n v="600"/>
    <n v="500"/>
    <n v="0"/>
    <n v="4144245"/>
    <n v="764916.75"/>
    <n v="796185"/>
    <n v="0"/>
    <n v="342"/>
    <n v="6981930"/>
    <n v="1734771.5556810962"/>
    <n v="10"/>
    <n v="19"/>
    <n v="12"/>
    <n v="600"/>
    <n v="500"/>
    <n v="0"/>
    <n v="8492640"/>
    <n v="372651.75"/>
    <n v="244980"/>
    <n v="0"/>
    <n v="342"/>
    <n v="6981930"/>
    <n v="533775.86328649113"/>
    <n v="250"/>
    <n v="499"/>
    <n v="152"/>
    <n v="0"/>
    <n v="0"/>
    <n v="12170310"/>
    <n v="10187085"/>
    <n v="3103080"/>
    <n v="0"/>
    <n v="342"/>
    <n v="6981930"/>
    <n v="8045781.5126050431"/>
    <n v="250"/>
    <n v="910"/>
    <n v="252"/>
    <n v="600"/>
    <n v="0"/>
    <n v="17848057.5"/>
    <n v="5144580"/>
    <x v="96"/>
    <x v="0"/>
    <n v="342"/>
    <n v="6981930"/>
    <n v="13339058.823529413"/>
    <n v="200"/>
    <n v="529"/>
    <n v="200"/>
    <m/>
    <n v="0"/>
    <n v="0"/>
    <n v="10799535"/>
    <n v="3922650"/>
    <x v="0"/>
    <n v="0"/>
    <n v="342"/>
    <n v="6981930"/>
    <n v="10586554.62184874"/>
    <n v="300"/>
    <n v="784"/>
    <n v="442"/>
    <m/>
    <n v="300"/>
    <n v="0"/>
    <n v="16005360"/>
    <n v="8669056.5"/>
    <n v="0"/>
    <n v="0"/>
    <n v="784"/>
    <n v="6981930"/>
    <n v="23396285.714285716"/>
    <n v="250"/>
    <n v="441"/>
    <n v="250"/>
    <n v="0"/>
    <n v="0"/>
    <n v="0"/>
    <n v="9003015"/>
    <n v="4903312.5"/>
    <n v="0"/>
    <n v="0"/>
    <n v="441"/>
    <n v="6981930"/>
    <n v="13233193.277310926"/>
    <n v="200"/>
    <n v="191"/>
    <n v="200"/>
    <n v="0"/>
    <n v="300"/>
    <n v="300"/>
    <n v="3899265"/>
    <n v="3922650"/>
    <n v="0"/>
    <n v="5883975"/>
    <n v="491"/>
    <n v="3899265"/>
    <n v="10586554.62184874"/>
    <n v="150"/>
    <n v="291"/>
    <n v="150"/>
    <n v="600"/>
    <n v="300"/>
    <n v="0"/>
    <n v="5707455.75"/>
    <n v="2941987.5"/>
    <n v="11767950"/>
    <n v="0"/>
    <n v="291"/>
    <n v="5707455.75"/>
    <n v="7939915.9663865557"/>
    <n v="350"/>
    <n v="441"/>
    <n v="350"/>
    <n v="600"/>
    <n v="300"/>
    <n v="300"/>
    <n v="300"/>
    <n v="8649443.25"/>
    <n v="6864637.5"/>
    <n v="11767950"/>
    <n v="11767950"/>
    <n v="741"/>
    <n v="20417393.25"/>
    <n v="16173529.411764707"/>
    <n v="200"/>
    <n v="391"/>
    <n v="200"/>
    <n v="0"/>
    <n v="300"/>
    <n v="7668780.75"/>
    <n v="3922650"/>
    <n v="0"/>
    <n v="4118782.4999999995"/>
    <n v="691"/>
    <n v="11787563.25"/>
    <n v="9704117.6470588241"/>
    <n v="250"/>
    <n v="491"/>
    <n v="250"/>
    <n v="0"/>
    <n v="0"/>
    <n v="9630105.75"/>
    <n v="4903312.5"/>
    <n v="0"/>
    <n v="491"/>
    <n v="9630105.75"/>
    <n v="13233193.277310926"/>
    <n v="120"/>
    <n v="241"/>
    <n v="120"/>
    <n v="0"/>
    <m/>
    <n v="4726793.25"/>
    <n v="2449800"/>
    <n v="0"/>
    <n v="241"/>
    <n v="4726793.25"/>
    <n v="6351932.7731092442"/>
  </r>
  <r>
    <m/>
    <x v="2"/>
    <x v="23"/>
    <x v="61"/>
    <s v="SIMJULZOPO-30"/>
    <x v="571"/>
    <x v="409"/>
    <x v="0"/>
    <x v="2"/>
    <n v="1"/>
    <x v="12"/>
    <n v="327"/>
    <m/>
    <n v="0"/>
    <n v="18709.349999999999"/>
    <n v="6117957.4499999993"/>
    <n v="18.7"/>
    <n v="20429.75"/>
    <n v="50411.764705882357"/>
    <n v="46210.08403361345"/>
    <s v="Shenzhen"/>
    <x v="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4"/>
    <s v=""/>
    <n v="1.2"/>
    <n v="126"/>
    <s v=""/>
    <n v="0.84"/>
    <n v="22"/>
    <s v=""/>
    <n v="0.18333333333333332"/>
    <n v="0"/>
    <n v="0"/>
    <n v="0"/>
    <n v="0"/>
    <n v="0"/>
    <n v="0"/>
    <n v="0"/>
    <n v="0"/>
    <n v="0"/>
    <n v="0"/>
    <n v="327"/>
    <n v="6117957.4499999993"/>
    <n v="0"/>
    <n v="0"/>
    <n v="0"/>
    <n v="0"/>
    <n v="0"/>
    <n v="0"/>
    <n v="0"/>
    <n v="0"/>
    <n v="0"/>
    <n v="0"/>
    <n v="0"/>
    <n v="327"/>
    <n v="6117957.4499999993"/>
    <n v="0"/>
    <n v="0"/>
    <n v="0"/>
    <n v="0"/>
    <n v="0"/>
    <n v="0"/>
    <n v="387090"/>
    <n v="0"/>
    <n v="0"/>
    <n v="0"/>
    <n v="327"/>
    <n v="6117957.4499999993"/>
    <n v="0"/>
    <n v="0"/>
    <n v="0"/>
    <n v="0"/>
    <n v="0"/>
    <n v="0"/>
    <n v="0"/>
    <n v="0"/>
    <x v="0"/>
    <x v="0"/>
    <n v="327"/>
    <n v="6117957.4499999993"/>
    <n v="0"/>
    <n v="20"/>
    <n v="351"/>
    <n v="20"/>
    <m/>
    <n v="0"/>
    <n v="0"/>
    <n v="6566981.8499999996"/>
    <n v="387090"/>
    <x v="0"/>
    <n v="0"/>
    <n v="327"/>
    <n v="6117957.4499999993"/>
    <n v="1008235.2941176471"/>
    <n v="150"/>
    <n v="453"/>
    <n v="126"/>
    <m/>
    <n v="500"/>
    <n v="0"/>
    <n v="8475335.5499999989"/>
    <n v="2438667"/>
    <n v="0"/>
    <n v="0"/>
    <n v="453"/>
    <n v="6117957.4499999993"/>
    <n v="6351882.3529411769"/>
    <n v="120"/>
    <n v="349"/>
    <n v="120"/>
    <n v="0"/>
    <n v="0"/>
    <n v="0"/>
    <n v="6529563.1499999994"/>
    <n v="2322540"/>
    <n v="0"/>
    <n v="0"/>
    <n v="349"/>
    <n v="6117957.4499999993"/>
    <n v="6049411.7647058824"/>
    <n v="150"/>
    <n v="229"/>
    <n v="150"/>
    <n v="600"/>
    <n v="300"/>
    <n v="0"/>
    <n v="4284441.1499999994"/>
    <n v="2903175"/>
    <n v="11612700"/>
    <n v="0"/>
    <n v="529"/>
    <n v="15897141.149999999"/>
    <n v="7561764.7058823537"/>
    <n v="150"/>
    <n v="79"/>
    <n v="150"/>
    <n v="700"/>
    <n v="700"/>
    <n v="300"/>
    <n v="1529005.5"/>
    <n v="2903175"/>
    <n v="13548150"/>
    <n v="5806350"/>
    <n v="379"/>
    <n v="7335355.5"/>
    <n v="7561764.7058823537"/>
    <n v="300"/>
    <n v="629"/>
    <n v="300"/>
    <n v="0"/>
    <m/>
    <m/>
    <n v="400"/>
    <n v="12173980.5"/>
    <n v="5806350"/>
    <n v="0"/>
    <n v="7741800"/>
    <n v="629"/>
    <n v="19915780.5"/>
    <n v="13863025.210084034"/>
    <n v="200"/>
    <n v="329"/>
    <n v="200"/>
    <n v="0"/>
    <n v="300"/>
    <n v="6367630.5"/>
    <n v="3870900"/>
    <n v="0"/>
    <n v="5806350"/>
    <n v="629"/>
    <n v="12173980.5"/>
    <n v="9704117.6470588241"/>
    <n v="250"/>
    <n v="429"/>
    <n v="250"/>
    <n v="600"/>
    <n v="300"/>
    <n v="8303080.5"/>
    <n v="4838625"/>
    <n v="5806350"/>
    <n v="729"/>
    <n v="14109430.5"/>
    <n v="12602941.176470589"/>
    <n v="120"/>
    <n v="479"/>
    <n v="120"/>
    <n v="0"/>
    <m/>
    <n v="9270805.5"/>
    <n v="2245122"/>
    <n v="0"/>
    <n v="479"/>
    <n v="9270805.5"/>
    <n v="6049411.7647058824"/>
  </r>
  <r>
    <s v="Simplit-Vajilla"/>
    <x v="2"/>
    <x v="23"/>
    <x v="62"/>
    <s v="SIMPLSIE-4"/>
    <x v="572"/>
    <x v="410"/>
    <x v="0"/>
    <x v="4"/>
    <n v="1"/>
    <x v="356"/>
    <n v="63"/>
    <m/>
    <n v="0"/>
    <n v="3539"/>
    <n v="222957"/>
    <n v="3.45"/>
    <n v="3769.1249999999995"/>
    <n v="7554.6218487394963"/>
    <n v="7134.453781512605"/>
    <s v="Shenzhen"/>
    <x v="0"/>
    <n v="60"/>
    <n v="100"/>
    <n v="7"/>
    <n v="0.69007151820851154"/>
    <n v="13"/>
    <n v="0.74302862390083313"/>
    <n v="15"/>
    <n v="0.69077344620972059"/>
    <n v="14"/>
    <n v="0.6688282517155032"/>
    <n v="8"/>
    <n v="0.71080783036999851"/>
    <n v="48"/>
    <n v="0.64640198356236356"/>
    <n v="15"/>
    <n v="0.67287894460656983"/>
    <n v="28"/>
    <n v="0.68776899810027836"/>
    <n v="15"/>
    <n v="0.71162845551402965"/>
    <n v="38"/>
    <n v="0.65841022361224355"/>
    <n v="27"/>
    <n v="0.64031136386433429"/>
    <n v="86"/>
    <n v="0.61399611661279774"/>
    <n v="17"/>
    <s v=""/>
    <n v="43"/>
    <s v=""/>
    <n v="87"/>
    <s v=""/>
    <n v="61"/>
    <s v=""/>
    <n v="1.5249999999999999"/>
    <n v="45"/>
    <s v=""/>
    <n v="1.5"/>
    <n v="48"/>
    <s v=""/>
    <n v="0.96"/>
    <n v="30"/>
    <s v=""/>
    <n v="0.8571428571428571"/>
    <n v="35"/>
    <n v="376"/>
    <n v="35"/>
    <n v="0"/>
    <n v="0"/>
    <n v="0"/>
    <n v="660023.5"/>
    <n v="1342601.9999999998"/>
    <n v="123865"/>
    <n v="0"/>
    <n v="63"/>
    <n v="222957"/>
    <n v="222194.76025704402"/>
    <n v="30"/>
    <n v="352"/>
    <n v="64.5"/>
    <n v="0"/>
    <n v="0"/>
    <n v="0"/>
    <n v="752037.5"/>
    <n v="1256903.9999999998"/>
    <n v="228265.5"/>
    <n v="0"/>
    <n v="63"/>
    <n v="222957"/>
    <n v="409473.20104512398"/>
    <n v="35"/>
    <n v="290"/>
    <n v="87"/>
    <n v="0"/>
    <n v="0"/>
    <n v="630894.5"/>
    <n v="1026310"/>
    <n v="307893"/>
    <n v="0"/>
    <n v="63"/>
    <n v="222957"/>
    <n v="657252.10084033618"/>
    <n v="40"/>
    <n v="198"/>
    <n v="61"/>
    <n v="0"/>
    <n v="0"/>
    <n v="707008.49999999988"/>
    <n v="215879"/>
    <x v="0"/>
    <x v="0"/>
    <n v="63"/>
    <n v="222957"/>
    <n v="460831.93277310929"/>
    <n v="30"/>
    <n v="108"/>
    <n v="30"/>
    <m/>
    <n v="0"/>
    <n v="0"/>
    <n v="382212"/>
    <n v="107122.49999999999"/>
    <x v="0"/>
    <n v="0"/>
    <n v="63"/>
    <n v="222957"/>
    <n v="226638.65546218489"/>
    <n v="50"/>
    <n v="111"/>
    <n v="48"/>
    <m/>
    <n v="0"/>
    <n v="0"/>
    <n v="392829"/>
    <n v="171395.99999999997"/>
    <n v="0"/>
    <n v="0"/>
    <n v="111"/>
    <n v="222957"/>
    <n v="362621.84873949585"/>
    <n v="35"/>
    <n v="93"/>
    <n v="35"/>
    <n v="0"/>
    <n v="0"/>
    <n v="0"/>
    <n v="329127"/>
    <n v="124976.24999999999"/>
    <n v="0"/>
    <n v="0"/>
    <n v="93"/>
    <n v="222957"/>
    <n v="264411.76470588235"/>
    <n v="35"/>
    <n v="58"/>
    <n v="35"/>
    <n v="0"/>
    <n v="0"/>
    <n v="0"/>
    <n v="205262"/>
    <n v="124976.24999999999"/>
    <n v="0"/>
    <n v="0"/>
    <n v="58"/>
    <n v="205262"/>
    <n v="264411.76470588235"/>
    <n v="30"/>
    <n v="23"/>
    <n v="30"/>
    <n v="200"/>
    <n v="200"/>
    <n v="0"/>
    <n v="82127.249999999985"/>
    <n v="107122.49999999999"/>
    <n v="714149.99999999988"/>
    <n v="0"/>
    <n v="23"/>
    <n v="82127.249999999985"/>
    <n v="226638.65546218489"/>
    <n v="50"/>
    <n v="204"/>
    <n v="50"/>
    <n v="0"/>
    <n v="0"/>
    <n v="0"/>
    <n v="204"/>
    <n v="728432.99999999988"/>
    <n v="178537.49999999997"/>
    <n v="0"/>
    <n v="728432.99999999988"/>
    <n v="204"/>
    <n v="1456865.9999999998"/>
    <n v="356722.68907563027"/>
    <n v="40"/>
    <n v="154"/>
    <n v="40"/>
    <n v="0"/>
    <n v="0"/>
    <n v="549895.49999999988"/>
    <n v="142829.99999999997"/>
    <n v="0"/>
    <n v="0"/>
    <n v="154"/>
    <n v="549895.49999999988"/>
    <n v="299647.05882352946"/>
    <n v="80"/>
    <n v="114"/>
    <n v="80"/>
    <n v="0"/>
    <n v="0"/>
    <n v="407065.49999999994"/>
    <n v="285659.99999999994"/>
    <n v="0"/>
    <n v="114"/>
    <n v="407065.49999999994"/>
    <n v="604369.74789915967"/>
    <n v="24"/>
    <n v="34"/>
    <n v="24"/>
    <n v="0"/>
    <m/>
    <n v="121405.49999999999"/>
    <n v="84936"/>
    <n v="0"/>
    <n v="34"/>
    <n v="121405.49999999999"/>
    <n v="181310.92436974793"/>
  </r>
  <r>
    <s v="Simplit-Vajilla"/>
    <x v="2"/>
    <x v="23"/>
    <x v="62"/>
    <s v="SIMBOWSIE-4"/>
    <x v="573"/>
    <x v="411"/>
    <x v="0"/>
    <x v="0"/>
    <n v="0.7"/>
    <x v="357"/>
    <n v="93"/>
    <n v="202"/>
    <n v="368448"/>
    <n v="2213"/>
    <n v="205809"/>
    <n v="1.92"/>
    <n v="2097.6"/>
    <n v="6714.2857142857147"/>
    <n v="6294.1176470588234"/>
    <s v="Shenzhen"/>
    <x v="0"/>
    <n v="60"/>
    <n v="100"/>
    <n v="25"/>
    <n v="0.74775203162789061"/>
    <n v="22"/>
    <n v="0.74414936323618708"/>
    <n v="24"/>
    <n v="0.69996117542583447"/>
    <n v="40"/>
    <n v="0.69425688653668272"/>
    <n v="32"/>
    <n v="0.7029794654406355"/>
    <n v="87"/>
    <n v="0.64057047701225345"/>
    <n v="31"/>
    <n v="0.66996973087938894"/>
    <n v="18"/>
    <n v="0.66277999690546985"/>
    <n v="0"/>
    <s v=""/>
    <n v="28"/>
    <n v="0.71663867794421576"/>
    <n v="35"/>
    <n v="0.70622851513254448"/>
    <n v="40"/>
    <n v="0.720595277833041"/>
    <n v="15"/>
    <s v=""/>
    <n v="51"/>
    <s v=""/>
    <n v="84"/>
    <s v=""/>
    <n v="33"/>
    <s v=""/>
    <n v="0.82499999999999996"/>
    <n v="2"/>
    <s v=""/>
    <n v="5.7142857142857141E-2"/>
    <n v="1"/>
    <s v=""/>
    <n v="1.1111111111111112E-2"/>
    <n v="9"/>
    <s v=""/>
    <n v="0.25714285714285712"/>
    <n v="30"/>
    <n v="41"/>
    <n v="20"/>
    <n v="100"/>
    <n v="100"/>
    <n v="0"/>
    <n v="399446.5"/>
    <n v="81475.199999999997"/>
    <n v="44260"/>
    <n v="0"/>
    <n v="93"/>
    <n v="205809"/>
    <n v="112845.13805522211"/>
    <n v="30"/>
    <n v="129"/>
    <n v="76.5"/>
    <n v="100"/>
    <n v="100"/>
    <n v="0"/>
    <n v="428215.5"/>
    <n v="256348.79999999999"/>
    <n v="169294.5"/>
    <n v="0"/>
    <n v="93"/>
    <n v="205809"/>
    <n v="431632.65306122456"/>
    <n v="35"/>
    <n v="116"/>
    <n v="84"/>
    <n v="0"/>
    <n v="0"/>
    <n v="307607.40000000002"/>
    <n v="256708"/>
    <n v="185892"/>
    <n v="0"/>
    <n v="93"/>
    <n v="205809"/>
    <n v="564000"/>
    <n v="40"/>
    <n v="10"/>
    <n v="33"/>
    <n v="0"/>
    <n v="0"/>
    <n v="19872"/>
    <n v="73029"/>
    <x v="0"/>
    <x v="0"/>
    <n v="93"/>
    <n v="205809"/>
    <n v="221571.42857142858"/>
    <n v="35"/>
    <n v="95"/>
    <n v="24.5"/>
    <m/>
    <n v="0"/>
    <n v="0"/>
    <n v="210235"/>
    <n v="48686.399999999994"/>
    <x v="0"/>
    <n v="0"/>
    <n v="93"/>
    <n v="205809"/>
    <n v="164500"/>
    <n v="90"/>
    <n v="94"/>
    <n v="1"/>
    <m/>
    <n v="0"/>
    <n v="0"/>
    <n v="208022"/>
    <n v="1987.1999999999998"/>
    <n v="0"/>
    <n v="0"/>
    <n v="94"/>
    <n v="205809"/>
    <n v="6714.2857142857147"/>
    <n v="35"/>
    <n v="102"/>
    <n v="24.5"/>
    <n v="100"/>
    <n v="100"/>
    <n v="0"/>
    <n v="225726"/>
    <n v="48686.399999999994"/>
    <n v="192095.99999999997"/>
    <n v="0"/>
    <n v="102"/>
    <n v="205809"/>
    <n v="164500"/>
    <n v="35"/>
    <n v="77.5"/>
    <n v="24.5"/>
    <n v="0"/>
    <n v="0"/>
    <n v="0"/>
    <n v="171507.5"/>
    <n v="48686.399999999994"/>
    <n v="0"/>
    <n v="0"/>
    <n v="77.5"/>
    <n v="171507.5"/>
    <n v="164500"/>
    <n v="30"/>
    <n v="53"/>
    <n v="21"/>
    <n v="0"/>
    <n v="100"/>
    <n v="102"/>
    <n v="105321.59999999999"/>
    <n v="41731.199999999997"/>
    <n v="0"/>
    <n v="202694.39999999999"/>
    <n v="155"/>
    <n v="308016"/>
    <n v="141000"/>
    <n v="35"/>
    <n v="134"/>
    <n v="24.5"/>
    <n v="0"/>
    <n v="0"/>
    <n v="0"/>
    <m/>
    <n v="266284.79999999999"/>
    <n v="48686.399999999994"/>
    <n v="0"/>
    <n v="0"/>
    <n v="134"/>
    <n v="266284.79999999999"/>
    <n v="154205.88235294117"/>
    <n v="35"/>
    <n v="109.5"/>
    <n v="24.5"/>
    <n v="0"/>
    <n v="0"/>
    <n v="217598.4"/>
    <n v="48686.399999999994"/>
    <n v="0"/>
    <n v="0"/>
    <n v="109.5"/>
    <n v="217598.4"/>
    <n v="161916.17647058825"/>
    <n v="40"/>
    <n v="85"/>
    <n v="28"/>
    <n v="0"/>
    <n v="0"/>
    <n v="168911.99999999997"/>
    <n v="55641.599999999991"/>
    <n v="0"/>
    <n v="85"/>
    <n v="168911.99999999997"/>
    <n v="188000"/>
    <n v="21"/>
    <n v="57"/>
    <n v="14.7"/>
    <n v="0"/>
    <m/>
    <n v="113270.39999999999"/>
    <n v="32531.1"/>
    <n v="0"/>
    <n v="57"/>
    <n v="113270.39999999999"/>
    <n v="98700"/>
  </r>
  <r>
    <s v="Simplit-Vajilla"/>
    <x v="2"/>
    <x v="23"/>
    <x v="62"/>
    <s v="SIMTAZSIE-4"/>
    <x v="574"/>
    <x v="412"/>
    <x v="0"/>
    <x v="1"/>
    <n v="0.9"/>
    <x v="358"/>
    <n v="19"/>
    <n v="192"/>
    <n v="182400"/>
    <n v="1442"/>
    <n v="27398"/>
    <n v="1"/>
    <n v="1092.5"/>
    <n v="8394.957983193277"/>
    <n v="7974.7899159663866"/>
    <s v="Shenzhen"/>
    <x v="0"/>
    <n v="60"/>
    <n v="100"/>
    <n v="44"/>
    <n v="0.79964550855562211"/>
    <n v="25"/>
    <n v="0.76660214069906585"/>
    <n v="68"/>
    <n v="0.70101092509868712"/>
    <n v="72"/>
    <n v="0.73827490074963453"/>
    <n v="62"/>
    <n v="0.74858329577583205"/>
    <n v="26"/>
    <n v="0.61439958557384133"/>
    <n v="1"/>
    <n v="0.80739153153153143"/>
    <n v="0"/>
    <s v=""/>
    <n v="1"/>
    <n v="0.72491323579448796"/>
    <n v="87"/>
    <n v="0.64851523788124255"/>
    <n v="111"/>
    <n v="0.76199775533108904"/>
    <n v="98"/>
    <n v="0.64705128342284579"/>
    <n v="2"/>
    <s v=""/>
    <n v="25"/>
    <s v=""/>
    <n v="62"/>
    <s v=""/>
    <n v="41"/>
    <s v=""/>
    <n v="1.1714285714285715"/>
    <n v="46"/>
    <s v=""/>
    <n v="1.0222222222222221"/>
    <n v="25"/>
    <s v=""/>
    <n v="0.38461538461538464"/>
    <n v="8"/>
    <s v=""/>
    <n v="1.1428571428571428"/>
    <n v="60"/>
    <n v="5"/>
    <n v="15"/>
    <n v="100"/>
    <n v="100"/>
    <n v="0"/>
    <n v="165109"/>
    <n v="5175"/>
    <n v="21630"/>
    <n v="0"/>
    <n v="19"/>
    <n v="27398"/>
    <n v="105818.79810747829"/>
    <n v="50"/>
    <n v="100"/>
    <n v="37.5"/>
    <n v="0"/>
    <n v="0"/>
    <n v="0"/>
    <n v="202601"/>
    <n v="103500"/>
    <n v="54075"/>
    <n v="0"/>
    <n v="19"/>
    <n v="27398"/>
    <n v="264546.9952686957"/>
    <n v="70"/>
    <n v="171"/>
    <n v="62"/>
    <n v="0"/>
    <n v="0"/>
    <n v="190443.5"/>
    <n v="246582"/>
    <n v="89404"/>
    <n v="0"/>
    <n v="19"/>
    <n v="27398"/>
    <n v="520487.39495798317"/>
    <n v="35"/>
    <n v="101"/>
    <n v="41"/>
    <n v="200"/>
    <n v="0"/>
    <n v="104535"/>
    <n v="59122"/>
    <x v="97"/>
    <x v="0"/>
    <n v="19"/>
    <n v="27398"/>
    <n v="344193.27731092437"/>
    <n v="45"/>
    <n v="65"/>
    <n v="40.5"/>
    <m/>
    <n v="0"/>
    <n v="0"/>
    <n v="93730"/>
    <n v="41917.5"/>
    <x v="0"/>
    <n v="0"/>
    <n v="19"/>
    <n v="27398"/>
    <n v="339995.7983193277"/>
    <n v="65"/>
    <n v="44"/>
    <n v="25"/>
    <m/>
    <n v="0"/>
    <n v="0"/>
    <n v="63448"/>
    <n v="25875"/>
    <n v="0"/>
    <n v="0"/>
    <n v="44"/>
    <n v="27398"/>
    <n v="209873.94957983191"/>
    <n v="7"/>
    <n v="27"/>
    <n v="6.3"/>
    <n v="0"/>
    <n v="0"/>
    <n v="0"/>
    <n v="38934"/>
    <n v="6520.5"/>
    <n v="0"/>
    <n v="0"/>
    <n v="27"/>
    <n v="27398"/>
    <n v="52888.235294117643"/>
    <n v="40"/>
    <n v="20.7"/>
    <n v="36"/>
    <n v="0"/>
    <n v="0"/>
    <n v="102"/>
    <n v="29849.399999999998"/>
    <n v="37260"/>
    <n v="0"/>
    <n v="105570"/>
    <n v="20.7"/>
    <n v="29849.399999999998"/>
    <n v="302218.48739495798"/>
    <n v="35"/>
    <n v="86.7"/>
    <n v="31.5"/>
    <n v="0"/>
    <n v="192"/>
    <n v="192"/>
    <n v="89734.5"/>
    <n v="32602.5"/>
    <n v="0"/>
    <n v="198720"/>
    <n v="278.7"/>
    <n v="288454.5"/>
    <n v="264441.17647058825"/>
    <n v="120"/>
    <n v="247.2"/>
    <n v="108"/>
    <n v="0"/>
    <n v="0"/>
    <n v="0"/>
    <m/>
    <n v="255852"/>
    <n v="111780"/>
    <n v="0"/>
    <n v="0"/>
    <n v="247.2"/>
    <n v="255852"/>
    <n v="861277.31092436973"/>
    <n v="115"/>
    <n v="139.19999999999999"/>
    <n v="103.5"/>
    <n v="0"/>
    <n v="0"/>
    <n v="144072"/>
    <n v="107122.5"/>
    <n v="0"/>
    <n v="0"/>
    <n v="139.19999999999999"/>
    <n v="144072"/>
    <n v="866660.29411764711"/>
    <n v="150"/>
    <n v="35.699999999999989"/>
    <n v="135"/>
    <n v="0"/>
    <n v="0"/>
    <n v="36949.499999999985"/>
    <n v="139725"/>
    <n v="0"/>
    <n v="35.699999999999989"/>
    <n v="36949.499999999985"/>
    <n v="1133319.3277310925"/>
    <n v="69"/>
    <n v="0"/>
    <n v="62.1"/>
    <n v="0"/>
    <m/>
    <n v="0"/>
    <n v="89548.2"/>
    <n v="0"/>
    <n v="0"/>
    <n v="0"/>
    <n v="521326.89075630251"/>
  </r>
  <r>
    <s v="Simplit-Vajilla"/>
    <x v="2"/>
    <x v="23"/>
    <x v="62"/>
    <s v="SIMPLAMA-4"/>
    <x v="575"/>
    <x v="413"/>
    <x v="0"/>
    <x v="4"/>
    <n v="1.1499999999999999"/>
    <x v="359"/>
    <n v="90"/>
    <m/>
    <n v="0"/>
    <n v="3799"/>
    <n v="341910"/>
    <n v="3.45"/>
    <n v="3769.1249999999995"/>
    <n v="7554.6218487394963"/>
    <n v="7134.453781512605"/>
    <s v="Shenzhen"/>
    <x v="0"/>
    <n v="60"/>
    <n v="100"/>
    <n v="7"/>
    <n v="0.74525873934892761"/>
    <n v="14"/>
    <n v="0.73385269882087256"/>
    <n v="14"/>
    <n v="0.69233232053098115"/>
    <n v="15"/>
    <n v="0.7141699886565992"/>
    <n v="5"/>
    <n v="0.73171258972171693"/>
    <n v="34"/>
    <n v="0.64347614935192332"/>
    <n v="16"/>
    <n v="0.68993640305509907"/>
    <n v="13"/>
    <n v="0.68753848529936401"/>
    <n v="15"/>
    <n v="0.65929631154285773"/>
    <n v="7"/>
    <n v="0.63667648095279739"/>
    <n v="46"/>
    <n v="0.63113889956051628"/>
    <n v="34"/>
    <n v="0.6527685233445758"/>
    <n v="24"/>
    <s v=""/>
    <n v="18"/>
    <s v=""/>
    <n v="43"/>
    <s v=""/>
    <n v="41"/>
    <s v=""/>
    <n v="1.0249999999999999"/>
    <n v="33"/>
    <s v=""/>
    <n v="1.1000000000000001"/>
    <n v="63"/>
    <s v=""/>
    <n v="1.26"/>
    <n v="11"/>
    <s v=""/>
    <n v="0.36666666666666664"/>
    <n v="20"/>
    <n v="341"/>
    <n v="15"/>
    <n v="0"/>
    <n v="0"/>
    <n v="0"/>
    <n v="322915"/>
    <n v="1217625.7499999998"/>
    <n v="56985"/>
    <n v="0"/>
    <n v="90"/>
    <n v="341910"/>
    <n v="95226.325824447442"/>
    <n v="20"/>
    <n v="313"/>
    <n v="27"/>
    <n v="0"/>
    <n v="0"/>
    <n v="0"/>
    <n v="421689"/>
    <n v="1117644.7499999998"/>
    <n v="102573"/>
    <n v="0"/>
    <n v="90"/>
    <n v="341910"/>
    <n v="171407.3864840054"/>
    <n v="25"/>
    <n v="256"/>
    <n v="43"/>
    <n v="0"/>
    <n v="0"/>
    <n v="442306.875"/>
    <n v="972544"/>
    <n v="163357"/>
    <n v="0"/>
    <n v="90"/>
    <n v="341910"/>
    <n v="324848.73949579836"/>
    <n v="40"/>
    <n v="212"/>
    <n v="41"/>
    <n v="0"/>
    <n v="0"/>
    <n v="756998.99999999988"/>
    <n v="155759"/>
    <x v="0"/>
    <x v="0"/>
    <n v="90"/>
    <n v="341910"/>
    <n v="309739.49579831935"/>
    <n v="30"/>
    <n v="123"/>
    <n v="34.5"/>
    <m/>
    <n v="0"/>
    <n v="0"/>
    <n v="467277"/>
    <n v="123190.87499999999"/>
    <x v="0"/>
    <n v="0"/>
    <n v="90"/>
    <n v="341910"/>
    <n v="260634.45378151262"/>
    <n v="50"/>
    <n v="153"/>
    <n v="63"/>
    <m/>
    <n v="0"/>
    <n v="0"/>
    <n v="581247"/>
    <n v="224957.24999999997"/>
    <n v="0"/>
    <n v="0"/>
    <n v="153"/>
    <n v="341910"/>
    <n v="475941.17647058825"/>
    <n v="30"/>
    <n v="101"/>
    <n v="34.5"/>
    <n v="0"/>
    <n v="0"/>
    <n v="0"/>
    <n v="383699"/>
    <n v="123190.87499999999"/>
    <n v="0"/>
    <n v="0"/>
    <n v="101"/>
    <n v="341910"/>
    <n v="260634.45378151262"/>
    <n v="30"/>
    <n v="66.5"/>
    <n v="34.5"/>
    <n v="0"/>
    <n v="0"/>
    <n v="0"/>
    <n v="252633.5"/>
    <n v="123190.87499999999"/>
    <n v="0"/>
    <n v="0"/>
    <n v="66.5"/>
    <n v="252633.5"/>
    <n v="260634.45378151262"/>
    <n v="30"/>
    <n v="32"/>
    <n v="34.5"/>
    <n v="0"/>
    <n v="0"/>
    <m/>
    <n v="114263.99999999999"/>
    <n v="123190.87499999999"/>
    <n v="0"/>
    <n v="0"/>
    <n v="32"/>
    <n v="114263.99999999999"/>
    <n v="260634.45378151262"/>
    <n v="50"/>
    <n v="0"/>
    <n v="0"/>
    <n v="0"/>
    <n v="0"/>
    <n v="0"/>
    <m/>
    <n v="0"/>
    <n v="0"/>
    <n v="0"/>
    <n v="0"/>
    <n v="0"/>
    <n v="0"/>
    <n v="0"/>
    <n v="50"/>
    <n v="0"/>
    <n v="57.499999999999993"/>
    <n v="0"/>
    <n v="0"/>
    <n v="0"/>
    <n v="205318.12499999994"/>
    <n v="0"/>
    <n v="0"/>
    <n v="0"/>
    <n v="0"/>
    <n v="430742.6470588235"/>
    <n v="50"/>
    <n v="0"/>
    <n v="57.499999999999993"/>
    <n v="0"/>
    <n v="0"/>
    <n v="0"/>
    <n v="205318.12499999994"/>
    <n v="0"/>
    <n v="0"/>
    <n v="0"/>
    <n v="434390.75630252098"/>
    <n v="30"/>
    <n v="0"/>
    <n v="34.5"/>
    <n v="0"/>
    <m/>
    <n v="0"/>
    <n v="131065.5"/>
    <n v="0"/>
    <n v="0"/>
    <n v="0"/>
    <n v="260634.45378151262"/>
  </r>
  <r>
    <s v="Simplit-Vajilla"/>
    <x v="2"/>
    <x v="23"/>
    <x v="62"/>
    <s v="SIMBOWAMA-4"/>
    <x v="576"/>
    <x v="414"/>
    <x v="0"/>
    <x v="0"/>
    <n v="1"/>
    <x v="360"/>
    <n v="178"/>
    <n v="100"/>
    <n v="245100"/>
    <n v="2418"/>
    <n v="430404"/>
    <n v="2.58"/>
    <n v="2818.6499999999996"/>
    <n v="8394.957983193277"/>
    <n v="7974.7899159663866"/>
    <s v="Shenzhen"/>
    <x v="0"/>
    <n v="60"/>
    <n v="100"/>
    <n v="9"/>
    <n v="0.75169492441489671"/>
    <n v="15"/>
    <n v="0.71831711533333753"/>
    <n v="13"/>
    <n v="0.69814230772248598"/>
    <n v="10"/>
    <n v="0.67619400891593962"/>
    <n v="11"/>
    <n v="0.69287483916839832"/>
    <n v="60"/>
    <n v="0.65498508281611312"/>
    <n v="14"/>
    <n v="0.64347420923345833"/>
    <n v="22"/>
    <n v="0.64793659320803199"/>
    <n v="20"/>
    <n v="0.66622288621580139"/>
    <n v="35"/>
    <n v="0.6042687878754851"/>
    <n v="26"/>
    <n v="0.63323481133958348"/>
    <n v="26"/>
    <n v="0.62843608785926719"/>
    <n v="14"/>
    <s v=""/>
    <n v="17"/>
    <s v=""/>
    <n v="15"/>
    <s v=""/>
    <n v="14"/>
    <s v=""/>
    <n v="0.93333333333333335"/>
    <n v="14"/>
    <s v=""/>
    <n v="0.93333333333333335"/>
    <n v="37"/>
    <s v=""/>
    <n v="0.6166666666666667"/>
    <n v="13"/>
    <s v=""/>
    <n v="0.65"/>
    <n v="20"/>
    <n v="42"/>
    <n v="15"/>
    <n v="100"/>
    <n v="100"/>
    <n v="0"/>
    <n v="134199"/>
    <n v="112152.59999999999"/>
    <n v="36270"/>
    <n v="0"/>
    <n v="178"/>
    <n v="430404"/>
    <n v="105818.79810747829"/>
    <n v="20"/>
    <n v="79"/>
    <n v="25.5"/>
    <n v="0"/>
    <n v="0"/>
    <n v="0"/>
    <n v="131781"/>
    <n v="210953.69999999998"/>
    <n v="61659"/>
    <n v="0"/>
    <n v="178"/>
    <n v="430404"/>
    <n v="179891.9567827131"/>
    <n v="25"/>
    <n v="150"/>
    <n v="15"/>
    <n v="0"/>
    <n v="0"/>
    <n v="110176.5"/>
    <n v="362700"/>
    <n v="36270"/>
    <n v="0"/>
    <n v="178"/>
    <n v="430404"/>
    <n v="125924.36974789915"/>
    <n v="15"/>
    <n v="138"/>
    <n v="14"/>
    <n v="0"/>
    <n v="0"/>
    <n v="368501.39999999997"/>
    <n v="33852"/>
    <x v="0"/>
    <x v="0"/>
    <n v="178"/>
    <n v="430404"/>
    <n v="117529.41176470587"/>
    <n v="15"/>
    <n v="192"/>
    <n v="15"/>
    <m/>
    <n v="0"/>
    <n v="0"/>
    <n v="464256"/>
    <n v="40054.499999999993"/>
    <x v="0"/>
    <n v="0"/>
    <n v="178"/>
    <n v="430404"/>
    <n v="125924.36974789915"/>
    <n v="60"/>
    <n v="215"/>
    <n v="37"/>
    <m/>
    <n v="0"/>
    <n v="0"/>
    <n v="519870"/>
    <n v="98801.099999999991"/>
    <n v="0"/>
    <n v="0"/>
    <n v="215"/>
    <n v="430404"/>
    <n v="310613.44537815126"/>
    <n v="20"/>
    <n v="191"/>
    <n v="20"/>
    <n v="100"/>
    <n v="100"/>
    <n v="0"/>
    <n v="461838"/>
    <n v="53405.999999999993"/>
    <n v="258128.99999999994"/>
    <n v="0"/>
    <n v="191"/>
    <n v="430404"/>
    <n v="167899.15966386555"/>
    <n v="20"/>
    <n v="171"/>
    <n v="20"/>
    <n v="0"/>
    <n v="0"/>
    <n v="0"/>
    <n v="413478"/>
    <n v="53405.999999999993"/>
    <n v="0"/>
    <n v="0"/>
    <n v="171"/>
    <n v="413478"/>
    <n v="167899.15966386555"/>
    <n v="20"/>
    <n v="151"/>
    <n v="20"/>
    <n v="0"/>
    <n v="0"/>
    <m/>
    <n v="403215.29999999993"/>
    <n v="53405.999999999993"/>
    <n v="0"/>
    <n v="0"/>
    <n v="151"/>
    <n v="403215.29999999993"/>
    <n v="167899.15966386555"/>
    <n v="35"/>
    <n v="131"/>
    <n v="35"/>
    <n v="0"/>
    <n v="0"/>
    <n v="0"/>
    <m/>
    <n v="349809.3"/>
    <n v="93460.499999999985"/>
    <n v="0"/>
    <n v="0"/>
    <n v="131"/>
    <n v="349809.3"/>
    <n v="279117.64705882355"/>
    <n v="30"/>
    <n v="96"/>
    <n v="30"/>
    <n v="0"/>
    <n v="0"/>
    <n v="256348.79999999999"/>
    <n v="80108.999999999985"/>
    <n v="0"/>
    <n v="0"/>
    <n v="96"/>
    <n v="256348.79999999999"/>
    <n v="251205.88235294117"/>
    <n v="35"/>
    <n v="66"/>
    <n v="35"/>
    <n v="0"/>
    <n v="0"/>
    <n v="176239.8"/>
    <n v="93460.499999999985"/>
    <n v="0"/>
    <n v="66"/>
    <n v="176239.8"/>
    <n v="293823.5294117647"/>
    <n v="18"/>
    <n v="31"/>
    <n v="18"/>
    <n v="0"/>
    <m/>
    <n v="82779.299999999988"/>
    <n v="43524"/>
    <n v="0"/>
    <n v="31"/>
    <n v="82779.299999999988"/>
    <n v="151109.24369747899"/>
  </r>
  <r>
    <s v="Simplit-Vajilla"/>
    <x v="2"/>
    <x v="23"/>
    <x v="62"/>
    <s v="SIMBOWTAZ-4"/>
    <x v="577"/>
    <x v="415"/>
    <x v="0"/>
    <x v="1"/>
    <n v="0.8"/>
    <x v="361"/>
    <n v="205"/>
    <n v="148"/>
    <n v="201058"/>
    <n v="1437"/>
    <n v="294585"/>
    <n v="1.43"/>
    <n v="1562.2749999999999"/>
    <n v="8394.957983193277"/>
    <n v="7974.7899159663866"/>
    <s v="Shenzhen"/>
    <x v="0"/>
    <n v="60"/>
    <n v="100"/>
    <n v="12"/>
    <n v="0.79776560997463697"/>
    <n v="17"/>
    <n v="0.80000388359679575"/>
    <n v="37"/>
    <n v="0.7344210360412774"/>
    <n v="2"/>
    <n v="0.74721413721413721"/>
    <n v="17"/>
    <n v="0.73941989697027533"/>
    <n v="99"/>
    <n v="0.70718516995313274"/>
    <n v="32"/>
    <n v="0.72889023447985024"/>
    <n v="12"/>
    <n v="0.73090263625666607"/>
    <n v="7"/>
    <n v="0.72257266217354676"/>
    <n v="0"/>
    <s v=""/>
    <n v="0"/>
    <s v=""/>
    <n v="0"/>
    <s v=""/>
    <n v="0"/>
    <s v=""/>
    <n v="9"/>
    <s v=""/>
    <n v="30"/>
    <s v=""/>
    <n v="13"/>
    <s v=""/>
    <n v="0.43333333333333335"/>
    <n v="18"/>
    <s v=""/>
    <n v="0.6"/>
    <n v="42"/>
    <s v=""/>
    <n v="0.7"/>
    <n v="1"/>
    <s v=""/>
    <n v="2.8571428571428571E-2"/>
    <n v="35"/>
    <n v="3"/>
    <n v="10"/>
    <n v="150"/>
    <n v="150"/>
    <n v="0"/>
    <n v="76879.5"/>
    <n v="4440.1499999999996"/>
    <n v="14370"/>
    <n v="0"/>
    <n v="205"/>
    <n v="294585"/>
    <n v="70545.865404985525"/>
    <n v="30"/>
    <n v="153"/>
    <n v="13.5"/>
    <n v="0"/>
    <n v="0"/>
    <n v="0"/>
    <n v="81190.5"/>
    <n v="226447.65"/>
    <n v="19399.5"/>
    <n v="0"/>
    <n v="205"/>
    <n v="294585"/>
    <n v="95236.918296730466"/>
    <n v="50"/>
    <n v="192"/>
    <n v="30"/>
    <n v="0"/>
    <n v="0"/>
    <n v="97312.2"/>
    <n v="275904"/>
    <n v="43110"/>
    <n v="0"/>
    <n v="205"/>
    <n v="294585"/>
    <n v="251848.73949579831"/>
    <n v="30"/>
    <n v="161"/>
    <n v="13"/>
    <n v="0"/>
    <n v="0"/>
    <n v="238288.05"/>
    <n v="18681"/>
    <x v="0"/>
    <x v="0"/>
    <n v="205"/>
    <n v="294585"/>
    <n v="109134.4537815126"/>
    <n v="30"/>
    <n v="223"/>
    <n v="24"/>
    <m/>
    <n v="0"/>
    <n v="0"/>
    <n v="320451"/>
    <n v="35521.199999999997"/>
    <x v="0"/>
    <n v="0"/>
    <n v="205"/>
    <n v="294585"/>
    <n v="201478.99159663863"/>
    <n v="60"/>
    <n v="247"/>
    <n v="42"/>
    <m/>
    <n v="0"/>
    <n v="0"/>
    <n v="354939"/>
    <n v="62162.1"/>
    <n v="0"/>
    <n v="0"/>
    <n v="247"/>
    <n v="294585"/>
    <n v="352588.23529411765"/>
    <n v="35"/>
    <n v="206"/>
    <n v="28"/>
    <n v="100"/>
    <n v="100"/>
    <n v="0"/>
    <n v="296022"/>
    <n v="41441.4"/>
    <n v="143071.49999999997"/>
    <n v="0"/>
    <n v="206"/>
    <n v="294585"/>
    <n v="235058.82352941175"/>
    <n v="40"/>
    <n v="178"/>
    <n v="32"/>
    <n v="0"/>
    <n v="0"/>
    <n v="0"/>
    <n v="255786"/>
    <n v="47361.599999999999"/>
    <n v="0"/>
    <n v="0"/>
    <n v="178"/>
    <n v="255786"/>
    <n v="268638.65546218486"/>
    <n v="40"/>
    <n v="146"/>
    <n v="32"/>
    <n v="0"/>
    <n v="0"/>
    <m/>
    <n v="216087.3"/>
    <n v="47361.599999999999"/>
    <n v="0"/>
    <n v="0"/>
    <n v="146"/>
    <n v="216087.3"/>
    <n v="268638.65546218486"/>
    <n v="100"/>
    <n v="114"/>
    <n v="80"/>
    <n v="0"/>
    <n v="0"/>
    <n v="0"/>
    <m/>
    <n v="168725.69999999998"/>
    <n v="118404"/>
    <n v="0"/>
    <n v="0"/>
    <n v="114"/>
    <n v="168725.69999999998"/>
    <n v="637983.19327731093"/>
    <n v="80"/>
    <n v="34"/>
    <n v="64"/>
    <n v="0"/>
    <n v="0"/>
    <n v="50321.7"/>
    <n v="94723.199999999997"/>
    <n v="0"/>
    <n v="0"/>
    <n v="34"/>
    <n v="50321.7"/>
    <n v="535905.8823529412"/>
    <n v="100"/>
    <n v="0"/>
    <n v="80"/>
    <n v="0"/>
    <n v="0"/>
    <n v="0"/>
    <n v="118404"/>
    <n v="0"/>
    <n v="0"/>
    <n v="0"/>
    <n v="671596.63865546219"/>
    <n v="48"/>
    <n v="0"/>
    <n v="38.400000000000006"/>
    <n v="0"/>
    <m/>
    <n v="0"/>
    <n v="55180.80000000001"/>
    <n v="0"/>
    <n v="0"/>
    <n v="0"/>
    <n v="322366.38655462186"/>
  </r>
  <r>
    <s v="Simplit-Vajilla"/>
    <x v="2"/>
    <x v="23"/>
    <x v="62"/>
    <s v="SIMTAZPAL-2"/>
    <x v="578"/>
    <x v="416"/>
    <x v="0"/>
    <x v="6"/>
    <n v="1.5"/>
    <x v="12"/>
    <n v="17"/>
    <m/>
    <n v="0"/>
    <n v="1430"/>
    <n v="24310"/>
    <n v="0.86"/>
    <n v="939.55"/>
    <n v="4193.2773109243699"/>
    <n v="3773.1092436974791"/>
    <s v="Shenzhen"/>
    <x v="0"/>
    <n v="60"/>
    <n v="100"/>
    <n v="0"/>
    <s v=""/>
    <n v="5"/>
    <n v="0.76642764725910784"/>
    <n v="15"/>
    <n v="0.7569283335373802"/>
    <n v="7"/>
    <n v="0.72568054794520553"/>
    <n v="3"/>
    <n v="0.7443010368251699"/>
    <n v="66"/>
    <n v="0.73180022563157099"/>
    <n v="31"/>
    <n v="0.65541607061848206"/>
    <n v="72"/>
    <n v="0.6284688200266807"/>
    <n v="50"/>
    <n v="0.64315868270422227"/>
    <n v="54"/>
    <n v="0.54518918918918913"/>
    <n v="28"/>
    <n v="0.64210976045763324"/>
    <n v="46"/>
    <n v="0.63130471483422745"/>
    <n v="16"/>
    <s v=""/>
    <n v="12"/>
    <s v=""/>
    <n v="32"/>
    <s v=""/>
    <n v="27"/>
    <s v=""/>
    <n v="1.35"/>
    <n v="3"/>
    <s v=""/>
    <n v="0.2"/>
    <n v="0"/>
    <s v=""/>
    <n v="0"/>
    <n v="0"/>
    <s v=""/>
    <n v="0"/>
    <n v="15"/>
    <n v="106"/>
    <n v="15"/>
    <n v="0"/>
    <n v="0"/>
    <n v="0"/>
    <n v="92950"/>
    <n v="94350.599999999991"/>
    <n v="21450"/>
    <n v="0"/>
    <n v="17"/>
    <n v="24310"/>
    <n v="52856.436692323994"/>
    <n v="15"/>
    <n v="94"/>
    <n v="18"/>
    <n v="0"/>
    <n v="0"/>
    <n v="0"/>
    <n v="110110"/>
    <n v="83669.399999999994"/>
    <n v="25740"/>
    <n v="0"/>
    <n v="17"/>
    <n v="24310"/>
    <n v="63427.724030788799"/>
    <n v="20"/>
    <n v="79"/>
    <n v="32"/>
    <n v="0"/>
    <n v="0"/>
    <n v="104397.25"/>
    <n v="112970"/>
    <n v="45760"/>
    <n v="0"/>
    <n v="17"/>
    <n v="24310"/>
    <n v="134184.87394957984"/>
    <n v="20"/>
    <n v="39"/>
    <n v="27"/>
    <n v="0"/>
    <n v="0"/>
    <n v="34713.899999999994"/>
    <n v="38610"/>
    <x v="0"/>
    <x v="0"/>
    <n v="17"/>
    <n v="24310"/>
    <n v="113218.48739495799"/>
    <n v="15"/>
    <n v="20"/>
    <n v="22.5"/>
    <m/>
    <n v="0"/>
    <n v="0"/>
    <n v="28600"/>
    <n v="20027.249999999996"/>
    <x v="0"/>
    <n v="0"/>
    <n v="17"/>
    <n v="24310"/>
    <n v="94348.73949579832"/>
    <n v="59"/>
    <n v="17"/>
    <n v="0"/>
    <m/>
    <n v="0"/>
    <n v="0"/>
    <n v="24310"/>
    <n v="0"/>
    <n v="0"/>
    <n v="0"/>
    <n v="17"/>
    <n v="24310"/>
    <n v="0"/>
    <n v="28"/>
    <n v="17"/>
    <n v="42"/>
    <n v="0"/>
    <n v="0"/>
    <n v="0"/>
    <n v="24310"/>
    <n v="37384.199999999997"/>
    <n v="0"/>
    <n v="0"/>
    <n v="17"/>
    <n v="24310"/>
    <n v="176117.64705882352"/>
    <n v="72"/>
    <n v="0"/>
    <n v="108"/>
    <n v="0"/>
    <n v="0"/>
    <n v="0"/>
    <n v="0"/>
    <n v="96130.799999999988"/>
    <n v="0"/>
    <n v="0"/>
    <n v="0"/>
    <n v="0"/>
    <n v="452873.94957983197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Vajilla"/>
    <x v="2"/>
    <x v="23"/>
    <x v="63"/>
    <n v="1661872956577"/>
    <x v="579"/>
    <x v="417"/>
    <x v="0"/>
    <x v="4"/>
    <n v="1"/>
    <x v="362"/>
    <n v="43"/>
    <m/>
    <n v="0"/>
    <n v="10633.36146043788"/>
    <n v="457234.54279882886"/>
    <n v="11.55"/>
    <n v="12618.374999999998"/>
    <n v="25201.680672268907"/>
    <n v="22680.672268907565"/>
    <s v="Shenzhen"/>
    <x v="0"/>
    <n v="45"/>
    <n v="200"/>
    <n v="54"/>
    <n v="0.56323199852661643"/>
    <n v="41"/>
    <n v="0.55872340817231314"/>
    <n v="77"/>
    <n v="0.53601584906787736"/>
    <n v="56"/>
    <n v="0.5604263287562089"/>
    <n v="77"/>
    <n v="0.59383350891897557"/>
    <n v="170"/>
    <n v="0.50641023217344072"/>
    <n v="115"/>
    <n v="0.51688259092894451"/>
    <n v="63"/>
    <n v="0.54292813156897135"/>
    <n v="12"/>
    <n v="0.56382664573940811"/>
    <n v="56"/>
    <n v="0.50260950654075509"/>
    <n v="66"/>
    <n v="0.48737868715544996"/>
    <n v="82"/>
    <n v="0.49536949844220868"/>
    <n v="18"/>
    <n v="0.55587996702658249"/>
    <n v="50"/>
    <n v="0.54767816372700684"/>
    <n v="76"/>
    <n v="0.53469064028166979"/>
    <n v="67"/>
    <n v="0.55870160512729994"/>
    <n v="1.1166666666666667"/>
    <n v="77"/>
    <n v="0.59410349077883839"/>
    <n v="0.96250000000000002"/>
    <n v="73"/>
    <n v="0.506314961181349"/>
    <n v="0.42941176470588233"/>
    <n v="2"/>
    <n v="0.52195366919892916"/>
    <n v="0.02"/>
    <n v="50"/>
    <n v="14"/>
    <n v="25"/>
    <n v="200"/>
    <n v="200"/>
    <n v="0"/>
    <n v="1871471.6170370667"/>
    <n v="167359.49999999997"/>
    <n v="265834.03651094699"/>
    <n v="0"/>
    <n v="43"/>
    <n v="457234.54279882886"/>
    <n v="529447.07294682588"/>
    <n v="50"/>
    <n v="193"/>
    <n v="75"/>
    <n v="0"/>
    <n v="0"/>
    <n v="0"/>
    <n v="2318072.798375458"/>
    <n v="2307170.2499999995"/>
    <n v="797502.10953284102"/>
    <n v="0"/>
    <n v="43"/>
    <n v="457234.54279882886"/>
    <n v="1588341.2188404775"/>
    <n v="70"/>
    <n v="109"/>
    <n v="76"/>
    <n v="0"/>
    <n v="0"/>
    <n v="2476910.688842617"/>
    <n v="1159036.399187729"/>
    <n v="808135.4709932789"/>
    <n v="0"/>
    <n v="43"/>
    <n v="457234.54279882886"/>
    <n v="1915327.7310924369"/>
    <n v="60"/>
    <n v="250"/>
    <n v="67"/>
    <n v="0"/>
    <n v="0"/>
    <n v="2988562.4999999995"/>
    <n v="712435.21784933796"/>
    <x v="0"/>
    <x v="0"/>
    <n v="43"/>
    <n v="457234.54279882886"/>
    <n v="1688512.6050420168"/>
    <n v="80"/>
    <n v="120"/>
    <n v="80"/>
    <m/>
    <n v="0"/>
    <n v="0"/>
    <n v="1276003.3752525456"/>
    <n v="956339.99999999988"/>
    <x v="0"/>
    <n v="0"/>
    <n v="43"/>
    <n v="457234.54279882886"/>
    <n v="2016134.4537815126"/>
    <n v="170"/>
    <n v="116"/>
    <n v="73"/>
    <m/>
    <n v="0"/>
    <n v="0"/>
    <n v="1233469.9294107941"/>
    <n v="872660.24999999988"/>
    <n v="0"/>
    <n v="0"/>
    <n v="116"/>
    <n v="457234.54279882886"/>
    <n v="1839722.6890756302"/>
    <n v="100"/>
    <n v="45"/>
    <n v="100"/>
    <n v="200"/>
    <n v="200"/>
    <n v="0"/>
    <n v="478501.26571970462"/>
    <n v="1195424.9999999998"/>
    <n v="2311155"/>
    <n v="0"/>
    <n v="45"/>
    <n v="457234.54279882886"/>
    <n v="2520168.0672268905"/>
    <n v="84"/>
    <n v="0"/>
    <n v="84"/>
    <n v="200"/>
    <n v="200"/>
    <n v="0"/>
    <n v="0"/>
    <n v="1004156.9999999999"/>
    <n v="2390849.9999999995"/>
    <n v="0"/>
    <n v="200"/>
    <n v="2390849.9999999995"/>
    <n v="2116941.176470588"/>
    <n v="70"/>
    <n v="0"/>
    <n v="70"/>
    <n v="0"/>
    <n v="0"/>
    <n v="400"/>
    <n v="0"/>
    <n v="836797.49999999988"/>
    <n v="0"/>
    <n v="4781699.9999999991"/>
    <n v="400"/>
    <n v="4781699.9999999991"/>
    <n v="1764117.6470588236"/>
    <n v="120"/>
    <n v="330"/>
    <n v="120"/>
    <n v="0"/>
    <n v="0"/>
    <n v="0"/>
    <m/>
    <n v="3944902.4999999995"/>
    <n v="1434509.9999999998"/>
    <n v="0"/>
    <n v="0"/>
    <n v="330"/>
    <n v="3944902.4999999995"/>
    <n v="2721680.672268908"/>
    <n v="100"/>
    <n v="210"/>
    <n v="100"/>
    <n v="200"/>
    <n v="200"/>
    <n v="2510392.4999999995"/>
    <n v="1195424.9999999998"/>
    <n v="2390849.9999999995"/>
    <n v="2390849.9999999995"/>
    <n v="410"/>
    <n v="4901242.4999999991"/>
    <n v="2381470.588235294"/>
    <n v="140"/>
    <n v="310"/>
    <n v="140"/>
    <n v="0"/>
    <n v="0"/>
    <n v="3705817.4999999995"/>
    <n v="1673594.9999999998"/>
    <n v="0"/>
    <n v="310"/>
    <n v="3705817.4999999995"/>
    <n v="3528235.2941176472"/>
    <n v="60"/>
    <n v="170"/>
    <n v="60"/>
    <n v="0"/>
    <m/>
    <n v="2032222.4999999998"/>
    <n v="638001.68762627279"/>
    <n v="0"/>
    <n v="170"/>
    <n v="2032222.4999999998"/>
    <n v="1512100.8403361344"/>
  </r>
  <r>
    <s v="Simplit-Vajilla"/>
    <x v="2"/>
    <x v="23"/>
    <x v="63"/>
    <n v="1659991481176"/>
    <x v="580"/>
    <x v="418"/>
    <x v="0"/>
    <x v="6"/>
    <n v="1"/>
    <x v="12"/>
    <n v="8"/>
    <m/>
    <n v="0"/>
    <n v="4000"/>
    <n v="32000"/>
    <n v="3.2"/>
    <n v="3495.9999999999995"/>
    <n v="8394.957983193277"/>
    <n v="8394.957983193277"/>
    <s v="Shenzhen"/>
    <x v="0"/>
    <n v="30"/>
    <n v="100"/>
    <n v="72"/>
    <n v="0.5168578163772598"/>
    <n v="12"/>
    <n v="0.56020383482123226"/>
    <n v="18"/>
    <n v="0.56134552040718999"/>
    <n v="39"/>
    <n v="0.55012831211062063"/>
    <n v="28"/>
    <n v="0.52023134088372558"/>
    <n v="48"/>
    <n v="0.47492202662692351"/>
    <n v="32"/>
    <n v="0.46976931855736603"/>
    <n v="57"/>
    <n v="0.38857065957800291"/>
    <n v="31"/>
    <n v="0.37911303350713033"/>
    <n v="78"/>
    <n v="0.42591964078573902"/>
    <n v="53"/>
    <n v="0.45117619266891307"/>
    <n v="60"/>
    <n v="0.51944956784323426"/>
    <n v="23"/>
    <n v="0.50975336003587568"/>
    <n v="13"/>
    <n v="0.56528704648274153"/>
    <n v="1"/>
    <n v="0.56134553458857739"/>
    <n v="1"/>
    <n v="0.55078892263897072"/>
    <n v="0"/>
    <n v="4"/>
    <n v="0.52010939830108061"/>
    <n v="0"/>
    <n v="4"/>
    <n v="0.48011646334308977"/>
    <n v="0"/>
    <n v="0"/>
    <n v="0.45760583571750779"/>
    <n v="0"/>
    <n v="0"/>
    <n v="42"/>
    <n v="25"/>
    <n v="0"/>
    <n v="0"/>
    <n v="0"/>
    <n v="182000"/>
    <n v="139103.99999999997"/>
    <n v="100000"/>
    <n v="0"/>
    <n v="8"/>
    <n v="32000"/>
    <n v="176364.6635124638"/>
    <n v="17"/>
    <n v="20"/>
    <n v="19.5"/>
    <n v="0"/>
    <n v="0"/>
    <n v="0"/>
    <n v="86000"/>
    <n v="66239.999999999985"/>
    <n v="78000"/>
    <n v="0"/>
    <n v="8"/>
    <n v="32000"/>
    <n v="137564.43753972178"/>
    <n v="0"/>
    <n v="6"/>
    <n v="1"/>
    <n v="0"/>
    <n v="0"/>
    <n v="8000"/>
    <n v="24000"/>
    <n v="4000"/>
    <n v="0"/>
    <n v="8"/>
    <n v="32000"/>
    <n v="8394.957983193277"/>
    <n v="0"/>
    <n v="6"/>
    <n v="1"/>
    <n v="0"/>
    <n v="0"/>
    <n v="19871.999999999996"/>
    <n v="4000"/>
    <x v="0"/>
    <x v="0"/>
    <n v="8"/>
    <n v="32000"/>
    <n v="8394.957983193277"/>
    <n v="0"/>
    <n v="12"/>
    <n v="0"/>
    <m/>
    <n v="0"/>
    <n v="0"/>
    <n v="48000"/>
    <n v="0"/>
    <x v="0"/>
    <n v="0"/>
    <n v="8"/>
    <n v="32000"/>
    <n v="0"/>
    <n v="0"/>
    <n v="12"/>
    <n v="4"/>
    <m/>
    <n v="0"/>
    <n v="0"/>
    <n v="48000"/>
    <n v="13247.999999999998"/>
    <n v="0"/>
    <n v="0"/>
    <n v="12"/>
    <n v="32000"/>
    <n v="33579.831932773108"/>
    <n v="0"/>
    <n v="8"/>
    <n v="0"/>
    <n v="0"/>
    <n v="0"/>
    <n v="0"/>
    <n v="32000"/>
    <n v="0"/>
    <n v="0"/>
    <n v="0"/>
    <n v="8"/>
    <n v="32000"/>
    <n v="0"/>
    <n v="0"/>
    <n v="8"/>
    <n v="0"/>
    <n v="0"/>
    <n v="0"/>
    <n v="0"/>
    <n v="32000"/>
    <n v="0"/>
    <n v="0"/>
    <n v="0"/>
    <n v="8"/>
    <n v="32000"/>
    <n v="0"/>
    <n v="0"/>
    <n v="8"/>
    <n v="0"/>
    <n v="0"/>
    <n v="0"/>
    <m/>
    <n v="26495.999999999996"/>
    <n v="0"/>
    <n v="0"/>
    <n v="0"/>
    <n v="8"/>
    <n v="26495.999999999996"/>
    <n v="0"/>
    <n v="0"/>
    <n v="8"/>
    <n v="0"/>
    <n v="0"/>
    <n v="0"/>
    <n v="0"/>
    <m/>
    <n v="26495.999999999996"/>
    <n v="0"/>
    <n v="0"/>
    <n v="0"/>
    <n v="8"/>
    <n v="26495.999999999996"/>
    <n v="0"/>
    <n v="0"/>
    <n v="8"/>
    <n v="0"/>
    <n v="0"/>
    <n v="0"/>
    <n v="26495.999999999996"/>
    <n v="0"/>
    <n v="0"/>
    <n v="0"/>
    <n v="8"/>
    <n v="26495.999999999996"/>
    <n v="0"/>
    <n v="0"/>
    <n v="8"/>
    <n v="0"/>
    <n v="0"/>
    <n v="0"/>
    <n v="26495.999999999996"/>
    <n v="0"/>
    <n v="0"/>
    <n v="8"/>
    <n v="26495.999999999996"/>
    <n v="0"/>
    <n v="0"/>
    <n v="8"/>
    <n v="0"/>
    <n v="0"/>
    <m/>
    <n v="26495.999999999996"/>
    <n v="0"/>
    <n v="0"/>
    <n v="8"/>
    <n v="26495.999999999996"/>
    <n v="0"/>
  </r>
  <r>
    <s v="Xroad-Accesorios de Instalacion"/>
    <x v="3"/>
    <x v="24"/>
    <x v="64"/>
    <n v="1650302269777"/>
    <x v="581"/>
    <x v="419"/>
    <x v="0"/>
    <x v="3"/>
    <n v="1"/>
    <x v="363"/>
    <n v="37"/>
    <m/>
    <n v="0"/>
    <n v="64491.431249999987"/>
    <n v="2386182.9562499993"/>
    <n v="65"/>
    <n v="71012.5"/>
    <n v="151252.10084033615"/>
    <n v="142848.73949579833"/>
    <s v="Ningbo"/>
    <x v="0"/>
    <n v="30"/>
    <n v="30"/>
    <n v="35"/>
    <n v="0.35758208369099143"/>
    <n v="6"/>
    <n v="0.49444742054404078"/>
    <n v="12"/>
    <n v="0.4400036301458442"/>
    <n v="6"/>
    <n v="0.49858847987518395"/>
    <n v="2"/>
    <n v="0.44351259736420839"/>
    <n v="11"/>
    <n v="0.41106920105141243"/>
    <n v="11"/>
    <n v="0.41687302226253697"/>
    <n v="25"/>
    <n v="0.40332914335993958"/>
    <n v="31"/>
    <n v="0.40308356967612891"/>
    <n v="49"/>
    <n v="0.39201264370987565"/>
    <n v="25"/>
    <n v="0.46731792902690777"/>
    <n v="49"/>
    <n v="0.4846145303276726"/>
    <n v="60"/>
    <n v="0.36800905541850609"/>
    <n v="24"/>
    <n v="0.49444744896580256"/>
    <n v="11"/>
    <n v="0.44000362098984136"/>
    <n v="7"/>
    <n v="0.49858848507663767"/>
    <n v="0.7"/>
    <n v="9"/>
    <n v="0.44351258392877257"/>
    <n v="0.9"/>
    <n v="7"/>
    <n v="0.411069036740079"/>
    <n v="0.35"/>
    <n v="0"/>
    <n v="0.41687302201594212"/>
    <n v="0"/>
    <n v="40"/>
    <n v="76"/>
    <n v="40"/>
    <n v="50"/>
    <n v="50"/>
    <n v="0"/>
    <n v="5610754.5187499989"/>
    <n v="5112900"/>
    <n v="2579657.2499999995"/>
    <n v="0"/>
    <n v="37"/>
    <n v="2386182.9562499993"/>
    <n v="5084104.229927266"/>
    <n v="20"/>
    <n v="23"/>
    <n v="36"/>
    <n v="25"/>
    <n v="25"/>
    <n v="0"/>
    <n v="3482537.2874999992"/>
    <n v="1547325"/>
    <n v="2321691.5249999994"/>
    <n v="0"/>
    <n v="37"/>
    <n v="2386182.9562499993"/>
    <n v="4575693.8069345392"/>
    <n v="15"/>
    <n v="23"/>
    <n v="11"/>
    <n v="0"/>
    <n v="0"/>
    <n v="1833595.7624999997"/>
    <n v="1483302.9187499997"/>
    <n v="709405.74374999991"/>
    <n v="0"/>
    <n v="37"/>
    <n v="2386182.9562499993"/>
    <n v="1663773.1092436977"/>
    <n v="10"/>
    <n v="20"/>
    <n v="7"/>
    <n v="10"/>
    <n v="0"/>
    <n v="1345500"/>
    <n v="451440.01874999993"/>
    <x v="9"/>
    <x v="0"/>
    <n v="37"/>
    <n v="2386182.9562499993"/>
    <n v="1058764.705882353"/>
    <n v="10"/>
    <n v="46"/>
    <n v="10"/>
    <m/>
    <n v="0"/>
    <n v="0"/>
    <n v="2966605.8374999994"/>
    <n v="672750"/>
    <x v="0"/>
    <n v="0"/>
    <n v="37"/>
    <n v="2386182.9562499993"/>
    <n v="1512521.0084033615"/>
    <n v="20"/>
    <n v="44"/>
    <n v="7"/>
    <m/>
    <n v="0"/>
    <n v="0"/>
    <n v="2837622.9749999996"/>
    <n v="470925"/>
    <n v="0"/>
    <n v="0"/>
    <n v="44"/>
    <n v="2386182.9562499993"/>
    <n v="1058764.705882353"/>
    <n v="10"/>
    <n v="37"/>
    <n v="10"/>
    <n v="30"/>
    <n v="30"/>
    <n v="0"/>
    <n v="2386182.9562499993"/>
    <n v="672750"/>
    <n v="1950974.9999999998"/>
    <n v="0"/>
    <n v="37"/>
    <n v="2386182.9562499993"/>
    <n v="1512521.0084033615"/>
    <n v="15"/>
    <n v="27"/>
    <n v="15"/>
    <n v="20"/>
    <n v="20"/>
    <n v="20"/>
    <n v="1741268.6437499996"/>
    <n v="1009125"/>
    <n v="1345500"/>
    <n v="1345500"/>
    <n v="47"/>
    <n v="3086768.6437499998"/>
    <n v="2268781.5126050422"/>
    <n v="30"/>
    <n v="32"/>
    <n v="30"/>
    <n v="30"/>
    <n v="30"/>
    <n v="50"/>
    <n v="2152800"/>
    <n v="2018250"/>
    <n v="2018250"/>
    <n v="3363750"/>
    <n v="82"/>
    <n v="5516550"/>
    <n v="4537563.0252100844"/>
    <n v="40"/>
    <n v="52"/>
    <n v="40"/>
    <n v="50"/>
    <n v="50"/>
    <n v="50"/>
    <n v="0"/>
    <n v="3498300"/>
    <n v="2691000"/>
    <n v="3363750"/>
    <n v="3363750"/>
    <n v="102"/>
    <n v="6862050"/>
    <n v="5713949.5798319336"/>
    <n v="30"/>
    <n v="62"/>
    <n v="30"/>
    <m/>
    <n v="0"/>
    <n v="4171050"/>
    <n v="2018250"/>
    <n v="0"/>
    <n v="0"/>
    <n v="62"/>
    <n v="4171050"/>
    <n v="4499735.2941176472"/>
    <n v="50"/>
    <n v="32"/>
    <n v="50"/>
    <n v="0"/>
    <n v="0"/>
    <n v="2152800"/>
    <n v="3363750"/>
    <n v="0"/>
    <n v="32"/>
    <n v="2152800"/>
    <n v="7562605.042016807"/>
    <n v="18"/>
    <n v="0"/>
    <n v="18"/>
    <n v="0"/>
    <m/>
    <n v="0"/>
    <n v="1160845.7624999997"/>
    <n v="0"/>
    <n v="0"/>
    <n v="0"/>
    <n v="2722537.8151260507"/>
  </r>
  <r>
    <m/>
    <x v="3"/>
    <x v="24"/>
    <x v="64"/>
    <s v="XRTOLLAT270-CL"/>
    <x v="582"/>
    <x v="420"/>
    <x v="0"/>
    <x v="2"/>
    <n v="1"/>
    <x v="12"/>
    <n v="0"/>
    <m/>
    <n v="0"/>
    <n v="188100"/>
    <n v="0"/>
    <n v="165"/>
    <n v="188100"/>
    <n v="474201.68067226891"/>
    <n v="403071.42857142858"/>
    <s v="Shenzhen"/>
    <x v="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0"/>
    <n v="10"/>
    <n v="0"/>
    <n v="0"/>
    <n v="341550"/>
    <n v="1707750"/>
    <n v="0"/>
    <n v="0"/>
    <n v="0"/>
    <n v="948403.36134453781"/>
    <n v="5"/>
    <n v="10"/>
    <n v="5"/>
    <n v="0"/>
    <n v="0"/>
    <n v="0"/>
    <n v="10"/>
    <n v="1707750"/>
    <n v="853875"/>
    <n v="0"/>
    <n v="1707750"/>
    <n v="10"/>
    <n v="3415500"/>
    <n v="2015357.142857143"/>
    <n v="8"/>
    <n v="5"/>
    <n v="8"/>
    <m/>
    <n v="0"/>
    <n v="853875"/>
    <n v="1366200"/>
    <n v="0"/>
    <n v="0"/>
    <n v="5"/>
    <n v="853875"/>
    <n v="3385800"/>
    <n v="10"/>
    <n v="0"/>
    <n v="10"/>
    <n v="0"/>
    <n v="0"/>
    <n v="0"/>
    <n v="1707750"/>
    <n v="0"/>
    <n v="0"/>
    <n v="0"/>
    <n v="4742016.8067226894"/>
    <n v="4.8"/>
    <n v="0"/>
    <n v="4.8"/>
    <n v="0"/>
    <m/>
    <n v="0"/>
    <n v="902880"/>
    <n v="0"/>
    <n v="0"/>
    <n v="0"/>
    <n v="2276168.0672268905"/>
  </r>
  <r>
    <s v="Xroad-Accesorios de Instalacion"/>
    <x v="3"/>
    <x v="24"/>
    <x v="65"/>
    <n v="1650301031879"/>
    <x v="583"/>
    <x v="421"/>
    <x v="0"/>
    <x v="3"/>
    <n v="1"/>
    <x v="364"/>
    <n v="119"/>
    <m/>
    <n v="0"/>
    <n v="20112.050605728818"/>
    <n v="2393334.0220817295"/>
    <n v="20.7"/>
    <n v="22614.75"/>
    <n v="50411.764705882357"/>
    <n v="42008.403361344543"/>
    <s v="Shenzhen"/>
    <x v="0"/>
    <n v="30"/>
    <n v="50"/>
    <n v="144"/>
    <n v="0.6339830818051353"/>
    <n v="35"/>
    <n v="0.64080143655841926"/>
    <n v="30"/>
    <n v="0.64222926273971981"/>
    <n v="23"/>
    <n v="0.63303308667633362"/>
    <n v="20"/>
    <n v="0.59853152450475422"/>
    <n v="89"/>
    <n v="0.5444348762068717"/>
    <n v="74"/>
    <n v="0.57756292079351323"/>
    <n v="59"/>
    <n v="0.57400158133077406"/>
    <n v="37"/>
    <n v="0.64361250890000077"/>
    <n v="124"/>
    <n v="0.49921821942065175"/>
    <n v="84"/>
    <n v="0.52815940435598319"/>
    <n v="88"/>
    <n v="0.58749851013120746"/>
    <n v="190"/>
    <n v="0.63297414153484788"/>
    <n v="74"/>
    <n v="0.63729433416731684"/>
    <n v="70"/>
    <n v="0.6422292617576606"/>
    <n v="39"/>
    <n v="0.63303308908921041"/>
    <n v="0.8666666666666667"/>
    <n v="34"/>
    <n v="0.60094804376668565"/>
    <n v="0.75555555555555554"/>
    <n v="86"/>
    <n v="0.54375430730286112"/>
    <n v="1.2285714285714286"/>
    <n v="15"/>
    <n v="0.58093654234061121"/>
    <n v="0.23076923076923078"/>
    <n v="120"/>
    <n v="189"/>
    <n v="120"/>
    <n v="100"/>
    <n v="100"/>
    <n v="0"/>
    <n v="6053727.2323243748"/>
    <n v="4049230.5"/>
    <n v="2413446.0726874582"/>
    <n v="0"/>
    <n v="119"/>
    <n v="2393334.0220817295"/>
    <n v="5083539.2980721705"/>
    <n v="75"/>
    <n v="98"/>
    <n v="111"/>
    <n v="143"/>
    <n v="143"/>
    <n v="0"/>
    <n v="4424651.1332603404"/>
    <n v="2099601"/>
    <n v="2232437.617235899"/>
    <n v="0"/>
    <n v="119"/>
    <n v="2393334.0220817295"/>
    <n v="4702273.8507167585"/>
    <n v="60"/>
    <n v="185"/>
    <n v="70"/>
    <n v="0"/>
    <n v="0"/>
    <n v="3156316.0160244415"/>
    <n v="3720729.3620598316"/>
    <n v="1407843.5424010174"/>
    <n v="0"/>
    <n v="119"/>
    <n v="2393334.0220817295"/>
    <n v="3528823.5294117648"/>
    <n v="45"/>
    <n v="141"/>
    <n v="39"/>
    <n v="15"/>
    <n v="0"/>
    <n v="3020854.5"/>
    <n v="784369.97362342395"/>
    <x v="98"/>
    <x v="0"/>
    <n v="119"/>
    <n v="2393334.0220817295"/>
    <n v="1966058.8235294118"/>
    <n v="45"/>
    <n v="153"/>
    <n v="45"/>
    <m/>
    <n v="0"/>
    <n v="0"/>
    <n v="3077143.7426765091"/>
    <n v="964102.5"/>
    <x v="0"/>
    <n v="0"/>
    <n v="119"/>
    <n v="2393334.0220817295"/>
    <n v="2268529.411764706"/>
    <n v="70"/>
    <n v="205"/>
    <n v="86"/>
    <m/>
    <n v="0"/>
    <n v="0"/>
    <n v="4122970.3741744077"/>
    <n v="1842507"/>
    <n v="0"/>
    <n v="0"/>
    <n v="205"/>
    <n v="2393334.0220817295"/>
    <n v="4335411.7647058824"/>
    <n v="65"/>
    <n v="134"/>
    <n v="65"/>
    <n v="100"/>
    <n v="100"/>
    <n v="0"/>
    <n v="2695014.7811676618"/>
    <n v="1392592.5"/>
    <n v="2071034.9999999998"/>
    <n v="0"/>
    <n v="134"/>
    <n v="2393334.0220817295"/>
    <n v="3276764.7058823532"/>
    <n v="75"/>
    <n v="69"/>
    <n v="75"/>
    <n v="150"/>
    <n v="150"/>
    <n v="0"/>
    <n v="1387731.4917952884"/>
    <n v="1606837.5"/>
    <n v="3213675"/>
    <n v="0"/>
    <n v="219"/>
    <n v="4601406.4917952884"/>
    <n v="3780882.3529411769"/>
    <n v="70"/>
    <n v="0"/>
    <n v="70"/>
    <n v="0"/>
    <n v="0"/>
    <n v="150"/>
    <n v="0"/>
    <n v="1499715"/>
    <n v="0"/>
    <n v="3213675"/>
    <n v="150"/>
    <n v="3213675"/>
    <n v="3528823.5294117648"/>
    <n v="90"/>
    <n v="80"/>
    <n v="80"/>
    <n v="100"/>
    <n v="100"/>
    <n v="100"/>
    <n v="0"/>
    <n v="1713960"/>
    <n v="1713960"/>
    <n v="2142450"/>
    <n v="2142450"/>
    <n v="180"/>
    <n v="3856410"/>
    <n v="3360672.2689075633"/>
    <n v="80"/>
    <n v="100"/>
    <n v="80"/>
    <m/>
    <n v="0"/>
    <n v="2142450"/>
    <n v="1713960"/>
    <n v="0"/>
    <n v="0"/>
    <n v="100"/>
    <n v="2142450"/>
    <n v="3528705.8823529417"/>
    <n v="100"/>
    <n v="20"/>
    <n v="100"/>
    <n v="0"/>
    <n v="0"/>
    <n v="428490"/>
    <n v="2142450"/>
    <n v="0"/>
    <n v="20"/>
    <n v="428490"/>
    <n v="5041176.4705882361"/>
    <n v="48"/>
    <n v="0"/>
    <n v="48"/>
    <n v="0"/>
    <m/>
    <n v="0"/>
    <n v="965378.42907498335"/>
    <n v="0"/>
    <n v="0"/>
    <n v="0"/>
    <n v="2419764.7058823532"/>
  </r>
  <r>
    <m/>
    <x v="3"/>
    <x v="24"/>
    <x v="65"/>
    <s v="XRBARRUN"/>
    <x v="584"/>
    <x v="422"/>
    <x v="0"/>
    <x v="2"/>
    <n v="1"/>
    <x v="12"/>
    <n v="0"/>
    <m/>
    <n v="0"/>
    <n v="18709.349999999999"/>
    <n v="0"/>
    <n v="18.7"/>
    <n v="18709.349999999999"/>
    <n v="47166.428571428572"/>
    <n v="40091.464285714283"/>
    <s v="Shenzhen"/>
    <x v="4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1870934.9999999998"/>
    <n v="0"/>
    <n v="0"/>
    <n v="0"/>
    <n v="0"/>
    <n v="10"/>
    <n v="0"/>
    <n v="10"/>
    <n v="0"/>
    <n v="100"/>
    <n v="100"/>
    <n v="0"/>
    <n v="193545"/>
    <n v="0"/>
    <n v="1935450"/>
    <n v="100"/>
    <n v="0"/>
    <n v="471664.28571428574"/>
    <n v="20"/>
    <n v="90"/>
    <n v="20"/>
    <n v="0"/>
    <n v="0"/>
    <n v="100"/>
    <n v="1741905"/>
    <n v="387090"/>
    <n v="0"/>
    <n v="1935450"/>
    <n v="190"/>
    <n v="3677355"/>
    <n v="943328.57142857148"/>
    <n v="35"/>
    <n v="170"/>
    <n v="35"/>
    <n v="0"/>
    <n v="0"/>
    <n v="0"/>
    <m/>
    <n v="3290265"/>
    <n v="677407.5"/>
    <n v="0"/>
    <n v="0"/>
    <n v="170"/>
    <n v="3290265"/>
    <n v="1403201.25"/>
    <n v="30"/>
    <n v="135"/>
    <n v="30"/>
    <m/>
    <n v="0"/>
    <n v="2612857.5"/>
    <n v="580635"/>
    <n v="0"/>
    <n v="0"/>
    <n v="135"/>
    <n v="2612857.5"/>
    <n v="1262881.1249999998"/>
    <n v="45"/>
    <n v="105"/>
    <n v="45"/>
    <n v="0"/>
    <n v="0"/>
    <n v="2032222.5"/>
    <n v="870952.5"/>
    <n v="0"/>
    <n v="105"/>
    <n v="2032222.5"/>
    <n v="2122489.2857142859"/>
    <n v="18"/>
    <n v="60"/>
    <n v="18"/>
    <n v="0"/>
    <m/>
    <n v="1161270"/>
    <n v="336768.3"/>
    <n v="0"/>
    <n v="60"/>
    <n v="1161270"/>
    <n v="848995.71428571432"/>
  </r>
  <r>
    <m/>
    <x v="3"/>
    <x v="24"/>
    <x v="65"/>
    <s v="XRBARRUN"/>
    <x v="585"/>
    <x v="423"/>
    <x v="0"/>
    <x v="2"/>
    <n v="1"/>
    <x v="12"/>
    <n v="0"/>
    <m/>
    <n v="0"/>
    <n v="19459.724999999999"/>
    <n v="0"/>
    <n v="19.45"/>
    <n v="19459.724999999999"/>
    <n v="49058.13025210084"/>
    <n v="41699.41071428571"/>
    <s v="Shenzhen"/>
    <x v="5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1945972.4999999998"/>
    <n v="0"/>
    <n v="0"/>
    <n v="0"/>
    <n v="0"/>
    <n v="10"/>
    <n v="0"/>
    <n v="10"/>
    <n v="0"/>
    <n v="100"/>
    <n v="100"/>
    <n v="0"/>
    <n v="201307.5"/>
    <n v="0"/>
    <n v="2013075"/>
    <n v="100"/>
    <n v="0"/>
    <n v="490581.30252100842"/>
    <n v="20"/>
    <n v="90"/>
    <n v="20"/>
    <n v="0"/>
    <n v="0"/>
    <n v="100"/>
    <n v="1811767.5"/>
    <n v="402615"/>
    <n v="0"/>
    <n v="2013075"/>
    <n v="190"/>
    <n v="3824842.5"/>
    <n v="981162.60504201683"/>
    <n v="35"/>
    <n v="170"/>
    <n v="35"/>
    <n v="0"/>
    <n v="0"/>
    <n v="0"/>
    <m/>
    <n v="3422227.5"/>
    <n v="704576.25"/>
    <n v="0"/>
    <n v="0"/>
    <n v="170"/>
    <n v="3422227.5"/>
    <n v="1459479.3749999998"/>
    <n v="30"/>
    <n v="135"/>
    <n v="30"/>
    <m/>
    <n v="0"/>
    <n v="2717651.25"/>
    <n v="603922.5"/>
    <n v="0"/>
    <n v="0"/>
    <n v="135"/>
    <n v="2717651.25"/>
    <n v="1313531.4375"/>
    <n v="45"/>
    <n v="105"/>
    <n v="45"/>
    <n v="0"/>
    <n v="0"/>
    <n v="2113728.75"/>
    <n v="905883.75"/>
    <n v="0"/>
    <n v="105"/>
    <n v="2113728.75"/>
    <n v="2207615.8613445377"/>
    <n v="18"/>
    <n v="60"/>
    <n v="18"/>
    <n v="0"/>
    <m/>
    <n v="1207845"/>
    <n v="350275.05"/>
    <n v="0"/>
    <n v="60"/>
    <n v="1207845"/>
    <n v="883046.34453781508"/>
  </r>
  <r>
    <m/>
    <x v="3"/>
    <x v="24"/>
    <x v="65"/>
    <s v="XRBARRUN"/>
    <x v="586"/>
    <x v="424"/>
    <x v="0"/>
    <x v="2"/>
    <n v="1"/>
    <x v="12"/>
    <n v="0"/>
    <m/>
    <n v="0"/>
    <n v="20110.05"/>
    <n v="0"/>
    <n v="20.100000000000001"/>
    <n v="20110.05"/>
    <n v="50697.605042016803"/>
    <n v="43092.964285714283"/>
    <s v="Shenzhen"/>
    <x v="6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2011005"/>
    <n v="0"/>
    <n v="0"/>
    <n v="0"/>
    <n v="0"/>
    <n v="10"/>
    <n v="0"/>
    <n v="10"/>
    <n v="0"/>
    <n v="100"/>
    <n v="100"/>
    <n v="0"/>
    <n v="208035"/>
    <n v="0"/>
    <n v="2080350"/>
    <n v="100"/>
    <n v="0"/>
    <n v="506976.05042016803"/>
    <n v="20"/>
    <n v="90"/>
    <n v="20"/>
    <n v="0"/>
    <n v="0"/>
    <n v="100"/>
    <n v="1872315"/>
    <n v="416070"/>
    <n v="0"/>
    <n v="2080350"/>
    <n v="190"/>
    <n v="3952665"/>
    <n v="1013952.1008403361"/>
    <n v="35"/>
    <n v="170"/>
    <n v="35"/>
    <n v="0"/>
    <n v="0"/>
    <n v="0"/>
    <m/>
    <n v="3536595"/>
    <n v="728122.5"/>
    <n v="0"/>
    <n v="0"/>
    <n v="170"/>
    <n v="3536595"/>
    <n v="1508253.75"/>
    <n v="30"/>
    <n v="135"/>
    <n v="30"/>
    <m/>
    <n v="0"/>
    <n v="2808472.5"/>
    <n v="624105"/>
    <n v="0"/>
    <n v="0"/>
    <n v="135"/>
    <n v="2808472.5"/>
    <n v="1357428.3749999998"/>
    <n v="45"/>
    <n v="105"/>
    <n v="45"/>
    <n v="0"/>
    <n v="0"/>
    <n v="2184367.5"/>
    <n v="936157.5"/>
    <n v="0"/>
    <n v="105"/>
    <n v="2184367.5"/>
    <n v="2281392.2268907563"/>
    <n v="18"/>
    <n v="60"/>
    <n v="18"/>
    <n v="0"/>
    <m/>
    <n v="1248210"/>
    <n v="361980.89999999997"/>
    <n v="0"/>
    <n v="60"/>
    <n v="1248210"/>
    <n v="912556.89075630251"/>
  </r>
  <r>
    <s v="Xroad-Accesorios de Instalacion"/>
    <x v="3"/>
    <x v="24"/>
    <x v="65"/>
    <n v="1650302273911"/>
    <x v="587"/>
    <x v="425"/>
    <x v="0"/>
    <x v="4"/>
    <n v="0.75"/>
    <x v="365"/>
    <n v="171"/>
    <m/>
    <n v="0"/>
    <n v="39532.103081849273"/>
    <n v="6759989.6269962257"/>
    <n v="36.5"/>
    <n v="39876.25"/>
    <n v="75621.848739495807"/>
    <n v="71420.168067226899"/>
    <s v="Shenzhen"/>
    <x v="0"/>
    <n v="30"/>
    <n v="20"/>
    <n v="67"/>
    <n v="0.4703708414033077"/>
    <n v="29"/>
    <n v="0.48359909283743108"/>
    <n v="2"/>
    <n v="0.44339904982248635"/>
    <n v="4"/>
    <n v="0.52935922493318943"/>
    <n v="0"/>
    <n v="0.53524224933055642"/>
    <n v="5"/>
    <n v="0.46884118303653399"/>
    <n v="2"/>
    <n v="0.5192132867132867"/>
    <n v="4"/>
    <n v="0.53804160948002544"/>
    <n v="8"/>
    <n v="0.54490310042834833"/>
    <n v="11"/>
    <n v="0.46367733353118623"/>
    <n v="11"/>
    <n v="0.49244325114378629"/>
    <n v="28"/>
    <n v="0.47657124278601537"/>
    <n v="67"/>
    <n v="0.46127817799241383"/>
    <n v="23"/>
    <n v="0.48359909302006499"/>
    <n v="3"/>
    <n v="0.4433990425956329"/>
    <n v="0"/>
    <n v="0.52935922692310855"/>
    <n v="0"/>
    <n v="1"/>
    <s v=""/>
    <n v="0.1"/>
    <n v="5"/>
    <n v="0.47805232004062248"/>
    <n v="0.33333333333333331"/>
    <n v="3"/>
    <n v="0.49228400277973439"/>
    <n v="0.3"/>
    <n v="50"/>
    <n v="166"/>
    <n v="50"/>
    <n v="50"/>
    <n v="50"/>
    <n v="0"/>
    <n v="3459059.0196618116"/>
    <n v="6271065"/>
    <n v="1976605.1540924637"/>
    <n v="0"/>
    <n v="171"/>
    <n v="6759989.6269962257"/>
    <n v="3177388.602499824"/>
    <n v="10"/>
    <n v="81"/>
    <n v="34.5"/>
    <n v="0"/>
    <n v="0"/>
    <n v="0"/>
    <n v="1482453.8655693477"/>
    <n v="3059977.5"/>
    <n v="1363857.5563238"/>
    <n v="0"/>
    <n v="171"/>
    <n v="6759989.6269962257"/>
    <n v="2192398.1357248784"/>
    <n v="20"/>
    <n v="71"/>
    <n v="3"/>
    <n v="0"/>
    <n v="0"/>
    <n v="401927.5592455478"/>
    <n v="2806779.3188112983"/>
    <n v="118596.30924554782"/>
    <n v="0"/>
    <n v="171"/>
    <n v="6759989.6269962257"/>
    <n v="226865.54621848743"/>
    <n v="4"/>
    <n v="71"/>
    <n v="0"/>
    <n v="0"/>
    <n v="0"/>
    <n v="2682202.5"/>
    <n v="0"/>
    <x v="0"/>
    <x v="0"/>
    <n v="171"/>
    <n v="6759989.6269962257"/>
    <n v="0"/>
    <n v="10"/>
    <n v="172"/>
    <n v="7.5"/>
    <m/>
    <n v="0"/>
    <n v="0"/>
    <n v="6799521.7300780751"/>
    <n v="283331.25"/>
    <x v="0"/>
    <n v="0"/>
    <n v="171"/>
    <n v="6759989.6269962257"/>
    <n v="567163.86554621859"/>
    <n v="15"/>
    <n v="176"/>
    <n v="5"/>
    <m/>
    <n v="0"/>
    <n v="0"/>
    <n v="6957650.1424054718"/>
    <n v="188887.5"/>
    <n v="0"/>
    <n v="0"/>
    <n v="176"/>
    <n v="6759989.6269962257"/>
    <n v="378109.24369747902"/>
    <n v="10"/>
    <n v="174"/>
    <n v="7.5"/>
    <n v="100"/>
    <n v="100"/>
    <n v="0"/>
    <n v="6878585.9362417739"/>
    <n v="283331.25"/>
    <n v="3651825"/>
    <n v="0"/>
    <n v="174"/>
    <n v="6759989.6269962257"/>
    <n v="567163.86554621859"/>
    <n v="10"/>
    <n v="166.5"/>
    <n v="7.5"/>
    <n v="0"/>
    <n v="0"/>
    <n v="0"/>
    <n v="6582095.1631279038"/>
    <n v="283331.25"/>
    <n v="0"/>
    <n v="0"/>
    <n v="166.5"/>
    <n v="6582095.1631279038"/>
    <n v="567163.86554621859"/>
    <n v="15"/>
    <n v="159"/>
    <n v="11.25"/>
    <n v="0"/>
    <n v="0"/>
    <m/>
    <n v="6006622.5"/>
    <n v="424996.875"/>
    <n v="0"/>
    <n v="0"/>
    <n v="159"/>
    <n v="6006622.5"/>
    <n v="850745.79831932788"/>
    <n v="30"/>
    <n v="147.75"/>
    <n v="22.5"/>
    <n v="0"/>
    <n v="0"/>
    <n v="0"/>
    <m/>
    <n v="5581625.625"/>
    <n v="849993.75"/>
    <n v="0"/>
    <n v="0"/>
    <n v="147.75"/>
    <n v="5581625.625"/>
    <n v="1606953.7815126053"/>
    <n v="25"/>
    <n v="125.25"/>
    <n v="18.75"/>
    <m/>
    <n v="0"/>
    <n v="4731631.875"/>
    <n v="708328.125"/>
    <n v="0"/>
    <n v="0"/>
    <n v="125.25"/>
    <n v="4731631.875"/>
    <n v="1406084.5588235296"/>
    <n v="40"/>
    <n v="106.5"/>
    <n v="30"/>
    <n v="0"/>
    <n v="0"/>
    <n v="4023303.75"/>
    <n v="1133325"/>
    <n v="0"/>
    <n v="106.5"/>
    <n v="4023303.75"/>
    <n v="2268655.4621848743"/>
    <n v="15"/>
    <n v="76.5"/>
    <n v="11.25"/>
    <n v="0"/>
    <m/>
    <n v="2889978.75"/>
    <n v="444736.15967080434"/>
    <n v="0"/>
    <n v="76.5"/>
    <n v="2889978.75"/>
    <n v="850745.79831932788"/>
  </r>
  <r>
    <m/>
    <x v="3"/>
    <x v="24"/>
    <x v="65"/>
    <s v="XRPARREQ-BK"/>
    <x v="588"/>
    <x v="426"/>
    <x v="0"/>
    <x v="4"/>
    <n v="0.75"/>
    <x v="366"/>
    <n v="140"/>
    <m/>
    <n v="0"/>
    <n v="38774"/>
    <n v="5428360"/>
    <n v="36.5"/>
    <n v="39876.25"/>
    <n v="73385.70378151261"/>
    <n v="67218.487394957992"/>
    <s v="Shenzhen"/>
    <x v="0"/>
    <n v="30"/>
    <n v="20"/>
    <m/>
    <m/>
    <m/>
    <m/>
    <m/>
    <m/>
    <m/>
    <m/>
    <m/>
    <m/>
    <m/>
    <m/>
    <m/>
    <m/>
    <m/>
    <m/>
    <m/>
    <m/>
    <n v="0"/>
    <n v="0"/>
    <n v="0"/>
    <n v="0"/>
    <n v="0"/>
    <n v="0"/>
    <n v="0"/>
    <s v=""/>
    <n v="3"/>
    <s v=""/>
    <n v="5"/>
    <s v=""/>
    <n v="4"/>
    <s v=""/>
    <n v="0.66666666666666663"/>
    <n v="2"/>
    <s v=""/>
    <n v="0.13333333333333333"/>
    <n v="5"/>
    <s v=""/>
    <n v="0.33333333333333331"/>
    <n v="8"/>
    <s v=""/>
    <n v="1"/>
    <m/>
    <m/>
    <m/>
    <m/>
    <m/>
    <m/>
    <m/>
    <m/>
    <m/>
    <m/>
    <m/>
    <m/>
    <m/>
    <n v="10"/>
    <n v="143"/>
    <n v="4.5"/>
    <n v="0"/>
    <n v="0"/>
    <n v="0"/>
    <n v="523449"/>
    <n v="5402182.5"/>
    <n v="174483"/>
    <n v="0"/>
    <n v="140"/>
    <n v="5428360"/>
    <n v="277508.96387966955"/>
    <n v="10"/>
    <n v="63"/>
    <n v="5"/>
    <n v="0"/>
    <n v="0"/>
    <n v="773962.875"/>
    <n v="2442762"/>
    <n v="193870"/>
    <n v="0"/>
    <n v="140"/>
    <n v="5428360"/>
    <n v="366928.51890756306"/>
    <n v="6"/>
    <n v="58"/>
    <n v="4"/>
    <n v="0"/>
    <n v="0"/>
    <n v="2191095"/>
    <n v="155096"/>
    <x v="0"/>
    <x v="0"/>
    <n v="140"/>
    <n v="5428360"/>
    <n v="293542.81512605044"/>
    <n v="15"/>
    <n v="142"/>
    <n v="11.25"/>
    <m/>
    <n v="0"/>
    <n v="0"/>
    <n v="5505908"/>
    <n v="424996.875"/>
    <x v="0"/>
    <n v="0"/>
    <n v="140"/>
    <n v="5428360"/>
    <n v="825589.16754201683"/>
    <n v="15"/>
    <n v="145"/>
    <n v="5"/>
    <m/>
    <n v="0"/>
    <n v="0"/>
    <n v="5622230"/>
    <n v="188887.5"/>
    <n v="0"/>
    <n v="0"/>
    <n v="145"/>
    <n v="5428360"/>
    <n v="366928.51890756306"/>
    <n v="8"/>
    <n v="148"/>
    <n v="6"/>
    <n v="0"/>
    <n v="0"/>
    <n v="0"/>
    <n v="5738552"/>
    <n v="226665"/>
    <n v="0"/>
    <n v="0"/>
    <n v="148"/>
    <n v="5428360"/>
    <n v="440314.22268907563"/>
    <n v="8"/>
    <n v="142"/>
    <n v="6"/>
    <n v="50"/>
    <n v="50"/>
    <n v="0"/>
    <n v="5505908"/>
    <n v="226665"/>
    <n v="1888875"/>
    <n v="0"/>
    <n v="192"/>
    <n v="7394783"/>
    <n v="440314.22268907563"/>
    <n v="10"/>
    <n v="136"/>
    <n v="7.5"/>
    <n v="0"/>
    <n v="0"/>
    <n v="50"/>
    <n v="5137740"/>
    <n v="283331.25"/>
    <n v="0"/>
    <n v="1888875"/>
    <n v="186"/>
    <n v="7026615"/>
    <n v="550392.77836134459"/>
    <n v="20"/>
    <n v="178.5"/>
    <n v="15"/>
    <n v="0"/>
    <n v="0"/>
    <n v="0"/>
    <m/>
    <n v="6743283.75"/>
    <n v="566662.5"/>
    <n v="0"/>
    <n v="0"/>
    <n v="178.5"/>
    <n v="6743283.75"/>
    <n v="1008277.3109243698"/>
    <n v="15"/>
    <n v="163.5"/>
    <n v="11.25"/>
    <m/>
    <n v="0"/>
    <n v="6176621.25"/>
    <n v="424996.875"/>
    <n v="0"/>
    <n v="0"/>
    <n v="163.5"/>
    <n v="6176621.25"/>
    <n v="794018.38235294132"/>
    <n v="25"/>
    <n v="152.25"/>
    <n v="18.75"/>
    <n v="0"/>
    <n v="0"/>
    <n v="5751624.375"/>
    <n v="708328.125"/>
    <n v="0"/>
    <n v="152.25"/>
    <n v="5751624.375"/>
    <n v="1375981.9459033615"/>
    <n v="9"/>
    <n v="133.5"/>
    <n v="6.75"/>
    <n v="0"/>
    <m/>
    <n v="5043296.25"/>
    <n v="261724.5"/>
    <n v="0"/>
    <n v="133.5"/>
    <n v="5043296.25"/>
    <n v="495353.50052521011"/>
  </r>
  <r>
    <s v="Xroad-Accesorios de Instalacion"/>
    <x v="3"/>
    <x v="24"/>
    <x v="66"/>
    <n v="69746014453052"/>
    <x v="589"/>
    <x v="427"/>
    <x v="0"/>
    <x v="7"/>
    <n v="1"/>
    <x v="12"/>
    <n v="1"/>
    <m/>
    <n v="0"/>
    <n v="6893"/>
    <n v="6893"/>
    <n v="5"/>
    <n v="5462.5"/>
    <n v="16798.319327731093"/>
    <n v="16798.319327731093"/>
    <s v="Shenzhen"/>
    <x v="0"/>
    <n v="30"/>
    <n v="500"/>
    <n v="400"/>
    <n v="0.49733772761215461"/>
    <n v="0"/>
    <s v=""/>
    <n v="3"/>
    <n v="0.30637701188527205"/>
    <n v="208"/>
    <n v="0.43788604104214196"/>
    <n v="135"/>
    <n v="0.44113852243779028"/>
    <n v="42"/>
    <n v="0.4025875905567981"/>
    <n v="166"/>
    <n v="0.42825645607171542"/>
    <n v="177"/>
    <n v="0.43928266240049196"/>
    <n v="55"/>
    <n v="0.44591414835947013"/>
    <n v="506"/>
    <n v="0.44697115772746743"/>
    <n v="5"/>
    <n v="0.50733166583291645"/>
    <n v="0"/>
    <s v=""/>
    <n v="500"/>
    <n v="0.49733772761215461"/>
    <n v="0"/>
    <s v=""/>
    <n v="0"/>
    <n v="0.30637701626717551"/>
    <n v="1000"/>
    <n v="0.43788604199565262"/>
    <n v="0"/>
    <n v="0"/>
    <n v="0.44065176039066084"/>
    <n v="0"/>
    <n v="0"/>
    <n v="0.40258751092677403"/>
    <n v="0"/>
    <n v="0"/>
    <n v="0.42874978162630079"/>
    <n v="0"/>
    <n v="0"/>
    <n v="0"/>
    <n v="0"/>
    <n v="0"/>
    <m/>
    <n v="0"/>
    <n v="0"/>
    <n v="0"/>
    <n v="0"/>
    <n v="0"/>
    <n v="1"/>
    <n v="6893"/>
    <n v="0"/>
    <n v="0"/>
    <n v="0"/>
    <n v="0"/>
    <n v="0"/>
    <m/>
    <n v="0"/>
    <n v="6893000"/>
    <n v="0"/>
    <n v="0"/>
    <n v="0"/>
    <n v="1"/>
    <n v="6893"/>
    <n v="0"/>
    <n v="0"/>
    <n v="0"/>
    <n v="0"/>
    <n v="0"/>
    <n v="0"/>
    <n v="6893000"/>
    <n v="0"/>
    <n v="0"/>
    <n v="0"/>
    <n v="1"/>
    <n v="6893"/>
    <n v="0"/>
    <n v="0"/>
    <n v="1000"/>
    <n v="1000"/>
    <n v="0"/>
    <n v="0"/>
    <n v="5175000"/>
    <n v="6893000"/>
    <x v="0"/>
    <x v="0"/>
    <n v="1"/>
    <n v="6893"/>
    <n v="16798319.327731092"/>
    <n v="0"/>
    <n v="1"/>
    <n v="0"/>
    <m/>
    <n v="0"/>
    <n v="0"/>
    <n v="6893"/>
    <n v="0"/>
    <x v="0"/>
    <n v="0"/>
    <n v="1"/>
    <n v="6893"/>
    <n v="0"/>
    <n v="0"/>
    <n v="1"/>
    <n v="0"/>
    <m/>
    <n v="0"/>
    <n v="0"/>
    <n v="6893"/>
    <n v="0"/>
    <n v="0"/>
    <n v="0"/>
    <n v="1"/>
    <n v="6893"/>
    <n v="0"/>
    <n v="0"/>
    <n v="1"/>
    <n v="0"/>
    <n v="0"/>
    <n v="0"/>
    <n v="0"/>
    <n v="6893"/>
    <n v="0"/>
    <n v="0"/>
    <n v="0"/>
    <n v="1"/>
    <n v="6893"/>
    <n v="0"/>
    <n v="0"/>
    <n v="1"/>
    <n v="0"/>
    <n v="0"/>
    <n v="0"/>
    <n v="0"/>
    <n v="6893"/>
    <n v="0"/>
    <n v="0"/>
    <n v="0"/>
    <n v="1"/>
    <n v="6893"/>
    <n v="0"/>
    <n v="0"/>
    <n v="1"/>
    <n v="0"/>
    <n v="0"/>
    <n v="0"/>
    <m/>
    <n v="5175"/>
    <n v="0"/>
    <n v="0"/>
    <n v="0"/>
    <n v="1"/>
    <n v="5175"/>
    <n v="0"/>
    <n v="0"/>
    <n v="1"/>
    <n v="0"/>
    <n v="0"/>
    <n v="0"/>
    <n v="0"/>
    <m/>
    <n v="5175"/>
    <n v="0"/>
    <n v="0"/>
    <n v="0"/>
    <n v="1"/>
    <n v="5175"/>
    <n v="0"/>
    <n v="0"/>
    <n v="1"/>
    <n v="0"/>
    <m/>
    <n v="0"/>
    <n v="5175"/>
    <n v="0"/>
    <n v="0"/>
    <n v="0"/>
    <n v="1"/>
    <n v="5175"/>
    <n v="0"/>
    <n v="0"/>
    <n v="1"/>
    <n v="0"/>
    <n v="0"/>
    <n v="0"/>
    <n v="5175"/>
    <n v="0"/>
    <n v="0"/>
    <n v="1"/>
    <n v="5175"/>
    <n v="0"/>
    <n v="0"/>
    <n v="1"/>
    <n v="0"/>
    <n v="0"/>
    <m/>
    <n v="5175"/>
    <n v="0"/>
    <n v="0"/>
    <n v="1"/>
    <n v="5175"/>
    <n v="0"/>
  </r>
  <r>
    <m/>
    <x v="3"/>
    <x v="24"/>
    <x v="65"/>
    <s v="XRBOLPEXXL-CL"/>
    <x v="590"/>
    <x v="428"/>
    <x v="0"/>
    <x v="2"/>
    <n v="1"/>
    <x v="12"/>
    <n v="0"/>
    <m/>
    <n v="0"/>
    <n v="30576.000000000004"/>
    <n v="0"/>
    <n v="26.821052631578951"/>
    <n v="30576.000000000004"/>
    <n v="77082.35294117649"/>
    <n v="65520.000000000015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0"/>
    <n v="0"/>
    <n v="0"/>
    <n v="100"/>
    <n v="100"/>
    <n v="100"/>
    <n v="0"/>
    <n v="0"/>
    <n v="0"/>
    <n v="2775978.9473684216"/>
    <n v="2775978.9473684216"/>
    <n v="100"/>
    <n v="2775978.9473684216"/>
    <n v="0"/>
    <n v="30"/>
    <n v="100"/>
    <n v="30"/>
    <m/>
    <n v="0"/>
    <n v="2775978.9473684216"/>
    <n v="832793.68421052641"/>
    <n v="0"/>
    <n v="0"/>
    <n v="100"/>
    <n v="2775978.9473684216"/>
    <n v="2063880.0000000005"/>
    <n v="50"/>
    <n v="70"/>
    <n v="50"/>
    <n v="0"/>
    <n v="0"/>
    <n v="1943185.2631578948"/>
    <n v="1387989.4736842108"/>
    <n v="0"/>
    <n v="70"/>
    <n v="1943185.2631578948"/>
    <n v="3854117.6470588245"/>
    <n v="18"/>
    <n v="20"/>
    <n v="18"/>
    <n v="0"/>
    <m/>
    <n v="555195.78947368427"/>
    <n v="550368.00000000012"/>
    <n v="0"/>
    <n v="20"/>
    <n v="555195.78947368427"/>
    <n v="1387482.3529411769"/>
  </r>
  <r>
    <m/>
    <x v="3"/>
    <x v="24"/>
    <x v="65"/>
    <s v="XRBOLPEXXL-CL"/>
    <x v="590"/>
    <x v="429"/>
    <x v="0"/>
    <x v="2"/>
    <n v="1"/>
    <x v="12"/>
    <n v="0"/>
    <m/>
    <n v="0"/>
    <n v="28224"/>
    <n v="0"/>
    <n v="24.757894736842104"/>
    <n v="28224"/>
    <n v="71152.941176470587"/>
    <n v="60480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0"/>
    <n v="0"/>
    <n v="0"/>
    <n v="100"/>
    <n v="100"/>
    <n v="100"/>
    <n v="0"/>
    <n v="0"/>
    <n v="0"/>
    <n v="2562442.1052631577"/>
    <n v="2562442.1052631577"/>
    <n v="100"/>
    <n v="2562442.1052631577"/>
    <n v="0"/>
    <n v="30"/>
    <n v="100"/>
    <n v="30"/>
    <m/>
    <n v="0"/>
    <n v="2562442.1052631577"/>
    <n v="768732.6315789473"/>
    <n v="0"/>
    <n v="0"/>
    <n v="100"/>
    <n v="2562442.1052631577"/>
    <n v="1905120"/>
    <n v="50"/>
    <n v="70"/>
    <n v="50"/>
    <n v="0"/>
    <n v="0"/>
    <n v="1793709.4736842103"/>
    <n v="1281221.0526315789"/>
    <n v="0"/>
    <n v="70"/>
    <n v="1793709.4736842103"/>
    <n v="3557647.0588235292"/>
    <n v="18"/>
    <n v="20"/>
    <n v="18"/>
    <n v="0"/>
    <m/>
    <n v="512488.42105263151"/>
    <n v="508032"/>
    <n v="0"/>
    <n v="20"/>
    <n v="512488.42105263151"/>
    <n v="1280752.9411764706"/>
  </r>
  <r>
    <s v="Xroad-Accesorios de Automovil"/>
    <x v="3"/>
    <x v="25"/>
    <x v="67"/>
    <n v="1660859424566"/>
    <x v="591"/>
    <x v="430"/>
    <x v="0"/>
    <x v="4"/>
    <n v="1"/>
    <x v="367"/>
    <n v="349"/>
    <m/>
    <n v="0"/>
    <n v="4922.5826438013573"/>
    <n v="1717981.3426866736"/>
    <n v="4.5999999999999996"/>
    <n v="5025.5"/>
    <n v="16798.319327731093"/>
    <n v="15957.983193277312"/>
    <s v="Shenzhen"/>
    <x v="0"/>
    <n v="30"/>
    <n v="50"/>
    <n v="73"/>
    <n v="0.7060935127262874"/>
    <n v="105"/>
    <n v="0.69184364992135161"/>
    <n v="128"/>
    <n v="0.70591432311379987"/>
    <n v="87"/>
    <n v="0.70582471897168864"/>
    <n v="89"/>
    <n v="0.73231097963534286"/>
    <n v="315"/>
    <n v="0.69611040897013832"/>
    <n v="53"/>
    <n v="0.72335209661873034"/>
    <n v="45"/>
    <n v="0.71729139962523847"/>
    <n v="41"/>
    <n v="0.71238893978120366"/>
    <n v="257"/>
    <n v="0.67530210007290681"/>
    <n v="290"/>
    <n v="0.6906688260438979"/>
    <n v="11"/>
    <n v="0.69002009821738275"/>
    <n v="29"/>
    <n v="0.70859189560892877"/>
    <n v="127"/>
    <n v="0.69164546597317722"/>
    <n v="205"/>
    <n v="0.70525138378499064"/>
    <n v="281"/>
    <n v="0.70578541385982385"/>
    <n v="1.405"/>
    <n v="250"/>
    <n v="0.73247300977009278"/>
    <n v="1"/>
    <n v="12"/>
    <n v="0.69697017395037075"/>
    <n v="0.04"/>
    <n v="72"/>
    <n v="0.72191043147097078"/>
    <n v="0.24"/>
    <n v="150"/>
    <n v="29"/>
    <n v="150"/>
    <n v="200"/>
    <n v="200"/>
    <n v="0"/>
    <n v="2685268.8321936405"/>
    <n v="138069"/>
    <n v="738387.39657020359"/>
    <n v="0"/>
    <n v="349"/>
    <n v="1717981.3426866736"/>
    <n v="2117435.209377869"/>
    <n v="150"/>
    <n v="201"/>
    <n v="190.5"/>
    <n v="165"/>
    <n v="165"/>
    <n v="0"/>
    <n v="3330127.1585316183"/>
    <n v="956961"/>
    <n v="937751.99364415859"/>
    <n v="0"/>
    <n v="349"/>
    <n v="1717981.3426866736"/>
    <n v="2689142.7159098936"/>
    <n v="150"/>
    <n v="172"/>
    <n v="205"/>
    <n v="0"/>
    <n v="0"/>
    <n v="3582625.1648874595"/>
    <n v="846684.21473383345"/>
    <n v="1009129.4419792782"/>
    <n v="0"/>
    <n v="349"/>
    <n v="1717981.3426866736"/>
    <n v="3443655.4621848739"/>
    <n v="200"/>
    <n v="498"/>
    <n v="281"/>
    <n v="500"/>
    <n v="0"/>
    <n v="2370978"/>
    <n v="1383245.7229081814"/>
    <x v="99"/>
    <x v="0"/>
    <n v="349"/>
    <n v="1717981.3426866736"/>
    <n v="4720327.7310924372"/>
    <n v="250"/>
    <n v="599"/>
    <n v="250"/>
    <m/>
    <n v="0"/>
    <n v="0"/>
    <n v="2948627.003637013"/>
    <n v="1190250"/>
    <x v="0"/>
    <n v="0"/>
    <n v="349"/>
    <n v="1717981.3426866736"/>
    <n v="4199579.8319327729"/>
    <n v="300"/>
    <n v="361"/>
    <n v="12"/>
    <m/>
    <n v="0"/>
    <n v="0"/>
    <n v="1777052.33441229"/>
    <n v="57132"/>
    <n v="0"/>
    <n v="0"/>
    <n v="361"/>
    <n v="1717981.3426866736"/>
    <n v="201579.83193277312"/>
    <n v="300"/>
    <n v="421"/>
    <n v="300"/>
    <n v="300"/>
    <n v="300"/>
    <n v="0"/>
    <n v="2072407.2930403715"/>
    <n v="1428300"/>
    <n v="1380689.9999999998"/>
    <n v="0"/>
    <n v="421"/>
    <n v="1717981.3426866736"/>
    <n v="5039495.7983193276"/>
    <n v="300"/>
    <n v="121"/>
    <n v="300"/>
    <n v="200"/>
    <n v="200"/>
    <n v="0"/>
    <n v="595632.4998999642"/>
    <n v="1428300"/>
    <n v="952200"/>
    <n v="0"/>
    <n v="321"/>
    <n v="1547832.4998999643"/>
    <n v="5039495.7983193276"/>
    <n v="300"/>
    <n v="0"/>
    <n v="300"/>
    <n v="450"/>
    <n v="450"/>
    <n v="0"/>
    <n v="0"/>
    <n v="1428300"/>
    <n v="2142450"/>
    <n v="0"/>
    <n v="0"/>
    <n v="0"/>
    <n v="5039495.7983193276"/>
    <n v="300"/>
    <n v="450"/>
    <n v="300"/>
    <n v="0"/>
    <n v="0"/>
    <n v="0"/>
    <n v="450"/>
    <n v="2142450"/>
    <n v="1428300"/>
    <n v="0"/>
    <n v="2142450"/>
    <n v="450"/>
    <n v="4284900"/>
    <n v="4787394.9579831939"/>
    <n v="300"/>
    <n v="150"/>
    <n v="300"/>
    <n v="300"/>
    <n v="300"/>
    <n v="714150"/>
    <n v="1428300"/>
    <n v="1428300"/>
    <n v="1428300"/>
    <n v="450"/>
    <n v="2142450"/>
    <n v="5026764.7058823537"/>
    <n v="300"/>
    <n v="150"/>
    <n v="300"/>
    <n v="300"/>
    <n v="300"/>
    <n v="714150"/>
    <n v="1428300"/>
    <n v="1428300"/>
    <n v="450"/>
    <n v="2142450"/>
    <n v="5039495.7983193276"/>
    <n v="180"/>
    <n v="150"/>
    <n v="180"/>
    <n v="0"/>
    <m/>
    <n v="714150"/>
    <n v="886064.87588424433"/>
    <n v="0"/>
    <n v="150"/>
    <n v="714150"/>
    <n v="3023697.478991597"/>
  </r>
  <r>
    <m/>
    <x v="3"/>
    <x v="25"/>
    <x v="67"/>
    <s v="XRCOBSUV-BS"/>
    <x v="592"/>
    <x v="431"/>
    <x v="0"/>
    <x v="2"/>
    <n v="1"/>
    <x v="12"/>
    <n v="138"/>
    <m/>
    <n v="0"/>
    <n v="5025.5"/>
    <n v="693519"/>
    <n v="4.5999999999999996"/>
    <n v="5025.5"/>
    <n v="12669.327731092437"/>
    <n v="10768.928571428571"/>
    <s v="Shenzhen"/>
    <x v="0"/>
    <n v="30"/>
    <n v="5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2"/>
    <s v=""/>
    <n v="0.2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38"/>
    <n v="693519"/>
    <n v="0"/>
    <n v="0"/>
    <n v="0"/>
    <n v="0"/>
    <n v="0"/>
    <n v="0"/>
    <n v="0"/>
    <n v="0"/>
    <n v="0"/>
    <n v="0"/>
    <n v="138"/>
    <n v="693519"/>
    <n v="0"/>
    <n v="0"/>
    <n v="0"/>
    <n v="0"/>
    <n v="0"/>
    <n v="0"/>
    <n v="0"/>
    <n v="0"/>
    <x v="0"/>
    <x v="0"/>
    <n v="138"/>
    <n v="693519"/>
    <n v="0"/>
    <n v="0"/>
    <n v="138"/>
    <n v="0"/>
    <m/>
    <n v="0"/>
    <n v="0"/>
    <n v="693519"/>
    <n v="0"/>
    <x v="0"/>
    <n v="0"/>
    <n v="138"/>
    <n v="693519"/>
    <n v="0"/>
    <n v="0"/>
    <n v="138"/>
    <n v="0"/>
    <m/>
    <n v="0"/>
    <n v="0"/>
    <n v="693519"/>
    <n v="0"/>
    <n v="0"/>
    <n v="0"/>
    <n v="138"/>
    <n v="693519"/>
    <n v="0"/>
    <n v="10"/>
    <n v="140"/>
    <n v="10"/>
    <n v="150"/>
    <n v="150"/>
    <n v="0"/>
    <n v="703570"/>
    <n v="47610"/>
    <n v="690344.99999999988"/>
    <n v="0"/>
    <n v="140"/>
    <n v="693519"/>
    <n v="126693.27731092437"/>
    <n v="40"/>
    <n v="130"/>
    <n v="40"/>
    <n v="0"/>
    <n v="0"/>
    <n v="0"/>
    <n v="653315"/>
    <n v="190440"/>
    <n v="0"/>
    <n v="0"/>
    <n v="130"/>
    <n v="653315"/>
    <n v="506773.10924369749"/>
    <n v="60"/>
    <n v="90"/>
    <n v="60"/>
    <n v="150"/>
    <n v="150"/>
    <n v="0"/>
    <n v="428490"/>
    <n v="285660"/>
    <n v="714150"/>
    <n v="0"/>
    <n v="90"/>
    <n v="428490"/>
    <n v="760159.66386554623"/>
    <n v="100"/>
    <n v="180"/>
    <n v="100"/>
    <n v="0"/>
    <n v="0"/>
    <n v="0"/>
    <n v="150"/>
    <n v="856980"/>
    <n v="476100"/>
    <n v="0"/>
    <n v="714150"/>
    <n v="180"/>
    <n v="1571130"/>
    <n v="1076892.857142857"/>
    <n v="80"/>
    <n v="80"/>
    <n v="80"/>
    <m/>
    <n v="0"/>
    <n v="380880"/>
    <n v="380880"/>
    <n v="0"/>
    <n v="0"/>
    <n v="80"/>
    <n v="380880"/>
    <n v="904590"/>
    <n v="90"/>
    <n v="0"/>
    <n v="90"/>
    <n v="0"/>
    <n v="0"/>
    <n v="0"/>
    <n v="428490"/>
    <n v="0"/>
    <n v="0"/>
    <n v="0"/>
    <n v="1140239.4957983193"/>
    <n v="48"/>
    <n v="0"/>
    <n v="48"/>
    <n v="0"/>
    <m/>
    <n v="0"/>
    <n v="241224"/>
    <n v="0"/>
    <n v="0"/>
    <n v="0"/>
    <n v="608127.73109243694"/>
  </r>
  <r>
    <m/>
    <x v="3"/>
    <x v="25"/>
    <x v="67"/>
    <s v="XRCOBMOT-BS"/>
    <x v="593"/>
    <x v="432"/>
    <x v="0"/>
    <x v="2"/>
    <n v="1"/>
    <x v="12"/>
    <n v="149"/>
    <m/>
    <n v="0"/>
    <n v="5025.5"/>
    <n v="748799.5"/>
    <n v="4.5999999999999996"/>
    <n v="5025.5"/>
    <n v="12669.327731092437"/>
    <n v="10768.928571428571"/>
    <s v="Shenzhen"/>
    <x v="0"/>
    <n v="30"/>
    <n v="5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1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49"/>
    <n v="748799.5"/>
    <n v="0"/>
    <n v="0"/>
    <n v="0"/>
    <n v="0"/>
    <n v="0"/>
    <n v="0"/>
    <n v="0"/>
    <n v="0"/>
    <n v="0"/>
    <n v="0"/>
    <n v="149"/>
    <n v="748799.5"/>
    <n v="0"/>
    <n v="0"/>
    <n v="0"/>
    <n v="0"/>
    <n v="0"/>
    <n v="0"/>
    <n v="0"/>
    <n v="0"/>
    <x v="0"/>
    <x v="0"/>
    <n v="149"/>
    <n v="748799.5"/>
    <n v="0"/>
    <n v="0"/>
    <n v="149"/>
    <n v="0"/>
    <m/>
    <n v="0"/>
    <n v="0"/>
    <n v="748799.5"/>
    <n v="0"/>
    <x v="0"/>
    <n v="0"/>
    <n v="149"/>
    <n v="748799.5"/>
    <n v="0"/>
    <n v="0"/>
    <n v="149"/>
    <n v="0"/>
    <m/>
    <n v="0"/>
    <n v="0"/>
    <n v="748799.5"/>
    <n v="0"/>
    <n v="0"/>
    <n v="0"/>
    <n v="149"/>
    <n v="748799.5"/>
    <n v="0"/>
    <n v="0"/>
    <n v="150"/>
    <n v="0"/>
    <n v="150"/>
    <n v="150"/>
    <n v="0"/>
    <n v="753825"/>
    <n v="0"/>
    <n v="690344.99999999988"/>
    <n v="0"/>
    <n v="150"/>
    <n v="748799.5"/>
    <n v="0"/>
    <n v="40"/>
    <n v="150"/>
    <n v="40"/>
    <n v="0"/>
    <n v="0"/>
    <n v="0"/>
    <n v="753825"/>
    <n v="190440"/>
    <n v="0"/>
    <n v="0"/>
    <n v="150"/>
    <n v="753825"/>
    <n v="506773.10924369749"/>
    <n v="60"/>
    <n v="110"/>
    <n v="60"/>
    <n v="120"/>
    <n v="120"/>
    <n v="0"/>
    <n v="523710"/>
    <n v="285660"/>
    <n v="571320"/>
    <n v="0"/>
    <n v="110"/>
    <n v="523710"/>
    <n v="760159.66386554623"/>
    <n v="80"/>
    <n v="170"/>
    <n v="80"/>
    <n v="0"/>
    <n v="0"/>
    <n v="0"/>
    <n v="120"/>
    <n v="809370"/>
    <n v="380880"/>
    <n v="0"/>
    <n v="571320"/>
    <n v="170"/>
    <n v="1380690"/>
    <n v="861514.28571428568"/>
    <n v="60"/>
    <n v="90"/>
    <n v="60"/>
    <n v="100"/>
    <n v="100"/>
    <n v="428490"/>
    <n v="285660"/>
    <n v="476100"/>
    <n v="476100"/>
    <n v="190"/>
    <n v="904590"/>
    <n v="678442.49999999988"/>
    <n v="70"/>
    <n v="130"/>
    <n v="70"/>
    <n v="0"/>
    <n v="0"/>
    <n v="618930"/>
    <n v="333270"/>
    <n v="0"/>
    <n v="130"/>
    <n v="618930"/>
    <n v="886852.9411764706"/>
    <n v="36"/>
    <n v="60"/>
    <n v="36"/>
    <n v="0"/>
    <m/>
    <n v="285660"/>
    <n v="180918"/>
    <n v="0"/>
    <n v="60"/>
    <n v="285660"/>
    <n v="456095.7983193277"/>
  </r>
  <r>
    <s v="Xroad-Accesorios de Automovil"/>
    <x v="3"/>
    <x v="25"/>
    <x v="67"/>
    <n v="1656603353038"/>
    <x v="594"/>
    <x v="433"/>
    <x v="0"/>
    <x v="0"/>
    <n v="1"/>
    <x v="368"/>
    <n v="12"/>
    <m/>
    <n v="0"/>
    <n v="9118.1091235859421"/>
    <n v="109417.30948303131"/>
    <n v="8.8000000000000007"/>
    <n v="9614"/>
    <n v="18478.991596638658"/>
    <n v="16798.319327731093"/>
    <s v="Shenzhen"/>
    <x v="0"/>
    <n v="30"/>
    <n v="200"/>
    <n v="43"/>
    <n v="0.54558961757607538"/>
    <n v="35"/>
    <n v="0.56137932949615643"/>
    <n v="31"/>
    <n v="0.54526310396497402"/>
    <n v="35"/>
    <n v="0.55055832955789885"/>
    <n v="23"/>
    <n v="0.52841342618874909"/>
    <n v="67"/>
    <n v="0.51126334083937686"/>
    <n v="21"/>
    <n v="0.56092411930875596"/>
    <n v="24"/>
    <n v="0.52162694151126165"/>
    <n v="24"/>
    <n v="0.54453668700829139"/>
    <n v="51"/>
    <n v="0.43118438677374271"/>
    <n v="22"/>
    <n v="0.46530235252736724"/>
    <n v="49"/>
    <n v="0.44761804072295397"/>
    <n v="46"/>
    <n v="0.54339288599562152"/>
    <n v="46"/>
    <n v="0.56046022849952803"/>
    <n v="25"/>
    <n v="0.54526309763815028"/>
    <n v="24"/>
    <n v="0.55122237763932191"/>
    <n v="1.2"/>
    <n v="17"/>
    <n v="0.52841344059965789"/>
    <n v="0.56666666666666665"/>
    <n v="3"/>
    <n v="0.5138038549941375"/>
    <n v="0.1"/>
    <n v="2"/>
    <n v="0.56497906686835364"/>
    <n v="6.6666666666666666E-2"/>
    <n v="30"/>
    <n v="173"/>
    <n v="30"/>
    <n v="0"/>
    <m/>
    <n v="0"/>
    <n v="1130645.5313246567"/>
    <n v="1575684"/>
    <n v="273543.27370757825"/>
    <n v="0"/>
    <n v="12"/>
    <n v="109417.30948303131"/>
    <n v="465856.93100769731"/>
    <n v="25"/>
    <n v="120"/>
    <n v="69"/>
    <n v="0"/>
    <m/>
    <n v="0"/>
    <n v="1075936.876583141"/>
    <n v="1092960"/>
    <n v="629149.52952742996"/>
    <n v="0"/>
    <n v="12"/>
    <n v="109417.30948303131"/>
    <n v="1071470.9413177038"/>
    <n v="25"/>
    <n v="83"/>
    <n v="25"/>
    <n v="0"/>
    <n v="0"/>
    <n v="720027.3470557112"/>
    <n v="756803.05725763319"/>
    <n v="227952.72808964856"/>
    <n v="0"/>
    <n v="12"/>
    <n v="109417.30948303131"/>
    <n v="461974.78991596645"/>
    <n v="20"/>
    <n v="57"/>
    <n v="24"/>
    <n v="0"/>
    <n v="0"/>
    <n v="519156"/>
    <n v="218834.61896606261"/>
    <x v="0"/>
    <x v="0"/>
    <n v="12"/>
    <n v="109417.30948303131"/>
    <n v="443495.79831932776"/>
    <n v="30"/>
    <n v="29"/>
    <n v="30"/>
    <m/>
    <n v="0"/>
    <n v="0"/>
    <n v="264425.16458399233"/>
    <n v="273240"/>
    <x v="0"/>
    <n v="0"/>
    <n v="12"/>
    <n v="109417.30948303131"/>
    <n v="554369.74789915979"/>
    <n v="30"/>
    <n v="15"/>
    <n v="3"/>
    <m/>
    <n v="0"/>
    <n v="0"/>
    <n v="136771.63685378912"/>
    <n v="27324"/>
    <n v="0"/>
    <n v="0"/>
    <n v="15"/>
    <n v="109417.30948303131"/>
    <n v="55436.97478991597"/>
    <n v="30"/>
    <n v="14"/>
    <n v="30"/>
    <n v="0"/>
    <n v="0"/>
    <n v="0"/>
    <n v="127653.52773020319"/>
    <n v="273240"/>
    <n v="0"/>
    <n v="0"/>
    <n v="14"/>
    <n v="109417.30948303131"/>
    <n v="554369.74789915979"/>
    <n v="30"/>
    <n v="0"/>
    <n v="30"/>
    <n v="0"/>
    <n v="0"/>
    <n v="0"/>
    <n v="0"/>
    <n v="273240"/>
    <n v="0"/>
    <n v="0"/>
    <n v="0"/>
    <n v="0"/>
    <n v="554369.74789915979"/>
    <n v="30"/>
    <n v="0"/>
    <n v="30"/>
    <n v="200"/>
    <n v="200"/>
    <n v="0"/>
    <n v="0"/>
    <n v="273240"/>
    <n v="1821600"/>
    <n v="0"/>
    <n v="0"/>
    <n v="0"/>
    <n v="554369.74789915979"/>
    <n v="50"/>
    <n v="200"/>
    <n v="50"/>
    <n v="0"/>
    <n v="0"/>
    <n v="0"/>
    <n v="200"/>
    <n v="1821600"/>
    <n v="455400"/>
    <n v="0"/>
    <n v="1821600"/>
    <n v="200"/>
    <n v="3643200"/>
    <n v="839915.96638655465"/>
    <n v="40"/>
    <n v="150"/>
    <n v="40"/>
    <m/>
    <n v="0"/>
    <n v="1366200"/>
    <n v="364320"/>
    <n v="0"/>
    <n v="0"/>
    <n v="150"/>
    <n v="1366200"/>
    <n v="705529.4117647059"/>
    <n v="30"/>
    <n v="110"/>
    <n v="30"/>
    <n v="0"/>
    <n v="0"/>
    <n v="1001880"/>
    <n v="273240"/>
    <n v="0"/>
    <n v="110"/>
    <n v="1001880"/>
    <n v="554369.74789915979"/>
    <n v="24"/>
    <n v="80"/>
    <n v="24"/>
    <n v="0"/>
    <m/>
    <n v="728640"/>
    <n v="218834.61896606261"/>
    <n v="0"/>
    <n v="80"/>
    <n v="728640"/>
    <n v="443495.79831932776"/>
  </r>
  <r>
    <s v="Xroad-Accesorios de Automovil"/>
    <x v="3"/>
    <x v="25"/>
    <x v="67"/>
    <s v="XRPISUNIS-BK"/>
    <x v="595"/>
    <x v="434"/>
    <x v="0"/>
    <x v="1"/>
    <n v="1"/>
    <x v="369"/>
    <n v="208"/>
    <m/>
    <n v="0"/>
    <n v="3181"/>
    <n v="661648"/>
    <n v="3"/>
    <n v="3277.4999999999995"/>
    <n v="8394.957983193277"/>
    <n v="8394.957983193277"/>
    <s v="Shenzhen"/>
    <x v="0"/>
    <n v="30"/>
    <n v="100"/>
    <n v="0"/>
    <s v=""/>
    <n v="0"/>
    <s v=""/>
    <n v="0"/>
    <s v=""/>
    <n v="0"/>
    <s v=""/>
    <n v="0"/>
    <s v=""/>
    <n v="3"/>
    <n v="0.67536665872664781"/>
    <n v="8"/>
    <n v="0.61640457852285802"/>
    <n v="16"/>
    <n v="0.60386107737104688"/>
    <n v="24"/>
    <n v="0.61640433549668905"/>
    <n v="21"/>
    <n v="0.57728803948592555"/>
    <n v="14"/>
    <n v="0.54974304686551845"/>
    <n v="11"/>
    <n v="0.63768664040097478"/>
    <n v="0"/>
    <s v=""/>
    <n v="7"/>
    <s v=""/>
    <n v="17"/>
    <s v=""/>
    <n v="12"/>
    <s v=""/>
    <n v="0.34285714285714286"/>
    <n v="17"/>
    <s v=""/>
    <n v="0.42499999999999999"/>
    <n v="41"/>
    <s v=""/>
    <n v="0.82"/>
    <n v="5"/>
    <s v=""/>
    <n v="0.2"/>
    <n v="30"/>
    <n v="1"/>
    <n v="30"/>
    <n v="100"/>
    <n v="100"/>
    <n v="0"/>
    <n v="182907.5"/>
    <n v="3104.9999999999995"/>
    <n v="95430"/>
    <n v="0"/>
    <n v="208"/>
    <n v="661648"/>
    <n v="211637.59621495657"/>
    <n v="25"/>
    <n v="101"/>
    <n v="10.5"/>
    <n v="45"/>
    <n v="45"/>
    <n v="0"/>
    <n v="125649.5"/>
    <n v="313604.99999999994"/>
    <n v="33400.5"/>
    <n v="0"/>
    <n v="208"/>
    <n v="661648"/>
    <n v="74073.158675234794"/>
    <n v="30"/>
    <n v="140"/>
    <n v="17"/>
    <n v="0"/>
    <n v="0"/>
    <n v="216449"/>
    <n v="445340"/>
    <n v="54077"/>
    <n v="0"/>
    <n v="208"/>
    <n v="661648"/>
    <n v="142714.28571428571"/>
    <n v="35"/>
    <n v="168"/>
    <n v="12"/>
    <n v="50"/>
    <n v="0"/>
    <n v="521639.99999999994"/>
    <n v="38172"/>
    <x v="100"/>
    <x v="0"/>
    <n v="208"/>
    <n v="661648"/>
    <n v="100739.49579831932"/>
    <n v="40"/>
    <n v="225"/>
    <n v="40"/>
    <m/>
    <n v="0"/>
    <n v="0"/>
    <n v="715725"/>
    <n v="124199.99999999999"/>
    <x v="0"/>
    <n v="0"/>
    <n v="208"/>
    <n v="661648"/>
    <n v="335798.31932773109"/>
    <n v="50"/>
    <n v="249"/>
    <n v="41"/>
    <m/>
    <n v="0"/>
    <n v="0"/>
    <n v="792069"/>
    <n v="127304.99999999999"/>
    <n v="0"/>
    <n v="0"/>
    <n v="249"/>
    <n v="661648"/>
    <n v="344193.27731092437"/>
    <n v="25"/>
    <n v="213"/>
    <n v="25"/>
    <n v="100"/>
    <n v="100"/>
    <n v="0"/>
    <n v="677553"/>
    <n v="77624.999999999985"/>
    <n v="300149.99999999994"/>
    <n v="0"/>
    <n v="213"/>
    <n v="661648"/>
    <n v="209873.94957983191"/>
    <n v="25"/>
    <n v="188"/>
    <n v="25"/>
    <n v="0"/>
    <n v="0"/>
    <n v="0"/>
    <n v="598028"/>
    <n v="77624.999999999985"/>
    <n v="0"/>
    <n v="0"/>
    <n v="188"/>
    <n v="598028"/>
    <n v="209873.94957983191"/>
    <n v="20"/>
    <n v="163"/>
    <n v="20"/>
    <n v="0"/>
    <n v="0"/>
    <m/>
    <n v="506114.99999999994"/>
    <n v="62099.999999999993"/>
    <n v="0"/>
    <n v="0"/>
    <n v="163"/>
    <n v="506114.99999999994"/>
    <n v="167899.15966386555"/>
    <n v="30"/>
    <n v="143"/>
    <n v="30"/>
    <n v="0"/>
    <n v="0"/>
    <n v="0"/>
    <m/>
    <n v="444014.99999999994"/>
    <n v="93149.999999999985"/>
    <n v="0"/>
    <n v="0"/>
    <n v="143"/>
    <n v="444014.99999999994"/>
    <n v="251848.73949579831"/>
    <n v="30"/>
    <n v="113"/>
    <n v="30"/>
    <m/>
    <n v="0"/>
    <n v="350864.99999999994"/>
    <n v="93149.999999999985"/>
    <n v="0"/>
    <n v="0"/>
    <n v="113"/>
    <n v="350864.99999999994"/>
    <n v="264441.17647058825"/>
    <n v="30"/>
    <n v="83"/>
    <n v="30"/>
    <n v="0"/>
    <n v="0"/>
    <n v="257714.99999999997"/>
    <n v="93149.999999999985"/>
    <n v="0"/>
    <n v="83"/>
    <n v="257714.99999999997"/>
    <n v="251848.73949579831"/>
    <n v="18"/>
    <n v="53"/>
    <n v="18"/>
    <n v="0"/>
    <m/>
    <n v="164564.99999999997"/>
    <n v="57258"/>
    <n v="0"/>
    <n v="53"/>
    <n v="164564.99999999997"/>
    <n v="151109.24369747899"/>
  </r>
  <r>
    <m/>
    <x v="3"/>
    <x v="25"/>
    <x v="67"/>
    <s v="XRPISUNIS3-BK"/>
    <x v="596"/>
    <x v="435"/>
    <x v="0"/>
    <x v="2"/>
    <n v="1"/>
    <x v="12"/>
    <n v="190"/>
    <m/>
    <n v="0"/>
    <n v="3277.4999999999995"/>
    <n v="622724.99999999988"/>
    <n v="3"/>
    <n v="3277.4999999999995"/>
    <n v="8262.6050420168049"/>
    <n v="10915.966386554623"/>
    <s v="Shenzhen"/>
    <x v="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1"/>
    <s v=""/>
    <n v="0"/>
    <s v=""/>
    <n v="0"/>
    <n v="2"/>
    <s v=""/>
    <n v="6.6666666666666666E-2"/>
    <n v="11"/>
    <s v=""/>
    <n v="0.27500000000000002"/>
    <n v="7"/>
    <s v=""/>
    <n v="0.58333333333333337"/>
    <n v="0"/>
    <n v="0"/>
    <n v="0"/>
    <n v="0"/>
    <m/>
    <n v="0"/>
    <n v="3277.4999999999995"/>
    <n v="0"/>
    <n v="0"/>
    <n v="0"/>
    <n v="190"/>
    <n v="622724.99999999988"/>
    <n v="0"/>
    <n v="5"/>
    <n v="0"/>
    <n v="0"/>
    <n v="100"/>
    <n v="100"/>
    <n v="0"/>
    <n v="3277.4999999999995"/>
    <n v="0"/>
    <n v="0"/>
    <n v="0"/>
    <n v="190"/>
    <n v="622724.99999999988"/>
    <n v="0"/>
    <n v="0"/>
    <n v="0"/>
    <n v="1"/>
    <n v="0"/>
    <n v="0"/>
    <n v="96427.499999999985"/>
    <n v="0"/>
    <n v="3277.4999999999995"/>
    <n v="0"/>
    <n v="190"/>
    <n v="622724.99999999988"/>
    <n v="8262.6050420168049"/>
    <n v="10"/>
    <n v="95"/>
    <n v="0"/>
    <n v="0"/>
    <n v="0"/>
    <n v="294974.99999999994"/>
    <n v="0"/>
    <x v="0"/>
    <x v="0"/>
    <n v="190"/>
    <n v="622724.99999999988"/>
    <n v="0"/>
    <n v="30"/>
    <n v="192"/>
    <n v="30"/>
    <m/>
    <n v="0"/>
    <n v="0"/>
    <n v="629279.99999999988"/>
    <n v="93149.999999999985"/>
    <x v="0"/>
    <n v="0"/>
    <n v="190"/>
    <n v="622724.99999999988"/>
    <n v="247878.15126050415"/>
    <n v="40"/>
    <n v="201"/>
    <n v="11"/>
    <m/>
    <n v="0"/>
    <n v="0"/>
    <n v="658777.49999999988"/>
    <n v="34154.999999999993"/>
    <n v="0"/>
    <n v="0"/>
    <n v="201"/>
    <n v="622724.99999999988"/>
    <n v="90888.655462184848"/>
    <n v="12"/>
    <n v="197"/>
    <n v="12"/>
    <n v="100"/>
    <n v="100"/>
    <n v="0"/>
    <n v="645667.49999999988"/>
    <n v="37259.999999999993"/>
    <n v="300149.99999999994"/>
    <n v="0"/>
    <n v="197"/>
    <n v="622724.99999999988"/>
    <n v="99151.260504201666"/>
    <n v="15"/>
    <n v="185"/>
    <n v="15"/>
    <n v="0"/>
    <n v="0"/>
    <n v="0"/>
    <n v="606337.49999999988"/>
    <n v="46574.999999999993"/>
    <n v="0"/>
    <n v="0"/>
    <n v="185"/>
    <n v="606337.49999999988"/>
    <n v="123939.07563025207"/>
    <n v="20"/>
    <n v="170"/>
    <n v="20"/>
    <n v="100"/>
    <n v="100"/>
    <n v="0"/>
    <n v="527849.99999999988"/>
    <n v="62099.999999999993"/>
    <n v="310499.99999999994"/>
    <n v="0"/>
    <n v="170"/>
    <n v="527849.99999999988"/>
    <n v="165252.10084033609"/>
    <n v="20"/>
    <n v="250"/>
    <n v="20"/>
    <n v="0"/>
    <n v="0"/>
    <n v="0"/>
    <n v="100"/>
    <n v="776249.99999999988"/>
    <n v="62099.999999999993"/>
    <n v="0"/>
    <n v="310499.99999999994"/>
    <n v="250"/>
    <n v="1086749.9999999998"/>
    <n v="218319.32773109246"/>
    <n v="20"/>
    <n v="230"/>
    <n v="20"/>
    <m/>
    <n v="0"/>
    <n v="714149.99999999988"/>
    <n v="62099.999999999993"/>
    <n v="0"/>
    <n v="0"/>
    <n v="230"/>
    <n v="714149.99999999988"/>
    <n v="229235.29411764711"/>
    <n v="25"/>
    <n v="210"/>
    <n v="25"/>
    <n v="0"/>
    <n v="0"/>
    <n v="652049.99999999988"/>
    <n v="77624.999999999985"/>
    <n v="0"/>
    <n v="210"/>
    <n v="652049.99999999988"/>
    <n v="206565.12605042013"/>
    <n v="12"/>
    <n v="185"/>
    <n v="12"/>
    <n v="0"/>
    <m/>
    <n v="574424.99999999988"/>
    <n v="39329.999999999993"/>
    <n v="0"/>
    <n v="185"/>
    <n v="574424.99999999988"/>
    <n v="99151.260504201666"/>
  </r>
  <r>
    <s v="Xroad-Accesorios de Automovil"/>
    <x v="3"/>
    <x v="25"/>
    <x v="67"/>
    <s v="XRFUNCASUN-BK"/>
    <x v="597"/>
    <x v="436"/>
    <x v="0"/>
    <x v="2"/>
    <n v="1"/>
    <x v="370"/>
    <n v="65"/>
    <m/>
    <n v="0"/>
    <n v="24128.2"/>
    <n v="1568333"/>
    <n v="20"/>
    <n v="21850"/>
    <n v="50411.764705882357"/>
    <n v="50411.764705882357"/>
    <s v="Ningbo"/>
    <x v="0"/>
    <n v="30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0"/>
    <s v=""/>
    <n v="2"/>
    <n v="12"/>
    <s v=""/>
    <n v="0.6"/>
    <n v="11"/>
    <s v=""/>
    <n v="0.27500000000000002"/>
    <n v="0"/>
    <s v=""/>
    <n v="0"/>
    <n v="0"/>
    <n v="0"/>
    <n v="0"/>
    <n v="0"/>
    <m/>
    <n v="0"/>
    <n v="0"/>
    <n v="0"/>
    <n v="0"/>
    <n v="0"/>
    <n v="65"/>
    <n v="1568333"/>
    <n v="0"/>
    <n v="5"/>
    <n v="0"/>
    <n v="0"/>
    <n v="100"/>
    <n v="100"/>
    <n v="0"/>
    <n v="241282"/>
    <n v="0"/>
    <n v="0"/>
    <n v="0"/>
    <n v="65"/>
    <n v="1568333"/>
    <n v="0"/>
    <n v="0"/>
    <n v="0"/>
    <n v="0"/>
    <n v="0"/>
    <n v="0"/>
    <n v="655282"/>
    <n v="0"/>
    <n v="0"/>
    <n v="0"/>
    <n v="65"/>
    <n v="1568333"/>
    <n v="0"/>
    <n v="5"/>
    <n v="100"/>
    <n v="10"/>
    <n v="0"/>
    <n v="0"/>
    <n v="2070000"/>
    <n v="241282"/>
    <x v="0"/>
    <x v="0"/>
    <n v="65"/>
    <n v="1568333"/>
    <n v="504117.64705882355"/>
    <n v="20"/>
    <n v="77"/>
    <n v="20"/>
    <m/>
    <n v="0"/>
    <n v="0"/>
    <n v="1857871.4000000001"/>
    <n v="414000"/>
    <x v="0"/>
    <n v="0"/>
    <n v="65"/>
    <n v="1568333"/>
    <n v="1008235.2941176471"/>
    <n v="40"/>
    <n v="76"/>
    <n v="11"/>
    <m/>
    <n v="0"/>
    <n v="0"/>
    <n v="1833743.2"/>
    <n v="227700"/>
    <n v="0"/>
    <n v="0"/>
    <n v="76"/>
    <n v="1568333"/>
    <n v="554529.4117647059"/>
    <n v="15"/>
    <n v="65"/>
    <n v="15"/>
    <n v="100"/>
    <n v="0"/>
    <n v="0"/>
    <n v="1568333"/>
    <n v="310500"/>
    <n v="2001000"/>
    <n v="0"/>
    <n v="65"/>
    <n v="1568333"/>
    <n v="756176.4705882353"/>
    <n v="15"/>
    <n v="50"/>
    <n v="15"/>
    <n v="0"/>
    <n v="100"/>
    <n v="100"/>
    <n v="1206410"/>
    <n v="310500"/>
    <n v="0"/>
    <n v="2070000"/>
    <n v="150"/>
    <n v="1206410"/>
    <n v="756176.4705882353"/>
    <n v="15"/>
    <n v="135"/>
    <n v="15"/>
    <n v="0"/>
    <n v="0"/>
    <n v="100"/>
    <n v="2794500"/>
    <n v="310500"/>
    <n v="0"/>
    <n v="2070000"/>
    <n v="235"/>
    <n v="4864500"/>
    <n v="756176.4705882353"/>
    <n v="25"/>
    <n v="220"/>
    <n v="25"/>
    <n v="0"/>
    <n v="0"/>
    <n v="0"/>
    <m/>
    <n v="4554000"/>
    <n v="517500"/>
    <n v="0"/>
    <n v="0"/>
    <n v="220"/>
    <n v="4554000"/>
    <n v="1260294.117647059"/>
    <n v="20"/>
    <n v="195"/>
    <n v="20"/>
    <m/>
    <n v="0"/>
    <n v="4036500"/>
    <n v="414000"/>
    <n v="0"/>
    <n v="0"/>
    <n v="195"/>
    <n v="4036500"/>
    <n v="1058647.0588235294"/>
    <n v="30"/>
    <n v="175"/>
    <n v="30"/>
    <n v="0"/>
    <n v="0"/>
    <n v="3622500"/>
    <n v="621000"/>
    <n v="0"/>
    <n v="175"/>
    <n v="3622500"/>
    <n v="1512352.9411764706"/>
    <n v="12"/>
    <n v="145"/>
    <n v="12"/>
    <n v="0"/>
    <m/>
    <n v="3001500"/>
    <n v="289538.40000000002"/>
    <n v="0"/>
    <n v="145"/>
    <n v="3001500"/>
    <n v="604941.17647058831"/>
  </r>
  <r>
    <m/>
    <x v="3"/>
    <x v="25"/>
    <x v="68"/>
    <s v="XRCADCANRR"/>
    <x v="598"/>
    <x v="437"/>
    <x v="0"/>
    <x v="2"/>
    <n v="1"/>
    <x v="12"/>
    <n v="73"/>
    <m/>
    <n v="0"/>
    <n v="6562"/>
    <n v="479026"/>
    <n v="7.5"/>
    <n v="8193.75"/>
    <n v="33605.042016806721"/>
    <n v="29403.361344537818"/>
    <s v="Shenzhen"/>
    <x v="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80"/>
    <s v=""/>
    <n v="1.6"/>
    <n v="59"/>
    <s v=""/>
    <n v="0.65555555555555556"/>
    <n v="83"/>
    <s v=""/>
    <n v="0.69166666666666665"/>
    <n v="43"/>
    <s v=""/>
    <n v="0.71666666666666667"/>
    <n v="0"/>
    <n v="0"/>
    <n v="0"/>
    <n v="0"/>
    <m/>
    <n v="0"/>
    <n v="0"/>
    <n v="0"/>
    <n v="0"/>
    <n v="0"/>
    <n v="73"/>
    <n v="479026"/>
    <n v="0"/>
    <n v="5"/>
    <n v="0"/>
    <n v="0"/>
    <n v="300"/>
    <n v="300"/>
    <n v="0"/>
    <n v="524960"/>
    <n v="0"/>
    <n v="0"/>
    <n v="0"/>
    <n v="73"/>
    <n v="479026"/>
    <n v="0"/>
    <n v="0"/>
    <n v="0"/>
    <n v="0"/>
    <n v="0"/>
    <n v="0"/>
    <n v="1223585"/>
    <n v="0"/>
    <n v="0"/>
    <n v="0"/>
    <n v="73"/>
    <n v="479026"/>
    <n v="0"/>
    <n v="50"/>
    <n v="297"/>
    <n v="80"/>
    <n v="0"/>
    <n v="0"/>
    <n v="2305462.4999999995"/>
    <n v="524960"/>
    <x v="0"/>
    <x v="0"/>
    <n v="73"/>
    <n v="479026"/>
    <n v="2688403.3613445377"/>
    <n v="90"/>
    <n v="132"/>
    <n v="90"/>
    <m/>
    <n v="0"/>
    <n v="0"/>
    <n v="866184"/>
    <n v="698624.99999999988"/>
    <x v="0"/>
    <n v="0"/>
    <n v="73"/>
    <n v="479026"/>
    <n v="3024453.781512605"/>
    <n v="120"/>
    <n v="156"/>
    <n v="83"/>
    <m/>
    <n v="0"/>
    <n v="0"/>
    <n v="1023672"/>
    <n v="644287.49999999988"/>
    <n v="0"/>
    <n v="0"/>
    <n v="156"/>
    <n v="479026"/>
    <n v="2789218.4873949578"/>
    <n v="60"/>
    <n v="116"/>
    <n v="60"/>
    <n v="0"/>
    <n v="0"/>
    <n v="0"/>
    <n v="761192"/>
    <n v="465749.99999999994"/>
    <n v="0"/>
    <n v="0"/>
    <n v="116"/>
    <n v="479026"/>
    <n v="2016302.5210084033"/>
    <n v="60"/>
    <n v="56"/>
    <n v="60"/>
    <n v="300"/>
    <n v="300"/>
    <n v="0"/>
    <n v="367472"/>
    <n v="465749.99999999994"/>
    <n v="2328749.9999999995"/>
    <n v="0"/>
    <n v="356"/>
    <n v="2696221.9999999995"/>
    <n v="2016302.5210084033"/>
    <n v="60"/>
    <n v="0"/>
    <n v="60"/>
    <n v="0"/>
    <n v="0"/>
    <n v="300"/>
    <n v="0"/>
    <n v="465749.99999999994"/>
    <n v="0"/>
    <n v="2328749.9999999995"/>
    <n v="300"/>
    <n v="2328749.9999999995"/>
    <n v="2016302.5210084033"/>
    <n v="120"/>
    <n v="240"/>
    <n v="120"/>
    <n v="0"/>
    <n v="0"/>
    <n v="0"/>
    <m/>
    <n v="1862999.9999999998"/>
    <n v="931499.99999999988"/>
    <n v="0"/>
    <n v="0"/>
    <n v="240"/>
    <n v="1862999.9999999998"/>
    <n v="3528403.3613445382"/>
    <n v="100"/>
    <n v="120"/>
    <n v="100"/>
    <n v="300"/>
    <n v="300"/>
    <n v="931499.99999999988"/>
    <n v="776249.99999999988"/>
    <n v="2328749.9999999995"/>
    <n v="2328749.9999999995"/>
    <n v="420"/>
    <n v="3260249.9999999995"/>
    <n v="3087352.9411764713"/>
    <n v="140"/>
    <n v="320"/>
    <n v="140"/>
    <n v="0"/>
    <n v="0"/>
    <n v="2483999.9999999995"/>
    <n v="1086749.9999999998"/>
    <n v="0"/>
    <n v="320"/>
    <n v="2483999.9999999995"/>
    <n v="4704705.8823529407"/>
    <n v="60"/>
    <n v="180"/>
    <n v="60"/>
    <n v="0"/>
    <m/>
    <n v="1397249.9999999998"/>
    <n v="393720"/>
    <n v="0"/>
    <n v="180"/>
    <n v="1397249.9999999998"/>
    <n v="2016302.5210084033"/>
  </r>
  <r>
    <s v="Xroad-Herramientas y Mantenimiento"/>
    <x v="3"/>
    <x v="26"/>
    <x v="69"/>
    <s v="XRHYDLAV-OR"/>
    <x v="599"/>
    <x v="438"/>
    <x v="0"/>
    <x v="0"/>
    <n v="1"/>
    <x v="371"/>
    <n v="11"/>
    <m/>
    <n v="0"/>
    <n v="27471"/>
    <n v="302181"/>
    <n v="29"/>
    <n v="31682.499999999996"/>
    <n v="79871.848739495792"/>
    <n v="67891.07142857142"/>
    <s v="Shenzhen"/>
    <x v="0"/>
    <n v="30"/>
    <n v="5"/>
    <n v="0"/>
    <s v=""/>
    <n v="0"/>
    <s v=""/>
    <n v="0"/>
    <s v=""/>
    <n v="0"/>
    <s v=""/>
    <n v="0"/>
    <s v=""/>
    <n v="1"/>
    <n v="0.29327747095791279"/>
    <n v="3"/>
    <n v="0.4891001093728457"/>
    <n v="2"/>
    <n v="0.40593142565976759"/>
    <n v="15"/>
    <n v="0.42809777763864404"/>
    <n v="24"/>
    <n v="0.30778285667650263"/>
    <n v="6"/>
    <n v="0.48418555889804149"/>
    <n v="5"/>
    <n v="0.40534240393492676"/>
    <n v="10"/>
    <s v=""/>
    <n v="1"/>
    <s v=""/>
    <n v="5"/>
    <s v=""/>
    <n v="5"/>
    <s v=""/>
    <n v="1"/>
    <n v="2"/>
    <s v=""/>
    <n v="0.4"/>
    <n v="1"/>
    <s v=""/>
    <n v="0"/>
    <n v="0"/>
    <s v=""/>
    <n v="0"/>
    <n v="5"/>
    <n v="14"/>
    <n v="5"/>
    <n v="0"/>
    <m/>
    <n v="0"/>
    <n v="315916.5"/>
    <n v="420209.99999999994"/>
    <n v="137355"/>
    <n v="0"/>
    <n v="11"/>
    <n v="302181"/>
    <n v="335596.00310712523"/>
    <n v="5"/>
    <n v="15"/>
    <n v="1.5"/>
    <n v="15"/>
    <n v="15"/>
    <n v="0"/>
    <n v="315916.5"/>
    <n v="450224.99999999994"/>
    <n v="41206.5"/>
    <n v="0"/>
    <n v="11"/>
    <n v="302181"/>
    <n v="100678.80093213756"/>
    <n v="5"/>
    <n v="14"/>
    <n v="5"/>
    <n v="0"/>
    <n v="0"/>
    <n v="424785"/>
    <n v="384594"/>
    <n v="137355"/>
    <n v="0"/>
    <n v="11"/>
    <n v="302181"/>
    <n v="399359.24369747896"/>
    <n v="5"/>
    <n v="8"/>
    <n v="5"/>
    <n v="0"/>
    <n v="0"/>
    <n v="240119.99999999997"/>
    <n v="137355"/>
    <x v="0"/>
    <x v="0"/>
    <n v="11"/>
    <n v="302181"/>
    <n v="399359.24369747896"/>
    <n v="5"/>
    <n v="13"/>
    <n v="5"/>
    <m/>
    <n v="0"/>
    <n v="0"/>
    <n v="357123"/>
    <n v="150074.99999999997"/>
    <x v="0"/>
    <n v="0"/>
    <n v="11"/>
    <n v="302181"/>
    <n v="399359.24369747896"/>
    <n v="0"/>
    <n v="12"/>
    <n v="1"/>
    <m/>
    <n v="0"/>
    <n v="0"/>
    <n v="329652"/>
    <n v="30014.999999999996"/>
    <n v="0"/>
    <n v="0"/>
    <n v="12"/>
    <n v="302181"/>
    <n v="79871.848739495792"/>
    <n v="5"/>
    <n v="11"/>
    <n v="5"/>
    <n v="10"/>
    <n v="10"/>
    <n v="0"/>
    <n v="302181"/>
    <n v="150074.99999999997"/>
    <n v="290144.99999999994"/>
    <n v="0"/>
    <n v="11"/>
    <n v="302181"/>
    <n v="399359.24369747896"/>
    <n v="5"/>
    <n v="6"/>
    <n v="5"/>
    <n v="20"/>
    <n v="20"/>
    <n v="0"/>
    <n v="164826"/>
    <n v="150074.99999999997"/>
    <n v="600299.99999999988"/>
    <n v="0"/>
    <n v="26"/>
    <n v="765125.99999999988"/>
    <n v="399359.24369747896"/>
    <n v="10"/>
    <n v="1"/>
    <n v="10"/>
    <n v="20"/>
    <n v="20"/>
    <n v="20"/>
    <n v="30014.999999999996"/>
    <n v="300149.99999999994"/>
    <n v="600299.99999999988"/>
    <n v="600299.99999999988"/>
    <n v="21"/>
    <n v="630314.99999999988"/>
    <n v="798718.48739495792"/>
    <n v="15"/>
    <n v="11"/>
    <n v="11"/>
    <n v="0"/>
    <n v="0"/>
    <n v="0"/>
    <m/>
    <n v="330164.99999999994"/>
    <n v="330164.99999999994"/>
    <n v="0"/>
    <n v="0"/>
    <n v="11"/>
    <n v="330164.99999999994"/>
    <n v="746801.78571428568"/>
    <n v="15"/>
    <n v="0"/>
    <n v="15"/>
    <m/>
    <n v="0"/>
    <n v="0"/>
    <n v="450224.99999999994"/>
    <n v="0"/>
    <n v="0"/>
    <n v="0"/>
    <n v="0"/>
    <n v="1069284.375"/>
    <n v="15"/>
    <n v="0"/>
    <n v="15"/>
    <n v="0"/>
    <n v="0"/>
    <n v="0"/>
    <n v="450224.99999999994"/>
    <n v="0"/>
    <n v="0"/>
    <n v="0"/>
    <n v="1198077.7310924369"/>
    <n v="9"/>
    <n v="0"/>
    <n v="9"/>
    <n v="0"/>
    <m/>
    <n v="0"/>
    <n v="247239"/>
    <n v="0"/>
    <n v="0"/>
    <n v="0"/>
    <n v="718846.63865546207"/>
  </r>
  <r>
    <m/>
    <x v="3"/>
    <x v="26"/>
    <x v="70"/>
    <s v="XRPARTBAT-GR"/>
    <x v="600"/>
    <x v="439"/>
    <x v="0"/>
    <x v="3"/>
    <n v="1"/>
    <x v="372"/>
    <n v="106"/>
    <m/>
    <n v="0"/>
    <n v="24502"/>
    <n v="2597212"/>
    <n v="26"/>
    <n v="28404.999999999996"/>
    <n v="58815.126050420171"/>
    <n v="67218.487394957992"/>
    <s v="Ningbo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8340559381110257"/>
    <n v="39"/>
    <s v=""/>
    <n v="101"/>
    <s v=""/>
    <n v="4"/>
    <s v=""/>
    <n v="0"/>
    <s v=""/>
    <n v="0"/>
    <n v="0"/>
    <s v=""/>
    <n v="0"/>
    <n v="27"/>
    <s v=""/>
    <n v="0"/>
    <n v="47"/>
    <s v=""/>
    <n v="0.47"/>
    <n v="25"/>
    <n v="147"/>
    <n v="25"/>
    <n v="0"/>
    <n v="0"/>
    <n v="0"/>
    <n v="4422611"/>
    <n v="3955769.9999999995"/>
    <n v="612550"/>
    <n v="0"/>
    <n v="106"/>
    <n v="2597212"/>
    <n v="1235611.8918155499"/>
    <n v="25"/>
    <n v="109"/>
    <n v="151.5"/>
    <n v="0"/>
    <m/>
    <n v="0"/>
    <n v="3810061"/>
    <n v="2933189.9999999995"/>
    <n v="3712053"/>
    <n v="0"/>
    <n v="106"/>
    <n v="2597212"/>
    <n v="7487808.0644022319"/>
    <n v="10"/>
    <n v="4"/>
    <n v="4"/>
    <n v="0"/>
    <n v="0"/>
    <n v="98008"/>
    <n v="98008"/>
    <n v="98008"/>
    <n v="0"/>
    <n v="106"/>
    <n v="2597212"/>
    <n v="235260.50420168068"/>
    <n v="0"/>
    <n v="4"/>
    <n v="0"/>
    <n v="0"/>
    <n v="0"/>
    <n v="107639.99999999999"/>
    <n v="0"/>
    <x v="0"/>
    <x v="0"/>
    <n v="106"/>
    <n v="2597212"/>
    <n v="0"/>
    <n v="0"/>
    <n v="106"/>
    <n v="0"/>
    <m/>
    <n v="0"/>
    <n v="0"/>
    <n v="2597212"/>
    <n v="0"/>
    <x v="0"/>
    <n v="0"/>
    <n v="106"/>
    <n v="2597212"/>
    <n v="0"/>
    <n v="0"/>
    <n v="133"/>
    <n v="27"/>
    <m/>
    <n v="0"/>
    <n v="0"/>
    <n v="3258766"/>
    <n v="726569.99999999988"/>
    <n v="0"/>
    <n v="0"/>
    <n v="133"/>
    <n v="2597212"/>
    <n v="1588008.4033613447"/>
    <n v="100"/>
    <n v="153"/>
    <n v="100"/>
    <n v="150"/>
    <n v="150"/>
    <n v="0"/>
    <n v="3748806"/>
    <n v="2690999.9999999995"/>
    <n v="3901949.9999999995"/>
    <n v="0"/>
    <n v="153"/>
    <n v="2597212"/>
    <n v="5881512.6050420171"/>
    <n v="100"/>
    <n v="53"/>
    <n v="100"/>
    <n v="150"/>
    <n v="150"/>
    <n v="150"/>
    <n v="1298606"/>
    <n v="2690999.9999999995"/>
    <n v="4036499.9999999995"/>
    <n v="4036499.9999999995"/>
    <n v="203"/>
    <n v="5335106"/>
    <n v="5881512.6050420171"/>
    <n v="80"/>
    <n v="103"/>
    <n v="80"/>
    <n v="150"/>
    <n v="150"/>
    <n v="0"/>
    <n v="2771729.9999999995"/>
    <n v="2152799.9999999995"/>
    <n v="4036499.9999999995"/>
    <n v="0"/>
    <n v="103"/>
    <n v="2771729.9999999995"/>
    <n v="4705210.084033614"/>
    <n v="140"/>
    <n v="173"/>
    <n v="140"/>
    <n v="0"/>
    <n v="0"/>
    <n v="0"/>
    <n v="150"/>
    <n v="4655429.9999999991"/>
    <n v="3767399.9999999995"/>
    <n v="0"/>
    <n v="4036499.9999999995"/>
    <n v="173"/>
    <n v="8691929.9999999981"/>
    <n v="9410588.2352941185"/>
    <n v="100"/>
    <n v="33"/>
    <n v="100"/>
    <n v="150"/>
    <n v="150"/>
    <n v="888029.99999999988"/>
    <n v="2690999.9999999995"/>
    <n v="4036499.9999999995"/>
    <n v="4036499.9999999995"/>
    <n v="183"/>
    <n v="4924529.9999999991"/>
    <n v="7057941.1764705889"/>
    <n v="150"/>
    <n v="83"/>
    <n v="150"/>
    <n v="150"/>
    <n v="150"/>
    <n v="2233529.9999999995"/>
    <n v="4036499.9999999995"/>
    <n v="4036499.9999999995"/>
    <n v="233"/>
    <n v="6270029.9999999991"/>
    <n v="8822268.9075630251"/>
    <n v="60"/>
    <n v="83"/>
    <n v="60"/>
    <n v="150"/>
    <n v="150"/>
    <n v="2233529.9999999995"/>
    <n v="1470120"/>
    <n v="4036499.9999999995"/>
    <n v="233"/>
    <n v="6270029.9999999991"/>
    <n v="3528907.5630252101"/>
  </r>
  <r>
    <s v="Xroad-Accesorios de Viaje"/>
    <x v="3"/>
    <x v="27"/>
    <x v="71"/>
    <s v="XRCOOLPORT-GR"/>
    <x v="601"/>
    <x v="440"/>
    <x v="0"/>
    <x v="3"/>
    <n v="1"/>
    <x v="373"/>
    <n v="7"/>
    <m/>
    <n v="0"/>
    <n v="29925"/>
    <n v="209475"/>
    <n v="25"/>
    <n v="27312.499999999996"/>
    <n v="67218.487394957992"/>
    <n v="67218.487394957992"/>
    <s v="Ningbo"/>
    <x v="0"/>
    <n v="45"/>
    <n v="25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6"/>
    <n v="0.48369775923601777"/>
    <n v="69"/>
    <s v=""/>
    <n v="71"/>
    <s v=""/>
    <n v="0"/>
    <s v=""/>
    <n v="0"/>
    <s v=""/>
    <n v="0"/>
    <n v="1"/>
    <s v=""/>
    <n v="0"/>
    <n v="0"/>
    <s v=""/>
    <n v="0"/>
    <n v="0"/>
    <s v=""/>
    <n v="0"/>
    <n v="60"/>
    <n v="39"/>
    <n v="60"/>
    <n v="0"/>
    <n v="99"/>
    <n v="0"/>
    <n v="4982512.5"/>
    <n v="1009124.9999999999"/>
    <n v="1795500"/>
    <n v="0"/>
    <n v="7"/>
    <n v="209475"/>
    <n v="3389167.4316785545"/>
    <n v="40"/>
    <n v="70"/>
    <n v="106.5"/>
    <n v="0"/>
    <n v="0"/>
    <n v="0"/>
    <n v="3187012.5"/>
    <n v="1811249.9999999998"/>
    <n v="3187012.5"/>
    <n v="0"/>
    <n v="7"/>
    <n v="209475"/>
    <n v="6015772.1912294347"/>
    <n v="0"/>
    <n v="-1"/>
    <n v="0"/>
    <n v="0"/>
    <n v="0"/>
    <n v="0"/>
    <n v="-29925"/>
    <n v="0"/>
    <n v="0"/>
    <n v="7"/>
    <n v="209475"/>
    <n v="0"/>
    <n v="0"/>
    <n v="0"/>
    <n v="0"/>
    <n v="0"/>
    <n v="0"/>
    <n v="0"/>
    <n v="0"/>
    <x v="0"/>
    <x v="0"/>
    <n v="7"/>
    <n v="209475"/>
    <n v="0"/>
    <n v="0"/>
    <n v="8"/>
    <n v="0"/>
    <m/>
    <n v="0"/>
    <n v="0"/>
    <n v="239400"/>
    <n v="0"/>
    <x v="0"/>
    <n v="0"/>
    <n v="7"/>
    <n v="209475"/>
    <n v="0"/>
    <n v="0"/>
    <n v="7"/>
    <n v="0"/>
    <m/>
    <n v="0"/>
    <n v="0"/>
    <n v="209475"/>
    <n v="0"/>
    <n v="0"/>
    <n v="0"/>
    <n v="7"/>
    <n v="209475"/>
    <n v="0"/>
    <n v="30"/>
    <n v="7"/>
    <n v="30"/>
    <n v="250"/>
    <n v="250"/>
    <n v="0"/>
    <n v="209475"/>
    <n v="776249.99999999988"/>
    <n v="6253124.9999999991"/>
    <n v="0"/>
    <n v="7"/>
    <n v="209475"/>
    <n v="2016554.6218487397"/>
    <n v="50"/>
    <n v="0"/>
    <n v="50"/>
    <n v="0"/>
    <n v="0"/>
    <n v="250"/>
    <n v="0"/>
    <n v="1293749.9999999998"/>
    <n v="0"/>
    <n v="6468749.9999999991"/>
    <n v="0"/>
    <n v="0"/>
    <n v="3360924.3697478995"/>
    <n v="80"/>
    <n v="200"/>
    <n v="80"/>
    <n v="250"/>
    <n v="250"/>
    <n v="0"/>
    <n v="5174999.9999999991"/>
    <n v="2069999.9999999998"/>
    <n v="6468749.9999999991"/>
    <n v="0"/>
    <n v="200"/>
    <n v="5174999.9999999991"/>
    <n v="5377478.9915966392"/>
    <n v="100"/>
    <n v="370"/>
    <n v="100"/>
    <n v="0"/>
    <n v="0"/>
    <n v="0"/>
    <n v="250"/>
    <n v="9573749.9999999981"/>
    <n v="2587499.9999999995"/>
    <n v="0"/>
    <n v="6468749.9999999991"/>
    <n v="370"/>
    <n v="16042499.999999996"/>
    <n v="6721848.7394957989"/>
    <n v="120"/>
    <n v="270"/>
    <n v="120"/>
    <m/>
    <n v="0"/>
    <n v="6986249.9999999991"/>
    <n v="3104999.9999999995"/>
    <n v="0"/>
    <n v="0"/>
    <n v="270"/>
    <n v="6986249.9999999991"/>
    <n v="8469529.4117647074"/>
    <n v="200"/>
    <n v="150"/>
    <n v="200"/>
    <n v="250"/>
    <n v="250"/>
    <n v="3881249.9999999995"/>
    <n v="5174999.9999999991"/>
    <n v="6468749.9999999991"/>
    <n v="400"/>
    <n v="10349999.999999998"/>
    <n v="13443697.478991598"/>
    <n v="72"/>
    <n v="200"/>
    <n v="72"/>
    <n v="0"/>
    <m/>
    <n v="5174999.9999999991"/>
    <n v="2154600"/>
    <n v="0"/>
    <n v="200"/>
    <n v="5174999.9999999991"/>
    <n v="4839731.0924369758"/>
  </r>
  <r>
    <m/>
    <x v="3"/>
    <x v="27"/>
    <x v="71"/>
    <s v="XRCOOLPORT40-GR"/>
    <x v="602"/>
    <x v="441"/>
    <x v="0"/>
    <x v="2"/>
    <n v="1"/>
    <x v="12"/>
    <n v="0"/>
    <m/>
    <n v="0"/>
    <n v="37000"/>
    <n v="0"/>
    <n v="32.456140350877192"/>
    <n v="37000"/>
    <n v="93277.310924369755"/>
    <n v="79285.71428571429"/>
    <s v="Ningbo"/>
    <x v="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200"/>
    <n v="200"/>
    <n v="0"/>
    <n v="0"/>
    <n v="671842.10526315786"/>
    <n v="6718421.0526315784"/>
    <n v="0"/>
    <n v="0"/>
    <n v="0"/>
    <n v="1865546.218487395"/>
    <n v="40"/>
    <n v="200"/>
    <n v="40"/>
    <n v="0"/>
    <n v="0"/>
    <n v="0"/>
    <n v="200"/>
    <n v="6718421.0526315784"/>
    <n v="1343684.2105263157"/>
    <n v="0"/>
    <n v="6718421.0526315784"/>
    <n v="200"/>
    <n v="13436842.105263157"/>
    <n v="3171428.5714285718"/>
    <n v="60"/>
    <n v="160"/>
    <n v="60"/>
    <m/>
    <n v="0"/>
    <n v="5374736.8421052629"/>
    <n v="2015526.3157894737"/>
    <n v="0"/>
    <n v="0"/>
    <n v="160"/>
    <n v="5374736.8421052629"/>
    <n v="4995000"/>
    <n v="100"/>
    <n v="100"/>
    <n v="100"/>
    <n v="0"/>
    <n v="0"/>
    <n v="3359210.5263157892"/>
    <n v="3359210.5263157892"/>
    <n v="0"/>
    <n v="100"/>
    <n v="3359210.5263157892"/>
    <n v="9327731.0924369749"/>
    <n v="36"/>
    <n v="0"/>
    <n v="36"/>
    <n v="0"/>
    <m/>
    <n v="0"/>
    <n v="1332000"/>
    <n v="0"/>
    <n v="0"/>
    <n v="0"/>
    <n v="3357983.193277311"/>
  </r>
  <r>
    <m/>
    <x v="3"/>
    <x v="27"/>
    <x v="71"/>
    <s v="XRCOOLPORT20-GR"/>
    <x v="603"/>
    <x v="442"/>
    <x v="0"/>
    <x v="2"/>
    <n v="1"/>
    <x v="12"/>
    <n v="0"/>
    <m/>
    <n v="0"/>
    <n v="19000"/>
    <n v="0"/>
    <n v="16.666666666666668"/>
    <n v="19000"/>
    <n v="47899.159663865546"/>
    <n v="40714.28571428571"/>
    <s v="Ningbo"/>
    <x v="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7"/>
    <x v="71"/>
    <s v="XRCOOLPOR50-BK"/>
    <x v="604"/>
    <x v="443"/>
    <x v="0"/>
    <x v="2"/>
    <n v="1"/>
    <x v="12"/>
    <n v="0"/>
    <m/>
    <n v="0"/>
    <n v="38808"/>
    <n v="0"/>
    <n v="34.042105263157893"/>
    <n v="38808"/>
    <n v="97835.294117647063"/>
    <n v="83160"/>
    <s v="Ningbo"/>
    <x v="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200"/>
    <n v="200"/>
    <n v="0"/>
    <n v="0"/>
    <n v="704671.57894736831"/>
    <n v="7046715.7894736826"/>
    <n v="0"/>
    <n v="0"/>
    <n v="0"/>
    <n v="1956705.8823529412"/>
    <n v="50"/>
    <n v="200"/>
    <n v="50"/>
    <n v="0"/>
    <n v="0"/>
    <n v="0"/>
    <n v="200"/>
    <n v="7046715.7894736826"/>
    <n v="1761678.9473684207"/>
    <n v="0"/>
    <n v="7046715.7894736826"/>
    <n v="200"/>
    <n v="14093431.578947365"/>
    <n v="4158000"/>
    <n v="70"/>
    <n v="150"/>
    <n v="70"/>
    <m/>
    <n v="0"/>
    <n v="5285036.842105262"/>
    <n v="2466350.5263157887"/>
    <n v="0"/>
    <n v="0"/>
    <n v="150"/>
    <n v="5285036.842105262"/>
    <n v="6112260"/>
    <n v="120"/>
    <n v="80"/>
    <n v="120"/>
    <n v="0"/>
    <n v="0"/>
    <n v="2818686.3157894732"/>
    <n v="4228029.4736842094"/>
    <n v="0"/>
    <n v="80"/>
    <n v="2818686.3157894732"/>
    <n v="11740235.294117648"/>
    <n v="42"/>
    <n v="0"/>
    <n v="42"/>
    <n v="0"/>
    <m/>
    <n v="0"/>
    <n v="1629936"/>
    <n v="0"/>
    <n v="0"/>
    <n v="0"/>
    <n v="4109082.3529411769"/>
  </r>
  <r>
    <m/>
    <x v="3"/>
    <x v="27"/>
    <x v="71"/>
    <s v="XRCOOLPORTF40-GR"/>
    <x v="605"/>
    <x v="444"/>
    <x v="0"/>
    <x v="2"/>
    <n v="1"/>
    <x v="12"/>
    <n v="0"/>
    <m/>
    <n v="0"/>
    <n v="85848"/>
    <n v="0"/>
    <n v="75.305263157894743"/>
    <n v="85848"/>
    <n v="216423.52941176473"/>
    <n v="183960"/>
    <s v="Ningbo"/>
    <x v="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100"/>
    <n v="100"/>
    <n v="0"/>
    <n v="0"/>
    <n v="389704.73684210528"/>
    <n v="7794094.7368421052"/>
    <n v="0"/>
    <n v="0"/>
    <n v="0"/>
    <n v="1082117.6470588236"/>
    <n v="15"/>
    <n v="100"/>
    <n v="15"/>
    <n v="0"/>
    <n v="0"/>
    <n v="0"/>
    <n v="100"/>
    <n v="7794094.7368421052"/>
    <n v="1169114.2105263157"/>
    <n v="0"/>
    <n v="7794094.7368421052"/>
    <n v="100"/>
    <n v="15588189.47368421"/>
    <n v="2759400"/>
    <n v="25"/>
    <n v="85"/>
    <n v="25"/>
    <m/>
    <n v="0"/>
    <n v="6624980.5263157897"/>
    <n v="1948523.6842105263"/>
    <n v="0"/>
    <n v="0"/>
    <n v="85"/>
    <n v="6624980.5263157897"/>
    <n v="4828950"/>
    <n v="40"/>
    <n v="60"/>
    <n v="40"/>
    <n v="0"/>
    <n v="0"/>
    <n v="4676456.8421052629"/>
    <n v="3117637.8947368423"/>
    <n v="0"/>
    <n v="60"/>
    <n v="4676456.8421052629"/>
    <n v="8656941.1764705889"/>
    <n v="15"/>
    <n v="20"/>
    <n v="15"/>
    <n v="0"/>
    <m/>
    <n v="1558818.9473684211"/>
    <n v="1287720"/>
    <n v="0"/>
    <n v="20"/>
    <n v="1558818.9473684211"/>
    <n v="3246352.9411764708"/>
  </r>
  <r>
    <m/>
    <x v="3"/>
    <x v="27"/>
    <x v="71"/>
    <s v="XRESTAENER-OG"/>
    <x v="606"/>
    <x v="445"/>
    <x v="0"/>
    <x v="1"/>
    <n v="1"/>
    <x v="374"/>
    <n v="75"/>
    <m/>
    <n v="0"/>
    <n v="92122"/>
    <n v="6909150"/>
    <n v="92"/>
    <n v="100509.99999999999"/>
    <n v="168058.82352941178"/>
    <n v="109235.29411764706"/>
    <s v="Shenzhen"/>
    <x v="0"/>
    <n v="30"/>
    <n v="200"/>
    <n v="0"/>
    <s v=""/>
    <n v="1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1"/>
    <s v=""/>
    <n v="2"/>
    <s v=""/>
    <n v="0.13333333333333333"/>
    <n v="4"/>
    <s v=""/>
    <n v="0.8"/>
    <n v="11"/>
    <s v=""/>
    <n v="2.2000000000000002"/>
    <n v="7"/>
    <s v=""/>
    <n v="1.4"/>
    <n v="10"/>
    <n v="50"/>
    <n v="10"/>
    <n v="0"/>
    <n v="100"/>
    <n v="0"/>
    <n v="1013342"/>
    <n v="4760999.9999999991"/>
    <n v="921220"/>
    <n v="0"/>
    <n v="75"/>
    <n v="6909150"/>
    <n v="1412259.0212555612"/>
    <n v="10"/>
    <n v="48"/>
    <n v="0"/>
    <n v="0"/>
    <n v="0"/>
    <n v="0"/>
    <n v="276366"/>
    <n v="4570559.9999999991"/>
    <n v="0"/>
    <n v="0"/>
    <n v="75"/>
    <n v="6909150"/>
    <n v="0"/>
    <n v="10"/>
    <n v="95"/>
    <n v="1"/>
    <n v="0"/>
    <n v="0"/>
    <n v="752466"/>
    <n v="8751590"/>
    <n v="92122"/>
    <n v="0"/>
    <n v="75"/>
    <n v="6909150"/>
    <n v="168058.82352941178"/>
    <n v="15"/>
    <n v="97"/>
    <n v="2"/>
    <n v="0"/>
    <n v="0"/>
    <n v="9236339.9999999981"/>
    <n v="184244"/>
    <x v="0"/>
    <x v="0"/>
    <n v="75"/>
    <n v="6909150"/>
    <n v="336117.64705882355"/>
    <n v="5"/>
    <n v="79"/>
    <n v="5"/>
    <m/>
    <n v="0"/>
    <n v="0"/>
    <n v="7277638"/>
    <n v="476099.99999999994"/>
    <x v="0"/>
    <n v="0"/>
    <n v="75"/>
    <n v="6909150"/>
    <n v="840294.11764705891"/>
    <n v="5"/>
    <n v="86"/>
    <n v="11"/>
    <m/>
    <n v="0"/>
    <n v="0"/>
    <n v="7922492"/>
    <n v="1047419.9999999999"/>
    <n v="0"/>
    <n v="0"/>
    <n v="86"/>
    <n v="6909150"/>
    <n v="1848647.0588235296"/>
    <n v="5"/>
    <n v="82"/>
    <n v="5"/>
    <n v="0"/>
    <n v="0"/>
    <n v="0"/>
    <n v="7554004"/>
    <n v="476099.99999999994"/>
    <n v="0"/>
    <n v="0"/>
    <n v="82"/>
    <n v="6909150"/>
    <n v="840294.11764705891"/>
    <n v="5"/>
    <n v="77"/>
    <n v="5"/>
    <n v="0"/>
    <n v="0"/>
    <n v="0"/>
    <n v="7093394"/>
    <n v="476099.99999999994"/>
    <n v="0"/>
    <n v="0"/>
    <n v="77"/>
    <n v="7093394"/>
    <n v="840294.11764705891"/>
    <n v="5"/>
    <n v="72"/>
    <n v="5"/>
    <n v="0"/>
    <n v="0"/>
    <m/>
    <n v="6855839.9999999991"/>
    <n v="476099.99999999994"/>
    <n v="0"/>
    <n v="0"/>
    <n v="72"/>
    <n v="6855839.9999999991"/>
    <n v="840294.11764705891"/>
    <n v="5"/>
    <n v="67"/>
    <n v="5"/>
    <n v="0"/>
    <n v="0"/>
    <n v="0"/>
    <m/>
    <n v="6379739.9999999991"/>
    <n v="476099.99999999994"/>
    <n v="0"/>
    <n v="0"/>
    <n v="67"/>
    <n v="6379739.9999999991"/>
    <n v="546176.4705882353"/>
    <n v="5"/>
    <n v="62"/>
    <n v="5"/>
    <m/>
    <n v="0"/>
    <n v="5903639.9999999991"/>
    <n v="476099.99999999994"/>
    <n v="0"/>
    <n v="0"/>
    <n v="62"/>
    <n v="5903639.9999999991"/>
    <n v="573485.29411764711"/>
    <n v="5"/>
    <n v="57"/>
    <n v="5"/>
    <n v="0"/>
    <n v="0"/>
    <n v="5427539.9999999991"/>
    <n v="476099.99999999994"/>
    <n v="0"/>
    <n v="57"/>
    <n v="5427539.9999999991"/>
    <n v="840294.11764705891"/>
    <n v="3"/>
    <n v="52"/>
    <n v="3"/>
    <n v="0"/>
    <m/>
    <n v="4951439.9999999991"/>
    <n v="276366"/>
    <n v="0"/>
    <n v="52"/>
    <n v="4951439.9999999991"/>
    <n v="504176.4705882353"/>
  </r>
  <r>
    <m/>
    <x v="3"/>
    <x v="27"/>
    <x v="71"/>
    <s v="XRCARINF34-CL"/>
    <x v="607"/>
    <x v="446"/>
    <x v="0"/>
    <x v="2"/>
    <n v="1"/>
    <x v="12"/>
    <n v="0"/>
    <m/>
    <n v="0"/>
    <n v="164640"/>
    <n v="0"/>
    <n v="144.42105263157896"/>
    <n v="164640"/>
    <n v="415058.82352941181"/>
    <n v="352800"/>
    <s v="Shenzhen"/>
    <x v="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0"/>
    <n v="20"/>
    <n v="0"/>
    <n v="0"/>
    <n v="298951.57894736843"/>
    <n v="2989515.7894736845"/>
    <n v="0"/>
    <n v="0"/>
    <n v="0"/>
    <n v="830117.64705882361"/>
    <n v="5"/>
    <n v="20"/>
    <n v="5"/>
    <n v="0"/>
    <n v="0"/>
    <n v="0"/>
    <n v="20"/>
    <n v="2989515.7894736845"/>
    <n v="747378.94736842113"/>
    <n v="0"/>
    <n v="2989515.7894736845"/>
    <n v="20"/>
    <n v="5979031.578947369"/>
    <n v="1764000"/>
    <n v="7"/>
    <n v="15"/>
    <n v="7"/>
    <m/>
    <n v="0"/>
    <n v="2242136.8421052634"/>
    <n v="1046330.5263157894"/>
    <n v="0"/>
    <n v="0"/>
    <n v="15"/>
    <n v="2242136.8421052634"/>
    <n v="2593080"/>
    <n v="10"/>
    <n v="8"/>
    <n v="10"/>
    <n v="0"/>
    <n v="0"/>
    <n v="1195806.3157894737"/>
    <n v="1494757.8947368423"/>
    <n v="0"/>
    <n v="8"/>
    <n v="1195806.3157894737"/>
    <n v="4150588.2352941181"/>
    <n v="4.2"/>
    <n v="0"/>
    <n v="4.2"/>
    <n v="0"/>
    <m/>
    <n v="0"/>
    <n v="691488"/>
    <n v="0"/>
    <n v="0"/>
    <n v="0"/>
    <n v="1743247.0588235296"/>
  </r>
  <r>
    <m/>
    <x v="3"/>
    <x v="27"/>
    <x v="71"/>
    <s v="XRCARINF68-CL"/>
    <x v="608"/>
    <x v="447"/>
    <x v="0"/>
    <x v="2"/>
    <n v="1"/>
    <x v="12"/>
    <n v="0"/>
    <m/>
    <n v="0"/>
    <n v="211680"/>
    <n v="0"/>
    <n v="185.68421052631578"/>
    <n v="211680"/>
    <n v="533647.0588235294"/>
    <n v="453600"/>
    <s v="Shenzhen"/>
    <x v="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7"/>
    <x v="71"/>
    <s v="XRCARAA10-CL"/>
    <x v="609"/>
    <x v="448"/>
    <x v="0"/>
    <x v="2"/>
    <n v="1"/>
    <x v="12"/>
    <n v="0"/>
    <m/>
    <n v="0"/>
    <n v="94080"/>
    <n v="0"/>
    <n v="82.526315789473685"/>
    <n v="94080"/>
    <n v="237176.4705882353"/>
    <n v="201600"/>
    <s v="Shenzhen"/>
    <x v="0"/>
    <n v="30"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7"/>
    <x v="71"/>
    <s v="XRQUITCD-CL"/>
    <x v="610"/>
    <x v="449"/>
    <x v="0"/>
    <x v="2"/>
    <n v="1"/>
    <x v="12"/>
    <n v="0"/>
    <m/>
    <n v="0"/>
    <n v="9407.9999999999982"/>
    <n v="0"/>
    <n v="8.2526315789473674"/>
    <n v="9407.9999999999982"/>
    <n v="23717.647058823524"/>
    <n v="20159.999999999996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7"/>
    <x v="71"/>
    <s v="XRCOLINF2P-CL"/>
    <x v="611"/>
    <x v="450"/>
    <x v="0"/>
    <x v="2"/>
    <n v="1"/>
    <x v="12"/>
    <n v="0"/>
    <m/>
    <n v="0"/>
    <n v="19992"/>
    <n v="0"/>
    <n v="17.536842105263158"/>
    <n v="19992"/>
    <n v="50400"/>
    <n v="42840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7"/>
    <x v="71"/>
    <s v="XRCARRTRACT-CL"/>
    <x v="612"/>
    <x v="451"/>
    <x v="0"/>
    <x v="2"/>
    <n v="1"/>
    <x v="12"/>
    <n v="0"/>
    <m/>
    <n v="0"/>
    <n v="25650"/>
    <n v="0"/>
    <n v="22.5"/>
    <n v="25650"/>
    <n v="64663.865546218491"/>
    <n v="54964.285714285717"/>
    <s v="Shenzhen"/>
    <x v="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200"/>
    <n v="200"/>
    <n v="0"/>
    <n v="0"/>
    <n v="232875"/>
    <n v="4657500"/>
    <n v="0"/>
    <n v="0"/>
    <n v="0"/>
    <n v="646638.65546218492"/>
    <n v="25"/>
    <n v="200"/>
    <n v="25"/>
    <n v="0"/>
    <n v="0"/>
    <n v="0"/>
    <n v="200"/>
    <n v="4657500"/>
    <n v="582187.5"/>
    <n v="0"/>
    <n v="4657500"/>
    <n v="200"/>
    <n v="9315000"/>
    <n v="1374107.142857143"/>
    <n v="35"/>
    <n v="175"/>
    <n v="35"/>
    <m/>
    <n v="0"/>
    <n v="4075312.5"/>
    <n v="815062.5"/>
    <n v="0"/>
    <n v="0"/>
    <n v="175"/>
    <n v="4075312.5"/>
    <n v="2019937.5"/>
    <n v="60"/>
    <n v="140"/>
    <n v="60"/>
    <n v="0"/>
    <n v="0"/>
    <n v="3260250"/>
    <n v="1397250"/>
    <n v="0"/>
    <n v="140"/>
    <n v="3260250"/>
    <n v="3879831.9327731095"/>
    <n v="21"/>
    <n v="80"/>
    <n v="21"/>
    <n v="0"/>
    <m/>
    <n v="1863000"/>
    <n v="538650"/>
    <n v="0"/>
    <n v="80"/>
    <n v="1863000"/>
    <n v="1357941.1764705882"/>
  </r>
  <r>
    <s v="Dynamo-Herramientas Eléctricas"/>
    <x v="4"/>
    <x v="28"/>
    <x v="72"/>
    <s v="DYNHYDLA"/>
    <x v="613"/>
    <x v="452"/>
    <x v="0"/>
    <x v="6"/>
    <n v="1"/>
    <x v="12"/>
    <n v="4"/>
    <m/>
    <n v="0"/>
    <n v="32555"/>
    <n v="130220"/>
    <n v="28"/>
    <n v="30589.999999999996"/>
    <n v="58815.126050420171"/>
    <n v="58815.126050420171"/>
    <s v="Shenzhen"/>
    <x v="0"/>
    <n v="30"/>
    <n v="10"/>
    <n v="0"/>
    <s v=""/>
    <n v="0"/>
    <s v=""/>
    <n v="3"/>
    <n v="0.49678100883975562"/>
    <n v="7"/>
    <n v="0.4876330283904215"/>
    <n v="6"/>
    <n v="0.50664327096844597"/>
    <n v="16"/>
    <n v="0.44792825030162953"/>
    <n v="9"/>
    <n v="0.44298894474943573"/>
    <n v="17"/>
    <n v="0.38209696850003078"/>
    <n v="22"/>
    <n v="0.31337554109412724"/>
    <n v="41"/>
    <n v="0.24204445163412294"/>
    <n v="4"/>
    <n v="0.50006848973229878"/>
    <n v="6"/>
    <n v="0.32811408955039056"/>
    <n v="1"/>
    <s v=""/>
    <n v="25"/>
    <s v=""/>
    <n v="4"/>
    <s v=""/>
    <n v="0"/>
    <s v=""/>
    <n v="0"/>
    <n v="0"/>
    <s v=""/>
    <n v="0"/>
    <n v="1"/>
    <s v=""/>
    <n v="0"/>
    <n v="0"/>
    <s v=""/>
    <n v="0"/>
    <n v="15"/>
    <n v="34"/>
    <n v="5"/>
    <n v="0"/>
    <m/>
    <n v="0"/>
    <n v="1513807.5"/>
    <n v="985319.99999999988"/>
    <n v="162775"/>
    <n v="0"/>
    <n v="4"/>
    <n v="130220"/>
    <n v="247122.37836310995"/>
    <n v="10"/>
    <n v="33"/>
    <n v="37.5"/>
    <n v="0"/>
    <n v="0"/>
    <n v="0"/>
    <n v="1351032.5"/>
    <n v="956339.99999999988"/>
    <n v="1220812.5"/>
    <n v="0"/>
    <n v="4"/>
    <n v="130220"/>
    <n v="1853417.8377233248"/>
    <n v="10"/>
    <n v="5"/>
    <n v="4"/>
    <n v="0"/>
    <n v="0"/>
    <n v="130220"/>
    <n v="162775"/>
    <n v="130220"/>
    <n v="0"/>
    <n v="4"/>
    <n v="130220"/>
    <n v="235260.50420168068"/>
    <n v="5"/>
    <n v="2"/>
    <n v="0"/>
    <n v="0"/>
    <n v="0"/>
    <n v="57959.999999999993"/>
    <n v="0"/>
    <x v="0"/>
    <x v="0"/>
    <n v="4"/>
    <n v="130220"/>
    <n v="0"/>
    <n v="0"/>
    <n v="4"/>
    <n v="0"/>
    <m/>
    <n v="0"/>
    <n v="0"/>
    <n v="130220"/>
    <n v="0"/>
    <x v="0"/>
    <n v="0"/>
    <n v="4"/>
    <n v="130220"/>
    <n v="0"/>
    <n v="0"/>
    <n v="5"/>
    <n v="1"/>
    <m/>
    <n v="0"/>
    <n v="0"/>
    <n v="162775"/>
    <n v="28979.999999999996"/>
    <n v="0"/>
    <n v="0"/>
    <n v="5"/>
    <n v="130220"/>
    <n v="58815.126050420171"/>
    <n v="0"/>
    <n v="4"/>
    <n v="0"/>
    <n v="0"/>
    <n v="0"/>
    <n v="0"/>
    <n v="130220"/>
    <n v="0"/>
    <n v="0"/>
    <n v="0"/>
    <n v="4"/>
    <n v="130220"/>
    <n v="0"/>
    <n v="0"/>
    <n v="4"/>
    <n v="0"/>
    <n v="0"/>
    <n v="0"/>
    <n v="0"/>
    <n v="130220"/>
    <n v="0"/>
    <n v="0"/>
    <n v="0"/>
    <n v="4"/>
    <n v="130220"/>
    <n v="0"/>
    <n v="0"/>
    <n v="4"/>
    <n v="0"/>
    <n v="0"/>
    <n v="0"/>
    <m/>
    <n v="115919.99999999999"/>
    <n v="0"/>
    <n v="0"/>
    <n v="0"/>
    <n v="4"/>
    <n v="115919.99999999999"/>
    <n v="0"/>
    <n v="0"/>
    <n v="4"/>
    <n v="0"/>
    <n v="0"/>
    <n v="0"/>
    <n v="0"/>
    <m/>
    <n v="115919.99999999999"/>
    <n v="0"/>
    <n v="0"/>
    <n v="0"/>
    <n v="4"/>
    <n v="115919.99999999999"/>
    <n v="0"/>
    <n v="0"/>
    <n v="4"/>
    <n v="0"/>
    <n v="0"/>
    <n v="0"/>
    <n v="115919.99999999999"/>
    <n v="0"/>
    <n v="0"/>
    <n v="0"/>
    <n v="4"/>
    <n v="115919.99999999999"/>
    <n v="0"/>
    <n v="0"/>
    <n v="4"/>
    <n v="0"/>
    <n v="0"/>
    <n v="0"/>
    <n v="115919.99999999999"/>
    <n v="0"/>
    <n v="0"/>
    <n v="4"/>
    <n v="115919.99999999999"/>
    <n v="0"/>
    <n v="0"/>
    <n v="4"/>
    <n v="0"/>
    <n v="0"/>
    <m/>
    <n v="115919.99999999999"/>
    <n v="0"/>
    <n v="0"/>
    <n v="4"/>
    <n v="115919.99999999999"/>
    <n v="0"/>
  </r>
  <r>
    <s v="Dynamo-Herramientas Eléctricas"/>
    <x v="4"/>
    <x v="28"/>
    <x v="73"/>
    <s v="DYNLLAIMP"/>
    <x v="614"/>
    <x v="453"/>
    <x v="0"/>
    <x v="4"/>
    <n v="0.8"/>
    <x v="375"/>
    <n v="253"/>
    <m/>
    <n v="0"/>
    <n v="25908"/>
    <n v="6554724"/>
    <n v="23"/>
    <n v="25127.499999999996"/>
    <n v="50411.764705882357"/>
    <n v="42008.403361344543"/>
    <s v="Shenzhen"/>
    <x v="0"/>
    <n v="30"/>
    <n v="10"/>
    <n v="0"/>
    <s v=""/>
    <n v="0"/>
    <s v=""/>
    <n v="6"/>
    <n v="0.52754289554782419"/>
    <n v="2"/>
    <n v="0.52585059550216706"/>
    <n v="7"/>
    <n v="0.46285666575539303"/>
    <n v="37"/>
    <n v="0.44398490684960235"/>
    <n v="11"/>
    <n v="0.46167903357489032"/>
    <n v="7"/>
    <n v="0.38939241017411119"/>
    <n v="24"/>
    <n v="0.47812184832163696"/>
    <n v="160"/>
    <n v="0.32176856962226985"/>
    <n v="57"/>
    <n v="0.47359359111634119"/>
    <n v="15"/>
    <n v="0.42257521144732657"/>
    <n v="29"/>
    <s v=""/>
    <n v="8"/>
    <s v=""/>
    <n v="5"/>
    <s v=""/>
    <n v="0"/>
    <s v=""/>
    <n v="0"/>
    <n v="2"/>
    <s v=""/>
    <n v="0.08"/>
    <n v="6"/>
    <s v=""/>
    <n v="0.13333333333333333"/>
    <n v="1"/>
    <s v=""/>
    <n v="2.5000000000000001E-2"/>
    <n v="35"/>
    <n v="98"/>
    <n v="15"/>
    <n v="0"/>
    <m/>
    <n v="0"/>
    <n v="829056"/>
    <n v="2332889.9999999995"/>
    <n v="388620"/>
    <n v="0"/>
    <n v="253"/>
    <n v="6554724"/>
    <n v="635442.41225902131"/>
    <n v="25"/>
    <n v="70"/>
    <n v="12"/>
    <n v="0"/>
    <n v="0"/>
    <n v="0"/>
    <n v="440436"/>
    <n v="1666349.9999999998"/>
    <n v="310896"/>
    <n v="0"/>
    <n v="253"/>
    <n v="6554724"/>
    <n v="508353.92980721709"/>
    <n v="24"/>
    <n v="61"/>
    <n v="5"/>
    <n v="0"/>
    <n v="0"/>
    <n v="605640"/>
    <n v="1580388"/>
    <n v="129540"/>
    <n v="0"/>
    <n v="253"/>
    <n v="6554724"/>
    <n v="252058.82352941178"/>
    <n v="20"/>
    <n v="57"/>
    <n v="0"/>
    <n v="0"/>
    <n v="0"/>
    <n v="1356884.9999999998"/>
    <n v="0"/>
    <x v="0"/>
    <x v="0"/>
    <n v="253"/>
    <n v="6554724"/>
    <n v="0"/>
    <n v="25"/>
    <n v="255"/>
    <n v="20"/>
    <n v="50"/>
    <n v="50"/>
    <n v="0"/>
    <n v="6606540"/>
    <n v="476099.99999999994"/>
    <x v="28"/>
    <n v="0"/>
    <n v="253"/>
    <n v="6554724"/>
    <n v="1008235.2941176471"/>
    <n v="45"/>
    <n v="259"/>
    <n v="6"/>
    <m/>
    <n v="50"/>
    <n v="0"/>
    <n v="6710172"/>
    <n v="142829.99999999997"/>
    <n v="0"/>
    <n v="0"/>
    <n v="259"/>
    <n v="6554724"/>
    <n v="302470.58823529416"/>
    <n v="40"/>
    <n v="254"/>
    <n v="32"/>
    <n v="150"/>
    <n v="150"/>
    <n v="0"/>
    <n v="6580632"/>
    <n v="761759.99999999988"/>
    <n v="3451725"/>
    <n v="0"/>
    <n v="254"/>
    <n v="6554724"/>
    <n v="1613176.4705882354"/>
    <n v="30"/>
    <n v="222"/>
    <n v="24"/>
    <n v="0"/>
    <n v="0"/>
    <n v="0"/>
    <n v="5751576"/>
    <n v="571319.99999999988"/>
    <n v="0"/>
    <n v="0"/>
    <n v="222"/>
    <n v="5751576"/>
    <n v="1209882.3529411766"/>
    <n v="35"/>
    <n v="198"/>
    <n v="28"/>
    <n v="0"/>
    <n v="0"/>
    <m/>
    <n v="4713389.9999999991"/>
    <n v="666539.99999999988"/>
    <n v="0"/>
    <n v="0"/>
    <n v="198"/>
    <n v="4713389.9999999991"/>
    <n v="1411529.411764706"/>
    <n v="150"/>
    <n v="170"/>
    <n v="120"/>
    <n v="0"/>
    <n v="0"/>
    <n v="0"/>
    <m/>
    <n v="4046849.9999999995"/>
    <n v="2856599.9999999995"/>
    <n v="0"/>
    <n v="0"/>
    <n v="170"/>
    <n v="4046849.9999999995"/>
    <n v="5041008.4033613447"/>
    <n v="60"/>
    <n v="50"/>
    <n v="48"/>
    <n v="0"/>
    <n v="0"/>
    <n v="1190249.9999999998"/>
    <n v="1142639.9999999998"/>
    <n v="0"/>
    <n v="0"/>
    <n v="50"/>
    <n v="1190249.9999999998"/>
    <n v="2117223.5294117653"/>
    <n v="100"/>
    <n v="2"/>
    <n v="80"/>
    <n v="0"/>
    <n v="0"/>
    <n v="47609.999999999993"/>
    <n v="1904399.9999999998"/>
    <n v="0"/>
    <n v="2"/>
    <n v="47609.999999999993"/>
    <n v="4032941.1764705884"/>
    <n v="36"/>
    <n v="0"/>
    <n v="28.8"/>
    <n v="0"/>
    <m/>
    <n v="0"/>
    <n v="746150.40000000002"/>
    <n v="0"/>
    <n v="0"/>
    <n v="0"/>
    <n v="1451858.8235294118"/>
  </r>
  <r>
    <s v="Dynamo-Herramientas Eléctricas"/>
    <x v="4"/>
    <x v="28"/>
    <x v="73"/>
    <s v="DYNTALSPER"/>
    <x v="615"/>
    <x v="454"/>
    <x v="0"/>
    <x v="3"/>
    <n v="1.3"/>
    <x v="376"/>
    <n v="285"/>
    <m/>
    <n v="0"/>
    <n v="10942"/>
    <n v="3118470"/>
    <n v="10.5"/>
    <n v="11471.25"/>
    <n v="25201.680672268907"/>
    <n v="21000"/>
    <s v="Shenzhen"/>
    <x v="0"/>
    <n v="30"/>
    <n v="10"/>
    <n v="0"/>
    <s v=""/>
    <n v="0"/>
    <s v=""/>
    <n v="17"/>
    <n v="0.60685429756168952"/>
    <n v="34"/>
    <n v="0.57350964292203932"/>
    <n v="50"/>
    <n v="0.57716497048117599"/>
    <n v="200"/>
    <n v="0.58377007907441558"/>
    <n v="167"/>
    <n v="0.53848776344655647"/>
    <n v="202"/>
    <n v="0.51023856537886547"/>
    <n v="76"/>
    <n v="0.55947208342615895"/>
    <n v="107"/>
    <n v="0.58549391423959196"/>
    <n v="62"/>
    <n v="0.53597488386935865"/>
    <n v="139"/>
    <n v="0.56957551828935149"/>
    <n v="99"/>
    <s v=""/>
    <n v="33"/>
    <s v=""/>
    <n v="26"/>
    <s v=""/>
    <n v="55"/>
    <s v=""/>
    <n v="1.8333333333333333"/>
    <n v="176"/>
    <s v=""/>
    <n v="2.5142857142857142"/>
    <n v="199"/>
    <s v=""/>
    <n v="0.995"/>
    <n v="138"/>
    <s v=""/>
    <n v="0.86250000000000004"/>
    <n v="75"/>
    <n v="126"/>
    <n v="120"/>
    <n v="0"/>
    <m/>
    <n v="0"/>
    <n v="2139161"/>
    <n v="1369305"/>
    <n v="1313040"/>
    <n v="0"/>
    <n v="285"/>
    <n v="3118470"/>
    <n v="2541345.950144764"/>
    <n v="6"/>
    <n v="48"/>
    <n v="49.5"/>
    <n v="300"/>
    <n v="300"/>
    <n v="0"/>
    <n v="1427931"/>
    <n v="521640"/>
    <n v="541629"/>
    <n v="0"/>
    <n v="285"/>
    <n v="3118470"/>
    <n v="1048305.2044347152"/>
    <n v="120"/>
    <n v="311"/>
    <n v="26"/>
    <n v="0"/>
    <n v="0"/>
    <n v="1875244.5"/>
    <n v="3402962"/>
    <n v="284492"/>
    <n v="0"/>
    <n v="285"/>
    <n v="3118470"/>
    <n v="655243.69747899158"/>
    <n v="30"/>
    <n v="286"/>
    <n v="55"/>
    <n v="0"/>
    <n v="0"/>
    <n v="3108105"/>
    <n v="601810"/>
    <x v="0"/>
    <x v="0"/>
    <n v="285"/>
    <n v="3118470"/>
    <n v="1386092.4369747899"/>
    <n v="70"/>
    <n v="461"/>
    <n v="91"/>
    <n v="70"/>
    <n v="70"/>
    <n v="0"/>
    <n v="5044262"/>
    <n v="988942.5"/>
    <x v="29"/>
    <n v="0"/>
    <n v="285"/>
    <n v="3118470"/>
    <n v="2293352.9411764704"/>
    <n v="200"/>
    <n v="484"/>
    <n v="199"/>
    <m/>
    <n v="70"/>
    <n v="0"/>
    <n v="5295928"/>
    <n v="2162632.5"/>
    <n v="0"/>
    <n v="0"/>
    <n v="484"/>
    <n v="3118470"/>
    <n v="5015134.4537815126"/>
    <n v="160"/>
    <n v="423"/>
    <n v="208"/>
    <n v="400"/>
    <n v="400"/>
    <n v="0"/>
    <n v="4628466"/>
    <n v="2260440"/>
    <n v="4202100"/>
    <n v="0"/>
    <n v="423"/>
    <n v="3118470"/>
    <n v="5241949.5798319327"/>
    <n v="200"/>
    <n v="215"/>
    <n v="260"/>
    <n v="150"/>
    <n v="150"/>
    <n v="0"/>
    <n v="2352530"/>
    <n v="2825550"/>
    <n v="1630125"/>
    <n v="0"/>
    <n v="365"/>
    <n v="3982655"/>
    <n v="6552436.9747899156"/>
    <n v="120"/>
    <n v="0"/>
    <n v="156"/>
    <n v="0"/>
    <n v="0"/>
    <n v="150"/>
    <n v="0"/>
    <n v="1695330"/>
    <n v="0"/>
    <n v="1630125"/>
    <n v="150"/>
    <n v="1630125"/>
    <n v="3931462.1848739497"/>
    <n v="150"/>
    <n v="0"/>
    <n v="0"/>
    <n v="300"/>
    <n v="300"/>
    <n v="300"/>
    <n v="0"/>
    <n v="0"/>
    <n v="0"/>
    <n v="3260250"/>
    <n v="3260250"/>
    <n v="300"/>
    <n v="3260250"/>
    <n v="0"/>
    <n v="100"/>
    <n v="300"/>
    <n v="130"/>
    <n v="0"/>
    <n v="0"/>
    <n v="3260250"/>
    <n v="1412775"/>
    <n v="0"/>
    <n v="0"/>
    <n v="300"/>
    <n v="3260250"/>
    <n v="2866500"/>
    <n v="150"/>
    <n v="170"/>
    <n v="195"/>
    <n v="200"/>
    <n v="200"/>
    <n v="1847475"/>
    <n v="2119162.5"/>
    <n v="2173500"/>
    <n v="370"/>
    <n v="4020975"/>
    <n v="4914327.7310924372"/>
    <n v="60"/>
    <n v="175"/>
    <n v="78"/>
    <n v="0"/>
    <m/>
    <n v="1901812.5"/>
    <n v="853476"/>
    <n v="0"/>
    <n v="175"/>
    <n v="1901812.5"/>
    <n v="1965731.0924369749"/>
  </r>
  <r>
    <s v="Dynamo-Herramientas Eléctricas"/>
    <x v="4"/>
    <x v="28"/>
    <x v="73"/>
    <s v="DYNTALSCA"/>
    <x v="616"/>
    <x v="454"/>
    <x v="0"/>
    <x v="3"/>
    <n v="0.6"/>
    <x v="377"/>
    <n v="292"/>
    <m/>
    <n v="0"/>
    <n v="8631"/>
    <n v="2520252"/>
    <n v="8"/>
    <n v="8740"/>
    <n v="16798.319327731093"/>
    <n v="16798.319327731093"/>
    <s v="Shenzhen"/>
    <x v="0"/>
    <n v="30"/>
    <n v="10"/>
    <n v="0"/>
    <s v=""/>
    <n v="0"/>
    <s v=""/>
    <n v="27"/>
    <n v="0.51730637760918508"/>
    <n v="96"/>
    <n v="0.54004138366037702"/>
    <n v="19"/>
    <n v="0.53980952380952385"/>
    <n v="0"/>
    <n v="0.58814761904761903"/>
    <n v="7"/>
    <n v="0.59735547982405213"/>
    <n v="26"/>
    <n v="0.53168141314176653"/>
    <n v="46"/>
    <n v="0.4935942388139592"/>
    <n v="218"/>
    <n v="0.45399292469987912"/>
    <n v="98"/>
    <n v="0.4715067341361987"/>
    <n v="48"/>
    <n v="0.48784999566298581"/>
    <n v="97"/>
    <s v=""/>
    <n v="186"/>
    <s v=""/>
    <n v="15"/>
    <s v=""/>
    <n v="3"/>
    <s v=""/>
    <n v="0.15"/>
    <n v="1"/>
    <s v=""/>
    <n v="1.4285714285714285E-2"/>
    <n v="212"/>
    <s v=""/>
    <n v="1.4133333333333333"/>
    <n v="60"/>
    <s v=""/>
    <n v="0.5"/>
    <n v="50"/>
    <n v="308"/>
    <n v="60"/>
    <n v="0"/>
    <m/>
    <n v="0"/>
    <n v="3055374"/>
    <n v="2550240"/>
    <n v="517860"/>
    <n v="0"/>
    <n v="292"/>
    <n v="2520252"/>
    <n v="846974.08375114761"/>
    <n v="50"/>
    <n v="211"/>
    <n v="279"/>
    <n v="150"/>
    <n v="0"/>
    <n v="0"/>
    <n v="2563407"/>
    <n v="1747080"/>
    <n v="2408049"/>
    <n v="0"/>
    <n v="292"/>
    <n v="2520252"/>
    <n v="3938429.4894428365"/>
    <n v="280"/>
    <n v="6"/>
    <n v="15"/>
    <n v="0"/>
    <n v="0"/>
    <n v="503118"/>
    <n v="51786"/>
    <n v="129465"/>
    <n v="0"/>
    <n v="292"/>
    <n v="2520252"/>
    <n v="251974.78991596639"/>
    <n v="20"/>
    <n v="5"/>
    <n v="3"/>
    <n v="0"/>
    <n v="0"/>
    <n v="41400"/>
    <n v="25893"/>
    <x v="0"/>
    <x v="0"/>
    <n v="292"/>
    <n v="2520252"/>
    <n v="50394.957983193279"/>
    <n v="70"/>
    <n v="293"/>
    <n v="42"/>
    <n v="100"/>
    <n v="100"/>
    <n v="0"/>
    <n v="2528883"/>
    <n v="347760"/>
    <x v="30"/>
    <n v="0"/>
    <n v="292"/>
    <n v="2520252"/>
    <n v="705529.4117647059"/>
    <n v="150"/>
    <n v="504"/>
    <n v="212"/>
    <m/>
    <n v="250"/>
    <n v="0"/>
    <n v="4350024"/>
    <n v="1755360"/>
    <n v="0"/>
    <n v="0"/>
    <n v="504"/>
    <n v="2520252"/>
    <n v="3561243.6974789919"/>
    <n v="120"/>
    <n v="352"/>
    <n v="72"/>
    <n v="250"/>
    <n v="250"/>
    <n v="0"/>
    <n v="3038112"/>
    <n v="596160"/>
    <n v="2000999.9999999998"/>
    <n v="0"/>
    <n v="352"/>
    <n v="2520252"/>
    <n v="1209478.9915966387"/>
    <n v="50"/>
    <n v="280"/>
    <n v="30"/>
    <n v="100"/>
    <n v="100"/>
    <n v="0"/>
    <n v="2416680"/>
    <n v="248400"/>
    <n v="828000"/>
    <n v="0"/>
    <n v="380"/>
    <n v="3244680"/>
    <n v="503949.57983193279"/>
    <n v="50"/>
    <n v="250"/>
    <n v="30"/>
    <n v="0"/>
    <n v="0"/>
    <n v="100"/>
    <n v="2070000"/>
    <n v="248400"/>
    <n v="0"/>
    <n v="828000"/>
    <n v="350"/>
    <n v="2898000"/>
    <n v="503949.57983193279"/>
    <n v="210"/>
    <n v="320"/>
    <n v="126"/>
    <n v="0"/>
    <n v="0"/>
    <n v="0"/>
    <m/>
    <n v="2649600"/>
    <n v="1043280"/>
    <n v="0"/>
    <n v="0"/>
    <n v="320"/>
    <n v="2649600"/>
    <n v="2116588.2352941176"/>
    <n v="210"/>
    <n v="194"/>
    <n v="126"/>
    <n v="0"/>
    <n v="0"/>
    <n v="1606320"/>
    <n v="1043280"/>
    <n v="0"/>
    <n v="0"/>
    <n v="194"/>
    <n v="1606320"/>
    <n v="2222417.6470588236"/>
    <n v="210"/>
    <n v="68"/>
    <n v="126"/>
    <n v="0"/>
    <n v="0"/>
    <n v="563040"/>
    <n v="1043280"/>
    <n v="0"/>
    <n v="68"/>
    <n v="563040"/>
    <n v="2116588.2352941176"/>
    <n v="126"/>
    <n v="0"/>
    <n v="75.599999999999994"/>
    <n v="0"/>
    <m/>
    <n v="0"/>
    <n v="652503.6"/>
    <n v="0"/>
    <n v="0"/>
    <n v="0"/>
    <n v="1269952.9411764706"/>
  </r>
  <r>
    <s v="Dynamo-Herramientas Eléctricas"/>
    <x v="4"/>
    <x v="28"/>
    <x v="73"/>
    <s v="DYNTALPOW"/>
    <x v="617"/>
    <x v="455"/>
    <x v="0"/>
    <x v="3"/>
    <n v="0.8"/>
    <x v="378"/>
    <n v="142"/>
    <m/>
    <n v="0"/>
    <n v="25079"/>
    <n v="3561218"/>
    <n v="23.5"/>
    <n v="25673.749999999996"/>
    <n v="50411.764705882357"/>
    <n v="42008.403361344543"/>
    <s v="Shenzhen"/>
    <x v="0"/>
    <n v="30"/>
    <n v="10"/>
    <n v="0"/>
    <s v=""/>
    <n v="0"/>
    <s v=""/>
    <n v="19"/>
    <n v="0.43152351753833612"/>
    <n v="15"/>
    <n v="0.46367055949311625"/>
    <n v="7"/>
    <n v="0.51726689035175144"/>
    <n v="32"/>
    <n v="0.45815215021612288"/>
    <n v="7"/>
    <n v="0.50671127673524186"/>
    <n v="26"/>
    <n v="0.49170606072598344"/>
    <n v="16"/>
    <n v="0.38261900023129392"/>
    <n v="34"/>
    <n v="0.43928978166320648"/>
    <n v="27"/>
    <n v="0.48645308703332474"/>
    <n v="25"/>
    <n v="0.49918338592689138"/>
    <n v="22"/>
    <s v=""/>
    <n v="35"/>
    <s v=""/>
    <n v="23"/>
    <s v=""/>
    <n v="12"/>
    <s v=""/>
    <n v="0.8"/>
    <n v="4"/>
    <s v=""/>
    <n v="0.26666666666666666"/>
    <n v="33"/>
    <s v=""/>
    <n v="0.82499999999999996"/>
    <n v="10"/>
    <s v=""/>
    <n v="0.4"/>
    <n v="20"/>
    <n v="88"/>
    <n v="16"/>
    <n v="0"/>
    <m/>
    <n v="0"/>
    <n v="2294728.5"/>
    <n v="2140379.9999999995"/>
    <n v="401264"/>
    <n v="0"/>
    <n v="142"/>
    <n v="3561218"/>
    <n v="677805.23974295612"/>
    <n v="15"/>
    <n v="75"/>
    <n v="52.5"/>
    <n v="50"/>
    <n v="0"/>
    <n v="0"/>
    <n v="2194412.5"/>
    <n v="1824187.4999999998"/>
    <n v="1316647.5"/>
    <n v="0"/>
    <n v="142"/>
    <n v="3561218"/>
    <n v="2224048.4429065748"/>
    <n v="50"/>
    <n v="30"/>
    <n v="23"/>
    <n v="0"/>
    <n v="0"/>
    <n v="1169635"/>
    <n v="752370"/>
    <n v="576817"/>
    <n v="0"/>
    <n v="142"/>
    <n v="3561218"/>
    <n v="1159470.5882352942"/>
    <n v="15"/>
    <n v="25"/>
    <n v="12"/>
    <n v="0"/>
    <n v="0"/>
    <n v="608062.49999999988"/>
    <n v="300948"/>
    <x v="0"/>
    <x v="0"/>
    <n v="142"/>
    <n v="3561218"/>
    <n v="604941.17647058831"/>
    <n v="15"/>
    <n v="146"/>
    <n v="12"/>
    <n v="30"/>
    <n v="30"/>
    <n v="0"/>
    <n v="3661534"/>
    <n v="291869.99999999994"/>
    <x v="31"/>
    <n v="0"/>
    <n v="142"/>
    <n v="3561218"/>
    <n v="604941.17647058831"/>
    <n v="40"/>
    <n v="175"/>
    <n v="33"/>
    <m/>
    <n v="80"/>
    <n v="0"/>
    <n v="4388825"/>
    <n v="802642.49999999988"/>
    <n v="0"/>
    <n v="0"/>
    <n v="175"/>
    <n v="3561218"/>
    <n v="1663588.2352941178"/>
    <n v="25"/>
    <n v="152"/>
    <n v="20"/>
    <n v="100"/>
    <n v="100"/>
    <n v="0"/>
    <n v="3812008"/>
    <n v="486449.99999999994"/>
    <n v="2351175"/>
    <n v="0"/>
    <n v="152"/>
    <n v="3561218"/>
    <n v="1008235.2941176471"/>
    <n v="30"/>
    <n v="132"/>
    <n v="24"/>
    <n v="0"/>
    <n v="0"/>
    <n v="0"/>
    <n v="3310428"/>
    <n v="583739.99999999988"/>
    <n v="0"/>
    <n v="0"/>
    <n v="132"/>
    <n v="3310428"/>
    <n v="1209882.3529411766"/>
    <n v="16"/>
    <n v="108"/>
    <n v="12.8"/>
    <n v="0"/>
    <n v="0"/>
    <m/>
    <n v="2626829.9999999995"/>
    <n v="311327.99999999994"/>
    <n v="0"/>
    <n v="0"/>
    <n v="108"/>
    <n v="2626829.9999999995"/>
    <n v="645270.58823529421"/>
    <n v="35"/>
    <n v="95.2"/>
    <n v="28"/>
    <n v="0"/>
    <n v="0"/>
    <n v="0"/>
    <m/>
    <n v="2315501.9999999995"/>
    <n v="681029.99999999988"/>
    <n v="0"/>
    <n v="0"/>
    <n v="95.2"/>
    <n v="2315501.9999999995"/>
    <n v="1176235.2941176472"/>
    <n v="25"/>
    <n v="67.2"/>
    <n v="20"/>
    <n v="0"/>
    <n v="0"/>
    <n v="1634471.9999999998"/>
    <n v="486449.99999999994"/>
    <n v="0"/>
    <n v="0"/>
    <n v="67.2"/>
    <n v="1634471.9999999998"/>
    <n v="882176.47058823542"/>
    <n v="30"/>
    <n v="47.2"/>
    <n v="24"/>
    <n v="0"/>
    <n v="0"/>
    <n v="1148022"/>
    <n v="583739.99999999988"/>
    <n v="0"/>
    <n v="47.2"/>
    <n v="1148022"/>
    <n v="1209882.3529411766"/>
    <n v="15"/>
    <n v="23.200000000000003"/>
    <n v="12"/>
    <n v="0"/>
    <m/>
    <n v="564282"/>
    <n v="300948"/>
    <n v="0"/>
    <n v="23.200000000000003"/>
    <n v="564282"/>
    <n v="604941.17647058831"/>
  </r>
  <r>
    <s v="Dynamo-Herramientas Eléctricas"/>
    <x v="4"/>
    <x v="28"/>
    <x v="73"/>
    <s v="DYNTALCPER"/>
    <x v="618"/>
    <x v="456"/>
    <x v="0"/>
    <x v="0"/>
    <n v="1.5"/>
    <x v="379"/>
    <n v="138"/>
    <m/>
    <n v="0"/>
    <n v="11893"/>
    <n v="1641234"/>
    <n v="11"/>
    <n v="12017.499999999998"/>
    <n v="25201.680672268907"/>
    <n v="22680.672268907565"/>
    <s v="Shenzhen"/>
    <x v="0"/>
    <n v="30"/>
    <n v="10"/>
    <n v="0"/>
    <s v=""/>
    <n v="0"/>
    <s v=""/>
    <n v="9"/>
    <n v="0.63132888758306105"/>
    <n v="25"/>
    <n v="0.66801694562974478"/>
    <n v="24"/>
    <n v="0.67559843606032244"/>
    <n v="45"/>
    <n v="0.5472369533656074"/>
    <n v="21"/>
    <n v="0.66167569696266615"/>
    <n v="21"/>
    <n v="0.59560395502593577"/>
    <n v="61"/>
    <n v="0.53541656611185184"/>
    <n v="140"/>
    <n v="0.48195229527776356"/>
    <n v="99"/>
    <n v="0.48267765436044069"/>
    <n v="49"/>
    <n v="0.48422250794434207"/>
    <n v="2"/>
    <s v=""/>
    <n v="0"/>
    <s v=""/>
    <n v="15"/>
    <s v=""/>
    <n v="48"/>
    <s v=""/>
    <n v="2.4"/>
    <n v="88"/>
    <s v=""/>
    <n v="2.9333333333333331"/>
    <n v="30"/>
    <s v=""/>
    <n v="0.6"/>
    <n v="16"/>
    <s v=""/>
    <n v="0.45714285714285713"/>
    <n v="0"/>
    <n v="2"/>
    <n v="2"/>
    <n v="0"/>
    <m/>
    <n v="0"/>
    <n v="202181"/>
    <n v="22770"/>
    <n v="23786"/>
    <n v="0"/>
    <n v="138"/>
    <n v="1641234"/>
    <n v="42355.765835746068"/>
    <n v="0"/>
    <n v="0"/>
    <n v="0"/>
    <n v="150"/>
    <n v="150"/>
    <n v="0"/>
    <n v="749259"/>
    <n v="0"/>
    <n v="0"/>
    <n v="0"/>
    <n v="138"/>
    <n v="1641234"/>
    <n v="0"/>
    <n v="50"/>
    <n v="153"/>
    <n v="15"/>
    <n v="0"/>
    <n v="0"/>
    <n v="1261584"/>
    <n v="1819629"/>
    <n v="178395"/>
    <n v="0"/>
    <n v="138"/>
    <n v="1641234"/>
    <n v="378025.21008403361"/>
    <n v="20"/>
    <n v="132"/>
    <n v="48"/>
    <n v="0"/>
    <n v="0"/>
    <n v="1502820"/>
    <n v="570864"/>
    <x v="0"/>
    <x v="0"/>
    <n v="138"/>
    <n v="1641234"/>
    <n v="1209680.6722689075"/>
    <n v="30"/>
    <n v="226"/>
    <n v="45"/>
    <n v="60"/>
    <n v="60"/>
    <n v="0"/>
    <n v="2687818"/>
    <n v="512325"/>
    <x v="32"/>
    <n v="0"/>
    <n v="138"/>
    <n v="1641234"/>
    <n v="1134075.6302521008"/>
    <n v="50"/>
    <n v="168"/>
    <n v="30"/>
    <m/>
    <n v="60"/>
    <n v="0"/>
    <n v="1998024"/>
    <n v="341550"/>
    <n v="0"/>
    <n v="0"/>
    <n v="168"/>
    <n v="1641234"/>
    <n v="756050.42016806721"/>
    <n v="35"/>
    <n v="154"/>
    <n v="52.5"/>
    <n v="150"/>
    <n v="150"/>
    <n v="0"/>
    <n v="1831522"/>
    <n v="597712.5"/>
    <n v="1650825"/>
    <n v="0"/>
    <n v="154"/>
    <n v="1641234"/>
    <n v="1323088.2352941176"/>
    <n v="25"/>
    <n v="101.5"/>
    <n v="37.5"/>
    <n v="0"/>
    <n v="0"/>
    <n v="0"/>
    <n v="1207139.5"/>
    <n v="426937.5"/>
    <n v="0"/>
    <n v="0"/>
    <n v="101.5"/>
    <n v="1207139.5"/>
    <n v="945063.02521008404"/>
    <n v="60"/>
    <n v="64"/>
    <n v="90"/>
    <n v="0"/>
    <n v="0"/>
    <m/>
    <n v="728640"/>
    <n v="1024650"/>
    <n v="0"/>
    <n v="0"/>
    <n v="64"/>
    <n v="728640"/>
    <n v="2268151.2605042015"/>
    <n v="140"/>
    <n v="0"/>
    <n v="0"/>
    <n v="350"/>
    <n v="350"/>
    <n v="350"/>
    <n v="0"/>
    <n v="0"/>
    <n v="0"/>
    <n v="3984750"/>
    <n v="3984750"/>
    <n v="350"/>
    <n v="3984750"/>
    <n v="0"/>
    <n v="100"/>
    <n v="350"/>
    <n v="150"/>
    <n v="0"/>
    <n v="0"/>
    <n v="3984750"/>
    <n v="1707750"/>
    <n v="0"/>
    <n v="0"/>
    <n v="350"/>
    <n v="3984750"/>
    <n v="3572205.8823529417"/>
    <n v="80"/>
    <n v="200"/>
    <n v="120"/>
    <n v="150"/>
    <n v="150"/>
    <n v="2277000"/>
    <n v="1366200"/>
    <n v="1707750"/>
    <n v="350"/>
    <n v="3984750"/>
    <n v="3024201.6806722688"/>
    <n v="60"/>
    <n v="230"/>
    <n v="90"/>
    <n v="0"/>
    <m/>
    <n v="2618550"/>
    <n v="1070370"/>
    <n v="0"/>
    <n v="230"/>
    <n v="2618550"/>
    <n v="2268151.2605042015"/>
  </r>
  <r>
    <s v="Dynamo-Herramientas Eléctricas"/>
    <x v="4"/>
    <x v="28"/>
    <x v="73"/>
    <s v="DYNTALIMPA"/>
    <x v="619"/>
    <x v="457"/>
    <x v="0"/>
    <x v="0"/>
    <n v="0.8"/>
    <x v="380"/>
    <n v="127"/>
    <m/>
    <n v="0"/>
    <n v="39607"/>
    <n v="5030089"/>
    <n v="36.5"/>
    <n v="39876.25"/>
    <n v="75621.848739495807"/>
    <n v="58815.126050420171"/>
    <s v="Shenzhen"/>
    <x v="0"/>
    <n v="30"/>
    <n v="10"/>
    <n v="0"/>
    <s v=""/>
    <n v="0"/>
    <s v=""/>
    <n v="8"/>
    <n v="0.50553870630279318"/>
    <n v="10"/>
    <n v="0.55146398548539499"/>
    <n v="13"/>
    <n v="0.56268033707312692"/>
    <n v="8"/>
    <n v="0.50001167397678814"/>
    <n v="6"/>
    <n v="0.53361051470399601"/>
    <n v="18"/>
    <n v="0.48294585656903211"/>
    <n v="35"/>
    <n v="0.47731848411408123"/>
    <n v="56"/>
    <n v="0.40277335153424265"/>
    <n v="17"/>
    <n v="0.47453361832762497"/>
    <n v="2"/>
    <n v="0.45505703003536002"/>
    <n v="2"/>
    <s v=""/>
    <n v="0"/>
    <s v=""/>
    <n v="5"/>
    <s v=""/>
    <n v="4"/>
    <s v=""/>
    <n v="0.26666666666666666"/>
    <n v="3"/>
    <s v=""/>
    <n v="0.2"/>
    <n v="27"/>
    <s v=""/>
    <n v="0.9"/>
    <n v="6"/>
    <s v=""/>
    <n v="0.3"/>
    <n v="0"/>
    <n v="2"/>
    <n v="2"/>
    <n v="0"/>
    <m/>
    <n v="0"/>
    <n v="277249"/>
    <n v="75555"/>
    <n v="79214"/>
    <n v="0"/>
    <n v="127"/>
    <n v="5030089"/>
    <n v="127095.54409999296"/>
    <n v="0"/>
    <n v="0"/>
    <n v="0"/>
    <n v="100"/>
    <n v="100"/>
    <n v="0"/>
    <n v="356463"/>
    <n v="0"/>
    <n v="0"/>
    <n v="0"/>
    <n v="127"/>
    <n v="5030089"/>
    <n v="0"/>
    <n v="20"/>
    <n v="132"/>
    <n v="5"/>
    <n v="0"/>
    <n v="0"/>
    <n v="809793"/>
    <n v="5228124"/>
    <n v="198035"/>
    <n v="0"/>
    <n v="127"/>
    <n v="5030089"/>
    <n v="378109.24369747902"/>
    <n v="15"/>
    <n v="103"/>
    <n v="4"/>
    <n v="0"/>
    <n v="0"/>
    <n v="3891082.5"/>
    <n v="158428"/>
    <x v="0"/>
    <x v="0"/>
    <n v="127"/>
    <n v="5030089"/>
    <n v="302487.39495798323"/>
    <n v="15"/>
    <n v="130"/>
    <n v="12"/>
    <n v="0"/>
    <n v="0"/>
    <n v="0"/>
    <n v="5148910"/>
    <n v="453330"/>
    <x v="0"/>
    <n v="0"/>
    <n v="127"/>
    <n v="5030089"/>
    <n v="907462.18487394974"/>
    <n v="30"/>
    <n v="154"/>
    <n v="27"/>
    <m/>
    <n v="0"/>
    <n v="0"/>
    <n v="6099478"/>
    <n v="1019992.5"/>
    <n v="0"/>
    <n v="0"/>
    <n v="154"/>
    <n v="5030089"/>
    <n v="2041789.9159663867"/>
    <n v="20"/>
    <n v="133"/>
    <n v="16"/>
    <n v="60"/>
    <n v="60"/>
    <n v="0"/>
    <n v="5267731"/>
    <n v="604440"/>
    <n v="2191095"/>
    <n v="0"/>
    <n v="133"/>
    <n v="5030089"/>
    <n v="1209949.5798319329"/>
    <n v="25"/>
    <n v="117"/>
    <n v="20"/>
    <n v="0"/>
    <n v="0"/>
    <n v="0"/>
    <n v="4634019"/>
    <n v="755550"/>
    <n v="0"/>
    <n v="0"/>
    <n v="117"/>
    <n v="4634019"/>
    <n v="1512436.9747899161"/>
    <n v="30"/>
    <n v="97"/>
    <n v="24"/>
    <n v="0"/>
    <n v="0"/>
    <m/>
    <n v="3664417.5"/>
    <n v="906660"/>
    <n v="0"/>
    <n v="0"/>
    <n v="97"/>
    <n v="3664417.5"/>
    <n v="1814924.3697478995"/>
    <n v="55"/>
    <n v="73"/>
    <n v="44"/>
    <n v="0"/>
    <n v="0"/>
    <n v="0"/>
    <m/>
    <n v="2757757.5"/>
    <n v="1662210"/>
    <n v="0"/>
    <n v="0"/>
    <n v="73"/>
    <n v="2757757.5"/>
    <n v="2587865.5462184874"/>
    <n v="35"/>
    <n v="29"/>
    <n v="28"/>
    <n v="0"/>
    <n v="0"/>
    <n v="1095547.5"/>
    <n v="1057770"/>
    <n v="0"/>
    <n v="0"/>
    <n v="29"/>
    <n v="1095547.5"/>
    <n v="1729164.7058823532"/>
    <n v="45"/>
    <n v="1"/>
    <n v="36"/>
    <n v="0"/>
    <n v="0"/>
    <n v="37777.5"/>
    <n v="1359990"/>
    <n v="0"/>
    <n v="1"/>
    <n v="37777.5"/>
    <n v="2722386.5546218492"/>
    <n v="21"/>
    <n v="0"/>
    <n v="16.8"/>
    <n v="0"/>
    <m/>
    <n v="0"/>
    <n v="665397.6"/>
    <n v="0"/>
    <n v="0"/>
    <n v="0"/>
    <n v="1270447.0588235296"/>
  </r>
  <r>
    <s v="T-Care-Cuidado Personal"/>
    <x v="5"/>
    <x v="29"/>
    <x v="74"/>
    <s v="TCRANEBL"/>
    <x v="620"/>
    <x v="458"/>
    <x v="0"/>
    <x v="4"/>
    <n v="1"/>
    <x v="381"/>
    <n v="214"/>
    <m/>
    <n v="0"/>
    <n v="11995"/>
    <n v="2566930"/>
    <n v="10.5"/>
    <n v="11471.25"/>
    <n v="25201.680672268907"/>
    <n v="25201.680672268907"/>
    <s v="Shenzhen"/>
    <x v="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4"/>
    <n v="0.46485883281609869"/>
    <n v="11"/>
    <n v="0.46008059408191759"/>
    <n v="40"/>
    <n v="0.46319163846353101"/>
    <n v="77"/>
    <n v="0.49330463665677032"/>
    <n v="53"/>
    <s v=""/>
    <n v="60"/>
    <s v=""/>
    <n v="35"/>
    <s v=""/>
    <n v="26"/>
    <s v=""/>
    <n v="0.43333333333333335"/>
    <n v="36"/>
    <s v=""/>
    <n v="0.72"/>
    <n v="64"/>
    <s v=""/>
    <n v="0.8"/>
    <n v="21"/>
    <s v=""/>
    <n v="0.42"/>
    <n v="30"/>
    <n v="120"/>
    <n v="55"/>
    <n v="0"/>
    <m/>
    <n v="0"/>
    <n v="2159100"/>
    <n v="1304100"/>
    <n v="659725"/>
    <n v="0"/>
    <n v="214"/>
    <n v="2566930"/>
    <n v="1164783.5604830168"/>
    <n v="40"/>
    <n v="91"/>
    <n v="90"/>
    <n v="150"/>
    <n v="150"/>
    <n v="0"/>
    <n v="1811245"/>
    <n v="988942.5"/>
    <n v="1079550"/>
    <n v="0"/>
    <n v="214"/>
    <n v="2566930"/>
    <n v="1906009.462608573"/>
    <n v="50"/>
    <n v="20"/>
    <n v="35"/>
    <n v="0"/>
    <n v="0"/>
    <n v="1275070"/>
    <n v="239900"/>
    <n v="419825"/>
    <n v="0"/>
    <n v="214"/>
    <n v="2566930"/>
    <n v="882058.82352941181"/>
    <n v="60"/>
    <n v="158"/>
    <n v="26"/>
    <n v="0"/>
    <n v="0"/>
    <n v="1717065"/>
    <n v="311870"/>
    <x v="0"/>
    <x v="0"/>
    <n v="214"/>
    <n v="2566930"/>
    <n v="655243.69747899158"/>
    <n v="50"/>
    <n v="250"/>
    <n v="50"/>
    <m/>
    <n v="0"/>
    <n v="0"/>
    <n v="2998750"/>
    <n v="543375"/>
    <x v="0"/>
    <n v="0"/>
    <n v="214"/>
    <n v="2566930"/>
    <n v="1260084.0336134452"/>
    <n v="80"/>
    <n v="278"/>
    <n v="64"/>
    <m/>
    <n v="0"/>
    <n v="0"/>
    <n v="3334610"/>
    <n v="695520"/>
    <n v="0"/>
    <n v="0"/>
    <n v="278"/>
    <n v="2566930"/>
    <n v="1612907.5630252101"/>
    <n v="50"/>
    <n v="235"/>
    <n v="50"/>
    <n v="200"/>
    <n v="200"/>
    <n v="0"/>
    <n v="2818825"/>
    <n v="543375"/>
    <n v="2101050"/>
    <n v="0"/>
    <n v="235"/>
    <n v="2566930"/>
    <n v="1260084.0336134452"/>
    <n v="50"/>
    <n v="185"/>
    <n v="50"/>
    <n v="0"/>
    <n v="0"/>
    <n v="0"/>
    <n v="2219075"/>
    <n v="543375"/>
    <n v="0"/>
    <n v="0"/>
    <n v="185"/>
    <n v="2219075"/>
    <n v="1260084.0336134452"/>
    <n v="50"/>
    <n v="135"/>
    <n v="50"/>
    <n v="200"/>
    <n v="200"/>
    <n v="200"/>
    <n v="1467112.5"/>
    <n v="543375"/>
    <n v="2173500"/>
    <n v="2173500"/>
    <n v="335"/>
    <n v="3640612.5"/>
    <n v="1260084.0336134452"/>
    <n v="120"/>
    <n v="485"/>
    <n v="120"/>
    <n v="0"/>
    <n v="0"/>
    <n v="0"/>
    <n v="200"/>
    <n v="5270737.5"/>
    <n v="1304100"/>
    <n v="0"/>
    <n v="2173500"/>
    <n v="485"/>
    <n v="7444237.5"/>
    <n v="3024201.6806722688"/>
    <n v="80"/>
    <n v="365"/>
    <n v="80"/>
    <n v="0"/>
    <n v="0"/>
    <n v="3966637.5"/>
    <n v="869400"/>
    <n v="0"/>
    <n v="0"/>
    <n v="365"/>
    <n v="3966637.5"/>
    <n v="2116941.1764705884"/>
    <n v="150"/>
    <n v="285"/>
    <n v="150"/>
    <n v="300"/>
    <n v="300"/>
    <n v="3097237.5"/>
    <n v="1630125"/>
    <n v="3260250"/>
    <n v="585"/>
    <n v="6357487.5"/>
    <n v="3780252.1008403362"/>
    <n v="48"/>
    <n v="435"/>
    <n v="48"/>
    <n v="0"/>
    <m/>
    <n v="4727362.5"/>
    <n v="575760"/>
    <n v="0"/>
    <n v="435"/>
    <n v="4727362.5"/>
    <n v="1209680.6722689075"/>
  </r>
  <r>
    <m/>
    <x v="5"/>
    <x v="29"/>
    <x v="74"/>
    <s v="TCAFSKIFL"/>
    <x v="621"/>
    <x v="459"/>
    <x v="0"/>
    <x v="2"/>
    <n v="1"/>
    <x v="12"/>
    <n v="0"/>
    <m/>
    <n v="0"/>
    <n v="13680"/>
    <n v="0"/>
    <n v="12"/>
    <n v="13680"/>
    <n v="34487.394957983197"/>
    <n v="29314.285714285717"/>
    <s v="Shenzhen"/>
    <x v="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m/>
    <m/>
    <m/>
    <n v="0"/>
    <n v="0"/>
    <n v="0"/>
    <x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35"/>
    <n v="0"/>
    <m/>
    <m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80"/>
    <n v="0"/>
    <n v="0"/>
    <n v="300"/>
    <n v="300"/>
    <n v="300"/>
    <n v="0"/>
    <n v="0"/>
    <n v="0"/>
    <n v="3725999.9999999995"/>
    <n v="3725999.9999999995"/>
    <n v="300"/>
    <n v="3725999.9999999995"/>
    <n v="0"/>
    <n v="80"/>
    <n v="300"/>
    <n v="80"/>
    <n v="0"/>
    <n v="0"/>
    <n v="3725999.9999999995"/>
    <n v="993599.99999999988"/>
    <n v="0"/>
    <n v="0"/>
    <n v="300"/>
    <n v="3725999.9999999995"/>
    <n v="2462400.0000000005"/>
    <n v="150"/>
    <n v="220"/>
    <n v="150"/>
    <n v="0"/>
    <n v="0"/>
    <n v="2732399.9999999995"/>
    <n v="1862999.9999999998"/>
    <n v="0"/>
    <n v="220"/>
    <n v="2732399.9999999995"/>
    <n v="5173109.2436974794"/>
    <n v="48"/>
    <n v="70"/>
    <m/>
    <n v="0"/>
    <m/>
    <n v="869399.99999999988"/>
    <n v="0"/>
    <n v="0"/>
    <n v="70"/>
    <n v="869399.99999999988"/>
    <n v="0"/>
  </r>
  <r>
    <s v="T-Care-Cuidado Personal"/>
    <x v="5"/>
    <x v="29"/>
    <x v="75"/>
    <s v="TCMULTSTY5N1"/>
    <x v="622"/>
    <x v="460"/>
    <x v="0"/>
    <x v="3"/>
    <n v="1"/>
    <x v="382"/>
    <n v="105"/>
    <m/>
    <n v="0"/>
    <n v="21585"/>
    <n v="2266425"/>
    <n v="24"/>
    <n v="26219.999999999996"/>
    <n v="63016.806722689078"/>
    <n v="50411.764705882357"/>
    <s v="Shenzhen"/>
    <x v="0"/>
    <n v="55"/>
    <n v="10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04"/>
    <n v="0.54725919252887023"/>
    <n v="436"/>
    <n v="0.54894055160997324"/>
    <n v="5"/>
    <s v=""/>
    <n v="36"/>
    <s v=""/>
    <n v="193"/>
    <s v=""/>
    <n v="250"/>
    <s v=""/>
    <n v="1.25"/>
    <n v="297"/>
    <s v=""/>
    <n v="1.08"/>
    <n v="496"/>
    <s v=""/>
    <n v="1.24"/>
    <n v="177"/>
    <s v=""/>
    <n v="0.88500000000000001"/>
    <n v="0"/>
    <n v="2"/>
    <n v="0"/>
    <n v="0"/>
    <m/>
    <n v="0"/>
    <n v="5331495"/>
    <n v="49679.999999999993"/>
    <n v="0"/>
    <n v="0"/>
    <n v="105"/>
    <n v="2266425"/>
    <n v="0"/>
    <n v="70"/>
    <n v="490"/>
    <n v="54"/>
    <n v="0"/>
    <n v="498"/>
    <n v="0"/>
    <n v="10727745"/>
    <n v="12171599.999999998"/>
    <n v="1165590"/>
    <n v="0"/>
    <n v="105"/>
    <n v="2266425"/>
    <n v="2859586.1874161428"/>
    <n v="200"/>
    <n v="441"/>
    <n v="193"/>
    <n v="0"/>
    <n v="0"/>
    <n v="16393155"/>
    <n v="9518985"/>
    <n v="4165905"/>
    <n v="0"/>
    <n v="105"/>
    <n v="2266425"/>
    <n v="12162243.697478993"/>
    <n v="200"/>
    <n v="1163"/>
    <n v="250"/>
    <n v="2000"/>
    <n v="0"/>
    <n v="28888919.999999996"/>
    <n v="5396250"/>
    <x v="101"/>
    <x v="0"/>
    <n v="105"/>
    <n v="2266425"/>
    <n v="15754201.680672269"/>
    <n v="275"/>
    <n v="402"/>
    <n v="275"/>
    <m/>
    <n v="0"/>
    <n v="0"/>
    <n v="8677170"/>
    <n v="6830999.9999999991"/>
    <x v="0"/>
    <n v="0"/>
    <n v="105"/>
    <n v="2266425"/>
    <n v="17329621.848739497"/>
    <n v="400"/>
    <n v="601"/>
    <n v="496"/>
    <m/>
    <n v="0"/>
    <n v="0"/>
    <n v="12972585"/>
    <n v="12320639.999999998"/>
    <n v="0"/>
    <n v="0"/>
    <n v="601"/>
    <n v="2266425"/>
    <n v="31256336.134453781"/>
    <n v="200"/>
    <n v="282"/>
    <n v="200"/>
    <n v="0"/>
    <n v="0"/>
    <n v="0"/>
    <n v="6086970"/>
    <n v="4967999.9999999991"/>
    <n v="0"/>
    <n v="0"/>
    <n v="282"/>
    <n v="2266425"/>
    <n v="12603361.344537815"/>
    <n v="116"/>
    <n v="82"/>
    <n v="116"/>
    <n v="0"/>
    <n v="0"/>
    <n v="0"/>
    <n v="1769970"/>
    <n v="2881439.9999999995"/>
    <n v="0"/>
    <n v="0"/>
    <n v="82"/>
    <n v="1769970"/>
    <n v="7309949.5798319327"/>
    <n v="180"/>
    <n v="0"/>
    <n v="180"/>
    <n v="2000"/>
    <n v="2000"/>
    <n v="0"/>
    <n v="0"/>
    <n v="4471199.9999999991"/>
    <n v="49679999.999999993"/>
    <n v="0"/>
    <n v="0"/>
    <n v="0"/>
    <n v="11343025.210084034"/>
    <n v="500"/>
    <n v="2004"/>
    <n v="500"/>
    <n v="0"/>
    <n v="0"/>
    <n v="0"/>
    <n v="2004"/>
    <n v="49779359.999999993"/>
    <n v="12419999.999999998"/>
    <n v="0"/>
    <n v="49779359.999999993"/>
    <n v="2004"/>
    <n v="99558719.999999985"/>
    <n v="25205882.352941178"/>
    <n v="250"/>
    <n v="1504"/>
    <n v="250"/>
    <n v="0"/>
    <n v="0"/>
    <n v="37359359.999999993"/>
    <n v="6209999.9999999991"/>
    <n v="0"/>
    <n v="0"/>
    <n v="1504"/>
    <n v="37359359.999999993"/>
    <n v="13233088.235294119"/>
    <n v="500"/>
    <n v="1254"/>
    <n v="500"/>
    <n v="0"/>
    <n v="0"/>
    <n v="31149359.999999996"/>
    <n v="12419999.999999998"/>
    <n v="0"/>
    <n v="1254"/>
    <n v="31149359.999999996"/>
    <n v="31508403.361344539"/>
    <n v="150"/>
    <n v="754"/>
    <n v="150"/>
    <n v="0"/>
    <m/>
    <n v="18729359.999999996"/>
    <n v="3237750"/>
    <n v="0"/>
    <n v="754"/>
    <n v="18729359.999999996"/>
    <n v="9452521.0084033608"/>
  </r>
  <r>
    <m/>
    <x v="5"/>
    <x v="29"/>
    <x v="75"/>
    <s v="TCMULTSTY5N1-BG"/>
    <x v="623"/>
    <x v="461"/>
    <x v="0"/>
    <x v="2"/>
    <n v="0.8"/>
    <x v="383"/>
    <n v="609"/>
    <m/>
    <n v="0"/>
    <n v="21706"/>
    <n v="13218954"/>
    <n v="24"/>
    <n v="26219.999999999996"/>
    <n v="63016.806722689078"/>
    <n v="46210.08403361345"/>
    <s v="Shenzhen"/>
    <x v="0"/>
    <n v="55"/>
    <n v="10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n v="0"/>
    <n v="0"/>
    <n v="0"/>
    <n v="0"/>
    <s v=""/>
    <n v="3"/>
    <s v=""/>
    <n v="33"/>
    <s v=""/>
    <n v="0.66"/>
    <n v="111"/>
    <s v=""/>
    <n v="1.3875"/>
    <n v="222"/>
    <s v=""/>
    <n v="1.1100000000000001"/>
    <n v="69"/>
    <s v=""/>
    <n v="0.69"/>
    <m/>
    <m/>
    <m/>
    <m/>
    <m/>
    <m/>
    <m/>
    <m/>
    <m/>
    <m/>
    <m/>
    <m/>
    <m/>
    <n v="0"/>
    <n v="0"/>
    <n v="0"/>
    <m/>
    <m/>
    <n v="0"/>
    <m/>
    <m/>
    <m/>
    <m/>
    <n v="609"/>
    <n v="13218954"/>
    <m/>
    <n v="0"/>
    <n v="0"/>
    <n v="3"/>
    <m/>
    <n v="0"/>
    <m/>
    <n v="0"/>
    <m/>
    <n v="0"/>
    <n v="609"/>
    <n v="13218954"/>
    <n v="189050.42016806724"/>
    <n v="50"/>
    <n v="961"/>
    <n v="33"/>
    <n v="0"/>
    <n v="0"/>
    <n v="23871239.999999996"/>
    <n v="716298"/>
    <x v="0"/>
    <x v="0"/>
    <n v="609"/>
    <n v="13218954"/>
    <n v="2079554.6218487397"/>
    <n v="80"/>
    <n v="720"/>
    <n v="64"/>
    <m/>
    <n v="0"/>
    <n v="0"/>
    <n v="15628320"/>
    <n v="1589759.9999999998"/>
    <x v="0"/>
    <n v="0"/>
    <n v="609"/>
    <n v="13218954"/>
    <n v="4033075.630252101"/>
    <n v="200"/>
    <n v="831"/>
    <n v="222"/>
    <m/>
    <n v="0"/>
    <n v="0"/>
    <n v="18037686"/>
    <n v="5514479.9999999991"/>
    <n v="0"/>
    <n v="0"/>
    <n v="831"/>
    <n v="13218954"/>
    <n v="13989731.092436975"/>
    <n v="100"/>
    <n v="678"/>
    <n v="80"/>
    <n v="0"/>
    <n v="0"/>
    <n v="0"/>
    <n v="14716668"/>
    <n v="1987199.9999999998"/>
    <n v="0"/>
    <n v="0"/>
    <n v="678"/>
    <n v="13218954"/>
    <n v="5041344.5378151266"/>
    <n v="180"/>
    <n v="598"/>
    <n v="144"/>
    <n v="0"/>
    <n v="0"/>
    <n v="0"/>
    <n v="12980188"/>
    <n v="3576959.9999999995"/>
    <n v="0"/>
    <n v="0"/>
    <n v="598"/>
    <n v="12980188"/>
    <n v="9074420.168067228"/>
    <n v="100"/>
    <n v="454"/>
    <n v="80"/>
    <n v="1000"/>
    <n v="1000"/>
    <n v="0"/>
    <n v="11277359.999999998"/>
    <n v="1987199.9999999998"/>
    <n v="24839999.999999996"/>
    <n v="0"/>
    <n v="454"/>
    <n v="11277359.999999998"/>
    <n v="5041344.5378151266"/>
    <n v="200"/>
    <n v="1376"/>
    <n v="160"/>
    <n v="0"/>
    <n v="0"/>
    <n v="0"/>
    <n v="1002"/>
    <n v="34179839.999999993"/>
    <n v="3974399.9999999995"/>
    <n v="0"/>
    <n v="24889679.999999996"/>
    <n v="1376"/>
    <n v="59069519.999999985"/>
    <n v="7393613.4453781517"/>
    <n v="200"/>
    <n v="1216"/>
    <n v="160"/>
    <n v="0"/>
    <n v="0"/>
    <n v="30205439.999999996"/>
    <n v="3974399.9999999995"/>
    <n v="0"/>
    <n v="0"/>
    <n v="1216"/>
    <n v="30205439.999999996"/>
    <n v="7763294.1176470593"/>
    <n v="300"/>
    <n v="1056"/>
    <n v="240"/>
    <n v="0"/>
    <n v="0"/>
    <n v="26231039.999999996"/>
    <n v="5961599.9999999991"/>
    <n v="0"/>
    <n v="1056"/>
    <n v="26231039.999999996"/>
    <n v="15124033.613445379"/>
    <n v="120"/>
    <n v="816"/>
    <n v="96"/>
    <n v="0"/>
    <m/>
    <n v="20269439.999999996"/>
    <n v="2083776"/>
    <n v="0"/>
    <n v="816"/>
    <n v="20269439.999999996"/>
    <n v="6049613.4453781517"/>
  </r>
  <r>
    <m/>
    <x v="5"/>
    <x v="29"/>
    <x v="76"/>
    <s v="TCALSCAEGL-PP"/>
    <x v="624"/>
    <x v="462"/>
    <x v="0"/>
    <x v="2"/>
    <n v="1"/>
    <x v="12"/>
    <n v="0"/>
    <m/>
    <n v="0"/>
    <n v="37050"/>
    <n v="0"/>
    <n v="32.5"/>
    <n v="37050"/>
    <n v="93403.361344537814"/>
    <n v="79392.857142857145"/>
    <s v="Shenzhen"/>
    <x v="0"/>
    <n v="30"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m/>
    <m/>
    <m/>
    <n v="0"/>
    <n v="0"/>
    <n v="0"/>
    <x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50"/>
    <n v="0"/>
    <m/>
    <m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80"/>
    <n v="0"/>
    <n v="0"/>
    <n v="500"/>
    <n v="500"/>
    <n v="500"/>
    <n v="0"/>
    <n v="0"/>
    <n v="0"/>
    <n v="16818750"/>
    <n v="16818750"/>
    <n v="500"/>
    <n v="16818750"/>
    <n v="0"/>
    <n v="100"/>
    <n v="500"/>
    <n v="100"/>
    <n v="0"/>
    <n v="0"/>
    <n v="16818750"/>
    <n v="3363750"/>
    <n v="0"/>
    <n v="0"/>
    <n v="500"/>
    <n v="16818750"/>
    <n v="8336250.0000000009"/>
    <n v="200"/>
    <n v="400"/>
    <n v="200"/>
    <n v="0"/>
    <n v="0"/>
    <n v="13455000"/>
    <n v="6727500"/>
    <n v="0"/>
    <n v="400"/>
    <n v="13455000"/>
    <n v="18680672.268907562"/>
    <n v="60"/>
    <n v="200"/>
    <n v="60"/>
    <n v="0"/>
    <m/>
    <n v="6727500"/>
    <n v="2223000"/>
    <n v="0"/>
    <n v="200"/>
    <n v="6727500"/>
    <n v="5604201.6806722693"/>
  </r>
  <r>
    <m/>
    <x v="6"/>
    <x v="30"/>
    <x v="77"/>
    <s v="BDBBYCHK"/>
    <x v="625"/>
    <x v="463"/>
    <x v="0"/>
    <x v="0"/>
    <n v="1"/>
    <x v="384"/>
    <n v="18"/>
    <m/>
    <n v="0"/>
    <n v="20716"/>
    <n v="372888"/>
    <n v="16"/>
    <n v="17936"/>
    <n v="50411.764705882357"/>
    <n v="42008.403361344543"/>
    <s v="Ningbo"/>
    <x v="0"/>
    <n v="30"/>
    <n v="10"/>
    <n v="0"/>
    <s v=""/>
    <n v="0"/>
    <s v=""/>
    <n v="0"/>
    <s v=""/>
    <n v="0"/>
    <s v=""/>
    <n v="0"/>
    <s v=""/>
    <n v="0"/>
    <s v=""/>
    <n v="0"/>
    <s v=""/>
    <n v="1"/>
    <n v="0"/>
    <n v="2"/>
    <n v="0.35536191863980859"/>
    <n v="15"/>
    <n v="0.408209758364873"/>
    <n v="20"/>
    <n v="0.4213424867733418"/>
    <n v="7"/>
    <n v="0.41090357796534976"/>
    <n v="5"/>
    <s v=""/>
    <n v="5"/>
    <s v=""/>
    <n v="7"/>
    <s v=""/>
    <n v="5"/>
    <s v=""/>
    <n v="0.41666666666666669"/>
    <n v="3"/>
    <s v=""/>
    <n v="0.75"/>
    <n v="6"/>
    <s v=""/>
    <n v="0.5"/>
    <n v="2"/>
    <s v=""/>
    <n v="0.33333333333333331"/>
    <n v="10"/>
    <n v="49"/>
    <n v="10"/>
    <n v="0"/>
    <m/>
    <n v="0"/>
    <n v="507542"/>
    <n v="811440"/>
    <n v="207160"/>
    <n v="0"/>
    <n v="18"/>
    <n v="372888"/>
    <n v="423628.27483934758"/>
    <n v="10"/>
    <n v="43"/>
    <n v="7.5"/>
    <n v="0"/>
    <n v="0"/>
    <n v="0"/>
    <n v="403962"/>
    <n v="712080"/>
    <n v="155370"/>
    <n v="0"/>
    <n v="18"/>
    <n v="372888"/>
    <n v="317721.20612951065"/>
    <n v="12"/>
    <n v="38"/>
    <n v="7"/>
    <n v="0"/>
    <n v="0"/>
    <n v="314832"/>
    <n v="787208"/>
    <n v="145012"/>
    <n v="0"/>
    <n v="18"/>
    <n v="372888"/>
    <n v="352882.3529411765"/>
    <n v="12"/>
    <n v="32"/>
    <n v="5"/>
    <n v="0"/>
    <n v="0"/>
    <n v="529920"/>
    <n v="103580"/>
    <x v="0"/>
    <x v="0"/>
    <n v="18"/>
    <n v="372888"/>
    <n v="252058.82352941178"/>
    <n v="4"/>
    <n v="21"/>
    <n v="4"/>
    <m/>
    <n v="0"/>
    <n v="0"/>
    <n v="435036"/>
    <n v="66240"/>
    <x v="0"/>
    <n v="0"/>
    <n v="18"/>
    <n v="372888"/>
    <n v="201647.05882352943"/>
    <n v="12"/>
    <n v="24"/>
    <n v="6"/>
    <m/>
    <n v="0"/>
    <n v="0"/>
    <n v="497184"/>
    <n v="99360"/>
    <n v="0"/>
    <n v="0"/>
    <n v="24"/>
    <n v="372888"/>
    <n v="302470.58823529416"/>
    <n v="6"/>
    <n v="20"/>
    <n v="6"/>
    <n v="0"/>
    <n v="0"/>
    <n v="0"/>
    <n v="414320"/>
    <n v="99360"/>
    <n v="0"/>
    <n v="0"/>
    <n v="20"/>
    <n v="372888"/>
    <n v="302470.58823529416"/>
    <n v="12"/>
    <n v="14"/>
    <n v="12"/>
    <n v="0"/>
    <n v="0"/>
    <n v="0"/>
    <n v="290024"/>
    <n v="198720"/>
    <n v="0"/>
    <n v="0"/>
    <n v="14"/>
    <n v="290024"/>
    <n v="604941.17647058831"/>
    <n v="0"/>
    <n v="2"/>
    <n v="0"/>
    <n v="0"/>
    <n v="0"/>
    <m/>
    <n v="33120"/>
    <n v="0"/>
    <n v="0"/>
    <n v="0"/>
    <n v="2"/>
    <n v="33120"/>
    <n v="0"/>
    <n v="15"/>
    <n v="2"/>
    <n v="2"/>
    <n v="0"/>
    <n v="0"/>
    <n v="0"/>
    <m/>
    <n v="33120"/>
    <n v="33120"/>
    <n v="0"/>
    <n v="0"/>
    <n v="2"/>
    <n v="33120"/>
    <n v="84016.806722689085"/>
    <n v="14"/>
    <n v="0"/>
    <n v="14"/>
    <n v="0"/>
    <n v="0"/>
    <n v="0"/>
    <n v="231840"/>
    <n v="0"/>
    <n v="0"/>
    <n v="0"/>
    <n v="0"/>
    <n v="617523.52941176482"/>
    <n v="16"/>
    <n v="0"/>
    <n v="16"/>
    <n v="0"/>
    <n v="0"/>
    <n v="0"/>
    <n v="264960"/>
    <n v="0"/>
    <n v="0"/>
    <n v="0"/>
    <n v="806588.23529411771"/>
    <n v="8.4"/>
    <n v="0"/>
    <n v="8.4"/>
    <n v="0"/>
    <m/>
    <n v="0"/>
    <n v="174014.4"/>
    <n v="0"/>
    <n v="0"/>
    <n v="0"/>
    <n v="423458.82352941181"/>
  </r>
  <r>
    <s v="Bandú-Jueguetes de Rol"/>
    <x v="6"/>
    <x v="31"/>
    <x v="78"/>
    <s v="BDCOCGRND"/>
    <x v="626"/>
    <x v="464"/>
    <x v="0"/>
    <x v="3"/>
    <n v="1"/>
    <x v="385"/>
    <n v="104"/>
    <m/>
    <n v="0"/>
    <n v="31896"/>
    <n v="3317184"/>
    <n v="32.01"/>
    <n v="35883.209999999992"/>
    <n v="100831.93277310925"/>
    <n v="84025.210084033621"/>
    <s v="Ningbo"/>
    <x v="0"/>
    <n v="30"/>
    <n v="10"/>
    <n v="0"/>
    <s v=""/>
    <n v="0"/>
    <s v=""/>
    <n v="0"/>
    <s v=""/>
    <n v="0"/>
    <s v=""/>
    <n v="0"/>
    <s v=""/>
    <n v="0"/>
    <s v=""/>
    <n v="18"/>
    <n v="0.60287289892020623"/>
    <n v="2"/>
    <n v="0.71730836542993892"/>
    <n v="0"/>
    <s v=""/>
    <n v="0"/>
    <s v=""/>
    <n v="37"/>
    <n v="0.54061421992197389"/>
    <n v="43"/>
    <n v="0.564734839105831"/>
    <n v="0"/>
    <s v=""/>
    <n v="0"/>
    <s v=""/>
    <n v="5"/>
    <s v=""/>
    <n v="13"/>
    <s v=""/>
    <n v="0.65"/>
    <n v="4"/>
    <s v=""/>
    <n v="0.26666666666666666"/>
    <n v="6"/>
    <s v=""/>
    <n v="0.17142857142857143"/>
    <n v="1"/>
    <s v=""/>
    <n v="3.3333333333333333E-2"/>
    <n v="0"/>
    <n v="3"/>
    <n v="0"/>
    <n v="0"/>
    <m/>
    <n v="0"/>
    <n v="159480"/>
    <n v="99391.049999999988"/>
    <n v="0"/>
    <n v="0"/>
    <n v="104"/>
    <n v="3317184"/>
    <n v="0"/>
    <n v="10"/>
    <n v="48"/>
    <n v="0"/>
    <n v="45"/>
    <n v="45"/>
    <n v="0"/>
    <n v="574128"/>
    <n v="1590256.7999999998"/>
    <n v="0"/>
    <n v="0"/>
    <n v="104"/>
    <n v="3317184"/>
    <n v="0"/>
    <n v="15"/>
    <n v="48"/>
    <n v="5"/>
    <n v="0"/>
    <n v="0"/>
    <n v="1071083.25"/>
    <n v="1531008"/>
    <n v="159480"/>
    <n v="0"/>
    <n v="104"/>
    <n v="3317184"/>
    <n v="504159.66386554623"/>
    <n v="20"/>
    <n v="57"/>
    <n v="13"/>
    <n v="20"/>
    <n v="0"/>
    <n v="1888429.95"/>
    <n v="414648"/>
    <x v="102"/>
    <x v="0"/>
    <n v="104"/>
    <n v="3317184"/>
    <n v="1310815.1260504203"/>
    <n v="15"/>
    <n v="108"/>
    <n v="15"/>
    <m/>
    <n v="0"/>
    <n v="0"/>
    <n v="3444768"/>
    <n v="496955.25"/>
    <x v="0"/>
    <n v="0"/>
    <n v="104"/>
    <n v="3317184"/>
    <n v="1512478.9915966387"/>
    <n v="35"/>
    <n v="110"/>
    <n v="6"/>
    <m/>
    <n v="0"/>
    <n v="0"/>
    <n v="3508560"/>
    <n v="198782.09999999998"/>
    <n v="0"/>
    <n v="0"/>
    <n v="110"/>
    <n v="3317184"/>
    <n v="604991.59663865552"/>
    <n v="30"/>
    <n v="105"/>
    <n v="30"/>
    <n v="60"/>
    <n v="60"/>
    <n v="0"/>
    <n v="3349080"/>
    <n v="993910.5"/>
    <n v="1921560.2999999996"/>
    <n v="0"/>
    <n v="105"/>
    <n v="3317184"/>
    <n v="3024957.9831932774"/>
    <n v="40"/>
    <n v="75"/>
    <n v="40"/>
    <n v="0"/>
    <n v="0"/>
    <n v="0"/>
    <n v="2392200"/>
    <n v="1325214"/>
    <n v="0"/>
    <n v="0"/>
    <n v="75"/>
    <n v="2392200"/>
    <n v="4033277.3109243698"/>
    <n v="15"/>
    <n v="35"/>
    <n v="15"/>
    <n v="30"/>
    <n v="30"/>
    <n v="0"/>
    <n v="1159562.25"/>
    <n v="496955.25"/>
    <n v="993910.5"/>
    <n v="0"/>
    <n v="35"/>
    <n v="1159562.25"/>
    <n v="1512478.9915966387"/>
    <n v="40"/>
    <n v="50"/>
    <n v="40"/>
    <n v="95"/>
    <n v="95"/>
    <n v="95"/>
    <n v="30"/>
    <n v="1656517.5"/>
    <n v="1325214"/>
    <n v="3147383.25"/>
    <n v="4141293.75"/>
    <n v="145"/>
    <n v="5797811.25"/>
    <n v="3361008.4033613447"/>
    <n v="45"/>
    <n v="105"/>
    <n v="45"/>
    <n v="0"/>
    <n v="0"/>
    <n v="3478686.75"/>
    <n v="1490865.75"/>
    <n v="0"/>
    <n v="0"/>
    <n v="105"/>
    <n v="3478686.75"/>
    <n v="3970191.1764705889"/>
    <n v="60"/>
    <n v="60"/>
    <n v="60"/>
    <n v="0"/>
    <n v="0"/>
    <n v="1987821"/>
    <n v="1987821"/>
    <n v="0"/>
    <n v="60"/>
    <n v="1987821"/>
    <n v="6049915.9663865548"/>
    <n v="27"/>
    <n v="0"/>
    <n v="27"/>
    <n v="0"/>
    <m/>
    <n v="0"/>
    <n v="861192"/>
    <n v="0"/>
    <n v="0"/>
    <n v="0"/>
    <n v="2722462.1848739497"/>
  </r>
  <r>
    <m/>
    <x v="6"/>
    <x v="31"/>
    <x v="78"/>
    <s v="BDCOCMEDI"/>
    <x v="627"/>
    <x v="465"/>
    <x v="0"/>
    <x v="3"/>
    <n v="1"/>
    <x v="386"/>
    <n v="72"/>
    <m/>
    <n v="0"/>
    <n v="28393"/>
    <n v="2044296"/>
    <n v="28.95"/>
    <n v="32452.949999999997"/>
    <n v="84025.210084033621"/>
    <n v="75621.848739495807"/>
    <s v="Ningbo"/>
    <x v="0"/>
    <n v="30"/>
    <n v="10"/>
    <n v="0"/>
    <s v=""/>
    <n v="0"/>
    <s v=""/>
    <n v="0"/>
    <s v=""/>
    <n v="0"/>
    <s v=""/>
    <n v="0"/>
    <s v=""/>
    <n v="0"/>
    <s v=""/>
    <n v="20"/>
    <n v="0.54054006970514212"/>
    <n v="1"/>
    <s v=""/>
    <n v="1"/>
    <n v="0.56582740472349313"/>
    <n v="0"/>
    <s v=""/>
    <n v="86"/>
    <n v="0.51704595880932525"/>
    <n v="1"/>
    <n v="0.67448825769596954"/>
    <n v="3"/>
    <s v=""/>
    <n v="0"/>
    <s v=""/>
    <n v="33"/>
    <s v=""/>
    <n v="40"/>
    <s v=""/>
    <n v="0.8"/>
    <n v="0"/>
    <s v=""/>
    <n v="0"/>
    <n v="3"/>
    <s v=""/>
    <n v="4.6153846153846156E-2"/>
    <n v="6"/>
    <s v=""/>
    <n v="0.15"/>
    <n v="0"/>
    <n v="3"/>
    <n v="3"/>
    <n v="0"/>
    <m/>
    <n v="0"/>
    <n v="1022148"/>
    <n v="89889.749999999985"/>
    <n v="85179"/>
    <n v="0"/>
    <n v="72"/>
    <n v="2044296"/>
    <n v="211828.26071605115"/>
    <n v="15"/>
    <n v="65"/>
    <n v="0"/>
    <n v="65"/>
    <n v="65"/>
    <n v="0"/>
    <n v="2072689"/>
    <n v="1947611.2499999998"/>
    <n v="0"/>
    <n v="0"/>
    <n v="72"/>
    <n v="2044296"/>
    <n v="0"/>
    <n v="20"/>
    <n v="65"/>
    <n v="33"/>
    <n v="0"/>
    <n v="0"/>
    <n v="3421035.25"/>
    <n v="1845545"/>
    <n v="936969"/>
    <n v="0"/>
    <n v="72"/>
    <n v="2044296"/>
    <n v="2772831.9327731095"/>
    <n v="50"/>
    <n v="41"/>
    <n v="40"/>
    <n v="10"/>
    <n v="0"/>
    <n v="1228493.2499999998"/>
    <n v="1135720"/>
    <x v="103"/>
    <x v="0"/>
    <n v="72"/>
    <n v="2044296"/>
    <n v="3361008.4033613447"/>
    <n v="45"/>
    <n v="72"/>
    <n v="45"/>
    <m/>
    <n v="0"/>
    <n v="0"/>
    <n v="2044296"/>
    <n v="1348346.2499999998"/>
    <x v="0"/>
    <n v="0"/>
    <n v="72"/>
    <n v="2044296"/>
    <n v="3781134.453781513"/>
    <n v="65"/>
    <n v="75"/>
    <n v="3"/>
    <m/>
    <n v="0"/>
    <n v="0"/>
    <n v="2129475"/>
    <n v="89889.749999999985"/>
    <n v="0"/>
    <n v="0"/>
    <n v="75"/>
    <n v="2044296"/>
    <n v="252075.63025210088"/>
    <n v="40"/>
    <n v="78"/>
    <n v="40"/>
    <n v="80"/>
    <n v="80"/>
    <n v="0"/>
    <n v="2214654"/>
    <n v="1198529.9999999998"/>
    <n v="2317158"/>
    <n v="0"/>
    <n v="78"/>
    <n v="2044296"/>
    <n v="3361008.4033613447"/>
    <n v="65"/>
    <n v="38"/>
    <n v="65"/>
    <n v="0"/>
    <n v="0"/>
    <n v="0"/>
    <n v="1078934"/>
    <n v="1947611.2499999998"/>
    <n v="0"/>
    <n v="0"/>
    <n v="38"/>
    <n v="1078934"/>
    <n v="5461638.6554621849"/>
    <n v="25"/>
    <n v="0"/>
    <n v="25"/>
    <n v="50"/>
    <n v="50"/>
    <n v="0"/>
    <n v="0"/>
    <n v="749081.24999999988"/>
    <n v="1498162.4999999998"/>
    <n v="0"/>
    <n v="0"/>
    <n v="0"/>
    <n v="2100630.2521008407"/>
    <n v="50"/>
    <n v="50"/>
    <n v="50"/>
    <n v="150"/>
    <n v="150"/>
    <n v="150"/>
    <n v="50"/>
    <n v="1498162.4999999998"/>
    <n v="1498162.4999999998"/>
    <n v="4494487.4999999991"/>
    <n v="5992649.9999999991"/>
    <n v="200"/>
    <n v="7490812.4999999991"/>
    <n v="3781092.4369747904"/>
    <n v="100"/>
    <n v="150"/>
    <n v="100"/>
    <n v="125"/>
    <n v="125"/>
    <n v="4494487.4999999991"/>
    <n v="2996324.9999999995"/>
    <n v="3745406.2499999995"/>
    <n v="3745406.2499999995"/>
    <n v="275"/>
    <n v="8239893.7499999981"/>
    <n v="7940294.1176470602"/>
    <n v="150"/>
    <n v="175"/>
    <n v="150"/>
    <n v="0"/>
    <n v="0"/>
    <n v="5243568.7499999991"/>
    <n v="4494487.4999999991"/>
    <n v="0"/>
    <n v="175"/>
    <n v="5243568.7499999991"/>
    <n v="12603781.512605043"/>
    <n v="60"/>
    <n v="25"/>
    <n v="60"/>
    <n v="0"/>
    <m/>
    <n v="749081.24999999988"/>
    <n v="1703580"/>
    <n v="0"/>
    <n v="25"/>
    <n v="749081.24999999988"/>
    <n v="5041512.6050420171"/>
  </r>
  <r>
    <m/>
    <x v="6"/>
    <x v="31"/>
    <x v="78"/>
    <s v="BDCOCPQMD"/>
    <x v="628"/>
    <x v="466"/>
    <x v="0"/>
    <x v="3"/>
    <n v="1.1000000000000001"/>
    <x v="387"/>
    <n v="10"/>
    <m/>
    <n v="0"/>
    <n v="26348"/>
    <n v="263480"/>
    <n v="23.98"/>
    <n v="26881.579999999998"/>
    <n v="58815.126050420171"/>
    <n v="58815.126050420171"/>
    <s v="Ningbo"/>
    <x v="0"/>
    <n v="30"/>
    <n v="10"/>
    <n v="0"/>
    <s v=""/>
    <n v="0"/>
    <s v=""/>
    <n v="0"/>
    <s v=""/>
    <n v="0"/>
    <s v=""/>
    <n v="0"/>
    <s v=""/>
    <n v="0"/>
    <s v=""/>
    <n v="25"/>
    <n v="0.54338319037199379"/>
    <n v="21"/>
    <n v="0.60664519550402562"/>
    <n v="1"/>
    <n v="0.58791098887360926"/>
    <n v="1"/>
    <n v="0.58791098887360926"/>
    <n v="21"/>
    <n v="0.55287111785165211"/>
    <n v="0"/>
    <s v=""/>
    <n v="9"/>
    <s v=""/>
    <n v="41"/>
    <s v=""/>
    <n v="81"/>
    <s v=""/>
    <n v="84"/>
    <s v=""/>
    <n v="1.2"/>
    <n v="60"/>
    <s v=""/>
    <n v="1.2"/>
    <n v="2"/>
    <s v=""/>
    <n v="0.02"/>
    <n v="12"/>
    <s v=""/>
    <n v="0.15"/>
    <n v="25"/>
    <n v="236"/>
    <n v="12"/>
    <n v="0"/>
    <m/>
    <n v="0"/>
    <n v="4070766"/>
    <n v="5857354.7999999998"/>
    <n v="316176"/>
    <n v="0"/>
    <n v="10"/>
    <n v="263480"/>
    <n v="593093.70807146397"/>
    <n v="20"/>
    <n v="277"/>
    <n v="61.5"/>
    <n v="50"/>
    <n v="0"/>
    <n v="0"/>
    <n v="5967822"/>
    <n v="6874946.0999999996"/>
    <n v="1620402"/>
    <n v="0"/>
    <n v="10"/>
    <n v="263480"/>
    <n v="3039605.2538662525"/>
    <n v="35"/>
    <n v="211"/>
    <n v="81"/>
    <n v="0"/>
    <n v="0"/>
    <n v="5712481.5"/>
    <n v="5559428"/>
    <n v="2134188"/>
    <n v="0"/>
    <n v="10"/>
    <n v="263480"/>
    <n v="4764025.2100840341"/>
    <n v="70"/>
    <n v="145"/>
    <n v="84"/>
    <n v="0"/>
    <n v="0"/>
    <n v="3598798.5"/>
    <n v="2213232"/>
    <x v="0"/>
    <x v="0"/>
    <n v="10"/>
    <n v="263480"/>
    <n v="4940470.5882352944"/>
    <n v="50"/>
    <n v="70"/>
    <n v="55.000000000000007"/>
    <m/>
    <n v="0"/>
    <n v="0"/>
    <n v="1844360"/>
    <n v="1365061.5000000002"/>
    <x v="0"/>
    <n v="0"/>
    <n v="10"/>
    <n v="263480"/>
    <n v="3234831.93277311"/>
    <n v="100"/>
    <n v="12"/>
    <n v="2"/>
    <m/>
    <n v="0"/>
    <n v="0"/>
    <n v="316176"/>
    <n v="49638.6"/>
    <n v="0"/>
    <n v="0"/>
    <n v="12"/>
    <n v="263480"/>
    <n v="117630.25210084034"/>
    <n v="80"/>
    <n v="22"/>
    <n v="88"/>
    <n v="0"/>
    <n v="0"/>
    <n v="0"/>
    <n v="579656"/>
    <n v="2184098.4"/>
    <n v="0"/>
    <n v="0"/>
    <n v="22"/>
    <n v="263480"/>
    <n v="5175731.0924369749"/>
    <n v="100"/>
    <n v="0"/>
    <n v="110.00000000000001"/>
    <n v="0"/>
    <n v="0"/>
    <n v="0"/>
    <n v="0"/>
    <n v="2730123.0000000005"/>
    <n v="0"/>
    <n v="0"/>
    <n v="0"/>
    <n v="0"/>
    <n v="6469663.86554622"/>
    <n v="40"/>
    <n v="0"/>
    <n v="44"/>
    <n v="80"/>
    <n v="80"/>
    <n v="0"/>
    <n v="0"/>
    <n v="1092049.2"/>
    <n v="1985544"/>
    <n v="0"/>
    <n v="0"/>
    <n v="0"/>
    <n v="2587865.5462184874"/>
    <n v="100"/>
    <n v="80"/>
    <n v="80"/>
    <n v="200"/>
    <n v="200"/>
    <n v="200"/>
    <n v="80"/>
    <n v="1985544"/>
    <n v="1985544"/>
    <n v="4963860"/>
    <n v="6949404"/>
    <n v="280"/>
    <n v="8934948"/>
    <n v="4705210.084033614"/>
    <n v="105"/>
    <n v="200"/>
    <n v="115.50000000000001"/>
    <n v="170"/>
    <n v="170"/>
    <n v="4963860"/>
    <n v="2866629.1500000004"/>
    <n v="4219281"/>
    <n v="4219281"/>
    <n v="370"/>
    <n v="9183141"/>
    <n v="7132804.4117647074"/>
    <n v="160"/>
    <n v="254.5"/>
    <n v="176"/>
    <n v="0"/>
    <n v="0"/>
    <n v="6316511.8499999996"/>
    <n v="4368196.8"/>
    <n v="0"/>
    <n v="254.5"/>
    <n v="6316511.8499999996"/>
    <n v="10351462.18487395"/>
    <n v="63"/>
    <n v="78.5"/>
    <n v="69.300000000000011"/>
    <n v="0"/>
    <m/>
    <n v="1948315.05"/>
    <n v="1825916.4000000004"/>
    <n v="0"/>
    <n v="78.5"/>
    <n v="1948315.05"/>
    <n v="4075888.2352941185"/>
  </r>
  <r>
    <m/>
    <x v="6"/>
    <x v="31"/>
    <x v="78"/>
    <s v="BDCOCMIN"/>
    <x v="629"/>
    <x v="467"/>
    <x v="0"/>
    <x v="6"/>
    <n v="1"/>
    <x v="12"/>
    <n v="6"/>
    <m/>
    <n v="0"/>
    <n v="7906"/>
    <n v="47436"/>
    <n v="7"/>
    <n v="7847"/>
    <n v="16798.319327731093"/>
    <n v="16798.319327731093"/>
    <s v="Ningbo"/>
    <x v="0"/>
    <n v="30"/>
    <n v="10"/>
    <n v="0"/>
    <s v=""/>
    <n v="0"/>
    <s v=""/>
    <n v="0"/>
    <s v=""/>
    <n v="0"/>
    <s v=""/>
    <n v="0"/>
    <s v=""/>
    <n v="0"/>
    <s v=""/>
    <n v="5"/>
    <n v="0.46405237748098427"/>
    <n v="6"/>
    <n v="0.56679273910572736"/>
    <n v="5"/>
    <n v="0.53608101472307346"/>
    <n v="4"/>
    <n v="0.44269345967827234"/>
    <n v="12"/>
    <n v="0.41248665810604135"/>
    <n v="24"/>
    <n v="0.53724747626126079"/>
    <n v="4"/>
    <s v=""/>
    <n v="5"/>
    <s v=""/>
    <n v="7"/>
    <s v=""/>
    <n v="10"/>
    <s v=""/>
    <n v="1.25"/>
    <n v="1"/>
    <s v=""/>
    <n v="0.125"/>
    <n v="2"/>
    <s v=""/>
    <n v="0"/>
    <n v="1"/>
    <s v=""/>
    <n v="0"/>
    <n v="8"/>
    <n v="36"/>
    <n v="4"/>
    <n v="0"/>
    <n v="0"/>
    <n v="0"/>
    <n v="146261"/>
    <n v="260819.99999999997"/>
    <n v="31624"/>
    <n v="0"/>
    <n v="6"/>
    <n v="47436"/>
    <n v="56464.938916743173"/>
    <n v="6"/>
    <n v="33"/>
    <n v="7.5"/>
    <n v="0.12457627118643799"/>
    <n v="0"/>
    <n v="0"/>
    <n v="193697"/>
    <n v="239084.99999999997"/>
    <n v="59295"/>
    <n v="0"/>
    <n v="6"/>
    <n v="47436"/>
    <n v="105871.76046889345"/>
    <n v="8"/>
    <n v="28"/>
    <n v="7"/>
    <n v="0"/>
    <n v="0"/>
    <n v="192362"/>
    <n v="221368"/>
    <n v="55342"/>
    <n v="0"/>
    <n v="6"/>
    <n v="47436"/>
    <n v="117588.23529411765"/>
    <n v="8"/>
    <n v="22"/>
    <n v="10"/>
    <n v="0"/>
    <n v="0"/>
    <n v="159389.99999999997"/>
    <n v="79060"/>
    <x v="0"/>
    <x v="0"/>
    <n v="6"/>
    <n v="47436"/>
    <n v="167983.19327731093"/>
    <n v="8"/>
    <n v="7"/>
    <n v="8"/>
    <m/>
    <n v="0"/>
    <n v="0"/>
    <n v="55342"/>
    <n v="57959.999999999993"/>
    <x v="0"/>
    <n v="0"/>
    <n v="6"/>
    <n v="47436"/>
    <n v="134386.55462184874"/>
    <n v="0"/>
    <n v="8"/>
    <n v="2"/>
    <m/>
    <n v="0"/>
    <n v="0"/>
    <n v="63248"/>
    <n v="14489.999999999998"/>
    <n v="0"/>
    <n v="0"/>
    <n v="8"/>
    <n v="47436"/>
    <n v="33596.638655462186"/>
    <n v="0"/>
    <n v="7"/>
    <n v="0"/>
    <n v="0"/>
    <n v="0"/>
    <n v="0"/>
    <n v="55342"/>
    <n v="0"/>
    <n v="0"/>
    <n v="0"/>
    <n v="7"/>
    <n v="47436"/>
    <n v="0"/>
    <n v="0"/>
    <n v="7"/>
    <n v="0"/>
    <n v="0"/>
    <n v="0"/>
    <n v="0"/>
    <n v="55342"/>
    <n v="0"/>
    <n v="0"/>
    <n v="0"/>
    <n v="7"/>
    <n v="55342"/>
    <n v="0"/>
    <n v="0"/>
    <n v="7"/>
    <n v="0"/>
    <n v="0"/>
    <n v="0"/>
    <m/>
    <n v="50714.999999999993"/>
    <n v="0"/>
    <n v="0"/>
    <n v="0"/>
    <n v="7"/>
    <n v="50714.999999999993"/>
    <n v="0"/>
    <n v="0"/>
    <n v="7"/>
    <n v="0"/>
    <n v="0"/>
    <n v="0"/>
    <n v="0"/>
    <m/>
    <n v="50714.999999999993"/>
    <n v="0"/>
    <n v="0"/>
    <n v="0"/>
    <n v="7"/>
    <n v="50714.999999999993"/>
    <n v="0"/>
    <n v="31.499999999999996"/>
    <n v="7"/>
    <n v="31.499999999999996"/>
    <n v="0"/>
    <n v="0"/>
    <n v="50714.999999999993"/>
    <n v="228217.49999999994"/>
    <n v="0"/>
    <n v="0"/>
    <n v="7"/>
    <n v="50714.999999999993"/>
    <n v="555604.4117647059"/>
    <n v="36"/>
    <n v="0"/>
    <n v="36"/>
    <n v="0"/>
    <n v="0"/>
    <n v="0"/>
    <n v="260819.99999999997"/>
    <n v="0"/>
    <n v="0"/>
    <n v="0"/>
    <n v="604739.49579831935"/>
    <n v="18.899999999999999"/>
    <n v="0"/>
    <n v="18.899999999999999"/>
    <n v="0"/>
    <m/>
    <n v="0"/>
    <n v="149423.4"/>
    <n v="0"/>
    <n v="0"/>
    <n v="0"/>
    <n v="317488.23529411765"/>
  </r>
  <r>
    <m/>
    <x v="6"/>
    <x v="31"/>
    <x v="78"/>
    <s v="BDSETPAST"/>
    <x v="630"/>
    <x v="468"/>
    <x v="0"/>
    <x v="6"/>
    <n v="1"/>
    <x v="12"/>
    <n v="38"/>
    <m/>
    <n v="0"/>
    <n v="6889"/>
    <n v="261782"/>
    <n v="6.5"/>
    <n v="7286.5"/>
    <n v="14277.310924369749"/>
    <n v="12596.638655462186"/>
    <s v="Ningbo"/>
    <x v="0"/>
    <n v="30"/>
    <n v="10"/>
    <n v="0"/>
    <s v=""/>
    <n v="0"/>
    <s v=""/>
    <n v="0"/>
    <s v=""/>
    <n v="0"/>
    <s v=""/>
    <n v="0"/>
    <s v=""/>
    <n v="0"/>
    <s v=""/>
    <n v="3"/>
    <n v="0.43331071204844435"/>
    <n v="3"/>
    <n v="0.5618717487286593"/>
    <n v="1"/>
    <n v="0.56918309154577285"/>
    <n v="3"/>
    <n v="0.42549264123479075"/>
    <n v="5"/>
    <n v="0.42256412016900335"/>
    <n v="9"/>
    <n v="0.49910714874258283"/>
    <n v="1"/>
    <s v=""/>
    <n v="2"/>
    <s v=""/>
    <n v="2"/>
    <s v=""/>
    <n v="2"/>
    <s v=""/>
    <n v="1"/>
    <n v="1"/>
    <s v=""/>
    <n v="0.25"/>
    <n v="11"/>
    <s v=""/>
    <n v="1.1000000000000001"/>
    <n v="1"/>
    <s v=""/>
    <n v="0.1"/>
    <n v="5"/>
    <n v="37"/>
    <n v="3"/>
    <n v="0"/>
    <n v="0"/>
    <n v="0"/>
    <n v="55112"/>
    <n v="248917.49999999997"/>
    <n v="20667"/>
    <n v="0"/>
    <n v="38"/>
    <n v="261782"/>
    <n v="35993.220817738867"/>
    <n v="5"/>
    <n v="53"/>
    <n v="3"/>
    <n v="0.35593220338983222"/>
    <n v="0"/>
    <n v="0"/>
    <n v="48223"/>
    <n v="356557.49999999994"/>
    <n v="20667"/>
    <n v="0"/>
    <n v="38"/>
    <n v="261782"/>
    <n v="35993.220817738867"/>
    <n v="5"/>
    <n v="51"/>
    <n v="2"/>
    <n v="0"/>
    <n v="0"/>
    <n v="54466"/>
    <n v="351339"/>
    <n v="13778"/>
    <n v="0"/>
    <n v="38"/>
    <n v="261782"/>
    <n v="28554.621848739498"/>
    <n v="2"/>
    <n v="49"/>
    <n v="2"/>
    <n v="0"/>
    <n v="0"/>
    <n v="329647.49999999994"/>
    <n v="13778"/>
    <x v="0"/>
    <x v="0"/>
    <n v="38"/>
    <n v="261782"/>
    <n v="28554.621848739498"/>
    <n v="4"/>
    <n v="39"/>
    <n v="4"/>
    <m/>
    <n v="0"/>
    <n v="0"/>
    <n v="268671"/>
    <n v="26909.999999999996"/>
    <x v="0"/>
    <n v="0"/>
    <n v="38"/>
    <n v="261782"/>
    <n v="57109.243697478996"/>
    <n v="10"/>
    <n v="49"/>
    <n v="11"/>
    <m/>
    <n v="0"/>
    <n v="0"/>
    <n v="337561"/>
    <n v="74002.499999999985"/>
    <n v="0"/>
    <n v="0"/>
    <n v="49"/>
    <n v="261782"/>
    <n v="157050.42016806724"/>
    <n v="10"/>
    <n v="39"/>
    <n v="10"/>
    <n v="0"/>
    <n v="0"/>
    <n v="0"/>
    <n v="268671"/>
    <n v="67274.999999999985"/>
    <n v="0"/>
    <n v="0"/>
    <n v="39"/>
    <n v="261782"/>
    <n v="142773.10924369749"/>
    <n v="15"/>
    <n v="29"/>
    <n v="15"/>
    <n v="0"/>
    <n v="0"/>
    <n v="0"/>
    <n v="199781"/>
    <n v="100912.49999999999"/>
    <n v="0"/>
    <n v="0"/>
    <n v="29"/>
    <n v="199781"/>
    <n v="214159.66386554623"/>
    <n v="5"/>
    <n v="14"/>
    <n v="5"/>
    <n v="0"/>
    <n v="0"/>
    <m/>
    <n v="94184.999999999985"/>
    <n v="33637.499999999993"/>
    <n v="0"/>
    <n v="0"/>
    <n v="14"/>
    <n v="94184.999999999985"/>
    <n v="71386.554621848743"/>
    <n v="5"/>
    <n v="9"/>
    <n v="5"/>
    <n v="0"/>
    <n v="0"/>
    <n v="0"/>
    <m/>
    <n v="60547.499999999993"/>
    <n v="33637.499999999993"/>
    <n v="0"/>
    <n v="0"/>
    <n v="9"/>
    <n v="60547.499999999993"/>
    <n v="62983.193277310929"/>
    <n v="0"/>
    <n v="4"/>
    <n v="0"/>
    <n v="0"/>
    <n v="0"/>
    <n v="26909.999999999996"/>
    <n v="0"/>
    <n v="0"/>
    <n v="0"/>
    <n v="4"/>
    <n v="26909.999999999996"/>
    <n v="0"/>
    <n v="0"/>
    <n v="4"/>
    <n v="0"/>
    <n v="0"/>
    <n v="0"/>
    <n v="26909.999999999996"/>
    <n v="0"/>
    <n v="0"/>
    <n v="4"/>
    <n v="26909.999999999996"/>
    <n v="0"/>
    <n v="0"/>
    <n v="4"/>
    <n v="0"/>
    <n v="0"/>
    <m/>
    <n v="26909.999999999996"/>
    <n v="0"/>
    <n v="0"/>
    <n v="4"/>
    <n v="26909.999999999996"/>
    <n v="0"/>
  </r>
  <r>
    <m/>
    <x v="6"/>
    <x v="31"/>
    <x v="78"/>
    <s v="BDELECTCOC"/>
    <x v="631"/>
    <x v="469"/>
    <x v="0"/>
    <x v="4"/>
    <n v="1.2"/>
    <x v="388"/>
    <n v="106"/>
    <m/>
    <n v="0"/>
    <n v="5823"/>
    <n v="617238"/>
    <n v="5.5"/>
    <n v="6165.5"/>
    <n v="14277.310924369749"/>
    <n v="12596.638655462186"/>
    <s v="Ningbo"/>
    <x v="0"/>
    <n v="30"/>
    <n v="10"/>
    <n v="0"/>
    <s v=""/>
    <n v="0"/>
    <s v=""/>
    <n v="0"/>
    <s v=""/>
    <n v="0"/>
    <s v=""/>
    <n v="0"/>
    <s v=""/>
    <n v="0"/>
    <s v=""/>
    <n v="23"/>
    <n v="0.55982223191803482"/>
    <n v="14"/>
    <n v="0.59863665973992786"/>
    <n v="0"/>
    <s v=""/>
    <n v="1"/>
    <n v="0.60222211105552781"/>
    <n v="29"/>
    <n v="0.5332501960431566"/>
    <n v="74"/>
    <n v="0.57144051605589696"/>
    <n v="13"/>
    <s v=""/>
    <n v="17"/>
    <s v=""/>
    <n v="24"/>
    <s v=""/>
    <n v="20"/>
    <s v=""/>
    <n v="1.3333333333333333"/>
    <n v="25"/>
    <s v=""/>
    <n v="5"/>
    <n v="35"/>
    <s v=""/>
    <n v="2.9166666666666665"/>
    <n v="11"/>
    <s v=""/>
    <n v="0.44"/>
    <n v="20"/>
    <n v="64"/>
    <n v="15"/>
    <n v="0"/>
    <m/>
    <n v="0"/>
    <n v="375583.5"/>
    <n v="364320"/>
    <n v="87345"/>
    <n v="0"/>
    <n v="106"/>
    <n v="617238"/>
    <n v="179966.10408869432"/>
    <n v="12"/>
    <n v="109"/>
    <n v="25.5"/>
    <n v="45"/>
    <n v="30"/>
    <n v="0"/>
    <n v="404698.5"/>
    <n v="620482.5"/>
    <n v="148486.5"/>
    <n v="0"/>
    <n v="106"/>
    <n v="617238"/>
    <n v="305942.37695078034"/>
    <n v="32"/>
    <n v="86"/>
    <n v="24"/>
    <n v="0"/>
    <n v="0"/>
    <n v="290367"/>
    <n v="500778"/>
    <n v="139752"/>
    <n v="0"/>
    <n v="106"/>
    <n v="617238"/>
    <n v="342655.46218487399"/>
    <n v="15"/>
    <n v="76"/>
    <n v="20"/>
    <n v="10"/>
    <n v="0"/>
    <n v="432630"/>
    <n v="116460"/>
    <x v="104"/>
    <x v="0"/>
    <n v="106"/>
    <n v="617238"/>
    <n v="285546.21848739497"/>
    <n v="5"/>
    <n v="131"/>
    <n v="6"/>
    <m/>
    <n v="0"/>
    <n v="0"/>
    <n v="762813"/>
    <n v="34155"/>
    <x v="0"/>
    <n v="0"/>
    <n v="106"/>
    <n v="617238"/>
    <n v="85663.865546218498"/>
    <n v="12"/>
    <n v="141"/>
    <n v="35"/>
    <m/>
    <n v="0"/>
    <n v="0"/>
    <n v="821043"/>
    <n v="199237.5"/>
    <n v="0"/>
    <n v="0"/>
    <n v="141"/>
    <n v="617238"/>
    <n v="499705.8823529412"/>
    <n v="25"/>
    <n v="117"/>
    <n v="30"/>
    <n v="100"/>
    <n v="100"/>
    <n v="0"/>
    <n v="681291"/>
    <n v="170775"/>
    <n v="550275"/>
    <n v="0"/>
    <n v="117"/>
    <n v="617238"/>
    <n v="428319.32773109246"/>
    <n v="40"/>
    <n v="87"/>
    <n v="48"/>
    <n v="0"/>
    <n v="0"/>
    <n v="0"/>
    <n v="506601"/>
    <n v="273240"/>
    <n v="0"/>
    <n v="0"/>
    <n v="87"/>
    <n v="506601"/>
    <n v="685310.92436974798"/>
    <n v="15"/>
    <n v="39"/>
    <n v="18"/>
    <n v="0"/>
    <n v="0"/>
    <m/>
    <n v="222007.5"/>
    <n v="102465"/>
    <n v="0"/>
    <n v="0"/>
    <n v="39"/>
    <n v="222007.5"/>
    <n v="256991.59663865549"/>
    <n v="30"/>
    <n v="21"/>
    <n v="21"/>
    <n v="145"/>
    <n v="145"/>
    <n v="145"/>
    <n v="0"/>
    <n v="119542.5"/>
    <n v="119542.5"/>
    <n v="825412.5"/>
    <n v="825412.5"/>
    <n v="166"/>
    <n v="944955"/>
    <n v="264529.4117647059"/>
    <n v="30"/>
    <n v="145"/>
    <n v="36"/>
    <n v="0"/>
    <n v="0"/>
    <n v="825412.5"/>
    <n v="204930"/>
    <n v="0"/>
    <n v="0"/>
    <n v="145"/>
    <n v="825412.5"/>
    <n v="476152.94117647066"/>
    <n v="80"/>
    <n v="109"/>
    <n v="96"/>
    <n v="0"/>
    <n v="0"/>
    <n v="620482.5"/>
    <n v="546480"/>
    <n v="0"/>
    <n v="109"/>
    <n v="620482.5"/>
    <n v="1370621.848739496"/>
    <n v="18"/>
    <n v="13"/>
    <n v="21.599999999999998"/>
    <n v="0"/>
    <m/>
    <n v="74002.5"/>
    <n v="125776.79999999999"/>
    <n v="0"/>
    <n v="13"/>
    <n v="74002.5"/>
    <n v="308389.91596638656"/>
  </r>
  <r>
    <m/>
    <x v="6"/>
    <x v="31"/>
    <x v="79"/>
    <s v="BDSETDOC"/>
    <x v="632"/>
    <x v="470"/>
    <x v="0"/>
    <x v="3"/>
    <n v="1"/>
    <x v="389"/>
    <n v="48"/>
    <m/>
    <n v="0"/>
    <n v="4770"/>
    <n v="228960"/>
    <n v="5.2"/>
    <n v="5829.2"/>
    <n v="12596.638655462186"/>
    <n v="10915.966386554623"/>
    <s v="Ningbo"/>
    <x v="0"/>
    <n v="30"/>
    <n v="10"/>
    <n v="0"/>
    <s v=""/>
    <n v="0"/>
    <s v=""/>
    <n v="0"/>
    <s v=""/>
    <n v="0"/>
    <s v=""/>
    <n v="0"/>
    <s v=""/>
    <n v="0"/>
    <s v=""/>
    <n v="29"/>
    <n v="0.56370742397451257"/>
    <n v="31"/>
    <n v="0.58681748457620186"/>
    <n v="1"/>
    <n v="0.51925061522584748"/>
    <n v="0"/>
    <s v=""/>
    <n v="2"/>
    <n v="0.51924371998667129"/>
    <n v="0"/>
    <s v=""/>
    <n v="40"/>
    <s v=""/>
    <n v="36"/>
    <s v=""/>
    <n v="92"/>
    <s v=""/>
    <n v="0"/>
    <s v=""/>
    <n v="0"/>
    <n v="0"/>
    <s v=""/>
    <n v="0"/>
    <n v="4"/>
    <s v=""/>
    <n v="0.04"/>
    <n v="11"/>
    <s v=""/>
    <n v="0.18333333333333332"/>
    <n v="30"/>
    <n v="68"/>
    <n v="10"/>
    <n v="0"/>
    <m/>
    <n v="0"/>
    <n v="744120"/>
    <n v="365976"/>
    <n v="47700"/>
    <n v="0"/>
    <n v="48"/>
    <n v="228960"/>
    <n v="105854.10634842174"/>
    <n v="25"/>
    <n v="128"/>
    <n v="54"/>
    <n v="0"/>
    <n v="100"/>
    <n v="0"/>
    <n v="696420"/>
    <n v="688896"/>
    <n v="257580"/>
    <n v="0"/>
    <n v="48"/>
    <n v="228960"/>
    <n v="571612.17428147735"/>
    <n v="70"/>
    <n v="57"/>
    <n v="92"/>
    <n v="0"/>
    <n v="0"/>
    <n v="654120"/>
    <n v="271890"/>
    <n v="438840"/>
    <n v="0"/>
    <n v="48"/>
    <n v="228960"/>
    <n v="1158890.7563025211"/>
    <n v="30"/>
    <n v="0"/>
    <n v="0"/>
    <n v="0"/>
    <n v="0"/>
    <n v="0"/>
    <n v="0"/>
    <x v="0"/>
    <x v="0"/>
    <n v="48"/>
    <n v="228960"/>
    <n v="0"/>
    <n v="40"/>
    <n v="48"/>
    <n v="40"/>
    <m/>
    <n v="0"/>
    <n v="0"/>
    <n v="228960"/>
    <n v="215280"/>
    <x v="0"/>
    <n v="0"/>
    <n v="48"/>
    <n v="228960"/>
    <n v="503865.54621848743"/>
    <n v="100"/>
    <n v="52"/>
    <n v="4"/>
    <m/>
    <n v="0"/>
    <n v="0"/>
    <n v="248040"/>
    <n v="21528"/>
    <n v="0"/>
    <n v="0"/>
    <n v="52"/>
    <n v="228960"/>
    <n v="50386.554621848743"/>
    <n v="60"/>
    <n v="59"/>
    <n v="60"/>
    <n v="50"/>
    <n v="50"/>
    <n v="0"/>
    <n v="281430"/>
    <n v="322920"/>
    <n v="260129.99999999997"/>
    <n v="0"/>
    <n v="59"/>
    <n v="228960"/>
    <n v="755798.31932773115"/>
    <n v="120"/>
    <n v="0"/>
    <n v="120"/>
    <n v="0"/>
    <n v="0"/>
    <n v="0"/>
    <n v="0"/>
    <n v="645840"/>
    <n v="0"/>
    <n v="0"/>
    <n v="0"/>
    <n v="0"/>
    <n v="1511596.6386554623"/>
    <n v="40"/>
    <n v="0"/>
    <n v="40"/>
    <n v="80"/>
    <n v="80"/>
    <n v="0"/>
    <n v="0"/>
    <n v="215280"/>
    <n v="430560"/>
    <n v="0"/>
    <n v="0"/>
    <n v="0"/>
    <n v="503865.54621848743"/>
    <n v="100"/>
    <n v="80"/>
    <n v="80"/>
    <n v="200"/>
    <n v="200"/>
    <n v="200"/>
    <n v="80"/>
    <n v="430560"/>
    <n v="430560"/>
    <n v="1076400"/>
    <n v="1506960"/>
    <n v="280"/>
    <n v="1937520"/>
    <n v="873277.31092436984"/>
    <n v="105"/>
    <n v="200"/>
    <n v="105"/>
    <n v="160"/>
    <n v="160"/>
    <n v="1076400"/>
    <n v="565110"/>
    <n v="861120"/>
    <n v="861120"/>
    <n v="360"/>
    <n v="1937520"/>
    <n v="1203485.2941176472"/>
    <n v="200"/>
    <n v="255"/>
    <n v="200"/>
    <n v="0"/>
    <n v="0"/>
    <n v="1372410"/>
    <n v="1076400"/>
    <n v="0"/>
    <n v="255"/>
    <n v="1372410"/>
    <n v="2519327.7310924372"/>
    <n v="63"/>
    <n v="55"/>
    <n v="63"/>
    <n v="0"/>
    <m/>
    <n v="296010"/>
    <n v="300510"/>
    <n v="0"/>
    <n v="55"/>
    <n v="296010"/>
    <n v="793588.23529411771"/>
  </r>
  <r>
    <m/>
    <x v="6"/>
    <x v="31"/>
    <x v="79"/>
    <s v="BDSETLIMP"/>
    <x v="633"/>
    <x v="471"/>
    <x v="0"/>
    <x v="2"/>
    <n v="1"/>
    <x v="12"/>
    <n v="52"/>
    <m/>
    <n v="0"/>
    <n v="11970"/>
    <n v="622440"/>
    <n v="10.5"/>
    <n v="11970"/>
    <n v="30176.470588235294"/>
    <n v="25650"/>
    <s v="Ningbo"/>
    <x v="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"/>
    <s v=""/>
    <n v="0.04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52"/>
    <n v="622440"/>
    <n v="0"/>
    <n v="0"/>
    <n v="0"/>
    <n v="0"/>
    <n v="0"/>
    <n v="0"/>
    <n v="0"/>
    <n v="0"/>
    <x v="0"/>
    <x v="0"/>
    <n v="52"/>
    <n v="622440"/>
    <n v="0"/>
    <n v="0"/>
    <n v="52"/>
    <n v="0"/>
    <m/>
    <m/>
    <n v="0"/>
    <n v="622440"/>
    <n v="0"/>
    <x v="0"/>
    <n v="0"/>
    <n v="52"/>
    <n v="622440"/>
    <n v="0"/>
    <n v="15"/>
    <n v="52"/>
    <n v="0"/>
    <m/>
    <n v="0"/>
    <n v="0"/>
    <n v="622440"/>
    <n v="0"/>
    <n v="0"/>
    <n v="0"/>
    <n v="52"/>
    <n v="622440"/>
    <n v="0"/>
    <n v="25"/>
    <n v="53"/>
    <n v="25"/>
    <n v="50"/>
    <n v="50"/>
    <n v="0"/>
    <n v="634410"/>
    <n v="271687.5"/>
    <n v="525262.5"/>
    <n v="0"/>
    <n v="53"/>
    <n v="622440"/>
    <n v="754411.76470588229"/>
    <n v="10"/>
    <n v="28"/>
    <n v="10"/>
    <n v="0"/>
    <n v="0"/>
    <n v="0"/>
    <n v="335160"/>
    <n v="108675"/>
    <n v="0"/>
    <n v="0"/>
    <n v="28"/>
    <n v="335160"/>
    <n v="301764.70588235295"/>
    <n v="8"/>
    <n v="18"/>
    <n v="8"/>
    <n v="0"/>
    <n v="0"/>
    <m/>
    <n v="195615"/>
    <n v="86940"/>
    <n v="0"/>
    <n v="0"/>
    <n v="18"/>
    <n v="195615"/>
    <n v="241411.76470588235"/>
    <n v="20"/>
    <n v="10"/>
    <n v="10"/>
    <n v="70"/>
    <n v="70"/>
    <n v="70"/>
    <n v="0"/>
    <n v="108675"/>
    <n v="108675"/>
    <n v="760725"/>
    <n v="760725"/>
    <n v="80"/>
    <n v="869400"/>
    <n v="256500"/>
    <n v="17.5"/>
    <n v="70"/>
    <n v="17.5"/>
    <n v="0"/>
    <n v="0"/>
    <n v="760725"/>
    <n v="190181.25"/>
    <n v="0"/>
    <n v="0"/>
    <n v="70"/>
    <n v="760725"/>
    <n v="471318.75"/>
    <n v="40"/>
    <n v="52.5"/>
    <n v="40"/>
    <n v="0"/>
    <n v="0"/>
    <n v="570543.75"/>
    <n v="434700"/>
    <n v="0"/>
    <n v="52.5"/>
    <n v="570543.75"/>
    <n v="1207058.8235294118"/>
    <n v="10.5"/>
    <n v="12.5"/>
    <n v="10.5"/>
    <n v="0"/>
    <m/>
    <n v="135843.75"/>
    <n v="125685"/>
    <n v="0"/>
    <n v="12.5"/>
    <n v="135843.75"/>
    <n v="316852.9411764706"/>
  </r>
  <r>
    <m/>
    <x v="6"/>
    <x v="31"/>
    <x v="79"/>
    <s v="BDPZMG2E1"/>
    <x v="634"/>
    <x v="472"/>
    <x v="0"/>
    <x v="2"/>
    <n v="1"/>
    <x v="12"/>
    <n v="50"/>
    <m/>
    <n v="0"/>
    <n v="15960"/>
    <n v="798000"/>
    <n v="14"/>
    <n v="15960"/>
    <n v="40235.294117647063"/>
    <n v="34200"/>
    <s v="Ningbo"/>
    <x v="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"/>
    <s v=""/>
    <n v="0.05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50"/>
    <n v="798000"/>
    <n v="0"/>
    <n v="0"/>
    <n v="0"/>
    <n v="0"/>
    <n v="0"/>
    <n v="0"/>
    <n v="0"/>
    <n v="0"/>
    <x v="0"/>
    <x v="0"/>
    <n v="50"/>
    <n v="798000"/>
    <n v="0"/>
    <n v="0"/>
    <n v="50"/>
    <n v="0"/>
    <m/>
    <m/>
    <n v="0"/>
    <n v="798000"/>
    <n v="0"/>
    <x v="0"/>
    <n v="0"/>
    <n v="50"/>
    <n v="798000"/>
    <n v="0"/>
    <n v="10"/>
    <n v="50"/>
    <n v="0"/>
    <m/>
    <n v="0"/>
    <n v="0"/>
    <n v="798000"/>
    <n v="0"/>
    <n v="0"/>
    <n v="0"/>
    <n v="50"/>
    <n v="798000"/>
    <n v="0"/>
    <n v="20"/>
    <n v="51"/>
    <n v="20"/>
    <n v="50"/>
    <n v="50"/>
    <n v="0"/>
    <n v="813960"/>
    <n v="289799.99999999994"/>
    <n v="700349.99999999988"/>
    <n v="0"/>
    <n v="51"/>
    <n v="798000"/>
    <n v="804705.8823529412"/>
    <n v="35"/>
    <n v="31"/>
    <n v="35"/>
    <n v="0"/>
    <n v="0"/>
    <n v="0"/>
    <n v="494760"/>
    <n v="507149.99999999994"/>
    <n v="0"/>
    <n v="0"/>
    <n v="31"/>
    <n v="494760"/>
    <n v="1408235.2941176472"/>
    <n v="15"/>
    <n v="0"/>
    <n v="15"/>
    <n v="30"/>
    <n v="30"/>
    <n v="0"/>
    <n v="0"/>
    <n v="217349.99999999997"/>
    <n v="434699.99999999994"/>
    <n v="0"/>
    <n v="0"/>
    <n v="0"/>
    <n v="603529.4117647059"/>
    <n v="50"/>
    <n v="30"/>
    <n v="30"/>
    <n v="100"/>
    <n v="100"/>
    <n v="100"/>
    <n v="30"/>
    <n v="434699.99999999994"/>
    <n v="434699.99999999994"/>
    <n v="1448999.9999999998"/>
    <n v="1883699.9999999998"/>
    <n v="130"/>
    <n v="2318399.9999999995"/>
    <n v="1026000"/>
    <n v="56"/>
    <n v="100"/>
    <n v="56"/>
    <n v="50"/>
    <n v="50"/>
    <n v="1448999.9999999998"/>
    <n v="811439.99999999988"/>
    <n v="724499.99999999988"/>
    <n v="724499.99999999988"/>
    <n v="150"/>
    <n v="2173499.9999999995"/>
    <n v="2010960"/>
    <n v="80"/>
    <n v="94"/>
    <n v="80"/>
    <n v="0"/>
    <n v="0"/>
    <n v="1362059.9999999998"/>
    <n v="1159199.9999999998"/>
    <n v="0"/>
    <n v="94"/>
    <n v="1362059.9999999998"/>
    <n v="3218823.5294117648"/>
    <n v="33.6"/>
    <n v="14"/>
    <n v="33.6"/>
    <n v="0"/>
    <m/>
    <n v="202859.99999999997"/>
    <n v="536256"/>
    <n v="0"/>
    <n v="14"/>
    <n v="202859.99999999997"/>
    <n v="1351905.8823529414"/>
  </r>
  <r>
    <m/>
    <x v="6"/>
    <x v="31"/>
    <x v="79"/>
    <s v="BDCASMUÑEC-WD"/>
    <x v="635"/>
    <x v="473"/>
    <x v="0"/>
    <x v="2"/>
    <n v="1"/>
    <x v="12"/>
    <n v="50"/>
    <m/>
    <n v="0"/>
    <n v="24692.400000000001"/>
    <n v="1234620"/>
    <n v="21.66"/>
    <n v="24692.400000000001"/>
    <n v="62249.74789915968"/>
    <n v="52912.285714285725"/>
    <s v="Ningbo"/>
    <x v="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50"/>
    <n v="1234620"/>
    <n v="0"/>
    <n v="0"/>
    <n v="0"/>
    <n v="0"/>
    <n v="0"/>
    <n v="0"/>
    <n v="0"/>
    <n v="0"/>
    <x v="0"/>
    <x v="0"/>
    <n v="50"/>
    <n v="1234620"/>
    <n v="0"/>
    <n v="0"/>
    <n v="50"/>
    <n v="0"/>
    <m/>
    <m/>
    <n v="0"/>
    <n v="1234620"/>
    <n v="0"/>
    <x v="0"/>
    <n v="0"/>
    <n v="50"/>
    <n v="1234620"/>
    <n v="0"/>
    <n v="70"/>
    <n v="50"/>
    <n v="0"/>
    <m/>
    <n v="0"/>
    <n v="0"/>
    <n v="1234620"/>
    <n v="0"/>
    <n v="0"/>
    <n v="0"/>
    <n v="50"/>
    <n v="1234620"/>
    <n v="0"/>
    <n v="10"/>
    <n v="50"/>
    <n v="10"/>
    <n v="50"/>
    <n v="50"/>
    <n v="0"/>
    <n v="1234620"/>
    <n v="224181"/>
    <n v="1083541.5"/>
    <n v="0"/>
    <n v="50"/>
    <n v="1234620"/>
    <n v="622497.47899159684"/>
    <n v="25"/>
    <n v="40"/>
    <n v="25"/>
    <n v="0"/>
    <n v="0"/>
    <n v="0"/>
    <n v="987696"/>
    <n v="560452.5"/>
    <n v="0"/>
    <n v="0"/>
    <n v="40"/>
    <n v="987696"/>
    <n v="1556243.6974789919"/>
    <n v="10"/>
    <n v="15"/>
    <n v="10"/>
    <n v="15"/>
    <n v="15"/>
    <n v="0"/>
    <n v="336271.5"/>
    <n v="224181"/>
    <n v="336271.5"/>
    <n v="0"/>
    <n v="15"/>
    <n v="336271.5"/>
    <n v="622497.47899159684"/>
    <n v="25"/>
    <n v="20"/>
    <n v="20"/>
    <n v="80"/>
    <n v="80"/>
    <n v="80"/>
    <n v="15"/>
    <n v="448362"/>
    <n v="448362"/>
    <n v="1793448"/>
    <n v="2129719.5"/>
    <n v="100"/>
    <n v="2578081.5"/>
    <n v="1058245.7142857146"/>
    <n v="28"/>
    <n v="80"/>
    <n v="28"/>
    <n v="0"/>
    <n v="0"/>
    <n v="1793448"/>
    <n v="627706.79999999993"/>
    <n v="0"/>
    <n v="0"/>
    <n v="80"/>
    <n v="1793448"/>
    <n v="1555621.2000000004"/>
    <n v="48"/>
    <n v="52"/>
    <n v="48"/>
    <n v="0"/>
    <n v="0"/>
    <n v="1165741.2"/>
    <n v="1076068.7999999998"/>
    <n v="0"/>
    <n v="52"/>
    <n v="1165741.2"/>
    <n v="2987987.8991596648"/>
    <n v="16.8"/>
    <n v="4"/>
    <n v="16.8"/>
    <n v="0"/>
    <m/>
    <n v="89672.4"/>
    <n v="414832.32000000007"/>
    <n v="0"/>
    <n v="4"/>
    <n v="89672.4"/>
    <n v="1045795.7647058826"/>
  </r>
  <r>
    <m/>
    <x v="6"/>
    <x v="31"/>
    <x v="79"/>
    <s v="BDPKMESILL"/>
    <x v="636"/>
    <x v="474"/>
    <x v="0"/>
    <x v="2"/>
    <n v="1"/>
    <x v="12"/>
    <n v="8"/>
    <m/>
    <n v="0"/>
    <n v="47880"/>
    <n v="383040"/>
    <n v="42"/>
    <n v="47880"/>
    <n v="120705.88235294117"/>
    <n v="102600"/>
    <s v="Ningbo"/>
    <x v="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2"/>
    <s v=""/>
    <n v="0.4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8"/>
    <n v="383040"/>
    <n v="0"/>
    <n v="0"/>
    <n v="0"/>
    <n v="0"/>
    <n v="0"/>
    <n v="0"/>
    <n v="0"/>
    <n v="0"/>
    <x v="0"/>
    <x v="0"/>
    <n v="8"/>
    <n v="383040"/>
    <n v="0"/>
    <n v="0"/>
    <n v="8"/>
    <n v="0"/>
    <m/>
    <m/>
    <n v="0"/>
    <n v="383040"/>
    <n v="0"/>
    <x v="0"/>
    <n v="0"/>
    <n v="8"/>
    <n v="383040"/>
    <n v="0"/>
    <n v="3"/>
    <n v="8"/>
    <n v="0"/>
    <m/>
    <n v="0"/>
    <n v="0"/>
    <n v="383040"/>
    <n v="0"/>
    <n v="0"/>
    <n v="0"/>
    <n v="8"/>
    <n v="383040"/>
    <n v="0"/>
    <n v="5"/>
    <n v="10"/>
    <n v="5"/>
    <n v="10"/>
    <n v="10"/>
    <n v="0"/>
    <n v="478800"/>
    <n v="217350"/>
    <n v="420210"/>
    <n v="0"/>
    <n v="10"/>
    <n v="383040"/>
    <n v="603529.4117647059"/>
    <n v="3"/>
    <n v="5"/>
    <n v="3"/>
    <n v="0"/>
    <n v="0"/>
    <n v="0"/>
    <n v="239400"/>
    <n v="130410"/>
    <n v="0"/>
    <n v="0"/>
    <n v="5"/>
    <n v="239400"/>
    <n v="362117.6470588235"/>
    <n v="2"/>
    <n v="2"/>
    <n v="2"/>
    <n v="0"/>
    <n v="0"/>
    <m/>
    <n v="86940"/>
    <n v="86940"/>
    <n v="0"/>
    <n v="0"/>
    <n v="2"/>
    <n v="86940"/>
    <n v="241411.76470588235"/>
    <n v="4"/>
    <n v="0"/>
    <n v="0"/>
    <n v="20"/>
    <n v="20"/>
    <n v="20"/>
    <n v="0"/>
    <n v="0"/>
    <n v="0"/>
    <n v="869400"/>
    <n v="869400"/>
    <n v="20"/>
    <n v="869400"/>
    <n v="0"/>
    <n v="3.5"/>
    <n v="20"/>
    <n v="3.5"/>
    <n v="5"/>
    <n v="5"/>
    <n v="869400"/>
    <n v="152145"/>
    <n v="217350"/>
    <n v="217350"/>
    <n v="25"/>
    <n v="1086750"/>
    <n v="377055"/>
    <n v="8"/>
    <n v="21.5"/>
    <n v="8"/>
    <n v="0"/>
    <n v="0"/>
    <n v="934605"/>
    <n v="347760"/>
    <n v="0"/>
    <n v="21.5"/>
    <n v="934605"/>
    <n v="965647.0588235294"/>
    <n v="2.1"/>
    <n v="13.5"/>
    <n v="2.1"/>
    <n v="0"/>
    <m/>
    <n v="586845"/>
    <n v="100548"/>
    <n v="0"/>
    <n v="13.5"/>
    <n v="586845"/>
    <n v="253482.35294117648"/>
  </r>
  <r>
    <m/>
    <x v="6"/>
    <x v="31"/>
    <x v="80"/>
    <s v="BDSETMAQ"/>
    <x v="637"/>
    <x v="475"/>
    <x v="0"/>
    <x v="4"/>
    <n v="0.8"/>
    <x v="390"/>
    <n v="119"/>
    <m/>
    <n v="0"/>
    <n v="4770"/>
    <n v="567630"/>
    <n v="5.2"/>
    <n v="5829.2"/>
    <n v="16798.319327731093"/>
    <n v="12596.638655462186"/>
    <s v="Ningbo"/>
    <x v="0"/>
    <n v="30"/>
    <n v="10"/>
    <n v="0"/>
    <s v=""/>
    <n v="0"/>
    <s v=""/>
    <n v="0"/>
    <s v=""/>
    <n v="0"/>
    <s v=""/>
    <n v="0"/>
    <s v=""/>
    <n v="0"/>
    <s v=""/>
    <n v="9"/>
    <n v="0.5232967349894877"/>
    <n v="17"/>
    <n v="0.59138988576495666"/>
    <n v="20"/>
    <n v="0.55210643084423638"/>
    <n v="10"/>
    <n v="0.5317324154041807"/>
    <n v="4"/>
    <n v="0.54930416015479644"/>
    <n v="0"/>
    <s v=""/>
    <n v="0"/>
    <s v=""/>
    <n v="0"/>
    <s v=""/>
    <n v="13"/>
    <s v=""/>
    <n v="11"/>
    <s v=""/>
    <n v="0.73333333333333328"/>
    <n v="9"/>
    <s v=""/>
    <n v="0.9"/>
    <n v="20"/>
    <s v=""/>
    <n v="0.8"/>
    <n v="13"/>
    <s v=""/>
    <n v="0.37142857142857144"/>
    <n v="0"/>
    <n v="0"/>
    <n v="0"/>
    <n v="0"/>
    <m/>
    <n v="0"/>
    <n v="62010"/>
    <n v="0"/>
    <n v="0"/>
    <n v="0"/>
    <n v="119"/>
    <n v="567630"/>
    <n v="0"/>
    <n v="0"/>
    <n v="80"/>
    <n v="0"/>
    <n v="0"/>
    <n v="0"/>
    <n v="0"/>
    <n v="114480"/>
    <n v="430560"/>
    <n v="0"/>
    <n v="0"/>
    <n v="119"/>
    <n v="567630"/>
    <n v="0"/>
    <n v="15"/>
    <n v="80"/>
    <n v="13"/>
    <n v="0"/>
    <n v="0"/>
    <n v="157536"/>
    <n v="381600"/>
    <n v="62010"/>
    <n v="0"/>
    <n v="119"/>
    <n v="567630"/>
    <n v="218378.15126050421"/>
    <n v="15"/>
    <n v="109"/>
    <n v="11"/>
    <n v="30"/>
    <n v="0"/>
    <n v="586638"/>
    <n v="52470"/>
    <x v="105"/>
    <x v="0"/>
    <n v="119"/>
    <n v="567630"/>
    <n v="184781.51260504202"/>
    <n v="10"/>
    <n v="128"/>
    <n v="8"/>
    <m/>
    <n v="0"/>
    <n v="0"/>
    <n v="610560"/>
    <n v="43056"/>
    <x v="0"/>
    <n v="0"/>
    <n v="119"/>
    <n v="567630"/>
    <n v="134386.55462184874"/>
    <n v="25"/>
    <n v="139"/>
    <n v="20"/>
    <m/>
    <n v="0"/>
    <n v="0"/>
    <n v="663030"/>
    <n v="107640"/>
    <n v="0"/>
    <n v="0"/>
    <n v="139"/>
    <n v="567630"/>
    <n v="335966.38655462186"/>
    <n v="35"/>
    <n v="132"/>
    <n v="28"/>
    <n v="50"/>
    <n v="50"/>
    <n v="0"/>
    <n v="629640"/>
    <n v="150696"/>
    <n v="260129.99999999997"/>
    <n v="0"/>
    <n v="132"/>
    <n v="567630"/>
    <n v="470352.9411764706"/>
    <n v="45"/>
    <n v="104"/>
    <n v="36"/>
    <n v="0"/>
    <n v="0"/>
    <n v="0"/>
    <n v="496080"/>
    <n v="193752"/>
    <n v="0"/>
    <n v="0"/>
    <n v="104"/>
    <n v="496080"/>
    <n v="604739.49579831935"/>
    <n v="15"/>
    <n v="68"/>
    <n v="12"/>
    <n v="0"/>
    <n v="0"/>
    <m/>
    <n v="365976"/>
    <n v="64584"/>
    <n v="0"/>
    <n v="0"/>
    <n v="68"/>
    <n v="365976"/>
    <n v="201579.83193277312"/>
    <n v="25"/>
    <n v="56"/>
    <n v="20"/>
    <n v="40"/>
    <n v="40"/>
    <n v="40"/>
    <n v="0"/>
    <n v="301392"/>
    <n v="107640"/>
    <n v="215280"/>
    <n v="215280"/>
    <n v="96"/>
    <n v="516672"/>
    <n v="251932.77310924372"/>
    <n v="35"/>
    <n v="76"/>
    <n v="28"/>
    <n v="0"/>
    <n v="0"/>
    <n v="409032"/>
    <n v="150696"/>
    <n v="0"/>
    <n v="0"/>
    <n v="76"/>
    <n v="409032"/>
    <n v="370341.17647058825"/>
    <n v="64"/>
    <n v="48"/>
    <n v="51.2"/>
    <n v="0"/>
    <n v="0"/>
    <n v="258336"/>
    <n v="275558.40000000002"/>
    <n v="0"/>
    <n v="48"/>
    <n v="258336"/>
    <n v="860073.94957983203"/>
    <n v="21"/>
    <n v="0"/>
    <n v="16.8"/>
    <n v="0"/>
    <m/>
    <n v="0"/>
    <n v="80136"/>
    <n v="0"/>
    <n v="0"/>
    <n v="0"/>
    <n v="282211.76470588235"/>
  </r>
  <r>
    <m/>
    <x v="6"/>
    <x v="31"/>
    <x v="80"/>
    <s v="BDTOCMD-WH"/>
    <x v="638"/>
    <x v="476"/>
    <x v="0"/>
    <x v="4"/>
    <n v="0.7"/>
    <x v="391"/>
    <n v="48"/>
    <m/>
    <n v="0"/>
    <n v="33401"/>
    <n v="1603248"/>
    <n v="29.49"/>
    <n v="33058.29"/>
    <n v="84025.210084033621"/>
    <n v="84025.210084033621"/>
    <s v="Ningbo"/>
    <x v="0"/>
    <n v="30"/>
    <n v="10"/>
    <n v="0"/>
    <s v=""/>
    <n v="0"/>
    <s v=""/>
    <n v="0"/>
    <s v=""/>
    <n v="0"/>
    <s v=""/>
    <n v="0"/>
    <s v=""/>
    <n v="0"/>
    <s v=""/>
    <n v="6"/>
    <n v="0.48482526427850026"/>
    <n v="7"/>
    <n v="0.53641459277257797"/>
    <n v="4"/>
    <n v="0.51158056993053569"/>
    <n v="3"/>
    <n v="0.51157782222777848"/>
    <n v="26"/>
    <n v="0.48681106541572067"/>
    <n v="13"/>
    <n v="0.51384979667511843"/>
    <n v="0"/>
    <s v=""/>
    <n v="0"/>
    <s v=""/>
    <n v="0"/>
    <s v=""/>
    <n v="4"/>
    <s v=""/>
    <n v="0.4"/>
    <n v="2"/>
    <s v=""/>
    <n v="0.13333333333333333"/>
    <n v="4"/>
    <s v=""/>
    <n v="0.11428571428571428"/>
    <n v="1"/>
    <s v=""/>
    <n v="0.04"/>
    <n v="0"/>
    <n v="0"/>
    <n v="0"/>
    <n v="0"/>
    <m/>
    <n v="0"/>
    <n v="0"/>
    <n v="0"/>
    <n v="0"/>
    <n v="0"/>
    <n v="48"/>
    <n v="1603248"/>
    <n v="0"/>
    <n v="0"/>
    <n v="0"/>
    <n v="0"/>
    <n v="0"/>
    <n v="0"/>
    <n v="0"/>
    <n v="133604"/>
    <n v="0"/>
    <n v="0"/>
    <n v="0"/>
    <n v="48"/>
    <n v="1603248"/>
    <n v="0"/>
    <n v="5"/>
    <n v="0"/>
    <n v="0"/>
    <n v="0"/>
    <n v="0"/>
    <n v="454086.57499999995"/>
    <n v="0"/>
    <n v="0"/>
    <n v="0"/>
    <n v="48"/>
    <n v="1603248"/>
    <n v="0"/>
    <n v="10"/>
    <n v="16"/>
    <n v="4"/>
    <n v="20"/>
    <n v="0"/>
    <n v="488354.39999999997"/>
    <n v="133604"/>
    <x v="106"/>
    <x v="0"/>
    <n v="48"/>
    <n v="1603248"/>
    <n v="336100.84033613448"/>
    <n v="15"/>
    <n v="50"/>
    <n v="10.5"/>
    <m/>
    <n v="0"/>
    <n v="0"/>
    <n v="1670050"/>
    <n v="320482.57499999995"/>
    <x v="0"/>
    <n v="0"/>
    <n v="48"/>
    <n v="1603248"/>
    <n v="882264.70588235301"/>
    <n v="35"/>
    <n v="52"/>
    <n v="4"/>
    <m/>
    <n v="0"/>
    <n v="0"/>
    <n v="1736852"/>
    <n v="122088.59999999999"/>
    <n v="0"/>
    <n v="0"/>
    <n v="52"/>
    <n v="1603248"/>
    <n v="336100.84033613448"/>
    <n v="25"/>
    <n v="49"/>
    <n v="17.5"/>
    <n v="40"/>
    <n v="40"/>
    <n v="0"/>
    <n v="1636649"/>
    <n v="534137.625"/>
    <n v="1180189.7999999998"/>
    <n v="0"/>
    <n v="49"/>
    <n v="1603248"/>
    <n v="1470441.1764705884"/>
    <n v="30"/>
    <n v="31.5"/>
    <n v="21"/>
    <n v="0"/>
    <n v="0"/>
    <n v="0"/>
    <n v="1052131.5"/>
    <n v="640965.14999999991"/>
    <n v="0"/>
    <n v="0"/>
    <n v="31.5"/>
    <n v="1052131.5"/>
    <n v="1764529.411764706"/>
    <n v="16"/>
    <n v="10.5"/>
    <n v="11.2"/>
    <n v="30"/>
    <n v="30"/>
    <n v="0"/>
    <n v="320482.57499999995"/>
    <n v="341848.07999999996"/>
    <n v="915664.49999999988"/>
    <n v="0"/>
    <n v="10.5"/>
    <n v="320482.57499999995"/>
    <n v="941082.3529411765"/>
    <n v="20"/>
    <n v="30"/>
    <n v="14"/>
    <n v="0"/>
    <n v="0"/>
    <n v="0"/>
    <n v="30"/>
    <n v="915664.49999999988"/>
    <n v="427310.1"/>
    <n v="0"/>
    <n v="915664.49999999988"/>
    <n v="30"/>
    <n v="1831328.9999999998"/>
    <n v="1176352.9411764706"/>
    <n v="25"/>
    <n v="16"/>
    <n v="17.5"/>
    <n v="45"/>
    <n v="45"/>
    <n v="488354.39999999997"/>
    <n v="534137.625"/>
    <n v="1373496.75"/>
    <n v="1373496.75"/>
    <n v="61"/>
    <n v="1861851.15"/>
    <n v="1543963.2352941178"/>
    <n v="30"/>
    <n v="43.5"/>
    <n v="21"/>
    <n v="0"/>
    <n v="0"/>
    <n v="1327713.5249999999"/>
    <n v="640965.14999999991"/>
    <n v="0"/>
    <n v="43.5"/>
    <n v="1327713.5249999999"/>
    <n v="1764529.411764706"/>
    <n v="15"/>
    <n v="22.5"/>
    <n v="10.5"/>
    <n v="0"/>
    <m/>
    <n v="686748.375"/>
    <n v="350710.5"/>
    <n v="0"/>
    <n v="22.5"/>
    <n v="686748.375"/>
    <n v="882264.70588235301"/>
  </r>
  <r>
    <m/>
    <x v="6"/>
    <x v="32"/>
    <x v="81"/>
    <s v="BDMESHERRA"/>
    <x v="639"/>
    <x v="477"/>
    <x v="0"/>
    <x v="0"/>
    <n v="0.6"/>
    <x v="392"/>
    <n v="8"/>
    <m/>
    <n v="0"/>
    <n v="20332"/>
    <n v="162656"/>
    <n v="18"/>
    <n v="20178"/>
    <n v="42008.403361344543"/>
    <n v="42008.403361344543"/>
    <s v="Ningbo"/>
    <x v="0"/>
    <n v="30"/>
    <n v="10"/>
    <n v="0"/>
    <s v=""/>
    <n v="0"/>
    <s v=""/>
    <n v="0"/>
    <s v=""/>
    <n v="0"/>
    <s v=""/>
    <n v="0"/>
    <s v=""/>
    <n v="0"/>
    <s v=""/>
    <n v="2"/>
    <n v="0.33552108194112967"/>
    <n v="2"/>
    <n v="0.52280517996572085"/>
    <n v="2"/>
    <n v="0.43859747388467246"/>
    <n v="6"/>
    <n v="0.47367500568509263"/>
    <n v="9"/>
    <n v="0.4346389278428951"/>
    <n v="12"/>
    <n v="0.5464689198134115"/>
    <n v="0"/>
    <s v=""/>
    <n v="0"/>
    <s v=""/>
    <n v="0"/>
    <s v=""/>
    <n v="2"/>
    <s v=""/>
    <n v="0.2"/>
    <n v="2"/>
    <s v=""/>
    <n v="0.33333333333333331"/>
    <n v="6"/>
    <s v=""/>
    <n v="0.4"/>
    <n v="4"/>
    <s v=""/>
    <n v="0.4"/>
    <n v="0"/>
    <n v="0"/>
    <n v="0"/>
    <n v="0"/>
    <n v="0"/>
    <n v="0"/>
    <n v="0"/>
    <n v="0"/>
    <n v="0"/>
    <n v="0"/>
    <n v="8"/>
    <n v="162656"/>
    <n v="0"/>
    <n v="0"/>
    <n v="0"/>
    <n v="0"/>
    <n v="1.0169491525424235E-2"/>
    <n v="0"/>
    <n v="0"/>
    <n v="40664"/>
    <n v="0"/>
    <n v="0"/>
    <n v="0"/>
    <n v="8"/>
    <n v="162656"/>
    <n v="0"/>
    <n v="5"/>
    <n v="0"/>
    <n v="0"/>
    <n v="0"/>
    <n v="0"/>
    <n v="107732"/>
    <n v="0"/>
    <n v="0"/>
    <n v="0"/>
    <n v="8"/>
    <n v="162656"/>
    <n v="0"/>
    <n v="10"/>
    <n v="17"/>
    <n v="2"/>
    <n v="20"/>
    <n v="0"/>
    <n v="316710"/>
    <n v="40664"/>
    <x v="107"/>
    <x v="0"/>
    <n v="8"/>
    <n v="162656"/>
    <n v="84016.806722689085"/>
    <n v="6"/>
    <n v="10"/>
    <n v="3.5999999999999996"/>
    <m/>
    <n v="0"/>
    <n v="0"/>
    <n v="203320"/>
    <n v="67068"/>
    <x v="0"/>
    <n v="0"/>
    <n v="8"/>
    <n v="162656"/>
    <n v="151230.25210084033"/>
    <n v="15"/>
    <n v="14"/>
    <n v="6"/>
    <m/>
    <n v="0"/>
    <n v="0"/>
    <n v="284648"/>
    <n v="111780"/>
    <n v="0"/>
    <n v="0"/>
    <n v="14"/>
    <n v="162656"/>
    <n v="252050.42016806727"/>
    <n v="10"/>
    <n v="12"/>
    <n v="6"/>
    <n v="0"/>
    <n v="0"/>
    <n v="0"/>
    <n v="243984"/>
    <n v="111780"/>
    <n v="0"/>
    <n v="0"/>
    <n v="12"/>
    <n v="162656"/>
    <n v="252050.42016806727"/>
    <n v="12"/>
    <n v="6"/>
    <n v="7.1999999999999993"/>
    <n v="0"/>
    <n v="0"/>
    <n v="0"/>
    <n v="121992"/>
    <n v="134136"/>
    <n v="0"/>
    <n v="0"/>
    <n v="6"/>
    <n v="121992"/>
    <n v="302460.50420168065"/>
    <n v="10"/>
    <n v="0"/>
    <n v="6"/>
    <n v="15"/>
    <n v="15"/>
    <n v="0"/>
    <n v="0"/>
    <n v="111780"/>
    <n v="279450"/>
    <n v="0"/>
    <n v="0"/>
    <n v="0"/>
    <n v="252050.42016806727"/>
    <n v="6"/>
    <n v="15"/>
    <n v="3.5999999999999996"/>
    <n v="10"/>
    <n v="10"/>
    <n v="10"/>
    <n v="15"/>
    <n v="279450"/>
    <n v="67068"/>
    <n v="186300"/>
    <n v="465750"/>
    <n v="25"/>
    <n v="745200"/>
    <n v="151230.25210084033"/>
    <n v="9"/>
    <n v="21.4"/>
    <n v="5.3999999999999995"/>
    <n v="0"/>
    <n v="0"/>
    <n v="398682"/>
    <n v="100601.99999999999"/>
    <n v="0"/>
    <n v="0"/>
    <n v="21.4"/>
    <n v="398682"/>
    <n v="238187.64705882355"/>
    <n v="12"/>
    <n v="16"/>
    <n v="7.1999999999999993"/>
    <n v="0"/>
    <n v="0"/>
    <n v="298080"/>
    <n v="134136"/>
    <n v="0"/>
    <n v="16"/>
    <n v="298080"/>
    <n v="302460.50420168065"/>
    <n v="5.3999999999999995"/>
    <n v="8.8000000000000007"/>
    <n v="3.2399999999999998"/>
    <n v="0"/>
    <m/>
    <n v="163944"/>
    <n v="65875.679999999993"/>
    <n v="0"/>
    <n v="8.8000000000000007"/>
    <n v="163944"/>
    <n v="136107.22689075631"/>
  </r>
  <r>
    <m/>
    <x v="6"/>
    <x v="32"/>
    <x v="82"/>
    <s v="BDJUETRE"/>
    <x v="640"/>
    <x v="478"/>
    <x v="0"/>
    <x v="4"/>
    <n v="1"/>
    <x v="393"/>
    <n v="77"/>
    <m/>
    <n v="0"/>
    <n v="16420"/>
    <n v="1264340"/>
    <n v="15.67"/>
    <n v="17566.07"/>
    <n v="42008.403361344543"/>
    <n v="36126.050420168067"/>
    <s v="Ningbo"/>
    <x v="0"/>
    <n v="30"/>
    <n v="10"/>
    <n v="0"/>
    <s v=""/>
    <n v="0"/>
    <s v=""/>
    <n v="0"/>
    <s v=""/>
    <n v="0"/>
    <s v=""/>
    <n v="0"/>
    <s v=""/>
    <n v="0"/>
    <s v=""/>
    <n v="9"/>
    <n v="0.58497410767561397"/>
    <n v="9"/>
    <n v="0.54464372611288159"/>
    <n v="3"/>
    <n v="0.58472195772233859"/>
    <n v="1"/>
    <n v="0.56743286468794163"/>
    <n v="1"/>
    <n v="0"/>
    <n v="0"/>
    <s v=""/>
    <n v="3"/>
    <s v=""/>
    <n v="5"/>
    <s v=""/>
    <n v="11"/>
    <s v=""/>
    <n v="8"/>
    <s v=""/>
    <n v="0.8"/>
    <n v="13"/>
    <s v=""/>
    <n v="0.8666666666666667"/>
    <n v="11"/>
    <s v=""/>
    <n v="0.31428571428571428"/>
    <n v="3"/>
    <s v=""/>
    <n v="0.12"/>
    <n v="10"/>
    <n v="86"/>
    <n v="5"/>
    <n v="0"/>
    <m/>
    <n v="0"/>
    <n v="385870"/>
    <n v="1394786.7"/>
    <n v="82100"/>
    <n v="0"/>
    <n v="77"/>
    <n v="1264340"/>
    <n v="176505.89647623757"/>
    <n v="5"/>
    <n v="83"/>
    <n v="7.5"/>
    <n v="0"/>
    <n v="0"/>
    <n v="0"/>
    <n v="435130"/>
    <n v="1346131.3499999999"/>
    <n v="123150"/>
    <n v="0"/>
    <n v="77"/>
    <n v="1264340"/>
    <n v="264758.84471435635"/>
    <n v="15"/>
    <n v="76"/>
    <n v="11"/>
    <n v="0"/>
    <n v="0"/>
    <n v="555256.75"/>
    <n v="1247920"/>
    <n v="180620"/>
    <n v="0"/>
    <n v="77"/>
    <n v="1264340"/>
    <n v="462092.43697478995"/>
    <n v="10"/>
    <n v="54"/>
    <n v="8"/>
    <n v="0"/>
    <n v="0"/>
    <n v="875796.29999999993"/>
    <n v="131360"/>
    <x v="0"/>
    <x v="0"/>
    <n v="77"/>
    <n v="1264340"/>
    <n v="336067.22689075634"/>
    <n v="15"/>
    <n v="90"/>
    <n v="15"/>
    <m/>
    <n v="0"/>
    <n v="0"/>
    <n v="1477800"/>
    <n v="243276.74999999997"/>
    <x v="0"/>
    <n v="0"/>
    <n v="77"/>
    <n v="1264340"/>
    <n v="630126.05042016809"/>
    <n v="35"/>
    <n v="88"/>
    <n v="11"/>
    <m/>
    <n v="0"/>
    <n v="0"/>
    <n v="1444960"/>
    <n v="178402.94999999998"/>
    <n v="0"/>
    <n v="0"/>
    <n v="88"/>
    <n v="1264340"/>
    <n v="462092.43697478995"/>
    <n v="25"/>
    <n v="80"/>
    <n v="25"/>
    <n v="40"/>
    <n v="40"/>
    <n v="0"/>
    <n v="1313600"/>
    <n v="405461.25"/>
    <n v="627113.39999999991"/>
    <n v="0"/>
    <n v="80"/>
    <n v="1264340"/>
    <n v="1050210.0840336136"/>
    <n v="30"/>
    <n v="55"/>
    <n v="30"/>
    <n v="0"/>
    <n v="0"/>
    <n v="0"/>
    <n v="903100"/>
    <n v="486553.49999999994"/>
    <n v="0"/>
    <n v="0"/>
    <n v="55"/>
    <n v="903100"/>
    <n v="1260252.1008403362"/>
    <n v="15"/>
    <n v="25"/>
    <n v="15"/>
    <n v="30"/>
    <n v="30"/>
    <n v="0"/>
    <n v="405461.25"/>
    <n v="243276.74999999997"/>
    <n v="486553.49999999994"/>
    <n v="0"/>
    <n v="25"/>
    <n v="405461.25"/>
    <n v="630126.05042016809"/>
    <n v="15"/>
    <n v="40"/>
    <n v="15"/>
    <n v="0"/>
    <n v="0"/>
    <n v="0"/>
    <n v="30"/>
    <n v="648738"/>
    <n v="243276.74999999997"/>
    <n v="0"/>
    <n v="486553.49999999994"/>
    <n v="40"/>
    <n v="1135291.5"/>
    <n v="541890.75630252098"/>
    <n v="28"/>
    <n v="25"/>
    <n v="28"/>
    <n v="50"/>
    <n v="50"/>
    <n v="405461.25"/>
    <n v="454116.6"/>
    <n v="810922.5"/>
    <n v="810922.5"/>
    <n v="75"/>
    <n v="1216383.75"/>
    <n v="1062105.8823529412"/>
    <n v="40"/>
    <n v="47"/>
    <n v="40"/>
    <n v="0"/>
    <n v="0"/>
    <n v="762267.14999999991"/>
    <n v="648738"/>
    <n v="0"/>
    <n v="47"/>
    <n v="762267.14999999991"/>
    <n v="1680336.1344537816"/>
    <n v="16.8"/>
    <n v="7"/>
    <n v="16.8"/>
    <n v="0"/>
    <m/>
    <n v="113529.15"/>
    <n v="275856"/>
    <n v="0"/>
    <n v="7"/>
    <n v="113529.15"/>
    <n v="705741.17647058831"/>
  </r>
  <r>
    <m/>
    <x v="6"/>
    <x v="32"/>
    <x v="82"/>
    <s v="BDHELMAD"/>
    <x v="641"/>
    <x v="479"/>
    <x v="0"/>
    <x v="1"/>
    <n v="1.2"/>
    <x v="394"/>
    <n v="11"/>
    <m/>
    <n v="0"/>
    <n v="14626"/>
    <n v="160886"/>
    <n v="12.9"/>
    <n v="14460.9"/>
    <n v="33605.042016806721"/>
    <n v="31084.033613445379"/>
    <s v="Ningbo"/>
    <x v="0"/>
    <n v="30"/>
    <n v="10"/>
    <m/>
    <s v=""/>
    <m/>
    <s v=""/>
    <m/>
    <s v=""/>
    <m/>
    <s v=""/>
    <m/>
    <s v=""/>
    <m/>
    <s v=""/>
    <m/>
    <s v=""/>
    <m/>
    <s v=""/>
    <n v="0"/>
    <s v=""/>
    <n v="0"/>
    <s v=""/>
    <m/>
    <m/>
    <n v="11"/>
    <n v="0.52341869201870739"/>
    <n v="1"/>
    <s v=""/>
    <n v="2"/>
    <s v=""/>
    <n v="4"/>
    <s v=""/>
    <n v="5"/>
    <s v=""/>
    <n v="1.6666666666666667"/>
    <n v="6"/>
    <s v=""/>
    <n v="2"/>
    <n v="11"/>
    <s v=""/>
    <n v="3.6666666666666665"/>
    <n v="5"/>
    <s v=""/>
    <n v="0.83333333333333337"/>
    <n v="10"/>
    <n v="40"/>
    <n v="5"/>
    <n v="0"/>
    <m/>
    <n v="0"/>
    <n v="175512"/>
    <n v="534059.99999999988"/>
    <n v="73130"/>
    <n v="0"/>
    <n v="11"/>
    <n v="160886"/>
    <n v="141197.65553280135"/>
    <n v="10"/>
    <n v="39"/>
    <n v="3"/>
    <n v="0"/>
    <n v="0"/>
    <n v="0"/>
    <n v="175512"/>
    <n v="520708.49999999994"/>
    <n v="43878"/>
    <n v="0"/>
    <n v="11"/>
    <n v="160886"/>
    <n v="84718.593319680818"/>
    <n v="4"/>
    <n v="37"/>
    <n v="4"/>
    <n v="0"/>
    <n v="0"/>
    <n v="179699.4"/>
    <n v="541162"/>
    <n v="58504"/>
    <n v="0"/>
    <n v="11"/>
    <n v="160886"/>
    <n v="134420.16806722688"/>
    <n v="3"/>
    <n v="33"/>
    <n v="5"/>
    <n v="0"/>
    <n v="0"/>
    <n v="440599.49999999994"/>
    <n v="73130"/>
    <x v="0"/>
    <x v="0"/>
    <n v="11"/>
    <n v="160886"/>
    <n v="168025.21008403361"/>
    <n v="3"/>
    <n v="17"/>
    <n v="3.5999999999999996"/>
    <m/>
    <n v="0"/>
    <n v="0"/>
    <n v="248642"/>
    <n v="48065.399999999987"/>
    <x v="0"/>
    <n v="0"/>
    <n v="11"/>
    <n v="160886"/>
    <n v="120978.15126050418"/>
    <n v="3"/>
    <n v="22"/>
    <n v="11"/>
    <m/>
    <n v="0"/>
    <n v="0"/>
    <n v="321772"/>
    <n v="146866.49999999997"/>
    <n v="0"/>
    <n v="0"/>
    <n v="22"/>
    <n v="160886"/>
    <n v="369655.46218487393"/>
    <n v="6"/>
    <n v="16"/>
    <n v="7.1999999999999993"/>
    <n v="0"/>
    <n v="0"/>
    <n v="0"/>
    <n v="234016"/>
    <n v="96130.799999999974"/>
    <n v="0"/>
    <n v="0"/>
    <n v="16"/>
    <n v="160886"/>
    <n v="241956.30252100836"/>
    <n v="6"/>
    <n v="8.8000000000000007"/>
    <n v="7.1999999999999993"/>
    <n v="0"/>
    <n v="0"/>
    <n v="0"/>
    <n v="128708.80000000002"/>
    <n v="96130.799999999974"/>
    <n v="0"/>
    <n v="0"/>
    <n v="8.8000000000000007"/>
    <n v="128708.80000000002"/>
    <n v="241956.30252100836"/>
    <n v="5"/>
    <n v="1.6000000000000014"/>
    <n v="6"/>
    <n v="0"/>
    <n v="0"/>
    <m/>
    <n v="21362.400000000016"/>
    <n v="80108.999999999985"/>
    <n v="0"/>
    <n v="0"/>
    <n v="1.6000000000000014"/>
    <n v="21362.400000000016"/>
    <n v="201630.25210084033"/>
    <n v="5"/>
    <n v="0"/>
    <n v="0"/>
    <n v="30"/>
    <n v="30"/>
    <n v="30"/>
    <n v="0"/>
    <n v="0"/>
    <n v="0"/>
    <n v="400544.99999999994"/>
    <n v="400544.99999999994"/>
    <n v="30"/>
    <n v="400544.99999999994"/>
    <n v="0"/>
    <n v="6"/>
    <n v="30"/>
    <n v="7.1999999999999993"/>
    <n v="0"/>
    <n v="0"/>
    <n v="400544.99999999994"/>
    <n v="96130.799999999974"/>
    <n v="0"/>
    <n v="0"/>
    <n v="30"/>
    <n v="400544.99999999994"/>
    <n v="234995.29411764708"/>
    <n v="12"/>
    <n v="22.8"/>
    <n v="14.399999999999999"/>
    <n v="0"/>
    <n v="0"/>
    <n v="304414.19999999995"/>
    <n v="192261.59999999995"/>
    <n v="0"/>
    <n v="22.8"/>
    <n v="304414.19999999995"/>
    <n v="483912.60504201672"/>
    <n v="3.5999999999999996"/>
    <n v="8.4000000000000021"/>
    <n v="4.3199999999999994"/>
    <n v="0"/>
    <m/>
    <n v="112152.60000000002"/>
    <n v="63184.319999999992"/>
    <n v="0"/>
    <n v="8.4000000000000021"/>
    <n v="112152.60000000002"/>
    <n v="145173.78151260503"/>
  </r>
  <r>
    <m/>
    <x v="6"/>
    <x v="32"/>
    <x v="82"/>
    <s v="BDJUEAUT"/>
    <x v="642"/>
    <x v="480"/>
    <x v="0"/>
    <x v="0"/>
    <n v="1"/>
    <x v="395"/>
    <n v="80"/>
    <m/>
    <n v="0"/>
    <n v="6641"/>
    <n v="531280"/>
    <n v="7"/>
    <n v="7847"/>
    <n v="16798.319327731093"/>
    <n v="14277.310924369749"/>
    <s v="Ningbo"/>
    <x v="0"/>
    <n v="30"/>
    <n v="10"/>
    <n v="0"/>
    <s v=""/>
    <n v="0"/>
    <s v=""/>
    <n v="0"/>
    <s v=""/>
    <n v="0"/>
    <s v=""/>
    <n v="0"/>
    <s v=""/>
    <n v="0"/>
    <s v=""/>
    <n v="6"/>
    <n v="0.48244478107669531"/>
    <n v="20"/>
    <n v="0.53677692057978976"/>
    <n v="8"/>
    <n v="0.50382666701533085"/>
    <n v="13"/>
    <n v="0.45416709414429157"/>
    <n v="25"/>
    <n v="0.46826582353192353"/>
    <n v="60"/>
    <n v="0.5466322427265492"/>
    <n v="4"/>
    <s v=""/>
    <n v="9"/>
    <s v=""/>
    <n v="19"/>
    <s v=""/>
    <n v="14"/>
    <s v=""/>
    <n v="0.93333333333333335"/>
    <n v="12"/>
    <s v=""/>
    <n v="1.2"/>
    <n v="19"/>
    <s v=""/>
    <n v="0.76"/>
    <n v="13"/>
    <s v=""/>
    <n v="0.65"/>
    <n v="15"/>
    <n v="14"/>
    <n v="6"/>
    <n v="0"/>
    <m/>
    <n v="0"/>
    <n v="255678.5"/>
    <n v="101429.99999999999"/>
    <n v="39846"/>
    <n v="0"/>
    <n v="80"/>
    <n v="531280"/>
    <n v="84697.408375114755"/>
    <n v="10"/>
    <n v="62"/>
    <n v="13.5"/>
    <n v="45"/>
    <n v="45"/>
    <n v="0"/>
    <n v="308806.5"/>
    <n v="449189.99999999994"/>
    <n v="89653.5"/>
    <n v="0"/>
    <n v="80"/>
    <n v="531280"/>
    <n v="190569.16884400821"/>
    <n v="20"/>
    <n v="50"/>
    <n v="19"/>
    <n v="0"/>
    <n v="0"/>
    <n v="291603"/>
    <n v="332050"/>
    <n v="126179"/>
    <n v="0"/>
    <n v="80"/>
    <n v="531280"/>
    <n v="319168.06722689077"/>
    <n v="15"/>
    <n v="44"/>
    <n v="14"/>
    <n v="10"/>
    <n v="0"/>
    <n v="318779.99999999994"/>
    <n v="92974"/>
    <x v="108"/>
    <x v="0"/>
    <n v="80"/>
    <n v="531280"/>
    <n v="235176.4705882353"/>
    <n v="10"/>
    <n v="92"/>
    <n v="10"/>
    <m/>
    <n v="0"/>
    <n v="0"/>
    <n v="610972"/>
    <n v="72449.999999999985"/>
    <x v="0"/>
    <n v="0"/>
    <n v="80"/>
    <n v="531280"/>
    <n v="167983.19327731093"/>
    <n v="25"/>
    <n v="99"/>
    <n v="19"/>
    <m/>
    <n v="0"/>
    <n v="0"/>
    <n v="657459"/>
    <n v="137654.99999999997"/>
    <n v="0"/>
    <n v="0"/>
    <n v="99"/>
    <n v="531280"/>
    <n v="319168.06722689077"/>
    <n v="20"/>
    <n v="93"/>
    <n v="20"/>
    <n v="75"/>
    <n v="75"/>
    <n v="0"/>
    <n v="617613"/>
    <n v="144899.99999999997"/>
    <n v="525262.49999999988"/>
    <n v="0"/>
    <n v="93"/>
    <n v="531280"/>
    <n v="335966.38655462186"/>
    <n v="25"/>
    <n v="73"/>
    <n v="25"/>
    <n v="0"/>
    <n v="0"/>
    <n v="0"/>
    <n v="484793"/>
    <n v="181124.99999999997"/>
    <n v="0"/>
    <n v="0"/>
    <n v="73"/>
    <n v="484793"/>
    <n v="419957.98319327732"/>
    <n v="12"/>
    <n v="48"/>
    <n v="12"/>
    <n v="0"/>
    <n v="0"/>
    <m/>
    <n v="347759.99999999994"/>
    <n v="86939.999999999985"/>
    <n v="0"/>
    <n v="0"/>
    <n v="48"/>
    <n v="347759.99999999994"/>
    <n v="201579.83193277312"/>
    <n v="20"/>
    <n v="36"/>
    <n v="20"/>
    <n v="0"/>
    <n v="0"/>
    <n v="0"/>
    <m/>
    <n v="260819.99999999997"/>
    <n v="144899.99999999997"/>
    <n v="0"/>
    <n v="0"/>
    <n v="36"/>
    <n v="260819.99999999997"/>
    <n v="285546.21848739497"/>
    <n v="25"/>
    <n v="16"/>
    <n v="25"/>
    <n v="90"/>
    <n v="90"/>
    <n v="115919.99999999999"/>
    <n v="181124.99999999997"/>
    <n v="652049.99999999988"/>
    <n v="652049.99999999988"/>
    <n v="106"/>
    <n v="767969.99999999988"/>
    <n v="374779.4117647059"/>
    <n v="60"/>
    <n v="81"/>
    <n v="60"/>
    <n v="0"/>
    <n v="0"/>
    <n v="586844.99999999988"/>
    <n v="434699.99999999994"/>
    <n v="0"/>
    <n v="81"/>
    <n v="586844.99999999988"/>
    <n v="1007899.1596638656"/>
    <n v="15"/>
    <n v="21"/>
    <n v="15"/>
    <n v="0"/>
    <m/>
    <n v="152144.99999999997"/>
    <n v="99615"/>
    <n v="0"/>
    <n v="21"/>
    <n v="152144.99999999997"/>
    <n v="251974.78991596639"/>
  </r>
  <r>
    <m/>
    <x v="6"/>
    <x v="33"/>
    <x v="83"/>
    <s v="BDANDDIDAC-GR"/>
    <x v="643"/>
    <x v="481"/>
    <x v="0"/>
    <x v="4"/>
    <n v="0.8"/>
    <x v="396"/>
    <n v="111"/>
    <m/>
    <n v="0"/>
    <n v="14214"/>
    <n v="1577754"/>
    <n v="13.99"/>
    <n v="15682.789999999999"/>
    <n v="42008.403361344543"/>
    <n v="33605.042016806721"/>
    <s v="Ningbo"/>
    <x v="0"/>
    <n v="30"/>
    <n v="10"/>
    <n v="0"/>
    <s v=""/>
    <n v="0"/>
    <s v=""/>
    <n v="0"/>
    <s v=""/>
    <n v="0"/>
    <s v=""/>
    <n v="0"/>
    <s v=""/>
    <n v="0"/>
    <s v=""/>
    <n v="2"/>
    <n v="0.4934757165430621"/>
    <n v="13"/>
    <n v="0.50492378429856699"/>
    <n v="14"/>
    <n v="0.49480941982595017"/>
    <n v="8"/>
    <n v="0.49583179395708371"/>
    <n v="50"/>
    <n v="0.46806596485202662"/>
    <n v="1"/>
    <n v="0.76714161729179886"/>
    <n v="0"/>
    <s v=""/>
    <n v="1"/>
    <s v=""/>
    <n v="14"/>
    <s v=""/>
    <n v="9"/>
    <s v=""/>
    <n v="0.6"/>
    <n v="2"/>
    <s v=""/>
    <n v="0.13333333333333333"/>
    <n v="13"/>
    <s v=""/>
    <n v="0.52"/>
    <n v="11"/>
    <s v=""/>
    <n v="0.44"/>
    <n v="15"/>
    <n v="8"/>
    <n v="5"/>
    <n v="0"/>
    <n v="0"/>
    <n v="0"/>
    <n v="291387"/>
    <n v="115837.2"/>
    <n v="71070"/>
    <n v="0"/>
    <n v="111"/>
    <n v="1577754"/>
    <n v="176505.89647623757"/>
    <n v="15"/>
    <n v="23"/>
    <n v="1.5"/>
    <n v="15"/>
    <n v="15"/>
    <n v="0"/>
    <n v="348243"/>
    <n v="333031.95"/>
    <n v="21321"/>
    <n v="0"/>
    <n v="111"/>
    <n v="1577754"/>
    <n v="52951.768942871277"/>
    <n v="20"/>
    <n v="22"/>
    <n v="14"/>
    <n v="0"/>
    <n v="0"/>
    <n v="500677.8"/>
    <n v="312708"/>
    <n v="198996"/>
    <n v="0"/>
    <n v="111"/>
    <n v="1577754"/>
    <n v="588117.64705882361"/>
    <n v="15"/>
    <n v="35"/>
    <n v="9"/>
    <n v="30"/>
    <n v="0"/>
    <n v="506787.75"/>
    <n v="127926"/>
    <x v="109"/>
    <x v="0"/>
    <n v="111"/>
    <n v="1577754"/>
    <n v="378075.63025210088"/>
    <n v="15"/>
    <n v="113"/>
    <n v="12"/>
    <m/>
    <n v="0"/>
    <n v="0"/>
    <n v="1606182"/>
    <n v="173755.8"/>
    <x v="0"/>
    <n v="0"/>
    <n v="111"/>
    <n v="1577754"/>
    <n v="504100.84033613454"/>
    <n v="25"/>
    <n v="124"/>
    <n v="13"/>
    <m/>
    <n v="0"/>
    <n v="0"/>
    <n v="1762536"/>
    <n v="188235.44999999998"/>
    <n v="0"/>
    <n v="0"/>
    <n v="124"/>
    <n v="1577754"/>
    <n v="546109.24369747902"/>
    <n v="25"/>
    <n v="122"/>
    <n v="20"/>
    <n v="100"/>
    <n v="100"/>
    <n v="0"/>
    <n v="1734108"/>
    <n v="289593"/>
    <n v="1399699.5"/>
    <n v="0"/>
    <n v="122"/>
    <n v="1577754"/>
    <n v="840168.06722689082"/>
    <n v="35"/>
    <n v="102"/>
    <n v="28"/>
    <n v="0"/>
    <n v="0"/>
    <n v="0"/>
    <n v="1449828"/>
    <n v="405430.2"/>
    <n v="0"/>
    <n v="0"/>
    <n v="102"/>
    <n v="1449828"/>
    <n v="1176235.2941176472"/>
    <n v="20"/>
    <n v="74"/>
    <n v="16"/>
    <n v="0"/>
    <n v="0"/>
    <m/>
    <n v="1071494.0999999999"/>
    <n v="231674.4"/>
    <n v="0"/>
    <n v="0"/>
    <n v="74"/>
    <n v="1071494.0999999999"/>
    <n v="672134.45378151268"/>
    <n v="25"/>
    <n v="58"/>
    <n v="20"/>
    <n v="0"/>
    <n v="0"/>
    <n v="0"/>
    <m/>
    <n v="839819.7"/>
    <n v="289593"/>
    <n v="0"/>
    <n v="0"/>
    <n v="58"/>
    <n v="839819.7"/>
    <n v="672100.84033613442"/>
    <n v="50"/>
    <n v="38"/>
    <n v="40"/>
    <n v="120"/>
    <n v="120"/>
    <n v="550226.69999999995"/>
    <n v="579186"/>
    <n v="1737558"/>
    <n v="1737558"/>
    <n v="158"/>
    <n v="2287784.7000000002"/>
    <n v="1411411.7647058824"/>
    <n v="80"/>
    <n v="118"/>
    <n v="64"/>
    <n v="0"/>
    <n v="0"/>
    <n v="1708598.7"/>
    <n v="926697.6"/>
    <n v="0"/>
    <n v="118"/>
    <n v="1708598.7"/>
    <n v="2688537.8151260507"/>
    <n v="30"/>
    <n v="54"/>
    <n v="24"/>
    <n v="0"/>
    <m/>
    <n v="781901.1"/>
    <n v="341136"/>
    <n v="0"/>
    <n v="54"/>
    <n v="781901.1"/>
    <n v="1008201.6806722691"/>
  </r>
  <r>
    <m/>
    <x v="6"/>
    <x v="33"/>
    <x v="83"/>
    <s v="BDANDDIDAC"/>
    <x v="644"/>
    <x v="481"/>
    <x v="0"/>
    <x v="3"/>
    <n v="0.8"/>
    <x v="397"/>
    <n v="176"/>
    <m/>
    <n v="0"/>
    <n v="14655"/>
    <n v="2579280"/>
    <n v="13.99"/>
    <n v="15682.789999999999"/>
    <n v="42008.403361344543"/>
    <n v="33605.042016806721"/>
    <s v="Ningbo"/>
    <x v="0"/>
    <n v="30"/>
    <n v="10"/>
    <n v="0"/>
    <s v=""/>
    <n v="0"/>
    <s v=""/>
    <n v="0"/>
    <s v=""/>
    <n v="0"/>
    <s v=""/>
    <n v="0"/>
    <s v=""/>
    <n v="0"/>
    <s v=""/>
    <n v="19"/>
    <n v="0.55170977468524929"/>
    <n v="28"/>
    <n v="0.50807487072353208"/>
    <n v="3"/>
    <n v="0.5115911477869467"/>
    <n v="0"/>
    <s v=""/>
    <n v="55"/>
    <n v="0.49516563760648324"/>
    <n v="-1"/>
    <n v="0.14172077922077922"/>
    <n v="3"/>
    <s v=""/>
    <n v="4"/>
    <s v=""/>
    <n v="25"/>
    <s v=""/>
    <n v="11"/>
    <s v=""/>
    <n v="0.55000000000000004"/>
    <n v="14"/>
    <s v=""/>
    <n v="0.7"/>
    <n v="24"/>
    <s v=""/>
    <n v="0.96"/>
    <n v="40"/>
    <s v=""/>
    <n v="1.3333333333333333"/>
    <n v="20"/>
    <n v="115"/>
    <n v="5"/>
    <n v="0"/>
    <m/>
    <n v="0"/>
    <n v="527580"/>
    <n v="1665159.75"/>
    <n v="73275"/>
    <n v="0"/>
    <n v="176"/>
    <n v="2579280"/>
    <n v="176505.89647623757"/>
    <n v="20"/>
    <n v="161"/>
    <n v="6"/>
    <n v="50"/>
    <n v="0"/>
    <n v="0"/>
    <n v="615510"/>
    <n v="2331223.65"/>
    <n v="87930"/>
    <n v="0"/>
    <n v="176"/>
    <n v="2579280"/>
    <n v="211807.07577148511"/>
    <n v="30"/>
    <n v="157"/>
    <n v="25"/>
    <n v="0"/>
    <n v="0"/>
    <n v="759254.4"/>
    <n v="2300835"/>
    <n v="366375"/>
    <n v="0"/>
    <n v="176"/>
    <n v="2579280"/>
    <n v="1050210.0840336136"/>
    <n v="20"/>
    <n v="137"/>
    <n v="11"/>
    <n v="10"/>
    <n v="0"/>
    <n v="1983712.05"/>
    <n v="161205"/>
    <x v="110"/>
    <x v="0"/>
    <n v="176"/>
    <n v="2579280"/>
    <n v="462092.43697478995"/>
    <n v="20"/>
    <n v="190"/>
    <n v="16"/>
    <m/>
    <n v="0"/>
    <n v="0"/>
    <n v="2784450"/>
    <n v="231674.4"/>
    <x v="0"/>
    <n v="0"/>
    <n v="176"/>
    <n v="2579280"/>
    <n v="672134.45378151268"/>
    <n v="25"/>
    <n v="200"/>
    <n v="24"/>
    <m/>
    <n v="0"/>
    <n v="0"/>
    <n v="2931000"/>
    <n v="347511.6"/>
    <n v="0"/>
    <n v="0"/>
    <n v="200"/>
    <n v="2579280"/>
    <n v="1008201.6806722691"/>
    <n v="30"/>
    <n v="216"/>
    <n v="24"/>
    <n v="100"/>
    <n v="100"/>
    <n v="0"/>
    <n v="3165480"/>
    <n v="347511.6"/>
    <n v="1399699.5"/>
    <n v="0"/>
    <n v="216"/>
    <n v="2579280"/>
    <n v="1008201.6806722691"/>
    <n v="40"/>
    <n v="192"/>
    <n v="32"/>
    <n v="0"/>
    <n v="0"/>
    <n v="0"/>
    <n v="2813760"/>
    <n v="463348.8"/>
    <n v="0"/>
    <n v="0"/>
    <n v="192"/>
    <n v="2813760"/>
    <n v="1344268.9075630254"/>
    <n v="20"/>
    <n v="160"/>
    <n v="16"/>
    <n v="0"/>
    <n v="0"/>
    <m/>
    <n v="2316744"/>
    <n v="231674.4"/>
    <n v="0"/>
    <n v="0"/>
    <n v="160"/>
    <n v="2316744"/>
    <n v="672134.45378151268"/>
    <n v="25"/>
    <n v="144"/>
    <n v="20"/>
    <n v="0"/>
    <n v="0"/>
    <n v="0"/>
    <m/>
    <n v="2085069.5999999999"/>
    <n v="289593"/>
    <n v="0"/>
    <n v="0"/>
    <n v="144"/>
    <n v="2085069.5999999999"/>
    <n v="672100.84033613442"/>
    <n v="60"/>
    <n v="124"/>
    <n v="48"/>
    <n v="70"/>
    <n v="70"/>
    <n v="1795476.5999999999"/>
    <n v="695023.2"/>
    <n v="1013575.5"/>
    <n v="1013575.5"/>
    <n v="194"/>
    <n v="2809052.0999999996"/>
    <n v="1693694.1176470588"/>
    <n v="100"/>
    <n v="146"/>
    <n v="80"/>
    <n v="0"/>
    <n v="0"/>
    <n v="2114028.9"/>
    <n v="1158372"/>
    <n v="0"/>
    <n v="146"/>
    <n v="2114028.9"/>
    <n v="3360672.2689075633"/>
    <n v="36"/>
    <n v="66"/>
    <n v="28.8"/>
    <n v="0"/>
    <m/>
    <n v="955656.9"/>
    <n v="422064"/>
    <n v="0"/>
    <n v="66"/>
    <n v="955656.9"/>
    <n v="1209842.0168067229"/>
  </r>
  <r>
    <m/>
    <x v="6"/>
    <x v="33"/>
    <x v="83"/>
    <s v="BNANDCONTRU"/>
    <x v="645"/>
    <x v="482"/>
    <x v="0"/>
    <x v="0"/>
    <n v="1"/>
    <x v="398"/>
    <n v="30"/>
    <m/>
    <n v="0"/>
    <n v="16700"/>
    <n v="501000"/>
    <n v="15"/>
    <n v="16815"/>
    <n v="42008.403361344543"/>
    <n v="33605.042016806721"/>
    <s v="Ningbo"/>
    <x v="0"/>
    <n v="30"/>
    <n v="10"/>
    <n v="0"/>
    <s v=""/>
    <n v="0"/>
    <s v=""/>
    <n v="0"/>
    <s v=""/>
    <n v="0"/>
    <s v=""/>
    <n v="0"/>
    <s v=""/>
    <n v="0"/>
    <s v=""/>
    <n v="7"/>
    <n v="0.58341110691493958"/>
    <n v="10"/>
    <n v="0.58675196631765469"/>
    <n v="8"/>
    <n v="0.60245810636991215"/>
    <n v="16"/>
    <n v="0.53973659861802858"/>
    <n v="10"/>
    <n v="0.58589082337565357"/>
    <n v="0"/>
    <s v=""/>
    <n v="0"/>
    <s v=""/>
    <n v="0"/>
    <s v=""/>
    <n v="1"/>
    <s v=""/>
    <n v="0"/>
    <s v=""/>
    <n v="0"/>
    <n v="0"/>
    <s v=""/>
    <n v="0"/>
    <n v="1"/>
    <s v=""/>
    <n v="0.125"/>
    <n v="22"/>
    <s v=""/>
    <n v="4.4000000000000004"/>
    <n v="0"/>
    <n v="0"/>
    <n v="0"/>
    <n v="0"/>
    <m/>
    <n v="0"/>
    <n v="16700"/>
    <n v="0"/>
    <n v="0"/>
    <n v="0"/>
    <n v="30"/>
    <n v="501000"/>
    <n v="0"/>
    <n v="5"/>
    <n v="0"/>
    <n v="0"/>
    <n v="0"/>
    <n v="0"/>
    <n v="0"/>
    <n v="16700"/>
    <n v="0"/>
    <n v="0"/>
    <n v="0"/>
    <n v="30"/>
    <n v="501000"/>
    <n v="0"/>
    <n v="6"/>
    <n v="0"/>
    <n v="1"/>
    <n v="0"/>
    <n v="0"/>
    <n v="63274.999999999993"/>
    <n v="0"/>
    <n v="16700"/>
    <n v="0"/>
    <n v="30"/>
    <n v="501000"/>
    <n v="42008.403361344543"/>
    <n v="0"/>
    <n v="0"/>
    <n v="0"/>
    <n v="0"/>
    <n v="0"/>
    <n v="0"/>
    <n v="0"/>
    <x v="0"/>
    <x v="0"/>
    <n v="30"/>
    <n v="501000"/>
    <n v="0"/>
    <n v="3"/>
    <n v="30"/>
    <n v="3"/>
    <m/>
    <n v="0"/>
    <n v="0"/>
    <n v="501000"/>
    <n v="46574.999999999993"/>
    <x v="0"/>
    <n v="0"/>
    <n v="30"/>
    <n v="501000"/>
    <n v="126025.21008403364"/>
    <n v="8"/>
    <n v="31"/>
    <n v="1"/>
    <m/>
    <n v="0"/>
    <n v="0"/>
    <n v="517700"/>
    <n v="15524.999999999998"/>
    <n v="0"/>
    <n v="0"/>
    <n v="31"/>
    <n v="501000"/>
    <n v="42008.403361344543"/>
    <n v="5"/>
    <n v="52"/>
    <n v="5"/>
    <n v="45"/>
    <n v="45"/>
    <n v="0"/>
    <n v="868400"/>
    <n v="77624.999999999985"/>
    <n v="675337.49999999988"/>
    <n v="0"/>
    <n v="52"/>
    <n v="501000"/>
    <n v="210042.01680672271"/>
    <n v="15"/>
    <n v="47"/>
    <n v="15"/>
    <n v="0"/>
    <n v="0"/>
    <n v="0"/>
    <n v="784900"/>
    <n v="232874.99999999997"/>
    <n v="0"/>
    <n v="0"/>
    <n v="47"/>
    <n v="784900"/>
    <n v="630126.05042016809"/>
    <n v="5"/>
    <n v="32"/>
    <n v="5"/>
    <n v="0"/>
    <n v="0"/>
    <m/>
    <n v="496799.99999999994"/>
    <n v="77624.999999999985"/>
    <n v="0"/>
    <n v="0"/>
    <n v="32"/>
    <n v="496799.99999999994"/>
    <n v="210042.01680672271"/>
    <n v="20"/>
    <n v="27"/>
    <n v="20"/>
    <n v="0"/>
    <n v="0"/>
    <n v="0"/>
    <m/>
    <n v="419174.99999999994"/>
    <n v="310499.99999999994"/>
    <n v="0"/>
    <n v="0"/>
    <n v="27"/>
    <n v="419174.99999999994"/>
    <n v="672100.84033613442"/>
    <n v="21"/>
    <n v="7"/>
    <n v="21"/>
    <n v="50"/>
    <n v="50"/>
    <n v="108674.99999999999"/>
    <n v="326024.99999999994"/>
    <n v="776249.99999999988"/>
    <n v="776249.99999999988"/>
    <n v="57"/>
    <n v="884924.99999999988"/>
    <n v="740991.17647058831"/>
    <n v="30"/>
    <n v="36"/>
    <n v="30"/>
    <n v="0"/>
    <n v="0"/>
    <n v="558899.99999999988"/>
    <n v="465749.99999999994"/>
    <n v="0"/>
    <n v="36"/>
    <n v="558899.99999999988"/>
    <n v="1260252.1008403362"/>
    <n v="12.6"/>
    <n v="6"/>
    <n v="12.6"/>
    <n v="0"/>
    <m/>
    <n v="93149.999999999985"/>
    <n v="210420"/>
    <n v="0"/>
    <n v="6"/>
    <n v="93149.999999999985"/>
    <n v="529305.8823529412"/>
  </r>
  <r>
    <m/>
    <x v="6"/>
    <x v="33"/>
    <x v="84"/>
    <s v="BDMROBLDESC"/>
    <x v="646"/>
    <x v="483"/>
    <x v="0"/>
    <x v="3"/>
    <n v="1.2"/>
    <x v="399"/>
    <n v="59"/>
    <m/>
    <n v="0"/>
    <n v="38891"/>
    <n v="2294569"/>
    <n v="41"/>
    <n v="45961"/>
    <n v="109235.29411764706"/>
    <n v="84025.210084033621"/>
    <s v="Ningbo"/>
    <x v="0"/>
    <n v="30"/>
    <n v="10"/>
    <n v="0"/>
    <s v=""/>
    <n v="0"/>
    <s v=""/>
    <n v="0"/>
    <s v=""/>
    <n v="0"/>
    <s v=""/>
    <n v="0"/>
    <s v=""/>
    <n v="0"/>
    <s v=""/>
    <n v="5"/>
    <n v="0.5030900141962138"/>
    <n v="0"/>
    <s v=""/>
    <n v="0"/>
    <s v=""/>
    <n v="0"/>
    <s v=""/>
    <n v="23"/>
    <n v="0.52443499439969687"/>
    <n v="17"/>
    <n v="0.51447998913732007"/>
    <n v="0"/>
    <s v=""/>
    <n v="0"/>
    <s v=""/>
    <n v="0"/>
    <s v=""/>
    <n v="12"/>
    <s v=""/>
    <n v="1.2"/>
    <n v="3"/>
    <s v=""/>
    <n v="0.5"/>
    <n v="22"/>
    <s v=""/>
    <n v="1.4666666666666666"/>
    <n v="3"/>
    <s v=""/>
    <n v="0.25"/>
    <n v="0"/>
    <n v="0"/>
    <n v="0"/>
    <n v="0"/>
    <m/>
    <n v="0"/>
    <n v="0"/>
    <n v="0"/>
    <n v="0"/>
    <n v="0"/>
    <n v="59"/>
    <n v="2294569"/>
    <n v="0"/>
    <n v="0"/>
    <n v="30"/>
    <n v="0"/>
    <n v="0"/>
    <n v="0"/>
    <n v="0"/>
    <n v="466692"/>
    <n v="1273050"/>
    <n v="0"/>
    <n v="0"/>
    <n v="59"/>
    <n v="2294569"/>
    <n v="0"/>
    <n v="15"/>
    <n v="30"/>
    <n v="0"/>
    <n v="0"/>
    <n v="0"/>
    <n v="772224"/>
    <n v="1166730"/>
    <n v="0"/>
    <n v="0"/>
    <n v="59"/>
    <n v="2294569"/>
    <n v="0"/>
    <n v="10"/>
    <n v="50"/>
    <n v="12"/>
    <n v="20"/>
    <n v="0"/>
    <n v="2121750"/>
    <n v="466692"/>
    <x v="111"/>
    <x v="0"/>
    <n v="59"/>
    <n v="2294569"/>
    <n v="1310823.5294117648"/>
    <n v="6"/>
    <n v="62"/>
    <n v="7.1999999999999993"/>
    <m/>
    <n v="0"/>
    <n v="0"/>
    <n v="2411242"/>
    <n v="305531.99999999994"/>
    <x v="0"/>
    <n v="0"/>
    <n v="59"/>
    <n v="2294569"/>
    <n v="786494.1176470588"/>
    <n v="15"/>
    <n v="81"/>
    <n v="22"/>
    <m/>
    <n v="0"/>
    <n v="0"/>
    <n v="3150171"/>
    <n v="933570"/>
    <n v="0"/>
    <n v="0"/>
    <n v="81"/>
    <n v="2294569"/>
    <n v="2403176.4705882352"/>
    <n v="12"/>
    <n v="62"/>
    <n v="14.399999999999999"/>
    <n v="40"/>
    <n v="40"/>
    <n v="0"/>
    <n v="2411242"/>
    <n v="611063.99999999988"/>
    <n v="1640820"/>
    <n v="0"/>
    <n v="62"/>
    <n v="2294569"/>
    <n v="1572988.2352941176"/>
    <n v="20"/>
    <n v="47.6"/>
    <n v="24"/>
    <n v="0"/>
    <n v="0"/>
    <n v="0"/>
    <n v="1851211.6"/>
    <n v="1018440"/>
    <n v="0"/>
    <n v="0"/>
    <n v="47.6"/>
    <n v="1851211.6"/>
    <n v="2621647.0588235296"/>
    <n v="10"/>
    <n v="23.6"/>
    <n v="12"/>
    <n v="0"/>
    <n v="0"/>
    <m/>
    <n v="1001466.0000000001"/>
    <n v="509220"/>
    <n v="0"/>
    <n v="0"/>
    <n v="23.6"/>
    <n v="1001466.0000000001"/>
    <n v="1310823.5294117648"/>
    <n v="20"/>
    <n v="11.600000000000001"/>
    <n v="11.600000000000001"/>
    <n v="100"/>
    <n v="100"/>
    <n v="100"/>
    <n v="0"/>
    <n v="492246.00000000006"/>
    <n v="492246.00000000006"/>
    <n v="4243500"/>
    <n v="4243500"/>
    <n v="111.6"/>
    <n v="4735746"/>
    <n v="974692.43697479006"/>
    <n v="25"/>
    <n v="100"/>
    <n v="30"/>
    <n v="0"/>
    <n v="0"/>
    <n v="4243500"/>
    <n v="1273050"/>
    <n v="0"/>
    <n v="0"/>
    <n v="100"/>
    <n v="4243500"/>
    <n v="2646794.1176470593"/>
    <n v="50"/>
    <n v="70"/>
    <n v="60"/>
    <n v="0"/>
    <n v="0"/>
    <n v="2970450"/>
    <n v="2546100"/>
    <n v="0"/>
    <n v="70"/>
    <n v="2970450"/>
    <n v="6554117.6470588241"/>
    <n v="15"/>
    <n v="10"/>
    <n v="18"/>
    <n v="0"/>
    <m/>
    <n v="424350"/>
    <n v="700038"/>
    <n v="0"/>
    <n v="10"/>
    <n v="424350"/>
    <n v="1966235.2941176472"/>
  </r>
  <r>
    <m/>
    <x v="6"/>
    <x v="33"/>
    <x v="84"/>
    <s v="BDGIMPIK"/>
    <x v="647"/>
    <x v="484"/>
    <x v="0"/>
    <x v="4"/>
    <n v="1"/>
    <x v="400"/>
    <n v="23"/>
    <m/>
    <n v="0"/>
    <n v="83749"/>
    <n v="1926227"/>
    <n v="80"/>
    <n v="91200"/>
    <n v="243689.0756302521"/>
    <n v="252092.43697478992"/>
    <s v="Ningbo"/>
    <x v="0"/>
    <n v="30"/>
    <n v="10"/>
    <m/>
    <m/>
    <m/>
    <m/>
    <m/>
    <m/>
    <m/>
    <m/>
    <m/>
    <m/>
    <m/>
    <m/>
    <m/>
    <m/>
    <m/>
    <m/>
    <n v="0"/>
    <s v=""/>
    <n v="0"/>
    <s v=""/>
    <n v="15"/>
    <n v="0.61208517707654631"/>
    <n v="19"/>
    <n v="0.64746687237686207"/>
    <n v="0"/>
    <s v=""/>
    <n v="0"/>
    <s v=""/>
    <n v="2"/>
    <s v=""/>
    <n v="0"/>
    <s v=""/>
    <n v="0"/>
    <n v="0"/>
    <s v=""/>
    <n v="0"/>
    <n v="2"/>
    <s v=""/>
    <n v="0.2"/>
    <n v="1"/>
    <s v=""/>
    <n v="0.14285714285714285"/>
    <n v="0"/>
    <n v="0"/>
    <n v="0"/>
    <n v="0"/>
    <m/>
    <n v="0"/>
    <n v="167498"/>
    <n v="0"/>
    <n v="0"/>
    <n v="0"/>
    <n v="23"/>
    <n v="1926227"/>
    <n v="0"/>
    <n v="0"/>
    <n v="0"/>
    <n v="0"/>
    <n v="0"/>
    <n v="0"/>
    <n v="0"/>
    <n v="167498"/>
    <n v="0"/>
    <n v="0"/>
    <n v="0"/>
    <n v="23"/>
    <n v="1926227"/>
    <n v="0"/>
    <n v="0"/>
    <n v="0"/>
    <n v="2"/>
    <n v="0"/>
    <n v="0"/>
    <n v="498698"/>
    <n v="0"/>
    <n v="167498"/>
    <n v="0"/>
    <n v="23"/>
    <n v="1926227"/>
    <n v="487378.15126050421"/>
    <n v="0"/>
    <n v="0"/>
    <n v="0"/>
    <n v="0"/>
    <n v="0"/>
    <n v="0"/>
    <n v="0"/>
    <x v="0"/>
    <x v="0"/>
    <n v="23"/>
    <n v="1926227"/>
    <n v="0"/>
    <n v="4"/>
    <n v="23"/>
    <n v="4"/>
    <m/>
    <n v="0"/>
    <n v="0"/>
    <n v="1926227"/>
    <n v="331200"/>
    <x v="0"/>
    <n v="0"/>
    <n v="23"/>
    <n v="1926227"/>
    <n v="974756.30252100842"/>
    <n v="10"/>
    <n v="25"/>
    <n v="2"/>
    <m/>
    <n v="0"/>
    <n v="0"/>
    <n v="2093725"/>
    <n v="165600"/>
    <n v="0"/>
    <n v="0"/>
    <n v="25"/>
    <n v="1926227"/>
    <n v="487378.15126050421"/>
    <n v="7"/>
    <n v="24"/>
    <n v="7"/>
    <n v="25"/>
    <n v="25"/>
    <n v="0"/>
    <n v="2009976"/>
    <n v="579600"/>
    <n v="2001000"/>
    <n v="0"/>
    <n v="24"/>
    <n v="1926227"/>
    <n v="1705823.5294117648"/>
    <n v="15"/>
    <n v="17"/>
    <n v="15"/>
    <n v="0"/>
    <n v="0"/>
    <n v="0"/>
    <n v="1423733"/>
    <n v="1242000"/>
    <n v="0"/>
    <n v="0"/>
    <n v="17"/>
    <n v="1423733"/>
    <n v="3655336.1344537814"/>
    <n v="5"/>
    <n v="2"/>
    <n v="5"/>
    <n v="5"/>
    <n v="5"/>
    <n v="0"/>
    <n v="165600"/>
    <n v="414000"/>
    <n v="414000"/>
    <n v="0"/>
    <n v="2"/>
    <n v="165600"/>
    <n v="1218445.3781512605"/>
    <n v="12"/>
    <n v="5"/>
    <n v="5"/>
    <n v="70"/>
    <n v="70"/>
    <n v="70"/>
    <n v="5"/>
    <n v="414000"/>
    <n v="414000"/>
    <n v="5796000"/>
    <n v="6210000"/>
    <n v="75"/>
    <n v="6624000"/>
    <n v="1260462.1848739495"/>
    <n v="25"/>
    <n v="70"/>
    <n v="25"/>
    <n v="0"/>
    <n v="0"/>
    <n v="5796000"/>
    <n v="2070000"/>
    <n v="0"/>
    <n v="0"/>
    <n v="70"/>
    <n v="5796000"/>
    <n v="6617426.4705882352"/>
    <n v="35"/>
    <n v="45"/>
    <n v="35"/>
    <n v="0"/>
    <n v="0"/>
    <n v="3726000"/>
    <n v="2898000"/>
    <n v="0"/>
    <n v="45"/>
    <n v="3726000"/>
    <n v="8529117.6470588241"/>
    <n v="15"/>
    <n v="10"/>
    <n v="15"/>
    <n v="0"/>
    <m/>
    <n v="828000"/>
    <n v="1256235"/>
    <n v="0"/>
    <n v="10"/>
    <n v="828000"/>
    <n v="3655336.1344537814"/>
  </r>
  <r>
    <m/>
    <x v="6"/>
    <x v="33"/>
    <x v="84"/>
    <s v="BDSILLEVREG"/>
    <x v="648"/>
    <x v="485"/>
    <x v="0"/>
    <x v="2"/>
    <n v="1"/>
    <x v="12"/>
    <n v="30"/>
    <m/>
    <n v="0"/>
    <n v="34200"/>
    <n v="1026000"/>
    <n v="30"/>
    <n v="34200"/>
    <n v="86218.487394957992"/>
    <n v="73285.71428571429"/>
    <s v="Shenzhen"/>
    <x v="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30"/>
    <n v="1026000"/>
    <n v="0"/>
    <n v="0"/>
    <n v="0"/>
    <n v="0"/>
    <n v="0"/>
    <n v="0"/>
    <n v="0"/>
    <n v="0"/>
    <x v="0"/>
    <x v="0"/>
    <n v="30"/>
    <n v="1026000"/>
    <n v="0"/>
    <n v="0"/>
    <n v="30"/>
    <n v="0"/>
    <m/>
    <m/>
    <n v="0"/>
    <n v="1026000"/>
    <n v="0"/>
    <x v="0"/>
    <n v="0"/>
    <n v="30"/>
    <n v="1026000"/>
    <n v="0"/>
    <n v="12"/>
    <n v="30"/>
    <n v="0"/>
    <m/>
    <n v="0"/>
    <n v="0"/>
    <n v="1026000"/>
    <n v="0"/>
    <n v="0"/>
    <n v="0"/>
    <n v="30"/>
    <n v="1026000"/>
    <n v="0"/>
    <n v="9"/>
    <n v="30"/>
    <n v="9"/>
    <n v="30"/>
    <n v="30"/>
    <n v="0"/>
    <n v="1026000"/>
    <n v="279449.99999999994"/>
    <n v="900449.99999999988"/>
    <n v="0"/>
    <n v="30"/>
    <n v="1026000"/>
    <n v="775966.38655462197"/>
    <n v="12"/>
    <n v="21"/>
    <n v="12"/>
    <n v="0"/>
    <n v="0"/>
    <n v="0"/>
    <n v="718200"/>
    <n v="372599.99999999994"/>
    <n v="0"/>
    <n v="0"/>
    <n v="21"/>
    <n v="718200"/>
    <n v="1034621.848739496"/>
    <n v="6"/>
    <n v="9"/>
    <n v="6"/>
    <n v="0"/>
    <n v="0"/>
    <m/>
    <n v="279449.99999999994"/>
    <n v="186299.99999999997"/>
    <n v="0"/>
    <n v="0"/>
    <n v="9"/>
    <n v="279449.99999999994"/>
    <n v="517310.92436974798"/>
    <n v="10"/>
    <n v="3"/>
    <n v="3"/>
    <n v="50"/>
    <n v="50"/>
    <n v="50"/>
    <n v="0"/>
    <n v="93149.999999999985"/>
    <n v="93149.999999999985"/>
    <n v="1552499.9999999998"/>
    <n v="1552499.9999999998"/>
    <n v="53"/>
    <n v="1645649.9999999998"/>
    <n v="219857.14285714287"/>
    <n v="15"/>
    <n v="50"/>
    <n v="15"/>
    <n v="0"/>
    <n v="0"/>
    <n v="1552499.9999999998"/>
    <n v="465749.99999999994"/>
    <n v="0"/>
    <n v="0"/>
    <n v="50"/>
    <n v="1552499.9999999998"/>
    <n v="1154250"/>
    <n v="30"/>
    <n v="35"/>
    <n v="30"/>
    <n v="0"/>
    <n v="0"/>
    <n v="1086749.9999999998"/>
    <n v="931499.99999999988"/>
    <n v="0"/>
    <n v="35"/>
    <n v="1086749.9999999998"/>
    <n v="2586554.6218487397"/>
    <n v="9"/>
    <n v="5"/>
    <n v="9"/>
    <n v="0"/>
    <m/>
    <n v="155249.99999999997"/>
    <n v="307800"/>
    <n v="0"/>
    <n v="5"/>
    <n v="155249.99999999997"/>
    <n v="775966.38655462197"/>
  </r>
  <r>
    <m/>
    <x v="6"/>
    <x v="33"/>
    <x v="84"/>
    <s v="BDTORRAPR"/>
    <x v="649"/>
    <x v="486"/>
    <x v="0"/>
    <x v="2"/>
    <n v="1"/>
    <x v="12"/>
    <n v="0"/>
    <m/>
    <n v="0"/>
    <n v="35910"/>
    <n v="0"/>
    <n v="31.5"/>
    <n v="35910"/>
    <n v="90529.411764705888"/>
    <n v="76950"/>
    <s v="Shenzhen"/>
    <x v="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12"/>
    <n v="0"/>
    <n v="0"/>
    <m/>
    <n v="0"/>
    <n v="0"/>
    <n v="0"/>
    <n v="0"/>
    <n v="0"/>
    <n v="0"/>
    <n v="0"/>
    <n v="0"/>
    <n v="0"/>
    <n v="9"/>
    <n v="0"/>
    <n v="9"/>
    <n v="30"/>
    <n v="30"/>
    <n v="0"/>
    <n v="0"/>
    <n v="293422.49999999994"/>
    <n v="945472.49999999988"/>
    <n v="0"/>
    <n v="0"/>
    <n v="0"/>
    <n v="814764.70588235301"/>
    <n v="12"/>
    <n v="0"/>
    <n v="12"/>
    <n v="0"/>
    <n v="0"/>
    <n v="30"/>
    <n v="0"/>
    <n v="391229.99999999994"/>
    <n v="0"/>
    <n v="978074.99999999988"/>
    <n v="0"/>
    <n v="0"/>
    <n v="1086352.9411764706"/>
    <n v="6"/>
    <n v="18"/>
    <n v="6"/>
    <n v="0"/>
    <n v="0"/>
    <m/>
    <n v="586844.99999999988"/>
    <n v="195614.99999999997"/>
    <n v="0"/>
    <n v="0"/>
    <n v="18"/>
    <n v="586844.99999999988"/>
    <n v="543176.4705882353"/>
    <n v="10"/>
    <n v="12"/>
    <n v="10"/>
    <n v="40"/>
    <n v="40"/>
    <n v="40"/>
    <n v="0"/>
    <n v="391229.99999999994"/>
    <n v="326024.99999999994"/>
    <n v="1304099.9999999998"/>
    <n v="1304099.9999999998"/>
    <n v="52"/>
    <n v="1695329.9999999998"/>
    <n v="769500"/>
    <n v="15"/>
    <n v="42"/>
    <n v="15"/>
    <n v="0"/>
    <n v="0"/>
    <n v="1369304.9999999998"/>
    <n v="489037.49999999994"/>
    <n v="0"/>
    <n v="0"/>
    <n v="42"/>
    <n v="1369304.9999999998"/>
    <n v="1211962.5"/>
    <n v="25"/>
    <n v="27"/>
    <n v="25"/>
    <n v="0"/>
    <n v="0"/>
    <n v="880267.49999999988"/>
    <n v="815062.49999999988"/>
    <n v="0"/>
    <n v="27"/>
    <n v="880267.49999999988"/>
    <n v="2263235.2941176472"/>
    <n v="9"/>
    <n v="2"/>
    <n v="9"/>
    <n v="0"/>
    <m/>
    <n v="65204.999999999993"/>
    <n v="323190"/>
    <n v="0"/>
    <n v="2"/>
    <n v="65204.999999999993"/>
    <n v="814764.70588235301"/>
  </r>
  <r>
    <m/>
    <x v="6"/>
    <x v="33"/>
    <x v="84"/>
    <s v="BDGMNMVBB"/>
    <x v="650"/>
    <x v="487"/>
    <x v="0"/>
    <x v="2"/>
    <n v="1"/>
    <x v="12"/>
    <n v="26"/>
    <m/>
    <n v="0"/>
    <n v="39990"/>
    <n v="1039740"/>
    <n v="11"/>
    <n v="39990"/>
    <n v="100815.12605042018"/>
    <n v="85692.857142857145"/>
    <s v="Ningbo"/>
    <x v="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7"/>
    <s v=""/>
    <n v="0.46666666666666667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6"/>
    <n v="1039740"/>
    <n v="0"/>
    <n v="0"/>
    <n v="0"/>
    <n v="0"/>
    <n v="0"/>
    <n v="0"/>
    <n v="0"/>
    <n v="0"/>
    <x v="0"/>
    <x v="0"/>
    <n v="26"/>
    <n v="1039740"/>
    <n v="0"/>
    <n v="0"/>
    <n v="26"/>
    <n v="0"/>
    <m/>
    <m/>
    <n v="0"/>
    <n v="1039740"/>
    <n v="0"/>
    <x v="0"/>
    <n v="0"/>
    <n v="26"/>
    <n v="1039740"/>
    <n v="0"/>
    <n v="8"/>
    <n v="26"/>
    <n v="0"/>
    <m/>
    <n v="0"/>
    <n v="0"/>
    <n v="1039740"/>
    <n v="0"/>
    <n v="0"/>
    <n v="0"/>
    <n v="26"/>
    <n v="1039740"/>
    <n v="0"/>
    <n v="15"/>
    <n v="33"/>
    <n v="15"/>
    <n v="30"/>
    <n v="30"/>
    <n v="0"/>
    <n v="1319670"/>
    <n v="170775"/>
    <n v="330165"/>
    <n v="0"/>
    <n v="33"/>
    <n v="1039740"/>
    <n v="1512226.8907563027"/>
    <n v="25"/>
    <n v="18"/>
    <n v="25"/>
    <n v="0"/>
    <n v="0"/>
    <n v="0"/>
    <n v="719820"/>
    <n v="284625"/>
    <n v="0"/>
    <n v="0"/>
    <n v="18"/>
    <n v="719820"/>
    <n v="2520378.1512605045"/>
    <n v="10"/>
    <n v="0"/>
    <n v="10"/>
    <n v="15"/>
    <n v="15"/>
    <n v="0"/>
    <n v="0"/>
    <n v="113850"/>
    <n v="170775"/>
    <n v="0"/>
    <n v="0"/>
    <n v="0"/>
    <n v="1008151.2605042018"/>
    <n v="20"/>
    <n v="15"/>
    <n v="15"/>
    <n v="75"/>
    <n v="75"/>
    <n v="75"/>
    <n v="15"/>
    <n v="170775"/>
    <n v="170775"/>
    <n v="853875"/>
    <n v="1024650"/>
    <n v="90"/>
    <n v="1195425"/>
    <n v="1285392.8571428573"/>
    <n v="21"/>
    <n v="75"/>
    <n v="21"/>
    <n v="0"/>
    <n v="0"/>
    <n v="853875"/>
    <n v="239085"/>
    <n v="0"/>
    <n v="0"/>
    <n v="75"/>
    <n v="853875"/>
    <n v="1889527.5"/>
    <n v="40"/>
    <n v="54"/>
    <n v="40"/>
    <n v="0"/>
    <n v="0"/>
    <n v="614790"/>
    <n v="455400"/>
    <n v="0"/>
    <n v="54"/>
    <n v="614790"/>
    <n v="4032605.042016807"/>
    <n v="12.6"/>
    <n v="14"/>
    <n v="12.6"/>
    <n v="0"/>
    <m/>
    <n v="159390"/>
    <n v="503874"/>
    <n v="0"/>
    <n v="14"/>
    <n v="159390"/>
    <n v="1270270.5882352942"/>
  </r>
  <r>
    <m/>
    <x v="6"/>
    <x v="33"/>
    <x v="85"/>
    <s v="BDMESDIDAC"/>
    <x v="651"/>
    <x v="488"/>
    <x v="0"/>
    <x v="6"/>
    <n v="1"/>
    <x v="12"/>
    <n v="19"/>
    <m/>
    <n v="0"/>
    <n v="15296"/>
    <n v="290624"/>
    <n v="13.5"/>
    <n v="15133.5"/>
    <n v="42008.403361344543"/>
    <n v="39487.394957983197"/>
    <s v="Ningbo"/>
    <x v="0"/>
    <n v="30"/>
    <n v="10"/>
    <n v="0"/>
    <s v=""/>
    <n v="0"/>
    <s v=""/>
    <n v="0"/>
    <s v=""/>
    <n v="0"/>
    <s v=""/>
    <n v="0"/>
    <s v=""/>
    <n v="0"/>
    <s v=""/>
    <n v="4"/>
    <n v="0.61838379991112802"/>
    <n v="4"/>
    <n v="0.5790874018890515"/>
    <n v="8"/>
    <n v="0.54012720260372016"/>
    <n v="2"/>
    <n v="0.5527884721537869"/>
    <n v="16"/>
    <n v="0.51865222814279843"/>
    <n v="38"/>
    <n v="0.5444723700677282"/>
    <n v="3"/>
    <s v=""/>
    <n v="0"/>
    <s v=""/>
    <n v="0"/>
    <s v=""/>
    <n v="4"/>
    <s v=""/>
    <n v="1.3333333333333333"/>
    <n v="5"/>
    <s v=""/>
    <n v="1.6666666666666667"/>
    <n v="13"/>
    <s v=""/>
    <n v="2.1666666666666665"/>
    <n v="5"/>
    <s v=""/>
    <n v="1.6666666666666667"/>
    <n v="7"/>
    <n v="3"/>
    <n v="3"/>
    <n v="0"/>
    <m/>
    <n v="0"/>
    <n v="45888"/>
    <n v="41917.499999999993"/>
    <n v="45888"/>
    <n v="0"/>
    <n v="19"/>
    <n v="290624"/>
    <n v="105903.53788574255"/>
    <n v="6"/>
    <n v="0"/>
    <n v="0"/>
    <n v="0"/>
    <n v="0"/>
    <n v="0"/>
    <n v="61184"/>
    <n v="0"/>
    <n v="0"/>
    <n v="0"/>
    <n v="19"/>
    <n v="290624"/>
    <n v="0"/>
    <n v="15"/>
    <n v="0"/>
    <n v="0"/>
    <n v="0"/>
    <n v="0"/>
    <n v="103101.5"/>
    <n v="0"/>
    <n v="0"/>
    <n v="0"/>
    <n v="19"/>
    <n v="290624"/>
    <n v="0"/>
    <n v="3"/>
    <n v="19"/>
    <n v="4"/>
    <n v="20"/>
    <n v="0"/>
    <n v="265477.49999999994"/>
    <n v="61184"/>
    <x v="112"/>
    <x v="0"/>
    <n v="19"/>
    <n v="290624"/>
    <n v="168033.61344537817"/>
    <n v="3"/>
    <n v="24"/>
    <n v="3"/>
    <m/>
    <n v="0"/>
    <n v="0"/>
    <n v="367104"/>
    <n v="41917.499999999993"/>
    <x v="0"/>
    <n v="0"/>
    <n v="19"/>
    <n v="290624"/>
    <n v="126025.21008403364"/>
    <n v="6"/>
    <n v="32"/>
    <n v="13"/>
    <m/>
    <n v="0"/>
    <n v="0"/>
    <n v="489472"/>
    <n v="181642.49999999997"/>
    <n v="0"/>
    <n v="0"/>
    <n v="32"/>
    <n v="290624"/>
    <n v="546109.24369747902"/>
    <n v="3"/>
    <n v="24"/>
    <n v="3"/>
    <n v="20"/>
    <n v="20"/>
    <n v="0"/>
    <n v="367104"/>
    <n v="41917.499999999993"/>
    <n v="270134.99999999994"/>
    <n v="0"/>
    <n v="24"/>
    <n v="290624"/>
    <n v="126025.21008403364"/>
    <n v="5"/>
    <n v="21"/>
    <n v="5"/>
    <n v="0"/>
    <n v="0"/>
    <n v="0"/>
    <n v="321216"/>
    <n v="69862.499999999985"/>
    <n v="0"/>
    <n v="0"/>
    <n v="21"/>
    <n v="321216"/>
    <n v="210042.01680672271"/>
    <n v="0"/>
    <n v="16"/>
    <n v="0"/>
    <n v="0"/>
    <n v="0"/>
    <m/>
    <n v="223559.99999999997"/>
    <n v="0"/>
    <n v="0"/>
    <n v="0"/>
    <n v="16"/>
    <n v="223559.99999999997"/>
    <n v="0"/>
    <n v="0"/>
    <n v="16"/>
    <n v="0"/>
    <n v="0"/>
    <n v="0"/>
    <n v="0"/>
    <m/>
    <n v="223559.99999999997"/>
    <n v="0"/>
    <n v="0"/>
    <n v="0"/>
    <n v="16"/>
    <n v="223559.99999999997"/>
    <n v="0"/>
    <n v="0"/>
    <n v="16"/>
    <n v="0"/>
    <n v="0"/>
    <n v="0"/>
    <n v="223559.99999999997"/>
    <n v="0"/>
    <n v="0"/>
    <n v="0"/>
    <n v="16"/>
    <n v="223559.99999999997"/>
    <n v="0"/>
    <n v="0"/>
    <n v="16"/>
    <n v="0"/>
    <n v="0"/>
    <n v="0"/>
    <n v="223559.99999999997"/>
    <n v="0"/>
    <n v="0"/>
    <n v="16"/>
    <n v="223559.99999999997"/>
    <n v="0"/>
    <n v="0"/>
    <n v="16"/>
    <n v="0"/>
    <n v="0"/>
    <m/>
    <n v="223559.99999999997"/>
    <n v="0"/>
    <n v="0"/>
    <n v="16"/>
    <n v="223559.99999999997"/>
    <n v="0"/>
  </r>
  <r>
    <m/>
    <x v="6"/>
    <x v="33"/>
    <x v="85"/>
    <s v="BDMBAVTHIE"/>
    <x v="652"/>
    <x v="489"/>
    <x v="0"/>
    <x v="6"/>
    <n v="1"/>
    <x v="12"/>
    <n v="202"/>
    <m/>
    <n v="0"/>
    <n v="11071"/>
    <n v="2236342"/>
    <n v="10.050000000000001"/>
    <n v="11266.05"/>
    <n v="19319.327731092439"/>
    <n v="16798.319327731093"/>
    <s v="Ningbo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"/>
    <n v="0.44369625395871931"/>
    <n v="0"/>
    <s v=""/>
    <n v="1"/>
    <s v=""/>
    <n v="0"/>
    <s v=""/>
    <n v="1"/>
    <s v=""/>
    <n v="0.33333333333333331"/>
    <n v="1"/>
    <s v=""/>
    <n v="0.33333333333333331"/>
    <n v="1"/>
    <s v=""/>
    <n v="0.05"/>
    <n v="0"/>
    <s v=""/>
    <n v="0"/>
    <n v="15"/>
    <n v="205"/>
    <n v="5"/>
    <n v="0"/>
    <m/>
    <n v="0"/>
    <n v="71961.5"/>
    <n v="2132358.75"/>
    <n v="55355"/>
    <n v="0"/>
    <n v="202"/>
    <n v="2236342"/>
    <n v="81173.645928959828"/>
    <n v="5"/>
    <n v="205"/>
    <n v="1.5"/>
    <n v="0"/>
    <n v="0"/>
    <n v="0"/>
    <n v="27677.5"/>
    <n v="2132358.75"/>
    <n v="16606.5"/>
    <n v="0"/>
    <n v="202"/>
    <n v="2236342"/>
    <n v="24352.093778687951"/>
    <n v="35"/>
    <n v="204"/>
    <n v="0"/>
    <n v="0"/>
    <n v="0"/>
    <n v="42276.25"/>
    <n v="2258484"/>
    <n v="0"/>
    <n v="0"/>
    <n v="202"/>
    <n v="2236342"/>
    <n v="0"/>
    <n v="3"/>
    <n v="204"/>
    <n v="1"/>
    <n v="0"/>
    <n v="0"/>
    <n v="2121957"/>
    <n v="11071"/>
    <x v="0"/>
    <x v="0"/>
    <n v="202"/>
    <n v="2236342"/>
    <n v="19319.327731092439"/>
    <n v="3"/>
    <n v="203"/>
    <n v="3"/>
    <m/>
    <n v="0"/>
    <n v="0"/>
    <n v="2247413"/>
    <n v="31205.25"/>
    <x v="0"/>
    <n v="0"/>
    <n v="202"/>
    <n v="2236342"/>
    <n v="57957.983193277316"/>
    <n v="20"/>
    <n v="203"/>
    <n v="1"/>
    <m/>
    <n v="0"/>
    <n v="0"/>
    <n v="2247413"/>
    <n v="10401.75"/>
    <n v="0"/>
    <n v="0"/>
    <n v="203"/>
    <n v="2236342"/>
    <n v="19319.327731092439"/>
    <n v="15"/>
    <n v="202"/>
    <n v="15"/>
    <n v="0"/>
    <n v="0"/>
    <n v="0"/>
    <n v="2236342"/>
    <n v="156026.25"/>
    <n v="0"/>
    <n v="0"/>
    <n v="202"/>
    <n v="2236342"/>
    <n v="289789.91596638656"/>
    <n v="15"/>
    <n v="187"/>
    <n v="15"/>
    <n v="0"/>
    <n v="0"/>
    <n v="0"/>
    <n v="2070277"/>
    <n v="156026.25"/>
    <n v="0"/>
    <n v="0"/>
    <n v="187"/>
    <n v="2070277"/>
    <n v="289789.91596638656"/>
    <n v="5"/>
    <n v="172"/>
    <n v="5"/>
    <n v="0"/>
    <n v="0"/>
    <m/>
    <n v="1789101"/>
    <n v="52008.75"/>
    <n v="0"/>
    <n v="0"/>
    <n v="172"/>
    <n v="1789101"/>
    <n v="96596.638655462186"/>
    <n v="15"/>
    <n v="167"/>
    <n v="15"/>
    <n v="0"/>
    <n v="0"/>
    <n v="0"/>
    <m/>
    <n v="1737092.25"/>
    <n v="156026.25"/>
    <n v="0"/>
    <n v="0"/>
    <n v="167"/>
    <n v="1737092.25"/>
    <n v="251974.78991596639"/>
    <n v="10.5"/>
    <n v="152"/>
    <n v="10.5"/>
    <n v="0"/>
    <n v="0"/>
    <n v="1581066"/>
    <n v="109218.375"/>
    <n v="0"/>
    <n v="0"/>
    <n v="152"/>
    <n v="1581066"/>
    <n v="185201.4705882353"/>
    <n v="16"/>
    <n v="141.5"/>
    <n v="16"/>
    <n v="0"/>
    <n v="0"/>
    <n v="1471847.625"/>
    <n v="166428"/>
    <n v="0"/>
    <n v="141.5"/>
    <n v="1471847.625"/>
    <n v="309109.24369747902"/>
    <n v="6.3"/>
    <n v="125.5"/>
    <n v="6.3"/>
    <n v="0"/>
    <m/>
    <n v="1305419.625"/>
    <n v="69747.3"/>
    <n v="0"/>
    <n v="125.5"/>
    <n v="1305419.625"/>
    <n v="121711.76470588236"/>
  </r>
  <r>
    <m/>
    <x v="6"/>
    <x v="33"/>
    <x v="85"/>
    <s v="BDMBMNMRIO"/>
    <x v="653"/>
    <x v="490"/>
    <x v="0"/>
    <x v="6"/>
    <n v="1"/>
    <x v="12"/>
    <n v="59"/>
    <m/>
    <n v="0"/>
    <n v="6475"/>
    <n v="382025"/>
    <n v="5.66"/>
    <n v="6344.86"/>
    <n v="12596.638655462186"/>
    <n v="10075.63025210084"/>
    <s v="Ningbo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4745171238435319"/>
    <n v="124"/>
    <n v="0.45158678715677014"/>
    <n v="11"/>
    <s v=""/>
    <n v="11"/>
    <s v=""/>
    <n v="6"/>
    <s v=""/>
    <n v="1"/>
    <s v=""/>
    <n v="0.33333333333333331"/>
    <n v="4"/>
    <s v=""/>
    <n v="1.3333333333333333"/>
    <n v="21"/>
    <s v=""/>
    <n v="1.05"/>
    <n v="1"/>
    <s v=""/>
    <n v="6.6666666666666666E-2"/>
    <n v="40"/>
    <n v="103"/>
    <n v="15"/>
    <n v="0"/>
    <m/>
    <n v="0"/>
    <n v="242812.5"/>
    <n v="603384.29999999993"/>
    <n v="97125"/>
    <n v="0"/>
    <n v="59"/>
    <n v="382025"/>
    <n v="158781.1595226326"/>
    <n v="15"/>
    <n v="102"/>
    <n v="16.5"/>
    <n v="0"/>
    <n v="0"/>
    <n v="0"/>
    <n v="152162.5"/>
    <n v="597526.19999999995"/>
    <n v="106837.5"/>
    <n v="0"/>
    <n v="59"/>
    <n v="382025"/>
    <n v="174659.27547489587"/>
    <n v="45"/>
    <n v="91"/>
    <n v="6"/>
    <n v="0"/>
    <n v="0"/>
    <n v="62899.3"/>
    <n v="589225"/>
    <n v="38850"/>
    <n v="0"/>
    <n v="59"/>
    <n v="382025"/>
    <n v="75579.831932773115"/>
    <n v="3"/>
    <n v="85"/>
    <n v="1"/>
    <n v="0"/>
    <n v="0"/>
    <n v="497938.49999999994"/>
    <n v="6475"/>
    <x v="0"/>
    <x v="0"/>
    <n v="59"/>
    <n v="382025"/>
    <n v="12596.638655462186"/>
    <n v="3"/>
    <n v="63"/>
    <n v="3"/>
    <m/>
    <n v="0"/>
    <n v="0"/>
    <n v="407925"/>
    <n v="17574.3"/>
    <x v="0"/>
    <n v="0"/>
    <n v="59"/>
    <n v="382025"/>
    <n v="37789.915966386558"/>
    <n v="20"/>
    <n v="80"/>
    <n v="21"/>
    <m/>
    <n v="0"/>
    <n v="0"/>
    <n v="518000"/>
    <n v="123020.09999999999"/>
    <n v="0"/>
    <n v="0"/>
    <n v="80"/>
    <n v="382025"/>
    <n v="264529.4117647059"/>
    <n v="15"/>
    <n v="60"/>
    <n v="15"/>
    <n v="0"/>
    <n v="0"/>
    <n v="0"/>
    <n v="388500"/>
    <n v="87871.499999999985"/>
    <n v="0"/>
    <n v="0"/>
    <n v="60"/>
    <n v="382025"/>
    <n v="188949.57983193279"/>
    <n v="30"/>
    <n v="45"/>
    <n v="30"/>
    <n v="0"/>
    <n v="0"/>
    <n v="0"/>
    <n v="291375"/>
    <n v="175742.99999999997"/>
    <n v="0"/>
    <n v="0"/>
    <n v="45"/>
    <n v="291375"/>
    <n v="377899.15966386558"/>
    <n v="5"/>
    <n v="15"/>
    <n v="5"/>
    <n v="0"/>
    <n v="0"/>
    <m/>
    <n v="87871.499999999985"/>
    <n v="29290.499999999996"/>
    <n v="0"/>
    <n v="0"/>
    <n v="15"/>
    <n v="87871.499999999985"/>
    <n v="62983.193277310929"/>
    <n v="20"/>
    <n v="10"/>
    <n v="10"/>
    <n v="0"/>
    <n v="0"/>
    <n v="0"/>
    <m/>
    <n v="58580.999999999993"/>
    <n v="58580.999999999993"/>
    <n v="0"/>
    <n v="0"/>
    <n v="10"/>
    <n v="58580.999999999993"/>
    <n v="100756.3025210084"/>
    <n v="17.5"/>
    <n v="0"/>
    <n v="17.5"/>
    <n v="0"/>
    <n v="0"/>
    <n v="0"/>
    <n v="102516.74999999999"/>
    <n v="0"/>
    <n v="0"/>
    <n v="0"/>
    <n v="0"/>
    <n v="185139.70588235295"/>
    <n v="80"/>
    <n v="0"/>
    <n v="80"/>
    <n v="0"/>
    <n v="0"/>
    <n v="0"/>
    <n v="468647.99999999994"/>
    <n v="0"/>
    <n v="0"/>
    <n v="0"/>
    <n v="1007731.0924369749"/>
    <n v="10.5"/>
    <n v="0"/>
    <n v="10.5"/>
    <n v="0"/>
    <m/>
    <n v="0"/>
    <n v="67987.5"/>
    <n v="0"/>
    <n v="0"/>
    <n v="0"/>
    <n v="132264.70588235295"/>
  </r>
  <r>
    <m/>
    <x v="6"/>
    <x v="33"/>
    <x v="85"/>
    <s v="BDMBSPAVMRIO"/>
    <x v="654"/>
    <x v="491"/>
    <x v="0"/>
    <x v="6"/>
    <n v="1"/>
    <x v="12"/>
    <n v="110"/>
    <m/>
    <n v="0"/>
    <n v="12159"/>
    <n v="1337490"/>
    <n v="11.09"/>
    <n v="12431.89"/>
    <n v="21000"/>
    <n v="19319.327731092439"/>
    <s v="Ningbo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210091903303122"/>
    <n v="58"/>
    <n v="0.41662067441653633"/>
    <n v="17"/>
    <s v=""/>
    <n v="7"/>
    <s v=""/>
    <n v="6"/>
    <s v=""/>
    <n v="3"/>
    <s v=""/>
    <n v="1"/>
    <n v="7"/>
    <s v=""/>
    <n v="2.3333333333333335"/>
    <n v="5"/>
    <s v=""/>
    <n v="0.33333333333333331"/>
    <n v="3"/>
    <s v=""/>
    <n v="0.25"/>
    <n v="20"/>
    <n v="153"/>
    <n v="15"/>
    <n v="0"/>
    <m/>
    <n v="0"/>
    <n v="383008.5"/>
    <n v="1756156.95"/>
    <n v="182385"/>
    <n v="0"/>
    <n v="110"/>
    <n v="1337490"/>
    <n v="264705.8823529412"/>
    <n v="15"/>
    <n v="137"/>
    <n v="10.5"/>
    <n v="0"/>
    <n v="0"/>
    <n v="0"/>
    <n v="237100.5"/>
    <n v="1572506.55"/>
    <n v="127669.5"/>
    <n v="0"/>
    <n v="110"/>
    <n v="1337490"/>
    <n v="185294.11764705883"/>
    <n v="25"/>
    <n v="130"/>
    <n v="6"/>
    <n v="0"/>
    <n v="0"/>
    <n v="143865.45000000001"/>
    <n v="1580670"/>
    <n v="72954"/>
    <n v="0"/>
    <n v="110"/>
    <n v="1337490"/>
    <n v="126000"/>
    <n v="3"/>
    <n v="124"/>
    <n v="3"/>
    <n v="0"/>
    <n v="0"/>
    <n v="1423290.5999999999"/>
    <n v="36477"/>
    <x v="0"/>
    <x v="0"/>
    <n v="110"/>
    <n v="1337490"/>
    <n v="63000"/>
    <n v="3"/>
    <n v="117"/>
    <n v="3"/>
    <m/>
    <n v="0"/>
    <n v="0"/>
    <n v="1422603"/>
    <n v="34434.449999999997"/>
    <x v="0"/>
    <n v="0"/>
    <n v="110"/>
    <n v="1337490"/>
    <n v="63000"/>
    <n v="15"/>
    <n v="115"/>
    <n v="5"/>
    <m/>
    <n v="0"/>
    <n v="0"/>
    <n v="1398285"/>
    <n v="57390.75"/>
    <n v="0"/>
    <n v="0"/>
    <n v="115"/>
    <n v="1337490"/>
    <n v="105000"/>
    <n v="12"/>
    <n v="113"/>
    <n v="12"/>
    <n v="0"/>
    <n v="0"/>
    <n v="0"/>
    <n v="1373967"/>
    <n v="137737.79999999999"/>
    <n v="0"/>
    <n v="0"/>
    <n v="113"/>
    <n v="1337490"/>
    <n v="252000"/>
    <n v="20"/>
    <n v="101"/>
    <n v="20"/>
    <n v="0"/>
    <n v="0"/>
    <n v="0"/>
    <n v="1228059"/>
    <n v="229563"/>
    <n v="0"/>
    <n v="0"/>
    <n v="101"/>
    <n v="1228059"/>
    <n v="420000"/>
    <n v="4"/>
    <n v="81"/>
    <n v="4"/>
    <n v="0"/>
    <n v="0"/>
    <m/>
    <n v="929730.15"/>
    <n v="45912.6"/>
    <n v="0"/>
    <n v="0"/>
    <n v="81"/>
    <n v="929730.15"/>
    <n v="84000"/>
    <n v="20"/>
    <n v="77"/>
    <n v="20"/>
    <n v="0"/>
    <n v="0"/>
    <n v="0"/>
    <m/>
    <n v="883817.54999999993"/>
    <n v="229563"/>
    <n v="0"/>
    <n v="0"/>
    <n v="77"/>
    <n v="883817.54999999993"/>
    <n v="386386.55462184874"/>
    <n v="14"/>
    <n v="57"/>
    <n v="14"/>
    <n v="0"/>
    <n v="0"/>
    <n v="654254.54999999993"/>
    <n v="160694.1"/>
    <n v="0"/>
    <n v="0"/>
    <n v="57"/>
    <n v="654254.54999999993"/>
    <n v="283994.11764705885"/>
    <n v="40"/>
    <n v="43"/>
    <n v="40"/>
    <n v="0"/>
    <n v="0"/>
    <n v="493560.45"/>
    <n v="459126"/>
    <n v="0"/>
    <n v="43"/>
    <n v="493560.45"/>
    <n v="840000"/>
    <n v="8.4"/>
    <n v="3"/>
    <n v="8.4"/>
    <n v="0"/>
    <m/>
    <n v="34434.449999999997"/>
    <n v="102135.6"/>
    <n v="0"/>
    <n v="3"/>
    <n v="34434.449999999997"/>
    <n v="176400"/>
  </r>
  <r>
    <m/>
    <x v="6"/>
    <x v="33"/>
    <x v="85"/>
    <s v="BDMBBOESP"/>
    <x v="655"/>
    <x v="492"/>
    <x v="0"/>
    <x v="6"/>
    <n v="1"/>
    <x v="12"/>
    <n v="154"/>
    <m/>
    <n v="0"/>
    <n v="4538"/>
    <n v="698852"/>
    <n v="3.81"/>
    <n v="4271.01"/>
    <n v="8394.957983193277"/>
    <n v="7554.6218487394963"/>
    <s v="Ningbo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617999227500966"/>
    <n v="38"/>
    <n v="0.53921558016614957"/>
    <n v="12"/>
    <s v=""/>
    <n v="4"/>
    <s v=""/>
    <n v="8"/>
    <s v=""/>
    <n v="3"/>
    <s v=""/>
    <n v="1"/>
    <n v="8"/>
    <s v=""/>
    <n v="2.6666666666666665"/>
    <n v="13"/>
    <s v=""/>
    <n v="0.8666666666666667"/>
    <n v="4"/>
    <s v=""/>
    <n v="0.33333333333333331"/>
    <n v="20"/>
    <n v="205"/>
    <n v="10"/>
    <n v="0"/>
    <m/>
    <n v="0"/>
    <n v="108912"/>
    <n v="808386.75"/>
    <n v="45380"/>
    <n v="0"/>
    <n v="154"/>
    <n v="698852"/>
    <n v="70545.865404985525"/>
    <n v="10"/>
    <n v="193"/>
    <n v="6"/>
    <n v="0"/>
    <n v="0"/>
    <n v="0"/>
    <n v="77146"/>
    <n v="761066.54999999993"/>
    <n v="27228"/>
    <n v="0"/>
    <n v="154"/>
    <n v="698852"/>
    <n v="42327.519242991315"/>
    <n v="50"/>
    <n v="188"/>
    <n v="8"/>
    <n v="0"/>
    <n v="0"/>
    <n v="61748.05"/>
    <n v="853144"/>
    <n v="36304"/>
    <n v="0"/>
    <n v="154"/>
    <n v="698852"/>
    <n v="67159.663865546216"/>
    <n v="3"/>
    <n v="181"/>
    <n v="3"/>
    <n v="0"/>
    <n v="0"/>
    <n v="713746.35"/>
    <n v="13614"/>
    <x v="0"/>
    <x v="0"/>
    <n v="154"/>
    <n v="698852"/>
    <n v="25184.873949579829"/>
    <n v="3"/>
    <n v="162"/>
    <n v="3"/>
    <m/>
    <n v="0"/>
    <n v="0"/>
    <n v="735156"/>
    <n v="11830.05"/>
    <x v="0"/>
    <n v="0"/>
    <n v="154"/>
    <n v="698852"/>
    <n v="25184.873949579829"/>
    <n v="15"/>
    <n v="167"/>
    <n v="13"/>
    <m/>
    <n v="0"/>
    <n v="0"/>
    <n v="757846"/>
    <n v="51263.549999999996"/>
    <n v="0"/>
    <n v="0"/>
    <n v="167"/>
    <n v="698852"/>
    <n v="109134.4537815126"/>
    <n v="12"/>
    <n v="158"/>
    <n v="12"/>
    <n v="0"/>
    <n v="0"/>
    <n v="0"/>
    <n v="717004"/>
    <n v="47320.2"/>
    <n v="0"/>
    <n v="0"/>
    <n v="158"/>
    <n v="698852"/>
    <n v="100739.49579831932"/>
    <n v="20"/>
    <n v="146"/>
    <n v="20"/>
    <n v="0"/>
    <n v="0"/>
    <n v="0"/>
    <n v="662548"/>
    <n v="78867"/>
    <n v="0"/>
    <n v="0"/>
    <n v="146"/>
    <n v="662548"/>
    <n v="167899.15966386555"/>
    <n v="4"/>
    <n v="126"/>
    <n v="4"/>
    <n v="0"/>
    <n v="0"/>
    <m/>
    <n v="496862.1"/>
    <n v="15773.4"/>
    <n v="0"/>
    <n v="0"/>
    <n v="126"/>
    <n v="496862.1"/>
    <n v="33579.831932773108"/>
    <n v="20"/>
    <n v="122"/>
    <n v="20"/>
    <n v="0"/>
    <n v="0"/>
    <n v="0"/>
    <m/>
    <n v="481088.7"/>
    <n v="78867"/>
    <n v="0"/>
    <n v="0"/>
    <n v="122"/>
    <n v="481088.7"/>
    <n v="151092.43697478992"/>
    <n v="14"/>
    <n v="102"/>
    <n v="14"/>
    <n v="0"/>
    <n v="0"/>
    <n v="402221.7"/>
    <n v="55206.9"/>
    <n v="0"/>
    <n v="0"/>
    <n v="102"/>
    <n v="402221.7"/>
    <n v="111052.9411764706"/>
    <n v="32"/>
    <n v="88"/>
    <n v="32"/>
    <n v="0"/>
    <n v="0"/>
    <n v="347014.8"/>
    <n v="126187.2"/>
    <n v="0"/>
    <n v="88"/>
    <n v="347014.8"/>
    <n v="268638.65546218486"/>
    <n v="8.4"/>
    <n v="56"/>
    <n v="8.4"/>
    <n v="0"/>
    <m/>
    <n v="220827.6"/>
    <n v="38119.200000000004"/>
    <n v="0"/>
    <n v="56"/>
    <n v="220827.6"/>
    <n v="70517.647058823524"/>
  </r>
  <r>
    <m/>
    <x v="6"/>
    <x v="33"/>
    <x v="85"/>
    <s v="BDMBCIUMG"/>
    <x v="656"/>
    <x v="493"/>
    <x v="0"/>
    <x v="6"/>
    <n v="1"/>
    <x v="12"/>
    <n v="173"/>
    <m/>
    <n v="0"/>
    <n v="8924"/>
    <n v="1543852"/>
    <n v="8"/>
    <n v="8968"/>
    <n v="15957.983193277312"/>
    <n v="14277.310924369749"/>
    <s v="Ningbo"/>
    <x v="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5.003193527783692E-2"/>
    <n v="3"/>
    <n v="0.4731684278883051"/>
    <n v="29"/>
    <n v="0.3763441491689134"/>
    <n v="3"/>
    <s v=""/>
    <n v="1"/>
    <s v=""/>
    <n v="4"/>
    <s v=""/>
    <n v="0"/>
    <s v=""/>
    <n v="0"/>
    <n v="1"/>
    <s v=""/>
    <n v="0.33333333333333331"/>
    <n v="2"/>
    <s v=""/>
    <n v="0.1111111111111111"/>
    <n v="3"/>
    <s v=""/>
    <n v="0.21428571428571427"/>
    <n v="20"/>
    <n v="184"/>
    <n v="5"/>
    <n v="0"/>
    <m/>
    <n v="0"/>
    <n v="93702"/>
    <n v="1523520"/>
    <n v="44620"/>
    <n v="0"/>
    <n v="173"/>
    <n v="1543852"/>
    <n v="67050.349551585357"/>
    <n v="5"/>
    <n v="181"/>
    <n v="1.5"/>
    <n v="0"/>
    <n v="0"/>
    <n v="0"/>
    <n v="49082"/>
    <n v="1498680"/>
    <n v="13386"/>
    <n v="0"/>
    <n v="173"/>
    <n v="1543852"/>
    <n v="20115.104865475605"/>
    <n v="25"/>
    <n v="180"/>
    <n v="4"/>
    <n v="0"/>
    <n v="0"/>
    <n v="60536"/>
    <n v="1606320"/>
    <n v="35696"/>
    <n v="0"/>
    <n v="173"/>
    <n v="1543852"/>
    <n v="63831.932773109249"/>
    <n v="3"/>
    <n v="176"/>
    <n v="0"/>
    <n v="0"/>
    <n v="0"/>
    <n v="1457280"/>
    <n v="0"/>
    <x v="0"/>
    <x v="0"/>
    <n v="173"/>
    <n v="1543852"/>
    <n v="0"/>
    <n v="3"/>
    <n v="174"/>
    <n v="3"/>
    <m/>
    <n v="0"/>
    <n v="0"/>
    <n v="1552776"/>
    <n v="24840"/>
    <x v="0"/>
    <n v="0"/>
    <n v="173"/>
    <n v="1543852"/>
    <n v="47873.94957983194"/>
    <n v="18"/>
    <n v="175"/>
    <n v="2"/>
    <m/>
    <n v="0"/>
    <n v="0"/>
    <n v="1561700"/>
    <n v="16560"/>
    <n v="0"/>
    <n v="0"/>
    <n v="175"/>
    <n v="1543852"/>
    <n v="31915.966386554624"/>
    <n v="14"/>
    <n v="176"/>
    <n v="14"/>
    <n v="0"/>
    <n v="0"/>
    <n v="0"/>
    <n v="1570624"/>
    <n v="115920"/>
    <n v="0"/>
    <n v="0"/>
    <n v="176"/>
    <n v="1543852"/>
    <n v="223411.76470588238"/>
    <n v="20"/>
    <n v="162"/>
    <n v="20"/>
    <n v="0"/>
    <n v="0"/>
    <n v="0"/>
    <n v="1445688"/>
    <n v="165600"/>
    <n v="0"/>
    <n v="0"/>
    <n v="162"/>
    <n v="1445688"/>
    <n v="319159.66386554623"/>
    <n v="5"/>
    <n v="142"/>
    <n v="5"/>
    <n v="0"/>
    <n v="0"/>
    <m/>
    <n v="1175760"/>
    <n v="41400"/>
    <n v="0"/>
    <n v="0"/>
    <n v="142"/>
    <n v="1175760"/>
    <n v="79789.915966386558"/>
    <n v="22"/>
    <n v="137"/>
    <n v="22"/>
    <n v="0"/>
    <n v="0"/>
    <n v="0"/>
    <m/>
    <n v="1134360"/>
    <n v="182160"/>
    <n v="0"/>
    <n v="0"/>
    <n v="137"/>
    <n v="1134360"/>
    <n v="314100.84033613448"/>
    <n v="15.399999999999999"/>
    <n v="115"/>
    <n v="15.399999999999999"/>
    <n v="0"/>
    <n v="0"/>
    <n v="952200"/>
    <n v="127511.99999999999"/>
    <n v="0"/>
    <n v="0"/>
    <n v="115"/>
    <n v="952200"/>
    <n v="230864.11764705885"/>
    <n v="24"/>
    <n v="99.6"/>
    <n v="24"/>
    <n v="0"/>
    <n v="0"/>
    <n v="824688"/>
    <n v="198720"/>
    <n v="0"/>
    <n v="99.6"/>
    <n v="824688"/>
    <n v="382991.59663865552"/>
    <n v="9.2399999999999984"/>
    <n v="75.599999999999994"/>
    <n v="9.2399999999999984"/>
    <n v="0"/>
    <m/>
    <n v="625968"/>
    <n v="82457.75999999998"/>
    <n v="0"/>
    <n v="75.599999999999994"/>
    <n v="625968"/>
    <n v="147451.76470588235"/>
  </r>
  <r>
    <m/>
    <x v="7"/>
    <x v="34"/>
    <x v="86"/>
    <n v="1661877072053"/>
    <x v="657"/>
    <x v="494"/>
    <x v="0"/>
    <x v="5"/>
    <n v="1"/>
    <x v="12"/>
    <n v="0"/>
    <m/>
    <n v="0"/>
    <n v="275044.23"/>
    <n v="0"/>
    <n v="251.75673226544623"/>
    <n v="282220.08695652173"/>
    <n v="546210.08403361344"/>
    <n v="546210.08403361344"/>
    <s v="Shenzhen"/>
    <x v="0"/>
    <n v="30"/>
    <n v="1"/>
    <n v="0"/>
    <s v=""/>
    <n v="2"/>
    <n v="0.61670489359262115"/>
    <n v="2"/>
    <n v="0.59035978818304635"/>
    <n v="0"/>
    <s v=""/>
    <n v="0"/>
    <s v=""/>
    <n v="2"/>
    <n v="0.56421263306783231"/>
    <n v="1"/>
    <n v="0.34513278571428574"/>
    <n v="1"/>
    <n v="0.57984267256523614"/>
    <n v="1"/>
    <n v="0.5903599189192007"/>
    <n v="1"/>
    <n v="0.49991958181818186"/>
    <n v="1"/>
    <n v="0.5903599189192007"/>
    <n v="0"/>
    <s v=""/>
    <n v="1"/>
    <s v=""/>
    <n v="0"/>
    <n v="0.61670491992808507"/>
    <n v="0"/>
    <n v="0.59035980198379168"/>
    <n v="2"/>
    <s v=""/>
    <n v="2"/>
    <n v="1"/>
    <s v=""/>
    <n v="1"/>
    <n v="0"/>
    <n v="0.56421257144069714"/>
    <n v="0"/>
    <n v="0"/>
    <n v="0.34513277529761904"/>
    <n v="0"/>
    <n v="1.3333333333333333"/>
    <n v="5"/>
    <n v="1.3333333333333333"/>
    <n v="0"/>
    <m/>
    <n v="0"/>
    <n v="366725.63999999996"/>
    <n v="1302841.0894736841"/>
    <n v="366725.63999999996"/>
    <n v="0"/>
    <n v="0"/>
    <n v="0"/>
    <n v="612000.09415530914"/>
    <n v="1"/>
    <n v="4"/>
    <n v="0"/>
    <n v="0"/>
    <m/>
    <n v="0"/>
    <n v="550088.46"/>
    <n v="1042272.8715789473"/>
    <n v="0"/>
    <n v="0"/>
    <n v="0"/>
    <n v="0"/>
    <n v="0"/>
    <n v="1"/>
    <n v="4"/>
    <n v="0"/>
    <n v="0"/>
    <n v="0"/>
    <n v="810656.67789473676"/>
    <n v="1100176.92"/>
    <n v="0"/>
    <n v="0"/>
    <n v="0"/>
    <n v="0"/>
    <n v="0"/>
    <n v="1"/>
    <n v="4"/>
    <n v="2"/>
    <n v="0"/>
    <n v="0"/>
    <n v="1042272.8715789473"/>
    <n v="550088.46"/>
    <x v="0"/>
    <x v="0"/>
    <n v="0"/>
    <n v="0"/>
    <n v="1092420.1680672269"/>
    <n v="1"/>
    <n v="1"/>
    <n v="1"/>
    <m/>
    <n v="0"/>
    <n v="0"/>
    <n v="275044.23"/>
    <n v="260568.21789473682"/>
    <x v="0"/>
    <n v="0"/>
    <n v="0"/>
    <n v="0"/>
    <n v="546210.08403361344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260568.21789473682"/>
    <n v="0"/>
    <n v="0"/>
    <n v="0"/>
    <n v="0"/>
    <n v="573520.5882352941"/>
    <n v="1"/>
    <n v="0"/>
    <n v="1"/>
    <n v="0"/>
    <n v="0"/>
    <n v="0"/>
    <n v="260568.21789473682"/>
    <n v="0"/>
    <n v="0"/>
    <n v="0"/>
    <n v="546210.08403361344"/>
    <n v="0.6"/>
    <n v="0"/>
    <n v="0.6"/>
    <n v="0"/>
    <m/>
    <n v="0"/>
    <n v="165026.53799999997"/>
    <n v="0"/>
    <n v="0"/>
    <n v="0"/>
    <n v="327726.05042016803"/>
  </r>
  <r>
    <m/>
    <x v="7"/>
    <x v="34"/>
    <x v="86"/>
    <s v="INNCAMINSH5512-20"/>
    <x v="658"/>
    <x v="495"/>
    <x v="0"/>
    <x v="5"/>
    <n v="1"/>
    <x v="12"/>
    <n v="1"/>
    <m/>
    <n v="0"/>
    <n v="423998"/>
    <n v="423998"/>
    <n v="388.09885583524033"/>
    <n v="435058.81739130442"/>
    <n v="1176462.1848739497"/>
    <n v="1176462.1848739497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1"/>
    <n v="0"/>
    <n v="0"/>
    <m/>
    <n v="0"/>
    <n v="0"/>
    <n v="401682.31578947377"/>
    <n v="0"/>
    <n v="0"/>
    <n v="1"/>
    <n v="423998"/>
    <n v="0"/>
    <n v="0"/>
    <n v="1"/>
    <n v="0"/>
    <n v="0"/>
    <m/>
    <n v="0"/>
    <n v="0"/>
    <n v="401682.31578947377"/>
    <n v="0"/>
    <n v="0"/>
    <n v="1"/>
    <n v="423998"/>
    <n v="0"/>
    <n v="0"/>
    <n v="1"/>
    <n v="0"/>
    <n v="0"/>
    <n v="0"/>
    <n v="0"/>
    <n v="423998"/>
    <n v="0"/>
    <n v="0"/>
    <n v="1"/>
    <n v="423998"/>
    <n v="0"/>
    <n v="0"/>
    <n v="1"/>
    <n v="0"/>
    <n v="0"/>
    <n v="0"/>
    <n v="401682.31578947377"/>
    <n v="0"/>
    <x v="0"/>
    <x v="0"/>
    <n v="1"/>
    <n v="423998"/>
    <n v="0"/>
    <n v="0"/>
    <n v="1"/>
    <n v="0"/>
    <m/>
    <n v="0"/>
    <n v="0"/>
    <n v="423998"/>
    <n v="0"/>
    <x v="0"/>
    <n v="0"/>
    <n v="1"/>
    <n v="423998"/>
    <n v="0"/>
    <n v="0"/>
    <n v="1"/>
    <n v="0"/>
    <m/>
    <n v="0"/>
    <n v="0"/>
    <n v="423998"/>
    <n v="0"/>
    <n v="0"/>
    <n v="0"/>
    <n v="1"/>
    <n v="423998"/>
    <n v="0"/>
    <n v="0"/>
    <n v="1"/>
    <n v="0"/>
    <n v="0"/>
    <n v="0"/>
    <n v="0"/>
    <n v="423998"/>
    <n v="0"/>
    <n v="0"/>
    <n v="0"/>
    <n v="1"/>
    <n v="423998"/>
    <n v="0"/>
    <n v="0"/>
    <n v="1"/>
    <n v="0"/>
    <n v="0"/>
    <n v="0"/>
    <n v="0"/>
    <n v="423998"/>
    <n v="0"/>
    <n v="0"/>
    <n v="0"/>
    <n v="1"/>
    <n v="423998"/>
    <n v="0"/>
    <n v="0"/>
    <n v="1"/>
    <n v="0"/>
    <n v="0"/>
    <n v="0"/>
    <m/>
    <n v="401682.31578947377"/>
    <n v="0"/>
    <n v="0"/>
    <n v="0"/>
    <n v="1"/>
    <n v="401682.31578947377"/>
    <n v="0"/>
    <n v="0"/>
    <n v="1"/>
    <n v="0"/>
    <n v="0"/>
    <n v="0"/>
    <n v="0"/>
    <m/>
    <n v="401682.31578947377"/>
    <n v="0"/>
    <n v="0"/>
    <n v="0"/>
    <n v="1"/>
    <n v="401682.31578947377"/>
    <n v="0"/>
    <n v="0"/>
    <n v="1"/>
    <n v="0"/>
    <n v="0"/>
    <n v="0"/>
    <n v="401682.31578947377"/>
    <n v="0"/>
    <n v="0"/>
    <n v="0"/>
    <n v="1"/>
    <n v="401682.31578947377"/>
    <n v="0"/>
    <n v="0"/>
    <n v="1"/>
    <n v="0"/>
    <n v="0"/>
    <n v="0"/>
    <n v="401682.31578947377"/>
    <n v="0"/>
    <n v="0"/>
    <n v="1"/>
    <n v="401682.31578947377"/>
    <n v="0"/>
    <n v="0"/>
    <n v="1"/>
    <n v="0"/>
    <n v="0"/>
    <m/>
    <n v="401682.31578947377"/>
    <n v="0"/>
    <n v="0"/>
    <n v="1"/>
    <n v="401682.31578947377"/>
    <n v="0"/>
  </r>
  <r>
    <m/>
    <x v="7"/>
    <x v="34"/>
    <x v="86"/>
    <s v="INNCAMINSH3-70"/>
    <x v="659"/>
    <x v="496"/>
    <x v="0"/>
    <x v="5"/>
    <n v="1"/>
    <x v="12"/>
    <n v="0"/>
    <m/>
    <n v="0"/>
    <n v="1867612"/>
    <n v="0"/>
    <n v="1709.4846681922197"/>
    <n v="1916332.3130434782"/>
    <n v="5042008.4033613447"/>
    <n v="5042008.4033613447"/>
    <s v="Shenzhen"/>
    <x v="0"/>
    <n v="30"/>
    <n v="1"/>
    <n v="0"/>
    <s v=""/>
    <n v="0"/>
    <s v=""/>
    <n v="0"/>
    <s v=""/>
    <n v="1"/>
    <n v="0.45791115366759516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1"/>
    <n v="0"/>
    <n v="0"/>
    <n v="1.0241309968399885"/>
    <n v="1.0241309968399885"/>
    <n v="0"/>
    <n v="0"/>
    <n v="0"/>
    <n v="0"/>
    <n v="0"/>
    <n v="0"/>
    <n v="0"/>
    <n v="0"/>
    <n v="1"/>
    <n v="0"/>
    <n v="0"/>
    <n v="0"/>
    <n v="0"/>
    <n v="1769316.6315789474"/>
    <n v="0"/>
    <n v="0"/>
    <n v="0"/>
    <n v="0"/>
    <n v="0"/>
    <n v="0"/>
    <n v="1"/>
    <n v="0"/>
    <n v="0"/>
    <n v="0"/>
    <n v="0"/>
    <n v="0"/>
    <n v="0"/>
    <x v="0"/>
    <x v="0"/>
    <n v="0"/>
    <n v="0"/>
    <n v="0"/>
    <n v="1"/>
    <n v="0"/>
    <n v="1"/>
    <m/>
    <n v="0"/>
    <n v="0"/>
    <n v="0"/>
    <n v="1769316.6315789474"/>
    <x v="0"/>
    <n v="0"/>
    <n v="0"/>
    <n v="0"/>
    <n v="5042008.4033613447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1769316.6315789474"/>
    <n v="0"/>
    <n v="0"/>
    <n v="0"/>
    <n v="0"/>
    <n v="5294108.823529412"/>
    <n v="1"/>
    <n v="0"/>
    <n v="1"/>
    <n v="0"/>
    <n v="0"/>
    <n v="0"/>
    <n v="1769316.6315789474"/>
    <n v="0"/>
    <n v="0"/>
    <n v="0"/>
    <n v="5042008.4033613447"/>
    <n v="0.6"/>
    <n v="0"/>
    <n v="0.6"/>
    <n v="0"/>
    <m/>
    <n v="0"/>
    <n v="1120567.2"/>
    <n v="0"/>
    <n v="0"/>
    <n v="0"/>
    <n v="3025205.0420168065"/>
  </r>
  <r>
    <m/>
    <x v="7"/>
    <x v="34"/>
    <x v="86"/>
    <s v="INNCAMINSH5-20"/>
    <x v="660"/>
    <x v="497"/>
    <x v="0"/>
    <x v="5"/>
    <n v="1"/>
    <x v="12"/>
    <n v="1"/>
    <m/>
    <n v="0"/>
    <n v="282666"/>
    <n v="282666"/>
    <n v="258.73318077803208"/>
    <n v="290039.8956521739"/>
    <n v="798310.92436974798"/>
    <n v="798310.92436974798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1"/>
    <n v="0"/>
    <n v="0"/>
    <m/>
    <n v="0"/>
    <n v="0"/>
    <n v="267788.8421052632"/>
    <n v="0"/>
    <n v="0"/>
    <n v="1"/>
    <n v="282666"/>
    <n v="0"/>
    <n v="0"/>
    <n v="1"/>
    <n v="0"/>
    <n v="0"/>
    <m/>
    <n v="0"/>
    <n v="0"/>
    <n v="267788.8421052632"/>
    <n v="0"/>
    <n v="0"/>
    <n v="1"/>
    <n v="282666"/>
    <n v="0"/>
    <n v="0"/>
    <n v="1"/>
    <n v="0"/>
    <n v="0"/>
    <n v="0"/>
    <n v="0"/>
    <n v="282666"/>
    <n v="0"/>
    <n v="0"/>
    <n v="1"/>
    <n v="282666"/>
    <n v="0"/>
    <n v="0"/>
    <n v="1"/>
    <n v="0"/>
    <n v="0"/>
    <n v="0"/>
    <n v="267788.8421052632"/>
    <n v="0"/>
    <x v="0"/>
    <x v="0"/>
    <n v="1"/>
    <n v="282666"/>
    <n v="0"/>
    <n v="0"/>
    <n v="1"/>
    <n v="0"/>
    <m/>
    <n v="0"/>
    <n v="0"/>
    <n v="282666"/>
    <n v="0"/>
    <x v="0"/>
    <n v="0"/>
    <n v="1"/>
    <n v="282666"/>
    <n v="0"/>
    <n v="0"/>
    <n v="1"/>
    <n v="0"/>
    <m/>
    <n v="0"/>
    <n v="0"/>
    <n v="282666"/>
    <n v="0"/>
    <n v="0"/>
    <n v="0"/>
    <n v="1"/>
    <n v="282666"/>
    <n v="0"/>
    <n v="0"/>
    <n v="1"/>
    <n v="0"/>
    <n v="0"/>
    <n v="0"/>
    <n v="0"/>
    <n v="282666"/>
    <n v="0"/>
    <n v="0"/>
    <n v="0"/>
    <n v="1"/>
    <n v="282666"/>
    <n v="0"/>
    <n v="0"/>
    <n v="1"/>
    <n v="0"/>
    <n v="0"/>
    <n v="0"/>
    <n v="0"/>
    <n v="282666"/>
    <n v="0"/>
    <n v="0"/>
    <n v="0"/>
    <n v="1"/>
    <n v="282666"/>
    <n v="0"/>
    <n v="0"/>
    <n v="1"/>
    <n v="0"/>
    <n v="0"/>
    <n v="0"/>
    <m/>
    <n v="267788.8421052632"/>
    <n v="0"/>
    <n v="0"/>
    <n v="0"/>
    <n v="1"/>
    <n v="267788.8421052632"/>
    <n v="0"/>
    <n v="0"/>
    <n v="1"/>
    <n v="0"/>
    <n v="0"/>
    <n v="0"/>
    <n v="0"/>
    <m/>
    <n v="267788.8421052632"/>
    <n v="0"/>
    <n v="0"/>
    <n v="0"/>
    <n v="1"/>
    <n v="267788.8421052632"/>
    <n v="0"/>
    <n v="0"/>
    <n v="1"/>
    <n v="0"/>
    <n v="0"/>
    <n v="0"/>
    <n v="267788.8421052632"/>
    <n v="0"/>
    <n v="0"/>
    <n v="0"/>
    <n v="1"/>
    <n v="267788.8421052632"/>
    <n v="0"/>
    <n v="0"/>
    <n v="1"/>
    <n v="0"/>
    <n v="0"/>
    <n v="0"/>
    <n v="267788.8421052632"/>
    <n v="0"/>
    <n v="0"/>
    <n v="1"/>
    <n v="267788.8421052632"/>
    <n v="0"/>
    <n v="0"/>
    <n v="1"/>
    <n v="0"/>
    <n v="0"/>
    <m/>
    <n v="267788.8421052632"/>
    <n v="0"/>
    <n v="0"/>
    <n v="1"/>
    <n v="267788.8421052632"/>
    <n v="0"/>
  </r>
  <r>
    <m/>
    <x v="7"/>
    <x v="34"/>
    <x v="86"/>
    <s v="INNCAMINSH6-40"/>
    <x v="661"/>
    <x v="498"/>
    <x v="0"/>
    <x v="5"/>
    <n v="1"/>
    <x v="12"/>
    <n v="4"/>
    <m/>
    <n v="0"/>
    <n v="302856"/>
    <n v="1211424"/>
    <n v="277.21372997711677"/>
    <n v="310756.59130434785"/>
    <n v="840327.73109243705"/>
    <n v="840327.73109243705"/>
    <s v="Shenzhen"/>
    <x v="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4"/>
    <n v="0"/>
    <n v="0"/>
    <m/>
    <n v="0"/>
    <n v="0"/>
    <n v="1147664.8421052634"/>
    <n v="0"/>
    <n v="0"/>
    <n v="4"/>
    <n v="1211424"/>
    <n v="0"/>
    <n v="0"/>
    <n v="4"/>
    <n v="0"/>
    <n v="0"/>
    <m/>
    <n v="0"/>
    <n v="0"/>
    <n v="1147664.8421052634"/>
    <n v="0"/>
    <n v="0"/>
    <n v="4"/>
    <n v="1211424"/>
    <n v="0"/>
    <n v="0"/>
    <n v="4"/>
    <n v="0"/>
    <n v="0"/>
    <n v="0"/>
    <n v="0"/>
    <n v="1211424"/>
    <n v="0"/>
    <n v="0"/>
    <n v="4"/>
    <n v="1211424"/>
    <n v="0"/>
    <n v="0"/>
    <n v="4"/>
    <n v="0"/>
    <n v="0"/>
    <n v="0"/>
    <n v="1147664.8421052634"/>
    <n v="0"/>
    <x v="0"/>
    <x v="0"/>
    <n v="4"/>
    <n v="1211424"/>
    <n v="0"/>
    <n v="0"/>
    <n v="4"/>
    <n v="0"/>
    <m/>
    <n v="0"/>
    <n v="0"/>
    <n v="1211424"/>
    <n v="0"/>
    <x v="0"/>
    <n v="0"/>
    <n v="4"/>
    <n v="1211424"/>
    <n v="0"/>
    <n v="0"/>
    <n v="4"/>
    <n v="0"/>
    <m/>
    <n v="0"/>
    <n v="0"/>
    <n v="1211424"/>
    <n v="0"/>
    <n v="0"/>
    <n v="0"/>
    <n v="4"/>
    <n v="1211424"/>
    <n v="0"/>
    <n v="0"/>
    <n v="4"/>
    <n v="0"/>
    <n v="0"/>
    <n v="0"/>
    <n v="0"/>
    <n v="1211424"/>
    <n v="0"/>
    <n v="0"/>
    <n v="0"/>
    <n v="4"/>
    <n v="1211424"/>
    <n v="0"/>
    <n v="0"/>
    <n v="4"/>
    <n v="0"/>
    <n v="0"/>
    <n v="0"/>
    <n v="0"/>
    <n v="1211424"/>
    <n v="0"/>
    <n v="0"/>
    <n v="0"/>
    <n v="4"/>
    <n v="1211424"/>
    <n v="0"/>
    <n v="0"/>
    <n v="4"/>
    <n v="0"/>
    <n v="0"/>
    <n v="0"/>
    <m/>
    <n v="1147664.8421052634"/>
    <n v="0"/>
    <n v="0"/>
    <n v="0"/>
    <n v="4"/>
    <n v="1147664.8421052634"/>
    <n v="0"/>
    <n v="0"/>
    <n v="4"/>
    <n v="0"/>
    <n v="0"/>
    <n v="0"/>
    <n v="0"/>
    <m/>
    <n v="1147664.8421052634"/>
    <n v="0"/>
    <n v="0"/>
    <n v="0"/>
    <n v="4"/>
    <n v="1147664.8421052634"/>
    <n v="0"/>
    <n v="0"/>
    <n v="4"/>
    <n v="0"/>
    <n v="0"/>
    <n v="0"/>
    <n v="1147664.8421052634"/>
    <n v="0"/>
    <n v="0"/>
    <n v="0"/>
    <n v="4"/>
    <n v="1147664.8421052634"/>
    <n v="0"/>
    <n v="0"/>
    <n v="4"/>
    <n v="0"/>
    <n v="0"/>
    <n v="0"/>
    <n v="1147664.8421052634"/>
    <n v="0"/>
    <n v="0"/>
    <n v="4"/>
    <n v="1147664.8421052634"/>
    <n v="0"/>
    <n v="0"/>
    <n v="4"/>
    <n v="0"/>
    <n v="0"/>
    <m/>
    <n v="1147664.8421052634"/>
    <n v="0"/>
    <n v="0"/>
    <n v="4"/>
    <n v="1147664.8421052634"/>
    <n v="0"/>
  </r>
  <r>
    <m/>
    <x v="7"/>
    <x v="34"/>
    <x v="86"/>
    <s v="INCAMINS92-40"/>
    <x v="662"/>
    <x v="499"/>
    <x v="0"/>
    <x v="5"/>
    <n v="1"/>
    <x v="12"/>
    <n v="0"/>
    <m/>
    <n v="0"/>
    <n v="293682"/>
    <n v="0"/>
    <n v="268.81647597254005"/>
    <n v="301343.26956521737"/>
    <n v="672260.50420168065"/>
    <n v="672260.50420168065"/>
    <s v="Shenzhen"/>
    <x v="0"/>
    <n v="30"/>
    <n v="1"/>
    <n v="0"/>
    <s v=""/>
    <n v="0"/>
    <s v=""/>
    <n v="0"/>
    <s v=""/>
    <n v="0"/>
    <s v=""/>
    <n v="0"/>
    <s v=""/>
    <n v="2"/>
    <n v="0.55589831761794484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7"/>
    <x v="34"/>
    <x v="86"/>
    <n v="1661877043628"/>
    <x v="663"/>
    <x v="500"/>
    <x v="0"/>
    <x v="5"/>
    <n v="1"/>
    <x v="12"/>
    <n v="4"/>
    <m/>
    <n v="0"/>
    <n v="237256"/>
    <n v="949024"/>
    <n v="220"/>
    <n v="246620"/>
    <n v="462176.4705882353"/>
    <n v="462176.4705882353"/>
    <s v="Shenzhen"/>
    <x v="0"/>
    <n v="30"/>
    <n v="1"/>
    <n v="2"/>
    <n v="0.55531968908731377"/>
    <n v="0"/>
    <s v=""/>
    <n v="2"/>
    <n v="0.52791879706406142"/>
    <n v="6"/>
    <n v="0.53738670541447442"/>
    <n v="1"/>
    <n v="0.51079313941009485"/>
    <n v="5"/>
    <n v="0.52123920245661182"/>
    <n v="3"/>
    <n v="0.51049693690286924"/>
    <n v="0"/>
    <s v=""/>
    <n v="1"/>
    <n v="0.39606465572101313"/>
    <n v="0"/>
    <s v=""/>
    <n v="0"/>
    <s v=""/>
    <n v="0"/>
    <s v=""/>
    <n v="0"/>
    <n v="0.55531969768230394"/>
    <n v="0"/>
    <s v=""/>
    <n v="1"/>
    <n v="0.52791878953128824"/>
    <n v="0"/>
    <n v="0.53738670603688499"/>
    <n v="0"/>
    <n v="0"/>
    <n v="0.51079313767503032"/>
    <n v="0"/>
    <n v="0"/>
    <n v="0.52123921054370004"/>
    <n v="0"/>
    <n v="0"/>
    <n v="0.51049692432991978"/>
    <n v="0"/>
    <n v="2"/>
    <n v="5"/>
    <n v="2"/>
    <n v="0"/>
    <n v="0"/>
    <n v="0"/>
    <n v="711768"/>
    <n v="1138499.9999999998"/>
    <n v="474512"/>
    <n v="0"/>
    <n v="4"/>
    <n v="949024"/>
    <n v="776767.177459219"/>
    <n v="3"/>
    <n v="5"/>
    <n v="0"/>
    <n v="3.1335030287452459"/>
    <n v="3.1335030287452459"/>
    <n v="0"/>
    <n v="237256"/>
    <n v="1138499.9999999998"/>
    <n v="0"/>
    <n v="0"/>
    <n v="4"/>
    <n v="949024"/>
    <n v="0"/>
    <n v="3"/>
    <n v="5"/>
    <n v="1"/>
    <n v="0"/>
    <n v="0"/>
    <n v="920355.99999999988"/>
    <n v="1186280"/>
    <n v="237256"/>
    <n v="0"/>
    <n v="4"/>
    <n v="949024"/>
    <n v="462176.4705882353"/>
    <n v="3"/>
    <n v="4"/>
    <n v="0"/>
    <n v="0"/>
    <n v="0"/>
    <n v="910799.99999999988"/>
    <n v="0"/>
    <x v="0"/>
    <x v="0"/>
    <n v="4"/>
    <n v="949024"/>
    <n v="0"/>
    <n v="3"/>
    <n v="4"/>
    <n v="3"/>
    <m/>
    <n v="0"/>
    <n v="0"/>
    <n v="949024"/>
    <n v="683099.99999999988"/>
    <x v="0"/>
    <n v="0"/>
    <n v="4"/>
    <n v="949024"/>
    <n v="1386529.411764706"/>
    <n v="3"/>
    <n v="4"/>
    <n v="0"/>
    <m/>
    <n v="0"/>
    <n v="0"/>
    <n v="949024"/>
    <n v="0"/>
    <n v="0"/>
    <n v="0"/>
    <n v="4"/>
    <n v="949024"/>
    <n v="0"/>
    <n v="0"/>
    <n v="4"/>
    <n v="0"/>
    <n v="0"/>
    <n v="0"/>
    <n v="0"/>
    <n v="949024"/>
    <n v="0"/>
    <n v="0"/>
    <n v="0"/>
    <n v="4"/>
    <n v="949024"/>
    <n v="0"/>
    <n v="0"/>
    <n v="4"/>
    <n v="0"/>
    <n v="0"/>
    <n v="0"/>
    <n v="0"/>
    <n v="949024"/>
    <n v="0"/>
    <n v="0"/>
    <n v="0"/>
    <n v="4"/>
    <n v="949024"/>
    <n v="0"/>
    <n v="0"/>
    <n v="4"/>
    <n v="0"/>
    <n v="0"/>
    <n v="0"/>
    <m/>
    <n v="910799.99999999988"/>
    <n v="0"/>
    <n v="0"/>
    <n v="0"/>
    <n v="4"/>
    <n v="910799.99999999988"/>
    <n v="0"/>
    <n v="3"/>
    <n v="4"/>
    <n v="3"/>
    <n v="0"/>
    <n v="0"/>
    <n v="0"/>
    <m/>
    <n v="910799.99999999988"/>
    <n v="683099.99999999988"/>
    <n v="0"/>
    <n v="0"/>
    <n v="4"/>
    <n v="910799.99999999988"/>
    <n v="1386529.411764706"/>
    <n v="3"/>
    <n v="1"/>
    <n v="3"/>
    <m/>
    <n v="0"/>
    <n v="227699.99999999997"/>
    <n v="683099.99999999988"/>
    <n v="0"/>
    <n v="0"/>
    <n v="1"/>
    <n v="227699.99999999997"/>
    <n v="1455855.8823529414"/>
    <n v="3"/>
    <n v="0"/>
    <n v="3"/>
    <n v="0"/>
    <n v="0"/>
    <n v="0"/>
    <n v="683099.99999999988"/>
    <n v="0"/>
    <n v="0"/>
    <n v="0"/>
    <n v="1386529.411764706"/>
    <n v="1.7999999999999998"/>
    <n v="0"/>
    <n v="1.7999999999999998"/>
    <n v="0"/>
    <m/>
    <n v="0"/>
    <n v="427060.79999999993"/>
    <n v="0"/>
    <n v="0"/>
    <n v="0"/>
    <n v="831917.6470588235"/>
  </r>
  <r>
    <m/>
    <x v="7"/>
    <x v="34"/>
    <x v="86"/>
    <s v="INNCAMINS-96"/>
    <x v="664"/>
    <x v="501"/>
    <x v="0"/>
    <x v="5"/>
    <n v="1"/>
    <x v="12"/>
    <n v="0"/>
    <m/>
    <n v="0"/>
    <n v="432031"/>
    <n v="0"/>
    <n v="395.45171624713964"/>
    <n v="443301.37391304353"/>
    <n v="1117566.4888564122"/>
    <n v="949931.51552795037"/>
    <s v="Shenzhen"/>
    <x v="0"/>
    <n v="30"/>
    <n v="1"/>
    <n v="0"/>
    <s v=""/>
    <n v="1"/>
    <n v="0.60452258224561961"/>
    <n v="0"/>
    <s v=""/>
    <n v="0"/>
    <s v=""/>
    <n v="0"/>
    <s v=""/>
    <n v="0"/>
    <s v=""/>
    <n v="1"/>
    <n v="0.57156528103102555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1"/>
    <n v="0"/>
    <n v="0"/>
    <n v="1.0489083596667625"/>
    <n v="1.0489083596667625"/>
    <n v="0"/>
    <n v="0"/>
    <n v="0"/>
    <n v="0"/>
    <n v="0"/>
    <n v="0"/>
    <n v="0"/>
    <n v="0"/>
    <n v="1"/>
    <n v="0"/>
    <n v="0"/>
    <n v="0"/>
    <n v="0"/>
    <n v="409292.5263157895"/>
    <n v="0"/>
    <n v="0"/>
    <n v="0"/>
    <n v="0"/>
    <n v="0"/>
    <n v="0"/>
    <n v="1"/>
    <n v="0"/>
    <n v="0"/>
    <n v="0"/>
    <n v="0"/>
    <n v="0"/>
    <n v="0"/>
    <x v="0"/>
    <x v="0"/>
    <n v="0"/>
    <n v="0"/>
    <n v="0"/>
    <n v="1"/>
    <n v="0"/>
    <n v="1"/>
    <m/>
    <n v="0"/>
    <n v="0"/>
    <n v="0"/>
    <n v="409292.5263157895"/>
    <x v="0"/>
    <n v="0"/>
    <n v="0"/>
    <n v="0"/>
    <n v="1117566.4888564122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409292.5263157895"/>
    <n v="0"/>
    <n v="0"/>
    <n v="0"/>
    <n v="0"/>
    <n v="997428.09130434797"/>
    <n v="1"/>
    <n v="0"/>
    <n v="1"/>
    <n v="0"/>
    <n v="0"/>
    <n v="0"/>
    <n v="409292.5263157895"/>
    <n v="0"/>
    <n v="0"/>
    <n v="0"/>
    <n v="1117566.4888564122"/>
    <n v="0.6"/>
    <n v="0"/>
    <n v="0.6"/>
    <n v="0"/>
    <m/>
    <n v="0"/>
    <n v="259218.59999999998"/>
    <n v="0"/>
    <n v="0"/>
    <n v="0"/>
    <n v="670539.89331384737"/>
  </r>
  <r>
    <m/>
    <x v="7"/>
    <x v="34"/>
    <x v="86"/>
    <s v="INNCAMINS-7F"/>
    <x v="665"/>
    <x v="502"/>
    <x v="0"/>
    <x v="5"/>
    <n v="1"/>
    <x v="12"/>
    <n v="0"/>
    <m/>
    <n v="0"/>
    <n v="553437"/>
    <n v="0"/>
    <n v="506.57848970251717"/>
    <n v="567874.48695652175"/>
    <n v="1344529.411764706"/>
    <n v="1344529.411764706"/>
    <s v="Shenzhen"/>
    <x v="0"/>
    <n v="30"/>
    <n v="1"/>
    <n v="0"/>
    <s v=""/>
    <n v="0"/>
    <s v=""/>
    <n v="0"/>
    <s v=""/>
    <n v="1"/>
    <n v="0.5883785325567541"/>
    <n v="0"/>
    <s v=""/>
    <n v="0"/>
    <s v=""/>
    <n v="0"/>
    <s v=""/>
    <n v="0"/>
    <s v=""/>
    <n v="1"/>
    <n v="0.5883785325567541"/>
    <n v="1"/>
    <n v="0.57372540169497144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1"/>
    <n v="0"/>
    <n v="0"/>
    <n v="1.0489083596667625"/>
    <n v="1.0489083596667625"/>
    <n v="0"/>
    <n v="0"/>
    <n v="0"/>
    <n v="0"/>
    <n v="0"/>
    <n v="0"/>
    <n v="0"/>
    <n v="0"/>
    <n v="1"/>
    <n v="0"/>
    <n v="0"/>
    <n v="0"/>
    <n v="0"/>
    <n v="524308.73684210528"/>
    <n v="0"/>
    <n v="0"/>
    <n v="0"/>
    <n v="0"/>
    <n v="0"/>
    <n v="0"/>
    <n v="1"/>
    <n v="0"/>
    <n v="0"/>
    <n v="0"/>
    <n v="0"/>
    <n v="0"/>
    <n v="0"/>
    <x v="0"/>
    <x v="0"/>
    <n v="0"/>
    <n v="0"/>
    <n v="0"/>
    <n v="1"/>
    <n v="0"/>
    <n v="1"/>
    <m/>
    <n v="0"/>
    <n v="0"/>
    <n v="0"/>
    <n v="524308.73684210528"/>
    <x v="0"/>
    <n v="0"/>
    <n v="0"/>
    <n v="0"/>
    <n v="1344529.411764706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524308.73684210528"/>
    <n v="0"/>
    <n v="0"/>
    <n v="0"/>
    <n v="0"/>
    <n v="1411755.8823529414"/>
    <n v="1"/>
    <n v="0"/>
    <n v="1"/>
    <n v="0"/>
    <n v="0"/>
    <n v="0"/>
    <n v="524308.73684210528"/>
    <n v="0"/>
    <n v="0"/>
    <n v="0"/>
    <n v="1344529.411764706"/>
    <n v="0.6"/>
    <n v="0"/>
    <n v="0.6"/>
    <n v="0"/>
    <m/>
    <n v="0"/>
    <n v="332062.2"/>
    <n v="0"/>
    <n v="0"/>
    <n v="0"/>
    <n v="806717.64705882361"/>
  </r>
  <r>
    <m/>
    <x v="7"/>
    <x v="34"/>
    <x v="86"/>
    <s v="INNCAMINS-U9"/>
    <x v="666"/>
    <x v="503"/>
    <x v="0"/>
    <x v="5"/>
    <n v="1"/>
    <x v="12"/>
    <n v="2"/>
    <m/>
    <n v="0"/>
    <n v="50149"/>
    <n v="100298"/>
    <n v="46.5"/>
    <n v="52126.5"/>
    <n v="126042.01680672269"/>
    <n v="126042.01680672269"/>
    <s v="Shenzhen"/>
    <x v="0"/>
    <n v="30"/>
    <n v="1"/>
    <n v="1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.33333333333333331"/>
    <n v="2"/>
    <n v="0.33333333333333331"/>
    <n v="0"/>
    <n v="0"/>
    <n v="0"/>
    <n v="16716.333333333332"/>
    <n v="96254.999999999985"/>
    <n v="16716.333333333332"/>
    <n v="0"/>
    <n v="2"/>
    <n v="100298"/>
    <n v="35305.887060706635"/>
    <n v="1"/>
    <n v="2"/>
    <n v="0"/>
    <n v="3.2704745154673386E-2"/>
    <m/>
    <n v="0"/>
    <n v="0"/>
    <n v="96254.999999999985"/>
    <n v="0"/>
    <n v="0"/>
    <n v="2"/>
    <n v="100298"/>
    <n v="0"/>
    <n v="0"/>
    <n v="2"/>
    <n v="0"/>
    <n v="0"/>
    <n v="0"/>
    <n v="0"/>
    <n v="100298"/>
    <n v="0"/>
    <n v="0"/>
    <n v="2"/>
    <n v="100298"/>
    <n v="0"/>
    <n v="0"/>
    <n v="2"/>
    <n v="0"/>
    <n v="0"/>
    <n v="0"/>
    <n v="96254.999999999985"/>
    <n v="0"/>
    <x v="0"/>
    <x v="0"/>
    <n v="2"/>
    <n v="100298"/>
    <n v="0"/>
    <n v="0"/>
    <n v="2"/>
    <n v="0"/>
    <m/>
    <n v="0"/>
    <n v="0"/>
    <n v="100298"/>
    <n v="0"/>
    <x v="0"/>
    <n v="0"/>
    <n v="2"/>
    <n v="100298"/>
    <n v="0"/>
    <n v="0"/>
    <n v="2"/>
    <n v="0"/>
    <m/>
    <n v="0"/>
    <n v="0"/>
    <n v="100298"/>
    <n v="0"/>
    <n v="0"/>
    <n v="0"/>
    <n v="2"/>
    <n v="100298"/>
    <n v="0"/>
    <n v="0"/>
    <n v="2"/>
    <n v="0"/>
    <n v="0"/>
    <n v="0"/>
    <n v="0"/>
    <n v="100298"/>
    <n v="0"/>
    <n v="0"/>
    <n v="0"/>
    <n v="2"/>
    <n v="100298"/>
    <n v="0"/>
    <n v="0"/>
    <n v="2"/>
    <n v="0"/>
    <n v="0"/>
    <n v="0"/>
    <n v="0"/>
    <n v="100298"/>
    <n v="0"/>
    <n v="0"/>
    <n v="0"/>
    <n v="2"/>
    <n v="100298"/>
    <n v="0"/>
    <n v="0"/>
    <n v="2"/>
    <n v="0"/>
    <n v="0"/>
    <n v="0"/>
    <m/>
    <n v="96254.999999999985"/>
    <n v="0"/>
    <n v="0"/>
    <n v="0"/>
    <n v="2"/>
    <n v="96254.999999999985"/>
    <n v="0"/>
    <n v="0"/>
    <n v="2"/>
    <n v="0"/>
    <n v="0"/>
    <n v="0"/>
    <n v="0"/>
    <m/>
    <n v="96254.999999999985"/>
    <n v="0"/>
    <n v="0"/>
    <n v="0"/>
    <n v="2"/>
    <n v="96254.999999999985"/>
    <n v="0"/>
    <n v="0"/>
    <n v="2"/>
    <n v="0"/>
    <n v="0"/>
    <n v="0"/>
    <n v="96254.999999999985"/>
    <n v="0"/>
    <n v="0"/>
    <n v="0"/>
    <n v="2"/>
    <n v="96254.999999999985"/>
    <n v="0"/>
    <n v="0"/>
    <n v="2"/>
    <n v="0"/>
    <n v="0"/>
    <n v="0"/>
    <n v="96254.999999999985"/>
    <n v="0"/>
    <n v="0"/>
    <n v="2"/>
    <n v="96254.999999999985"/>
    <n v="0"/>
    <n v="0"/>
    <n v="2"/>
    <n v="0"/>
    <n v="0"/>
    <m/>
    <n v="96254.999999999985"/>
    <n v="0"/>
    <n v="0"/>
    <n v="2"/>
    <n v="96254.999999999985"/>
    <n v="0"/>
  </r>
  <r>
    <s v="Innovate-K-Hogar"/>
    <x v="7"/>
    <x v="35"/>
    <x v="87"/>
    <n v="1571055493973"/>
    <x v="667"/>
    <x v="504"/>
    <x v="0"/>
    <x v="8"/>
    <n v="1"/>
    <x v="12"/>
    <n v="3"/>
    <m/>
    <n v="0"/>
    <n v="19691"/>
    <n v="59073"/>
    <n v="21"/>
    <n v="22942.5"/>
    <n v="42008.403361344543"/>
    <n v="42008.403361344543"/>
    <s v="Shenzhen"/>
    <x v="0"/>
    <n v="30"/>
    <n v="100"/>
    <n v="3"/>
    <n v="0.62030262334296238"/>
    <n v="9"/>
    <n v="0.52972802990928503"/>
    <n v="8"/>
    <n v="0.5737185355012252"/>
    <n v="2"/>
    <n v="0.53398483360611027"/>
    <n v="2"/>
    <n v="0.53398483360611027"/>
    <n v="41"/>
    <n v="0.60988855100301242"/>
    <n v="17"/>
    <n v="0.61156577810938717"/>
    <n v="21"/>
    <n v="0.51614952634757605"/>
    <n v="15"/>
    <n v="0.46855558965363664"/>
    <n v="18"/>
    <n v="0.38154549897927953"/>
    <n v="17"/>
    <n v="0.34561993069913316"/>
    <n v="10"/>
    <n v="0.45305278548442929"/>
    <n v="6"/>
    <n v="0.51943854056751604"/>
    <n v="13"/>
    <n v="0.59708748951197599"/>
    <n v="19"/>
    <n v="0.57371854824669111"/>
    <n v="12"/>
    <n v="0.53398484099381704"/>
    <n v="1.7142857142857142"/>
    <n v="2"/>
    <n v="0.53398484099381704"/>
    <n v="0.2857142857142857"/>
    <n v="1"/>
    <n v="0.61272677154971078"/>
    <n v="0.14285714285714285"/>
    <n v="0"/>
    <n v="0.60602803889803514"/>
    <n v="0"/>
    <n v="6.666666666666667"/>
    <n v="54"/>
    <n v="6.666666666666667"/>
    <n v="0"/>
    <m/>
    <n v="0"/>
    <n v="889376.83333333337"/>
    <n v="1173690"/>
    <n v="131273.33333333334"/>
    <n v="0"/>
    <n v="3"/>
    <n v="59073"/>
    <n v="235341.19530165012"/>
    <n v="7"/>
    <n v="48"/>
    <n v="19.5"/>
    <n v="0"/>
    <m/>
    <n v="0"/>
    <n v="994395.5"/>
    <n v="1043280"/>
    <n v="383974.5"/>
    <n v="0"/>
    <n v="3"/>
    <n v="59073"/>
    <n v="688372.99625732657"/>
    <n v="7"/>
    <n v="31"/>
    <n v="19"/>
    <n v="0"/>
    <n v="0"/>
    <n v="762566"/>
    <n v="610421"/>
    <n v="374129"/>
    <n v="0"/>
    <n v="3"/>
    <n v="59073"/>
    <n v="798159.66386554635"/>
    <n v="7"/>
    <n v="12"/>
    <n v="12"/>
    <n v="0"/>
    <n v="0"/>
    <n v="260820"/>
    <n v="236292"/>
    <x v="0"/>
    <x v="0"/>
    <n v="3"/>
    <n v="59073"/>
    <n v="504100.84033613454"/>
    <n v="7"/>
    <n v="5"/>
    <n v="7"/>
    <m/>
    <n v="0"/>
    <n v="0"/>
    <n v="98455"/>
    <n v="152145"/>
    <x v="0"/>
    <n v="0"/>
    <n v="3"/>
    <n v="59073"/>
    <n v="294058.82352941181"/>
    <n v="7"/>
    <n v="4"/>
    <n v="1"/>
    <m/>
    <n v="0"/>
    <n v="0"/>
    <n v="78764"/>
    <n v="21735"/>
    <n v="0"/>
    <n v="0"/>
    <n v="4"/>
    <n v="59073"/>
    <n v="42008.403361344543"/>
    <n v="0"/>
    <n v="3"/>
    <n v="0"/>
    <n v="0"/>
    <n v="0"/>
    <n v="0"/>
    <n v="59073"/>
    <n v="0"/>
    <n v="0"/>
    <n v="0"/>
    <n v="3"/>
    <n v="59073"/>
    <n v="0"/>
    <n v="0"/>
    <n v="3"/>
    <n v="0"/>
    <n v="0"/>
    <n v="0"/>
    <n v="0"/>
    <n v="59073"/>
    <n v="0"/>
    <n v="0"/>
    <n v="0"/>
    <n v="3"/>
    <n v="59073"/>
    <n v="0"/>
    <n v="0"/>
    <n v="3"/>
    <n v="0"/>
    <n v="0"/>
    <n v="0"/>
    <m/>
    <n v="65205"/>
    <n v="0"/>
    <n v="0"/>
    <n v="0"/>
    <n v="3"/>
    <n v="65205"/>
    <n v="0"/>
    <n v="7"/>
    <n v="3"/>
    <n v="3"/>
    <n v="0"/>
    <n v="0"/>
    <n v="0"/>
    <m/>
    <n v="65205"/>
    <n v="65205"/>
    <n v="0"/>
    <n v="0"/>
    <n v="3"/>
    <n v="65205"/>
    <n v="126025.21008403364"/>
    <n v="7"/>
    <n v="0"/>
    <n v="7"/>
    <m/>
    <n v="0"/>
    <n v="0"/>
    <n v="152145"/>
    <n v="0"/>
    <n v="0"/>
    <n v="0"/>
    <n v="0"/>
    <n v="308761.76470588241"/>
    <n v="7"/>
    <n v="0"/>
    <n v="7"/>
    <n v="0"/>
    <n v="0"/>
    <n v="0"/>
    <n v="152145"/>
    <n v="0"/>
    <n v="0"/>
    <n v="0"/>
    <n v="294058.82352941181"/>
    <n v="4.2"/>
    <n v="0"/>
    <n v="4.2"/>
    <n v="0"/>
    <m/>
    <n v="0"/>
    <n v="82702.2"/>
    <n v="0"/>
    <n v="0"/>
    <n v="0"/>
    <n v="176435.29411764708"/>
  </r>
  <r>
    <m/>
    <x v="8"/>
    <x v="12"/>
    <x v="28"/>
    <s v="MTBOBIC450"/>
    <x v="668"/>
    <x v="505"/>
    <x v="0"/>
    <x v="2"/>
    <n v="0.6"/>
    <x v="401"/>
    <n v="831"/>
    <m/>
    <n v="0"/>
    <n v="3856.5249999999996"/>
    <n v="3204772.2749999999"/>
    <n v="3.53"/>
    <n v="3856.5249999999996"/>
    <n v="14277.310924369749"/>
    <n v="10075.63025210084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71"/>
    <s v=""/>
    <n v="6"/>
    <s v=""/>
    <n v="5.7142857142857141E-2"/>
    <n v="5"/>
    <s v=""/>
    <n v="0.33333333333333331"/>
    <n v="12"/>
    <s v=""/>
    <n v="0.48"/>
    <n v="1"/>
    <s v=""/>
    <n v="0.05"/>
    <n v="0"/>
    <n v="0"/>
    <n v="0"/>
    <n v="0"/>
    <n v="0"/>
    <n v="0"/>
    <n v="4130338.2749999994"/>
    <n v="0"/>
    <n v="0"/>
    <n v="0"/>
    <n v="831"/>
    <n v="3204772.2749999999"/>
    <n v="0"/>
    <n v="0"/>
    <n v="0"/>
    <n v="0"/>
    <n v="1880"/>
    <n v="1880"/>
    <n v="0"/>
    <n v="4153477.4249999993"/>
    <n v="0"/>
    <n v="0"/>
    <n v="0"/>
    <n v="831"/>
    <n v="3204772.2749999999"/>
    <n v="0"/>
    <n v="1481"/>
    <n v="1902"/>
    <n v="1071"/>
    <n v="0"/>
    <n v="0"/>
    <n v="4186359.3749999995"/>
    <n v="7335110.5499999989"/>
    <n v="4130338.2749999994"/>
    <n v="0"/>
    <n v="831"/>
    <n v="3204772.2749999999"/>
    <n v="15291000.000000002"/>
    <n v="105"/>
    <n v="809"/>
    <n v="6"/>
    <n v="0"/>
    <n v="0"/>
    <n v="2955721.9499999997"/>
    <n v="23139.149999999998"/>
    <x v="0"/>
    <x v="0"/>
    <n v="831"/>
    <n v="3204772.2749999999"/>
    <n v="85663.865546218498"/>
    <n v="15"/>
    <n v="836"/>
    <n v="9"/>
    <m/>
    <n v="0"/>
    <n v="0"/>
    <n v="3224054.9"/>
    <n v="32881.949999999997"/>
    <x v="0"/>
    <n v="0"/>
    <n v="831"/>
    <n v="3204772.2749999999"/>
    <n v="128495.79831932775"/>
    <n v="25"/>
    <n v="843"/>
    <n v="12"/>
    <m/>
    <n v="0"/>
    <n v="0"/>
    <n v="3251050.5749999997"/>
    <n v="43842.6"/>
    <n v="0"/>
    <n v="0"/>
    <n v="843"/>
    <n v="3204772.2749999999"/>
    <n v="171327.731092437"/>
    <n v="20"/>
    <n v="832"/>
    <n v="12"/>
    <n v="0"/>
    <n v="0"/>
    <n v="0"/>
    <n v="3208628.8"/>
    <n v="43842.6"/>
    <n v="0"/>
    <n v="0"/>
    <n v="832"/>
    <n v="3204772.2749999999"/>
    <n v="171327.731092437"/>
    <n v="20"/>
    <n v="820"/>
    <n v="12"/>
    <n v="0"/>
    <n v="0"/>
    <n v="0"/>
    <n v="3162350.4999999995"/>
    <n v="43842.6"/>
    <n v="0"/>
    <n v="0"/>
    <n v="820"/>
    <n v="3162350.4999999995"/>
    <n v="171327.731092437"/>
    <n v="28"/>
    <n v="808"/>
    <n v="16.8"/>
    <n v="0"/>
    <n v="0"/>
    <m/>
    <n v="2952068.4"/>
    <n v="61379.64"/>
    <n v="0"/>
    <n v="0"/>
    <n v="808"/>
    <n v="2952068.4"/>
    <n v="239858.82352941181"/>
    <n v="50"/>
    <n v="791.2"/>
    <n v="30"/>
    <n v="0"/>
    <n v="0"/>
    <n v="0"/>
    <m/>
    <n v="2890688.76"/>
    <n v="109606.49999999999"/>
    <n v="0"/>
    <n v="0"/>
    <n v="791.2"/>
    <n v="2890688.76"/>
    <n v="302268.90756302519"/>
    <n v="40"/>
    <n v="761.2"/>
    <n v="24"/>
    <n v="0"/>
    <n v="0"/>
    <n v="2781082.26"/>
    <n v="87685.2"/>
    <n v="0"/>
    <n v="0"/>
    <n v="761.2"/>
    <n v="2781082.26"/>
    <n v="253905.88235294117"/>
    <n v="84"/>
    <n v="737.2"/>
    <n v="50.4"/>
    <n v="0"/>
    <n v="0"/>
    <n v="2693397.06"/>
    <n v="184138.91999999998"/>
    <n v="0"/>
    <n v="737.2"/>
    <n v="2693397.06"/>
    <n v="719576.4705882353"/>
    <n v="24"/>
    <n v="686.80000000000007"/>
    <n v="14.399999999999999"/>
    <n v="0"/>
    <m/>
    <n v="2509258.14"/>
    <n v="55533.959999999992"/>
    <n v="0"/>
    <n v="686.80000000000007"/>
    <n v="2509258.14"/>
    <n v="205593.27731092437"/>
  </r>
  <r>
    <m/>
    <x v="8"/>
    <x v="12"/>
    <x v="28"/>
    <s v="MTBOBMA450"/>
    <x v="669"/>
    <x v="506"/>
    <x v="0"/>
    <x v="2"/>
    <n v="0.6"/>
    <x v="402"/>
    <n v="846"/>
    <m/>
    <n v="0"/>
    <n v="3856.5249999999996"/>
    <n v="3262620.15"/>
    <n v="3.53"/>
    <n v="3856.5249999999996"/>
    <n v="14277.310924369749"/>
    <n v="10075.63025210084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58"/>
    <s v=""/>
    <n v="4"/>
    <s v=""/>
    <n v="3.8095238095238099E-2"/>
    <n v="5"/>
    <s v=""/>
    <n v="0.33333333333333331"/>
    <n v="6"/>
    <s v=""/>
    <n v="0.24"/>
    <n v="3"/>
    <s v=""/>
    <n v="0.15"/>
    <n v="0"/>
    <n v="0"/>
    <n v="0"/>
    <n v="0"/>
    <n v="0"/>
    <n v="0"/>
    <n v="4080203.4499999997"/>
    <n v="0"/>
    <n v="0"/>
    <n v="0"/>
    <n v="846"/>
    <n v="3262620.15"/>
    <n v="0"/>
    <n v="0"/>
    <n v="0"/>
    <n v="0"/>
    <n v="1880"/>
    <n v="1880"/>
    <n v="0"/>
    <n v="4095629.55"/>
    <n v="0"/>
    <n v="0"/>
    <n v="0"/>
    <n v="846"/>
    <n v="3262620.15"/>
    <n v="0"/>
    <n v="1481"/>
    <n v="1904"/>
    <n v="1058"/>
    <n v="0"/>
    <n v="0"/>
    <n v="4128511.5"/>
    <n v="7342823.5999999996"/>
    <n v="4080203.4499999997"/>
    <n v="0"/>
    <n v="846"/>
    <n v="3262620.15"/>
    <n v="15105394.957983194"/>
    <n v="105"/>
    <n v="822"/>
    <n v="4"/>
    <n v="0"/>
    <n v="0"/>
    <n v="3003218.0999999996"/>
    <n v="15426.099999999999"/>
    <x v="0"/>
    <x v="0"/>
    <n v="846"/>
    <n v="3262620.15"/>
    <n v="57109.243697478996"/>
    <n v="15"/>
    <n v="851"/>
    <n v="9"/>
    <m/>
    <n v="0"/>
    <n v="0"/>
    <n v="3281902.7749999999"/>
    <n v="32881.949999999997"/>
    <x v="0"/>
    <n v="0"/>
    <n v="846"/>
    <n v="3262620.15"/>
    <n v="128495.79831932775"/>
    <n v="25"/>
    <n v="852"/>
    <n v="6"/>
    <m/>
    <n v="0"/>
    <n v="0"/>
    <n v="3285759.3"/>
    <n v="21921.3"/>
    <n v="0"/>
    <n v="0"/>
    <n v="852"/>
    <n v="3262620.15"/>
    <n v="85663.865546218498"/>
    <n v="20"/>
    <n v="849"/>
    <n v="12"/>
    <n v="0"/>
    <n v="0"/>
    <n v="0"/>
    <n v="3274189.7249999996"/>
    <n v="43842.6"/>
    <n v="0"/>
    <n v="0"/>
    <n v="849"/>
    <n v="3262620.15"/>
    <n v="171327.731092437"/>
    <n v="20"/>
    <n v="837"/>
    <n v="12"/>
    <n v="0"/>
    <n v="0"/>
    <n v="0"/>
    <n v="3227911.4249999998"/>
    <n v="43842.6"/>
    <n v="0"/>
    <n v="0"/>
    <n v="837"/>
    <n v="3227911.4249999998"/>
    <n v="171327.731092437"/>
    <n v="28"/>
    <n v="825"/>
    <n v="16.8"/>
    <n v="0"/>
    <n v="0"/>
    <m/>
    <n v="3014178.75"/>
    <n v="61379.64"/>
    <n v="0"/>
    <n v="0"/>
    <n v="825"/>
    <n v="3014178.75"/>
    <n v="239858.82352941181"/>
    <n v="50"/>
    <n v="808.2"/>
    <n v="30"/>
    <n v="0"/>
    <n v="0"/>
    <n v="0"/>
    <m/>
    <n v="2952799.11"/>
    <n v="109606.49999999999"/>
    <n v="0"/>
    <n v="0"/>
    <n v="808.2"/>
    <n v="2952799.11"/>
    <n v="302268.90756302519"/>
    <n v="40"/>
    <n v="778.2"/>
    <n v="24"/>
    <n v="0"/>
    <n v="0"/>
    <n v="2843192.61"/>
    <n v="87685.2"/>
    <n v="0"/>
    <n v="0"/>
    <n v="778.2"/>
    <n v="2843192.61"/>
    <n v="253905.88235294117"/>
    <n v="84"/>
    <n v="754.2"/>
    <n v="50.4"/>
    <n v="0"/>
    <n v="0"/>
    <n v="2755507.41"/>
    <n v="184138.91999999998"/>
    <n v="0"/>
    <n v="754.2"/>
    <n v="2755507.41"/>
    <n v="719576.4705882353"/>
    <n v="24"/>
    <n v="703.80000000000007"/>
    <n v="14.399999999999999"/>
    <n v="0"/>
    <m/>
    <n v="2571368.4900000002"/>
    <n v="55533.959999999992"/>
    <n v="0"/>
    <n v="703.80000000000007"/>
    <n v="2571368.4900000002"/>
    <n v="205593.27731092437"/>
  </r>
  <r>
    <m/>
    <x v="8"/>
    <x v="12"/>
    <x v="28"/>
    <s v="MTBOBBA450"/>
    <x v="670"/>
    <x v="507"/>
    <x v="0"/>
    <x v="2"/>
    <n v="0.7"/>
    <x v="403"/>
    <n v="810"/>
    <m/>
    <n v="0"/>
    <n v="3856.5249999999996"/>
    <n v="3123785.2499999995"/>
    <n v="3.53"/>
    <n v="3856.5249999999996"/>
    <n v="14277.310924369749"/>
    <n v="10075.63025210084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65"/>
    <s v=""/>
    <n v="11"/>
    <s v=""/>
    <n v="0.10476190476190476"/>
    <n v="13"/>
    <s v=""/>
    <n v="0.8666666666666667"/>
    <n v="19"/>
    <s v=""/>
    <n v="0.76"/>
    <n v="9"/>
    <s v=""/>
    <n v="0.45"/>
    <n v="0"/>
    <n v="0"/>
    <n v="0"/>
    <n v="0"/>
    <n v="0"/>
    <n v="0"/>
    <n v="4107199.1249999995"/>
    <n v="0"/>
    <n v="0"/>
    <n v="0"/>
    <n v="810"/>
    <n v="3123785.2499999995"/>
    <n v="0"/>
    <n v="0"/>
    <n v="0"/>
    <n v="0"/>
    <n v="1880"/>
    <n v="1880"/>
    <n v="0"/>
    <n v="4149620.8999999994"/>
    <n v="0"/>
    <n v="0"/>
    <n v="0"/>
    <n v="810"/>
    <n v="3123785.2499999995"/>
    <n v="0"/>
    <n v="1481"/>
    <n v="1875"/>
    <n v="1065"/>
    <n v="0"/>
    <n v="0"/>
    <n v="4187983.1749999993"/>
    <n v="7230984.3749999991"/>
    <n v="4107199.1249999995"/>
    <n v="0"/>
    <n v="810"/>
    <n v="3123785.2499999995"/>
    <n v="15205336.134453783"/>
    <n v="105"/>
    <n v="816"/>
    <n v="11"/>
    <n v="0"/>
    <n v="0"/>
    <n v="2981296.8"/>
    <n v="42421.774999999994"/>
    <x v="0"/>
    <x v="0"/>
    <n v="810"/>
    <n v="3123785.2499999995"/>
    <n v="157050.42016806724"/>
    <n v="15"/>
    <n v="823"/>
    <n v="10.5"/>
    <m/>
    <n v="0"/>
    <n v="0"/>
    <n v="3173920.0749999997"/>
    <n v="38362.274999999994"/>
    <x v="0"/>
    <n v="0"/>
    <n v="810"/>
    <n v="3123785.2499999995"/>
    <n v="149911.76470588238"/>
    <n v="25"/>
    <n v="829"/>
    <n v="19"/>
    <m/>
    <n v="0"/>
    <n v="0"/>
    <n v="3197059.2249999996"/>
    <n v="69417.45"/>
    <n v="0"/>
    <n v="0"/>
    <n v="829"/>
    <n v="3123785.2499999995"/>
    <n v="271268.90756302525"/>
    <n v="20"/>
    <n v="819"/>
    <n v="14"/>
    <n v="0"/>
    <n v="0"/>
    <n v="0"/>
    <n v="3158493.9749999996"/>
    <n v="51149.7"/>
    <n v="0"/>
    <n v="0"/>
    <n v="819"/>
    <n v="3123785.2499999995"/>
    <n v="199882.35294117648"/>
    <n v="20"/>
    <n v="805"/>
    <n v="14"/>
    <n v="0"/>
    <n v="0"/>
    <n v="0"/>
    <n v="3104502.6249999995"/>
    <n v="51149.7"/>
    <n v="0"/>
    <n v="0"/>
    <n v="805"/>
    <n v="3104502.6249999995"/>
    <n v="199882.35294117648"/>
    <n v="28"/>
    <n v="791"/>
    <n v="19.599999999999998"/>
    <n v="0"/>
    <n v="0"/>
    <m/>
    <n v="2889958.05"/>
    <n v="71609.579999999987"/>
    <n v="0"/>
    <n v="0"/>
    <n v="791"/>
    <n v="2889958.05"/>
    <n v="279835.29411764705"/>
    <n v="50"/>
    <n v="771.4"/>
    <n v="35"/>
    <n v="0"/>
    <n v="0"/>
    <n v="0"/>
    <m/>
    <n v="2818348.4699999997"/>
    <n v="127874.24999999999"/>
    <n v="0"/>
    <n v="0"/>
    <n v="771.4"/>
    <n v="2818348.4699999997"/>
    <n v="352647.0588235294"/>
    <n v="40"/>
    <n v="736.4"/>
    <n v="28"/>
    <n v="0"/>
    <n v="0"/>
    <n v="2690474.2199999997"/>
    <n v="102299.4"/>
    <n v="0"/>
    <n v="0"/>
    <n v="736.4"/>
    <n v="2690474.2199999997"/>
    <n v="296223.5294117647"/>
    <n v="84"/>
    <n v="708.4"/>
    <n v="58.8"/>
    <n v="0"/>
    <n v="0"/>
    <n v="2588174.8199999998"/>
    <n v="214828.73999999996"/>
    <n v="0"/>
    <n v="708.4"/>
    <n v="2588174.8199999998"/>
    <n v="839505.8823529412"/>
    <n v="24"/>
    <n v="649.6"/>
    <n v="16.799999999999997"/>
    <n v="0"/>
    <m/>
    <n v="2373346.08"/>
    <n v="64789.619999999981"/>
    <n v="0"/>
    <n v="649.6"/>
    <n v="2373346.08"/>
    <n v="239858.82352941175"/>
  </r>
  <r>
    <m/>
    <x v="8"/>
    <x v="12"/>
    <x v="28"/>
    <s v="MTBOHWRA450"/>
    <x v="671"/>
    <x v="508"/>
    <x v="0"/>
    <x v="2"/>
    <n v="0.7"/>
    <x v="404"/>
    <n v="356"/>
    <m/>
    <n v="0"/>
    <n v="4009.4749999999999"/>
    <n v="1427373.0999999999"/>
    <n v="3.67"/>
    <n v="4009.4749999999999"/>
    <n v="14277.310924369749"/>
    <n v="10075.63025210084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0"/>
    <s v=""/>
    <n v="9"/>
    <s v=""/>
    <n v="8.5714285714285715E-2"/>
    <n v="6"/>
    <s v=""/>
    <n v="0.5"/>
    <n v="27"/>
    <s v=""/>
    <n v="1.08"/>
    <n v="5"/>
    <s v=""/>
    <n v="0.25"/>
    <n v="0"/>
    <n v="0"/>
    <n v="0"/>
    <n v="0"/>
    <n v="0"/>
    <n v="0"/>
    <n v="400947.5"/>
    <n v="0"/>
    <n v="0"/>
    <n v="0"/>
    <n v="356"/>
    <n v="1427373.0999999999"/>
    <n v="0"/>
    <n v="0"/>
    <n v="0"/>
    <n v="0"/>
    <n v="500"/>
    <n v="500"/>
    <n v="0"/>
    <n v="437032.77500000002"/>
    <n v="0"/>
    <n v="0"/>
    <n v="0"/>
    <n v="356"/>
    <n v="1427373.0999999999"/>
    <n v="0"/>
    <n v="101"/>
    <n v="456"/>
    <n v="100"/>
    <n v="0"/>
    <n v="0"/>
    <n v="468939.755"/>
    <n v="1828320.5999999999"/>
    <n v="400947.5"/>
    <n v="0"/>
    <n v="356"/>
    <n v="1427373.0999999999"/>
    <n v="1427731.0924369749"/>
    <n v="105"/>
    <n v="400"/>
    <n v="9"/>
    <n v="0"/>
    <n v="0"/>
    <n v="1519380"/>
    <n v="36085.275000000001"/>
    <x v="0"/>
    <x v="0"/>
    <n v="356"/>
    <n v="1427373.0999999999"/>
    <n v="128495.79831932775"/>
    <n v="12"/>
    <n v="362"/>
    <n v="8.3999999999999986"/>
    <m/>
    <n v="0"/>
    <n v="0"/>
    <n v="1451429.95"/>
    <n v="31906.979999999992"/>
    <x v="0"/>
    <n v="0"/>
    <n v="356"/>
    <n v="1427373.0999999999"/>
    <n v="119929.41176470587"/>
    <n v="25"/>
    <n v="383"/>
    <n v="27"/>
    <m/>
    <n v="0"/>
    <n v="0"/>
    <n v="1535628.925"/>
    <n v="102558.15"/>
    <n v="0"/>
    <n v="0"/>
    <n v="383"/>
    <n v="1427373.0999999999"/>
    <n v="385487.39495798323"/>
    <n v="20"/>
    <n v="361"/>
    <n v="14"/>
    <n v="0"/>
    <n v="0"/>
    <n v="0"/>
    <n v="1447420.4749999999"/>
    <n v="53178.299999999996"/>
    <n v="0"/>
    <n v="0"/>
    <n v="361"/>
    <n v="1427373.0999999999"/>
    <n v="199882.35294117648"/>
    <n v="20"/>
    <n v="347"/>
    <n v="14"/>
    <n v="0"/>
    <n v="0"/>
    <n v="0"/>
    <n v="1391287.825"/>
    <n v="53178.299999999996"/>
    <n v="0"/>
    <n v="0"/>
    <n v="347"/>
    <n v="1391287.825"/>
    <n v="199882.35294117648"/>
    <n v="28"/>
    <n v="333"/>
    <n v="19.599999999999998"/>
    <n v="0"/>
    <n v="0"/>
    <m/>
    <n v="1264883.8499999999"/>
    <n v="74449.62"/>
    <n v="0"/>
    <n v="0"/>
    <n v="333"/>
    <n v="1264883.8499999999"/>
    <n v="279835.29411764705"/>
    <n v="50"/>
    <n v="313.39999999999998"/>
    <n v="35"/>
    <n v="0"/>
    <n v="0"/>
    <n v="0"/>
    <m/>
    <n v="1190434.2299999997"/>
    <n v="132945.75"/>
    <n v="0"/>
    <n v="0"/>
    <n v="313.39999999999998"/>
    <n v="1190434.2299999997"/>
    <n v="352647.0588235294"/>
    <n v="40"/>
    <n v="278.39999999999998"/>
    <n v="28"/>
    <n v="0"/>
    <n v="0"/>
    <n v="1057488.4799999997"/>
    <n v="106356.59999999999"/>
    <n v="0"/>
    <n v="0"/>
    <n v="278.39999999999998"/>
    <n v="1057488.4799999997"/>
    <n v="296223.5294117647"/>
    <n v="84"/>
    <n v="250.39999999999998"/>
    <n v="58.8"/>
    <n v="0"/>
    <n v="0"/>
    <n v="951131.87999999989"/>
    <n v="223348.86"/>
    <n v="0"/>
    <n v="250.39999999999998"/>
    <n v="951131.87999999989"/>
    <n v="839505.8823529412"/>
    <n v="24"/>
    <n v="191.59999999999997"/>
    <n v="16.799999999999997"/>
    <n v="0"/>
    <m/>
    <n v="727783.01999999979"/>
    <n v="67359.179999999993"/>
    <n v="0"/>
    <n v="191.59999999999997"/>
    <n v="727783.01999999979"/>
    <n v="239858.82352941175"/>
  </r>
  <r>
    <m/>
    <x v="8"/>
    <x v="12"/>
    <x v="28"/>
    <s v="MTBOHWCL450"/>
    <x v="672"/>
    <x v="509"/>
    <x v="0"/>
    <x v="2"/>
    <n v="0.5"/>
    <x v="405"/>
    <n v="390"/>
    <m/>
    <n v="0"/>
    <n v="4009.4749999999999"/>
    <n v="1563695.25"/>
    <n v="3.67"/>
    <n v="4009.4749999999999"/>
    <n v="14277.310924369749"/>
    <n v="10075.63025210084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3"/>
    <s v=""/>
    <n v="5"/>
    <s v=""/>
    <n v="4.7619047619047616E-2"/>
    <n v="1"/>
    <s v=""/>
    <n v="8.3333333333333329E-2"/>
    <n v="9"/>
    <s v=""/>
    <n v="0.36"/>
    <n v="3"/>
    <s v=""/>
    <n v="0.15"/>
    <n v="0"/>
    <n v="0"/>
    <n v="0"/>
    <n v="0"/>
    <n v="0"/>
    <n v="0"/>
    <n v="372881.17499999999"/>
    <n v="0"/>
    <n v="0"/>
    <n v="0"/>
    <n v="390"/>
    <n v="1563695.25"/>
    <n v="0"/>
    <n v="0"/>
    <n v="0"/>
    <n v="0"/>
    <n v="500"/>
    <n v="500"/>
    <n v="0"/>
    <n v="392928.55"/>
    <n v="0"/>
    <n v="0"/>
    <n v="0"/>
    <n v="390"/>
    <n v="1563695.25"/>
    <n v="0"/>
    <n v="101"/>
    <n v="483"/>
    <n v="93"/>
    <n v="0"/>
    <n v="0"/>
    <n v="415719.25"/>
    <n v="1936576.425"/>
    <n v="372881.17499999999"/>
    <n v="0"/>
    <n v="390"/>
    <n v="1563695.25"/>
    <n v="1327789.9159663867"/>
    <n v="105"/>
    <n v="408"/>
    <n v="5"/>
    <n v="0"/>
    <n v="0"/>
    <n v="1549767.5999999999"/>
    <n v="20047.375"/>
    <x v="0"/>
    <x v="0"/>
    <n v="390"/>
    <n v="1563695.25"/>
    <n v="71386.554621848743"/>
    <n v="12"/>
    <n v="391"/>
    <n v="6"/>
    <m/>
    <n v="0"/>
    <n v="0"/>
    <n v="1567704.7249999999"/>
    <n v="22790.699999999997"/>
    <x v="0"/>
    <n v="0"/>
    <n v="390"/>
    <n v="1563695.25"/>
    <n v="85663.865546218498"/>
    <n v="25"/>
    <n v="399"/>
    <n v="9"/>
    <m/>
    <n v="0"/>
    <n v="0"/>
    <n v="1599780.5249999999"/>
    <n v="34186.049999999996"/>
    <n v="0"/>
    <n v="0"/>
    <n v="399"/>
    <n v="1563695.25"/>
    <n v="128495.79831932775"/>
    <n v="20"/>
    <n v="393"/>
    <n v="10"/>
    <n v="0"/>
    <n v="0"/>
    <n v="0"/>
    <n v="1575723.675"/>
    <n v="37984.5"/>
    <n v="0"/>
    <n v="0"/>
    <n v="393"/>
    <n v="1563695.25"/>
    <n v="142773.10924369749"/>
    <n v="20"/>
    <n v="383"/>
    <n v="10"/>
    <n v="0"/>
    <n v="0"/>
    <n v="0"/>
    <n v="1535628.925"/>
    <n v="37984.5"/>
    <n v="0"/>
    <n v="0"/>
    <n v="383"/>
    <n v="1535628.925"/>
    <n v="142773.10924369749"/>
    <n v="28"/>
    <n v="373"/>
    <n v="14"/>
    <n v="0"/>
    <n v="0"/>
    <m/>
    <n v="1416821.8499999999"/>
    <n v="53178.299999999996"/>
    <n v="0"/>
    <n v="0"/>
    <n v="373"/>
    <n v="1416821.8499999999"/>
    <n v="199882.35294117648"/>
    <n v="50"/>
    <n v="359"/>
    <n v="25"/>
    <n v="0"/>
    <n v="0"/>
    <n v="0"/>
    <m/>
    <n v="1363643.55"/>
    <n v="94961.25"/>
    <n v="0"/>
    <n v="0"/>
    <n v="359"/>
    <n v="1363643.55"/>
    <n v="251890.75630252101"/>
    <n v="40"/>
    <n v="334"/>
    <n v="20"/>
    <n v="0"/>
    <n v="0"/>
    <n v="1268682.3"/>
    <n v="75969"/>
    <n v="0"/>
    <n v="0"/>
    <n v="334"/>
    <n v="1268682.3"/>
    <n v="211588.23529411765"/>
    <n v="84"/>
    <n v="314"/>
    <n v="42"/>
    <n v="0"/>
    <n v="0"/>
    <n v="1192713.3"/>
    <n v="159534.9"/>
    <n v="0"/>
    <n v="314"/>
    <n v="1192713.3"/>
    <n v="599647.05882352951"/>
    <n v="24"/>
    <n v="272"/>
    <n v="12"/>
    <n v="0"/>
    <m/>
    <n v="1033178.3999999999"/>
    <n v="48113.7"/>
    <n v="0"/>
    <n v="272"/>
    <n v="1033178.3999999999"/>
    <n v="171327.731092437"/>
  </r>
  <r>
    <m/>
    <x v="8"/>
    <x v="12"/>
    <x v="28"/>
    <s v="MTBOHWTR450"/>
    <x v="673"/>
    <x v="510"/>
    <x v="0"/>
    <x v="2"/>
    <n v="0.6"/>
    <x v="406"/>
    <n v="374"/>
    <m/>
    <n v="0"/>
    <n v="4009.4749999999999"/>
    <n v="1499543.65"/>
    <n v="3.67"/>
    <n v="4009.4749999999999"/>
    <n v="14277.310924369749"/>
    <n v="10075.63025210084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5"/>
    <s v=""/>
    <n v="6"/>
    <s v=""/>
    <n v="5.7142857142857141E-2"/>
    <n v="6"/>
    <s v=""/>
    <n v="0.5"/>
    <n v="18"/>
    <s v=""/>
    <n v="0.72"/>
    <n v="7"/>
    <s v=""/>
    <n v="0.35"/>
    <n v="0"/>
    <n v="0"/>
    <n v="0"/>
    <n v="0"/>
    <n v="0"/>
    <n v="0"/>
    <n v="380900.125"/>
    <n v="0"/>
    <n v="0"/>
    <n v="0"/>
    <n v="374"/>
    <n v="1499543.65"/>
    <n v="0"/>
    <n v="0"/>
    <n v="0"/>
    <n v="0"/>
    <n v="500"/>
    <n v="500"/>
    <n v="0"/>
    <n v="404956.97499999998"/>
    <n v="0"/>
    <n v="0"/>
    <n v="0"/>
    <n v="374"/>
    <n v="1499543.65"/>
    <n v="0"/>
    <n v="101"/>
    <n v="469"/>
    <n v="95"/>
    <n v="0"/>
    <n v="0"/>
    <n v="432305.81499999994"/>
    <n v="1880443.7749999999"/>
    <n v="380900.125"/>
    <n v="0"/>
    <n v="374"/>
    <n v="1499543.65"/>
    <n v="1356344.5378151261"/>
    <n v="105"/>
    <n v="406"/>
    <n v="6"/>
    <n v="0"/>
    <n v="0"/>
    <n v="1542170.7"/>
    <n v="24056.85"/>
    <x v="0"/>
    <x v="0"/>
    <n v="374"/>
    <n v="1499543.65"/>
    <n v="85663.865546218498"/>
    <n v="12"/>
    <n v="380"/>
    <n v="7.1999999999999993"/>
    <m/>
    <n v="0"/>
    <n v="0"/>
    <n v="1523600.5"/>
    <n v="27348.839999999997"/>
    <x v="0"/>
    <n v="0"/>
    <n v="374"/>
    <n v="1499543.65"/>
    <n v="102796.63865546219"/>
    <n v="25"/>
    <n v="392"/>
    <n v="18"/>
    <m/>
    <n v="0"/>
    <n v="0"/>
    <n v="1571714.2"/>
    <n v="68372.099999999991"/>
    <n v="0"/>
    <n v="0"/>
    <n v="392"/>
    <n v="1499543.65"/>
    <n v="256991.59663865549"/>
    <n v="20"/>
    <n v="381"/>
    <n v="12"/>
    <n v="0"/>
    <n v="0"/>
    <n v="0"/>
    <n v="1527609.9749999999"/>
    <n v="45581.399999999994"/>
    <n v="0"/>
    <n v="0"/>
    <n v="381"/>
    <n v="1499543.65"/>
    <n v="171327.731092437"/>
    <n v="20"/>
    <n v="369"/>
    <n v="12"/>
    <n v="0"/>
    <n v="0"/>
    <n v="0"/>
    <n v="1479496.2749999999"/>
    <n v="45581.399999999994"/>
    <n v="0"/>
    <n v="0"/>
    <n v="369"/>
    <n v="1479496.2749999999"/>
    <n v="171327.731092437"/>
    <n v="28"/>
    <n v="357"/>
    <n v="16.8"/>
    <n v="0"/>
    <n v="0"/>
    <m/>
    <n v="1356046.65"/>
    <n v="63813.96"/>
    <n v="0"/>
    <n v="0"/>
    <n v="357"/>
    <n v="1356046.65"/>
    <n v="239858.82352941181"/>
    <n v="50"/>
    <n v="340.2"/>
    <n v="30"/>
    <n v="0"/>
    <n v="0"/>
    <n v="0"/>
    <m/>
    <n v="1292232.69"/>
    <n v="113953.5"/>
    <n v="0"/>
    <n v="0"/>
    <n v="340.2"/>
    <n v="1292232.69"/>
    <n v="302268.90756302519"/>
    <n v="40"/>
    <n v="310.2"/>
    <n v="24"/>
    <n v="0"/>
    <n v="0"/>
    <n v="1178279.19"/>
    <n v="91162.799999999988"/>
    <n v="0"/>
    <n v="0"/>
    <n v="310.2"/>
    <n v="1178279.19"/>
    <n v="253905.88235294117"/>
    <n v="84"/>
    <n v="286.2"/>
    <n v="50.4"/>
    <n v="0"/>
    <n v="0"/>
    <n v="1087116.3899999999"/>
    <n v="191441.87999999998"/>
    <n v="0"/>
    <n v="286.2"/>
    <n v="1087116.3899999999"/>
    <n v="719576.4705882353"/>
    <n v="24"/>
    <n v="235.79999999999998"/>
    <n v="14.399999999999999"/>
    <n v="0"/>
    <m/>
    <n v="895674.50999999989"/>
    <n v="57736.439999999995"/>
    <n v="0"/>
    <n v="235.79999999999998"/>
    <n v="895674.50999999989"/>
    <n v="205593.27731092437"/>
  </r>
  <r>
    <m/>
    <x v="8"/>
    <x v="12"/>
    <x v="28"/>
    <s v="MTVTUMBPR590"/>
    <x v="674"/>
    <x v="511"/>
    <x v="0"/>
    <x v="2"/>
    <n v="1"/>
    <x v="407"/>
    <n v="186"/>
    <m/>
    <n v="0"/>
    <n v="5014.5749999999998"/>
    <n v="932710.95"/>
    <n v="4.59"/>
    <n v="5014.5749999999998"/>
    <n v="18478.991596638658"/>
    <n v="14277.310924369749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530"/>
    <s v=""/>
    <n v="81"/>
    <s v=""/>
    <n v="0.81"/>
    <n v="69"/>
    <s v=""/>
    <n v="0.98571428571428577"/>
    <n v="100"/>
    <s v=""/>
    <n v="1.25"/>
    <n v="36"/>
    <s v=""/>
    <n v="0.3"/>
    <n v="0"/>
    <n v="0"/>
    <n v="0"/>
    <n v="0"/>
    <n v="0"/>
    <n v="0"/>
    <n v="2657724.75"/>
    <n v="0"/>
    <n v="0"/>
    <n v="0"/>
    <n v="186"/>
    <n v="932710.95"/>
    <n v="0"/>
    <n v="0"/>
    <n v="0"/>
    <n v="0"/>
    <n v="1000"/>
    <n v="1000"/>
    <n v="0"/>
    <n v="3063905.3250000002"/>
    <n v="0"/>
    <n v="0"/>
    <n v="0"/>
    <n v="186"/>
    <n v="932710.95"/>
    <n v="0"/>
    <n v="620"/>
    <n v="716"/>
    <n v="530"/>
    <n v="0"/>
    <n v="0"/>
    <n v="3396450.8250000002"/>
    <n v="3590435.6999999997"/>
    <n v="2657724.75"/>
    <n v="0"/>
    <n v="186"/>
    <n v="932710.95"/>
    <n v="9793865.5462184884"/>
    <n v="100"/>
    <n v="453"/>
    <n v="81"/>
    <n v="0"/>
    <n v="0"/>
    <n v="2152044.4499999997"/>
    <n v="406180.57500000001"/>
    <x v="0"/>
    <x v="0"/>
    <n v="186"/>
    <n v="932710.95"/>
    <n v="1496798.3193277314"/>
    <n v="70"/>
    <n v="255"/>
    <n v="70"/>
    <m/>
    <n v="0"/>
    <n v="0"/>
    <n v="1278716.625"/>
    <n v="332545.5"/>
    <x v="0"/>
    <n v="0"/>
    <n v="186"/>
    <n v="932710.95"/>
    <n v="1293529.411764706"/>
    <n v="80"/>
    <n v="286"/>
    <n v="100"/>
    <m/>
    <n v="0"/>
    <n v="0"/>
    <n v="1434168.45"/>
    <n v="475064.99999999994"/>
    <n v="0"/>
    <n v="0"/>
    <n v="286"/>
    <n v="932710.95"/>
    <n v="1847899.1596638658"/>
    <n v="120"/>
    <n v="222"/>
    <n v="120"/>
    <n v="0"/>
    <n v="0"/>
    <n v="0"/>
    <n v="1113235.6499999999"/>
    <n v="570078"/>
    <n v="0"/>
    <n v="0"/>
    <n v="222"/>
    <n v="932710.95"/>
    <n v="2217478.9915966392"/>
    <n v="50"/>
    <n v="102"/>
    <n v="50"/>
    <n v="0"/>
    <n v="0"/>
    <n v="0"/>
    <n v="511486.64999999997"/>
    <n v="237532.49999999997"/>
    <n v="0"/>
    <n v="0"/>
    <n v="102"/>
    <n v="511486.64999999997"/>
    <n v="923949.5798319329"/>
    <n v="60"/>
    <n v="52"/>
    <n v="60"/>
    <n v="0"/>
    <n v="0"/>
    <n v="0"/>
    <n v="247033.8"/>
    <n v="285039"/>
    <n v="0"/>
    <n v="0"/>
    <n v="52"/>
    <n v="247033.8"/>
    <n v="1108739.4957983196"/>
    <n v="150"/>
    <n v="0"/>
    <n v="0"/>
    <n v="0"/>
    <n v="0"/>
    <n v="0"/>
    <m/>
    <n v="0"/>
    <n v="0"/>
    <n v="0"/>
    <n v="0"/>
    <n v="0"/>
    <n v="0"/>
    <n v="0"/>
    <n v="80"/>
    <n v="0"/>
    <n v="80"/>
    <n v="0"/>
    <n v="0"/>
    <n v="0"/>
    <n v="380052"/>
    <n v="0"/>
    <n v="0"/>
    <n v="0"/>
    <n v="0"/>
    <n v="1199294.117647059"/>
    <n v="200"/>
    <n v="0"/>
    <n v="200"/>
    <n v="0"/>
    <n v="0"/>
    <n v="0"/>
    <n v="950129.99999999988"/>
    <n v="0"/>
    <n v="0"/>
    <n v="0"/>
    <n v="3695798.3193277316"/>
    <n v="48"/>
    <n v="0"/>
    <n v="48"/>
    <n v="0"/>
    <m/>
    <n v="0"/>
    <n v="240699.59999999998"/>
    <n v="0"/>
    <n v="0"/>
    <n v="0"/>
    <n v="886991.59663865552"/>
  </r>
  <r>
    <m/>
    <x v="8"/>
    <x v="12"/>
    <x v="28"/>
    <s v="MTVTUMBLO590"/>
    <x v="675"/>
    <x v="512"/>
    <x v="0"/>
    <x v="2"/>
    <n v="0.6"/>
    <x v="408"/>
    <n v="463"/>
    <m/>
    <n v="0"/>
    <n v="5014.5749999999998"/>
    <n v="2321748.2250000001"/>
    <n v="4.59"/>
    <n v="5014.5749999999998"/>
    <n v="18478.991596638658"/>
    <n v="14277.310924369749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71"/>
    <s v=""/>
    <n v="14"/>
    <s v=""/>
    <n v="0.14000000000000001"/>
    <n v="27"/>
    <s v=""/>
    <n v="1.35"/>
    <n v="25"/>
    <s v=""/>
    <n v="0.55555555555555558"/>
    <n v="16"/>
    <s v=""/>
    <n v="0.64"/>
    <n v="0"/>
    <n v="0"/>
    <n v="0"/>
    <n v="0"/>
    <n v="0"/>
    <n v="0"/>
    <n v="2361864.8249999997"/>
    <n v="0"/>
    <n v="0"/>
    <n v="0"/>
    <n v="463"/>
    <n v="2321748.2250000001"/>
    <n v="0"/>
    <n v="0"/>
    <n v="0"/>
    <n v="0"/>
    <n v="1000"/>
    <n v="1000"/>
    <n v="0"/>
    <n v="2432068.8749999995"/>
    <n v="0"/>
    <n v="0"/>
    <n v="0"/>
    <n v="463"/>
    <n v="2321748.2250000001"/>
    <n v="0"/>
    <n v="620"/>
    <n v="934"/>
    <n v="471"/>
    <n v="0"/>
    <n v="0"/>
    <n v="2489076.6749999993"/>
    <n v="4683613.05"/>
    <n v="2361864.8249999997"/>
    <n v="0"/>
    <n v="463"/>
    <n v="2321748.2250000001"/>
    <n v="8703605.0420168079"/>
    <n v="100"/>
    <n v="530"/>
    <n v="14"/>
    <n v="0"/>
    <n v="0"/>
    <n v="2517844.5"/>
    <n v="70204.05"/>
    <x v="0"/>
    <x v="0"/>
    <n v="463"/>
    <n v="2321748.2250000001"/>
    <n v="258705.8823529412"/>
    <n v="20"/>
    <n v="490"/>
    <n v="12"/>
    <m/>
    <n v="0"/>
    <n v="0"/>
    <n v="2457141.75"/>
    <n v="57007.799999999996"/>
    <x v="0"/>
    <n v="0"/>
    <n v="463"/>
    <n v="2321748.2250000001"/>
    <n v="221747.89915966388"/>
    <n v="45"/>
    <n v="488"/>
    <n v="25"/>
    <m/>
    <n v="0"/>
    <n v="0"/>
    <n v="2447112.6"/>
    <n v="118766.24999999999"/>
    <n v="0"/>
    <n v="0"/>
    <n v="488"/>
    <n v="2321748.2250000001"/>
    <n v="461974.78991596645"/>
    <n v="25"/>
    <n v="479"/>
    <n v="15"/>
    <n v="0"/>
    <n v="0"/>
    <n v="0"/>
    <n v="2401981.4249999998"/>
    <n v="71259.75"/>
    <n v="0"/>
    <n v="0"/>
    <n v="479"/>
    <n v="2321748.2250000001"/>
    <n v="277184.87394957989"/>
    <n v="25"/>
    <n v="464"/>
    <n v="15"/>
    <n v="0"/>
    <n v="0"/>
    <n v="0"/>
    <n v="2326762.7999999998"/>
    <n v="71259.75"/>
    <n v="0"/>
    <n v="0"/>
    <n v="464"/>
    <n v="2326762.7999999998"/>
    <n v="277184.87394957989"/>
    <n v="26.6666666666667"/>
    <n v="449"/>
    <n v="16.000000000000018"/>
    <n v="0"/>
    <n v="0"/>
    <m/>
    <n v="2133041.8499999996"/>
    <n v="76010.400000000081"/>
    <n v="0"/>
    <n v="0"/>
    <n v="449"/>
    <n v="2133041.8499999996"/>
    <n v="295663.86554621888"/>
    <n v="50"/>
    <n v="433"/>
    <n v="30"/>
    <n v="0"/>
    <n v="0"/>
    <n v="0"/>
    <m/>
    <n v="2057031.45"/>
    <n v="142519.5"/>
    <n v="0"/>
    <n v="0"/>
    <n v="433"/>
    <n v="2057031.45"/>
    <n v="428319.32773109246"/>
    <n v="60"/>
    <n v="403"/>
    <n v="36"/>
    <n v="0"/>
    <n v="0"/>
    <n v="1914511.95"/>
    <n v="171023.4"/>
    <n v="0"/>
    <n v="0"/>
    <n v="403"/>
    <n v="1914511.95"/>
    <n v="539682.3529411765"/>
    <n v="80"/>
    <n v="367"/>
    <n v="48"/>
    <n v="0"/>
    <n v="0"/>
    <n v="1743488.5499999998"/>
    <n v="228031.19999999998"/>
    <n v="0"/>
    <n v="367"/>
    <n v="1743488.5499999998"/>
    <n v="886991.59663865552"/>
    <n v="36"/>
    <n v="319"/>
    <n v="21.599999999999998"/>
    <n v="0"/>
    <m/>
    <n v="1515457.3499999999"/>
    <n v="108314.81999999999"/>
    <n v="0"/>
    <n v="319"/>
    <n v="1515457.3499999999"/>
    <n v="399146.21848739497"/>
  </r>
  <r>
    <m/>
    <x v="8"/>
    <x v="12"/>
    <x v="28"/>
    <s v="MTVTUMBDR590"/>
    <x v="676"/>
    <x v="513"/>
    <x v="0"/>
    <x v="2"/>
    <n v="0.5"/>
    <x v="409"/>
    <n v="459"/>
    <m/>
    <n v="0"/>
    <n v="5014.5749999999998"/>
    <n v="2301689.9249999998"/>
    <n v="4.59"/>
    <n v="5014.5749999999998"/>
    <n v="18478.991596638658"/>
    <n v="14277.310924369749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84"/>
    <s v=""/>
    <n v="12"/>
    <s v=""/>
    <n v="0.12"/>
    <n v="19"/>
    <s v=""/>
    <n v="0.95"/>
    <n v="21"/>
    <s v=""/>
    <n v="0.42"/>
    <n v="16"/>
    <s v=""/>
    <n v="0.64"/>
    <n v="0"/>
    <n v="0"/>
    <n v="0"/>
    <n v="0"/>
    <n v="0"/>
    <n v="0"/>
    <n v="2427054.2999999998"/>
    <n v="0"/>
    <n v="0"/>
    <n v="0"/>
    <n v="459"/>
    <n v="2301689.9249999998"/>
    <n v="0"/>
    <n v="0"/>
    <n v="0"/>
    <n v="0"/>
    <n v="1000"/>
    <n v="1000"/>
    <n v="0"/>
    <n v="2487229.1999999997"/>
    <n v="0"/>
    <n v="0"/>
    <n v="0"/>
    <n v="459"/>
    <n v="2301689.9249999998"/>
    <n v="0"/>
    <n v="620"/>
    <n v="943"/>
    <n v="484"/>
    <n v="0"/>
    <n v="0"/>
    <n v="2534735.6999999997"/>
    <n v="4728744.2249999996"/>
    <n v="2427054.2999999998"/>
    <n v="0"/>
    <n v="459"/>
    <n v="2301689.9249999998"/>
    <n v="8943831.9327731095"/>
    <n v="100"/>
    <n v="516"/>
    <n v="12"/>
    <n v="0"/>
    <n v="0"/>
    <n v="2451335.4"/>
    <n v="60174.899999999994"/>
    <x v="0"/>
    <x v="0"/>
    <n v="459"/>
    <n v="2301689.9249999998"/>
    <n v="221747.89915966388"/>
    <n v="20"/>
    <n v="478"/>
    <n v="10"/>
    <m/>
    <n v="0"/>
    <n v="0"/>
    <n v="2396966.85"/>
    <n v="47506.5"/>
    <x v="0"/>
    <n v="0"/>
    <n v="459"/>
    <n v="2301689.9249999998"/>
    <n v="184789.91596638659"/>
    <n v="50"/>
    <n v="480"/>
    <n v="21"/>
    <m/>
    <n v="0"/>
    <n v="0"/>
    <n v="2406996"/>
    <n v="99763.65"/>
    <n v="0"/>
    <n v="0"/>
    <n v="480"/>
    <n v="2301689.9249999998"/>
    <n v="388058.82352941181"/>
    <n v="25"/>
    <n v="475"/>
    <n v="12.5"/>
    <n v="0"/>
    <n v="0"/>
    <n v="0"/>
    <n v="2381923.125"/>
    <n v="59383.124999999993"/>
    <n v="0"/>
    <n v="0"/>
    <n v="475"/>
    <n v="2301689.9249999998"/>
    <n v="230987.39495798323"/>
    <n v="25"/>
    <n v="462.5"/>
    <n v="12.5"/>
    <n v="0"/>
    <n v="0"/>
    <n v="0"/>
    <n v="2319240.9375"/>
    <n v="59383.124999999993"/>
    <n v="0"/>
    <n v="0"/>
    <n v="462.5"/>
    <n v="2319240.9375"/>
    <n v="230987.39495798323"/>
    <n v="26.6666666666667"/>
    <n v="450"/>
    <n v="13.33333333333335"/>
    <n v="0"/>
    <n v="0"/>
    <m/>
    <n v="2137792.5"/>
    <n v="63342.000000000073"/>
    <n v="0"/>
    <n v="0"/>
    <n v="450"/>
    <n v="2137792.5"/>
    <n v="246386.55462184909"/>
    <n v="50"/>
    <n v="436.66666666666663"/>
    <n v="25"/>
    <n v="0"/>
    <n v="0"/>
    <n v="0"/>
    <m/>
    <n v="2074450.4999999998"/>
    <n v="118766.24999999999"/>
    <n v="0"/>
    <n v="0"/>
    <n v="436.66666666666663"/>
    <n v="2074450.4999999998"/>
    <n v="356932.77310924372"/>
    <n v="60"/>
    <n v="411.66666666666663"/>
    <n v="30"/>
    <n v="0"/>
    <n v="0"/>
    <n v="1955684.2499999998"/>
    <n v="142519.5"/>
    <n v="0"/>
    <n v="0"/>
    <n v="411.66666666666663"/>
    <n v="1955684.2499999998"/>
    <n v="449735.29411764711"/>
    <n v="80"/>
    <n v="381.66666666666663"/>
    <n v="40"/>
    <n v="0"/>
    <n v="0"/>
    <n v="1813164.7499999998"/>
    <n v="190026"/>
    <n v="0"/>
    <n v="381.66666666666663"/>
    <n v="1813164.7499999998"/>
    <n v="739159.66386554635"/>
    <n v="36"/>
    <n v="341.66666666666663"/>
    <n v="18"/>
    <n v="0"/>
    <m/>
    <n v="1623138.7499999998"/>
    <n v="90262.349999999991"/>
    <n v="0"/>
    <n v="341.66666666666663"/>
    <n v="1623138.7499999998"/>
    <n v="332621.84873949585"/>
  </r>
  <r>
    <m/>
    <x v="8"/>
    <x v="12"/>
    <x v="28"/>
    <s v="MTVTUMBVI590"/>
    <x v="677"/>
    <x v="514"/>
    <x v="0"/>
    <x v="2"/>
    <n v="0.6"/>
    <x v="410"/>
    <n v="501"/>
    <m/>
    <n v="0"/>
    <n v="5014.5749999999998"/>
    <n v="2512302.0749999997"/>
    <n v="4.59"/>
    <n v="5014.5749999999998"/>
    <n v="18478.991596638658"/>
    <n v="14277.310924369749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61"/>
    <s v=""/>
    <n v="10"/>
    <s v=""/>
    <n v="0.1"/>
    <n v="7"/>
    <s v=""/>
    <n v="0.58333333333333337"/>
    <n v="17"/>
    <s v=""/>
    <n v="0.68"/>
    <n v="12"/>
    <s v=""/>
    <n v="0.6"/>
    <n v="0"/>
    <n v="0"/>
    <n v="0"/>
    <n v="0"/>
    <n v="0"/>
    <n v="0"/>
    <n v="2311719.0749999997"/>
    <n v="0"/>
    <n v="0"/>
    <n v="0"/>
    <n v="501"/>
    <n v="2512302.0749999997"/>
    <n v="0"/>
    <n v="0"/>
    <n v="0"/>
    <n v="0"/>
    <n v="1000"/>
    <n v="1000"/>
    <n v="0"/>
    <n v="2361864.8249999997"/>
    <n v="0"/>
    <n v="0"/>
    <n v="0"/>
    <n v="501"/>
    <n v="2512302.0749999997"/>
    <n v="0"/>
    <n v="620"/>
    <n v="962"/>
    <n v="461"/>
    <n v="0"/>
    <n v="0"/>
    <n v="2396069.5049999999"/>
    <n v="4824021.1499999994"/>
    <n v="2311719.0749999997"/>
    <n v="0"/>
    <n v="501"/>
    <n v="2512302.0749999997"/>
    <n v="8518815.126050422"/>
    <n v="100"/>
    <n v="530"/>
    <n v="10"/>
    <n v="0"/>
    <n v="0"/>
    <n v="2517844.5"/>
    <n v="50145.75"/>
    <x v="0"/>
    <x v="0"/>
    <n v="501"/>
    <n v="2512302.0749999997"/>
    <n v="184789.91596638659"/>
    <n v="12"/>
    <n v="508"/>
    <n v="7.1999999999999993"/>
    <m/>
    <n v="0"/>
    <n v="0"/>
    <n v="2547404.1"/>
    <n v="34204.679999999993"/>
    <x v="0"/>
    <n v="0"/>
    <n v="501"/>
    <n v="2512302.0749999997"/>
    <n v="133048.73949579833"/>
    <n v="25"/>
    <n v="518"/>
    <n v="17"/>
    <m/>
    <n v="0"/>
    <n v="0"/>
    <n v="2597549.85"/>
    <n v="80761.049999999988"/>
    <n v="0"/>
    <n v="0"/>
    <n v="518"/>
    <n v="2512302.0749999997"/>
    <n v="314142.85714285716"/>
    <n v="20"/>
    <n v="513"/>
    <n v="12"/>
    <n v="0"/>
    <n v="0"/>
    <n v="0"/>
    <n v="2572476.9750000001"/>
    <n v="57007.799999999996"/>
    <n v="0"/>
    <n v="0"/>
    <n v="513"/>
    <n v="2512302.0749999997"/>
    <n v="221747.89915966388"/>
    <n v="20"/>
    <n v="501"/>
    <n v="12"/>
    <n v="0"/>
    <n v="0"/>
    <n v="0"/>
    <n v="2512302.0749999997"/>
    <n v="57007.799999999996"/>
    <n v="0"/>
    <n v="0"/>
    <n v="501"/>
    <n v="2512302.0749999997"/>
    <n v="221747.89915966388"/>
    <n v="28"/>
    <n v="489"/>
    <n v="16.8"/>
    <n v="0"/>
    <n v="0"/>
    <m/>
    <n v="2323067.8499999996"/>
    <n v="79810.92"/>
    <n v="0"/>
    <n v="0"/>
    <n v="489"/>
    <n v="2323067.8499999996"/>
    <n v="310447.05882352946"/>
    <n v="50"/>
    <n v="472.2"/>
    <n v="30"/>
    <n v="0"/>
    <n v="0"/>
    <n v="0"/>
    <m/>
    <n v="2243256.9299999997"/>
    <n v="142519.5"/>
    <n v="0"/>
    <n v="0"/>
    <n v="472.2"/>
    <n v="2243256.9299999997"/>
    <n v="428319.32773109246"/>
    <n v="40"/>
    <n v="442.2"/>
    <n v="24"/>
    <n v="0"/>
    <n v="0"/>
    <n v="2100737.4299999997"/>
    <n v="114015.59999999999"/>
    <n v="0"/>
    <n v="0"/>
    <n v="442.2"/>
    <n v="2100737.4299999997"/>
    <n v="359788.23529411771"/>
    <n v="80"/>
    <n v="418.2"/>
    <n v="48"/>
    <n v="0"/>
    <n v="0"/>
    <n v="1986721.8299999998"/>
    <n v="228031.19999999998"/>
    <n v="0"/>
    <n v="418.2"/>
    <n v="1986721.8299999998"/>
    <n v="886991.59663865552"/>
    <n v="24"/>
    <n v="370.2"/>
    <n v="14.399999999999999"/>
    <n v="0"/>
    <m/>
    <n v="1758690.63"/>
    <n v="72209.87999999999"/>
    <n v="0"/>
    <n v="370.2"/>
    <n v="1758690.63"/>
    <n v="266097.47899159667"/>
  </r>
  <r>
    <m/>
    <x v="8"/>
    <x v="12"/>
    <x v="28"/>
    <s v="MTBOBSHI590"/>
    <x v="678"/>
    <x v="515"/>
    <x v="0"/>
    <x v="2"/>
    <n v="0.5"/>
    <x v="411"/>
    <n v="731"/>
    <m/>
    <n v="0"/>
    <n v="4577.5749999999998"/>
    <n v="3346207.3249999997"/>
    <n v="4.1900000000000004"/>
    <n v="4577.5749999999998"/>
    <n v="16798.319327731093"/>
    <n v="12596.638655462186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878"/>
    <s v=""/>
    <n v="1"/>
    <s v=""/>
    <n v="1.0526315789473684E-2"/>
    <n v="3"/>
    <s v=""/>
    <n v="0.25"/>
    <n v="5"/>
    <s v=""/>
    <n v="0.2"/>
    <n v="1"/>
    <s v=""/>
    <n v="0.05"/>
    <n v="0"/>
    <n v="0"/>
    <n v="0"/>
    <n v="0"/>
    <n v="0"/>
    <n v="0"/>
    <n v="4019110.8499999996"/>
    <n v="0"/>
    <n v="0"/>
    <n v="0"/>
    <n v="731"/>
    <n v="3346207.3249999997"/>
    <n v="0"/>
    <n v="0"/>
    <n v="0"/>
    <n v="0"/>
    <n v="1580"/>
    <n v="1580"/>
    <n v="0"/>
    <n v="4023688.4249999998"/>
    <n v="0"/>
    <n v="0"/>
    <n v="0"/>
    <n v="731"/>
    <n v="3346207.3249999997"/>
    <n v="0"/>
    <n v="1219"/>
    <n v="1609"/>
    <n v="878"/>
    <n v="0"/>
    <n v="0"/>
    <n v="4049708.3249999997"/>
    <n v="7365318.1749999998"/>
    <n v="4019110.8499999996"/>
    <n v="0"/>
    <n v="731"/>
    <n v="3346207.3249999997"/>
    <n v="14748924.369747899"/>
    <n v="95"/>
    <n v="702"/>
    <n v="1"/>
    <n v="0"/>
    <n v="0"/>
    <n v="3044328.3000000003"/>
    <n v="4577.5749999999998"/>
    <x v="0"/>
    <x v="0"/>
    <n v="731"/>
    <n v="3346207.3249999997"/>
    <n v="16798.319327731093"/>
    <n v="12"/>
    <n v="734"/>
    <n v="6"/>
    <m/>
    <n v="0"/>
    <n v="0"/>
    <n v="3359940.05"/>
    <n v="26019.9"/>
    <x v="0"/>
    <n v="0"/>
    <n v="731"/>
    <n v="3346207.3249999997"/>
    <n v="100789.91596638656"/>
    <n v="25"/>
    <n v="736"/>
    <n v="5"/>
    <m/>
    <n v="0"/>
    <n v="0"/>
    <n v="3369095.1999999997"/>
    <n v="21683.250000000004"/>
    <n v="0"/>
    <n v="0"/>
    <n v="736"/>
    <n v="3346207.3249999997"/>
    <n v="83991.596638655465"/>
    <n v="20"/>
    <n v="732"/>
    <n v="10"/>
    <n v="0"/>
    <n v="0"/>
    <n v="0"/>
    <n v="3350784.9"/>
    <n v="43366.500000000007"/>
    <n v="0"/>
    <n v="0"/>
    <n v="732"/>
    <n v="3346207.3249999997"/>
    <n v="167983.19327731093"/>
    <n v="20"/>
    <n v="722"/>
    <n v="10"/>
    <n v="0"/>
    <n v="0"/>
    <n v="0"/>
    <n v="3305009.15"/>
    <n v="43366.500000000007"/>
    <n v="0"/>
    <n v="0"/>
    <n v="722"/>
    <n v="3305009.15"/>
    <n v="167983.19327731093"/>
    <n v="28"/>
    <n v="712"/>
    <n v="14"/>
    <n v="0"/>
    <n v="0"/>
    <m/>
    <n v="3087694.8000000003"/>
    <n v="60713.100000000006"/>
    <n v="0"/>
    <n v="0"/>
    <n v="712"/>
    <n v="3087694.8000000003"/>
    <n v="235176.4705882353"/>
    <n v="50"/>
    <n v="698"/>
    <n v="25"/>
    <n v="0"/>
    <n v="0"/>
    <n v="0"/>
    <m/>
    <n v="3026981.7"/>
    <n v="108416.25000000001"/>
    <n v="0"/>
    <n v="0"/>
    <n v="698"/>
    <n v="3026981.7"/>
    <n v="314915.96638655465"/>
    <n v="40"/>
    <n v="673"/>
    <n v="20"/>
    <n v="0"/>
    <n v="0"/>
    <n v="2918565.45"/>
    <n v="86733.000000000015"/>
    <n v="0"/>
    <n v="0"/>
    <n v="673"/>
    <n v="2918565.45"/>
    <n v="264529.4117647059"/>
    <n v="76"/>
    <n v="653"/>
    <n v="38"/>
    <n v="0"/>
    <n v="0"/>
    <n v="2831832.45"/>
    <n v="164792.70000000001"/>
    <n v="0"/>
    <n v="653"/>
    <n v="2831832.45"/>
    <n v="638336.13445378153"/>
    <n v="24"/>
    <n v="615"/>
    <n v="12"/>
    <n v="0"/>
    <m/>
    <n v="2667039.7500000005"/>
    <n v="54930.899999999994"/>
    <n v="0"/>
    <n v="615"/>
    <n v="2667039.7500000005"/>
    <n v="201579.83193277312"/>
  </r>
  <r>
    <m/>
    <x v="8"/>
    <x v="12"/>
    <x v="28"/>
    <s v="MTBOBINS590"/>
    <x v="679"/>
    <x v="516"/>
    <x v="0"/>
    <x v="2"/>
    <n v="0.6"/>
    <x v="412"/>
    <n v="664"/>
    <m/>
    <n v="0"/>
    <n v="4577.5749999999998"/>
    <n v="3039509.8"/>
    <n v="4.1900000000000004"/>
    <n v="4577.5749999999998"/>
    <n v="16798.319327731093"/>
    <n v="12596.638655462186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892"/>
    <s v=""/>
    <n v="8"/>
    <s v=""/>
    <n v="8.4210526315789472E-2"/>
    <n v="13"/>
    <s v=""/>
    <n v="0.65"/>
    <n v="22"/>
    <s v=""/>
    <n v="0.48888888888888887"/>
    <n v="9"/>
    <s v=""/>
    <n v="0.36"/>
    <n v="0"/>
    <n v="0"/>
    <n v="0"/>
    <n v="0"/>
    <n v="0"/>
    <n v="0"/>
    <n v="4083196.9"/>
    <n v="0"/>
    <n v="0"/>
    <n v="0"/>
    <n v="664"/>
    <n v="3039509.8"/>
    <n v="0"/>
    <n v="0"/>
    <n v="0"/>
    <n v="0"/>
    <n v="1580"/>
    <n v="1580"/>
    <n v="0"/>
    <n v="4119817.5"/>
    <n v="0"/>
    <n v="0"/>
    <n v="0"/>
    <n v="664"/>
    <n v="3039509.8"/>
    <n v="0"/>
    <n v="1219"/>
    <n v="1556"/>
    <n v="892"/>
    <n v="0"/>
    <n v="0"/>
    <n v="4171857.3"/>
    <n v="7122706.6999999993"/>
    <n v="4083196.9"/>
    <n v="0"/>
    <n v="664"/>
    <n v="3039509.8"/>
    <n v="14984100.840336135"/>
    <n v="95"/>
    <n v="687"/>
    <n v="8"/>
    <n v="0"/>
    <n v="0"/>
    <n v="2979278.5500000003"/>
    <n v="36620.6"/>
    <x v="0"/>
    <x v="0"/>
    <n v="664"/>
    <n v="3039509.8"/>
    <n v="134386.55462184874"/>
    <n v="20"/>
    <n v="677"/>
    <n v="12"/>
    <m/>
    <n v="0"/>
    <n v="0"/>
    <n v="3099018.2749999999"/>
    <n v="52039.8"/>
    <x v="0"/>
    <n v="0"/>
    <n v="664"/>
    <n v="3039509.8"/>
    <n v="201579.83193277312"/>
    <n v="45"/>
    <n v="686"/>
    <n v="22"/>
    <m/>
    <n v="0"/>
    <n v="0"/>
    <n v="3140216.4499999997"/>
    <n v="95406.300000000017"/>
    <n v="0"/>
    <n v="0"/>
    <n v="686"/>
    <n v="3039509.8"/>
    <n v="369563.02521008404"/>
    <n v="25"/>
    <n v="673"/>
    <n v="15"/>
    <n v="0"/>
    <n v="0"/>
    <n v="0"/>
    <n v="3080707.9750000001"/>
    <n v="65049.750000000007"/>
    <n v="0"/>
    <n v="0"/>
    <n v="673"/>
    <n v="3039509.8"/>
    <n v="251974.78991596639"/>
    <n v="25"/>
    <n v="658"/>
    <n v="15"/>
    <n v="0"/>
    <n v="0"/>
    <n v="0"/>
    <n v="3012044.35"/>
    <n v="65049.750000000007"/>
    <n v="0"/>
    <n v="0"/>
    <n v="658"/>
    <n v="3012044.35"/>
    <n v="251974.78991596639"/>
    <n v="26.6666666666667"/>
    <n v="643"/>
    <n v="16.000000000000018"/>
    <n v="0"/>
    <n v="0"/>
    <m/>
    <n v="2788465.95"/>
    <n v="69386.400000000081"/>
    <n v="0"/>
    <n v="0"/>
    <n v="643"/>
    <n v="2788465.95"/>
    <n v="268773.10924369778"/>
    <n v="50"/>
    <n v="627"/>
    <n v="30"/>
    <n v="0"/>
    <n v="0"/>
    <n v="0"/>
    <m/>
    <n v="2719079.5500000003"/>
    <n v="130099.50000000001"/>
    <n v="0"/>
    <n v="0"/>
    <n v="627"/>
    <n v="2719079.5500000003"/>
    <n v="377899.15966386558"/>
    <n v="60"/>
    <n v="597"/>
    <n v="36"/>
    <n v="0"/>
    <n v="0"/>
    <n v="2588980.0500000003"/>
    <n v="156119.40000000002"/>
    <n v="0"/>
    <n v="0"/>
    <n v="597"/>
    <n v="2588980.0500000003"/>
    <n v="476152.94117647066"/>
    <n v="80"/>
    <n v="561"/>
    <n v="48"/>
    <n v="0"/>
    <n v="0"/>
    <n v="2432860.6500000004"/>
    <n v="208159.2"/>
    <n v="0"/>
    <n v="561"/>
    <n v="2432860.6500000004"/>
    <n v="806319.32773109246"/>
    <n v="36"/>
    <n v="513"/>
    <n v="21.599999999999998"/>
    <n v="0"/>
    <m/>
    <n v="2224701.4500000002"/>
    <n v="98875.619999999981"/>
    <n v="0"/>
    <n v="513"/>
    <n v="2224701.4500000002"/>
    <n v="362843.69747899158"/>
  </r>
  <r>
    <m/>
    <x v="8"/>
    <x v="12"/>
    <x v="28"/>
    <s v="MTBOHWFA590"/>
    <x v="680"/>
    <x v="517"/>
    <x v="0"/>
    <x v="2"/>
    <n v="0.5"/>
    <x v="413"/>
    <n v="375"/>
    <m/>
    <n v="0"/>
    <n v="4752.375"/>
    <n v="1782140.625"/>
    <n v="4.3499999999999996"/>
    <n v="4752.375"/>
    <n v="16798.319327731093"/>
    <n v="12596.638655462186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24"/>
    <s v=""/>
    <n v="0"/>
    <s v=""/>
    <n v="0"/>
    <n v="0"/>
    <s v=""/>
    <n v="0"/>
    <n v="1"/>
    <s v=""/>
    <n v="0.04"/>
    <n v="0"/>
    <s v=""/>
    <n v="0"/>
    <n v="0"/>
    <n v="0"/>
    <n v="0"/>
    <n v="0"/>
    <n v="0"/>
    <n v="0"/>
    <n v="589294.5"/>
    <n v="0"/>
    <n v="0"/>
    <n v="0"/>
    <n v="375"/>
    <n v="1782140.625"/>
    <n v="0"/>
    <n v="0"/>
    <n v="0"/>
    <n v="0"/>
    <n v="500"/>
    <n v="500"/>
    <n v="0"/>
    <n v="589294.5"/>
    <n v="0"/>
    <n v="0"/>
    <n v="0"/>
    <n v="375"/>
    <n v="1782140.625"/>
    <n v="0"/>
    <n v="139"/>
    <n v="499"/>
    <n v="124"/>
    <n v="0"/>
    <n v="0"/>
    <n v="616308"/>
    <n v="2371435.125"/>
    <n v="589294.5"/>
    <n v="0"/>
    <n v="375"/>
    <n v="1782140.625"/>
    <n v="2082991.5966386555"/>
    <n v="95"/>
    <n v="376"/>
    <n v="0"/>
    <n v="0"/>
    <n v="0"/>
    <n v="1692845.9999999998"/>
    <n v="0"/>
    <x v="0"/>
    <x v="0"/>
    <n v="375"/>
    <n v="1782140.625"/>
    <n v="0"/>
    <n v="12"/>
    <n v="375"/>
    <n v="6"/>
    <m/>
    <n v="0"/>
    <n v="0"/>
    <n v="1782140.625"/>
    <n v="27013.499999999993"/>
    <x v="0"/>
    <n v="0"/>
    <n v="375"/>
    <n v="1782140.625"/>
    <n v="100789.91596638656"/>
    <n v="25"/>
    <n v="376"/>
    <n v="1"/>
    <m/>
    <n v="0"/>
    <n v="0"/>
    <n v="1786893"/>
    <n v="4502.2499999999991"/>
    <n v="0"/>
    <n v="0"/>
    <n v="376"/>
    <n v="1782140.625"/>
    <n v="16798.319327731093"/>
    <n v="20"/>
    <n v="375"/>
    <n v="10"/>
    <n v="0"/>
    <n v="0"/>
    <n v="0"/>
    <n v="1782140.625"/>
    <n v="45022.499999999993"/>
    <n v="0"/>
    <n v="0"/>
    <n v="375"/>
    <n v="1782140.625"/>
    <n v="167983.19327731093"/>
    <n v="20"/>
    <n v="365"/>
    <n v="10"/>
    <n v="0"/>
    <n v="0"/>
    <n v="0"/>
    <n v="1734616.875"/>
    <n v="45022.499999999993"/>
    <n v="0"/>
    <n v="0"/>
    <n v="365"/>
    <n v="1734616.875"/>
    <n v="167983.19327731093"/>
    <n v="28"/>
    <n v="355"/>
    <n v="14"/>
    <n v="0"/>
    <n v="0"/>
    <m/>
    <n v="1598298.7499999998"/>
    <n v="63031.499999999985"/>
    <n v="0"/>
    <n v="0"/>
    <n v="355"/>
    <n v="1598298.7499999998"/>
    <n v="235176.4705882353"/>
    <n v="50"/>
    <n v="341"/>
    <n v="25"/>
    <n v="0"/>
    <n v="0"/>
    <n v="0"/>
    <m/>
    <n v="1535267.2499999998"/>
    <n v="112556.24999999997"/>
    <n v="0"/>
    <n v="0"/>
    <n v="341"/>
    <n v="1535267.2499999998"/>
    <n v="314915.96638655465"/>
    <n v="40"/>
    <n v="316"/>
    <n v="20"/>
    <n v="0"/>
    <n v="0"/>
    <n v="1422710.9999999998"/>
    <n v="90044.999999999985"/>
    <n v="0"/>
    <n v="0"/>
    <n v="316"/>
    <n v="1422710.9999999998"/>
    <n v="264529.4117647059"/>
    <n v="76"/>
    <n v="296"/>
    <n v="38"/>
    <n v="0"/>
    <n v="0"/>
    <n v="1332665.9999999998"/>
    <n v="171085.49999999997"/>
    <n v="0"/>
    <n v="296"/>
    <n v="1332665.9999999998"/>
    <n v="638336.13445378153"/>
    <n v="24"/>
    <n v="258"/>
    <n v="12"/>
    <n v="0"/>
    <m/>
    <n v="1161580.4999999998"/>
    <n v="57028.5"/>
    <n v="0"/>
    <n v="258"/>
    <n v="1161580.4999999998"/>
    <n v="201579.83193277312"/>
  </r>
  <r>
    <m/>
    <x v="8"/>
    <x v="12"/>
    <x v="28"/>
    <s v="MTBOHWCOM590"/>
    <x v="681"/>
    <x v="518"/>
    <x v="0"/>
    <x v="2"/>
    <n v="0.5"/>
    <x v="414"/>
    <n v="367"/>
    <m/>
    <n v="0"/>
    <n v="4752.375"/>
    <n v="1744121.625"/>
    <n v="4.3499999999999996"/>
    <n v="4752.375"/>
    <n v="16798.319327731093"/>
    <n v="12596.638655462186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24"/>
    <s v=""/>
    <n v="3"/>
    <s v=""/>
    <n v="3.1578947368421054E-2"/>
    <n v="1"/>
    <s v=""/>
    <n v="8.3333333333333329E-2"/>
    <n v="9"/>
    <s v=""/>
    <n v="0.36"/>
    <n v="1"/>
    <s v=""/>
    <n v="0.05"/>
    <n v="0"/>
    <n v="0"/>
    <n v="0"/>
    <n v="0"/>
    <n v="0"/>
    <n v="0"/>
    <n v="589294.5"/>
    <n v="0"/>
    <n v="0"/>
    <n v="0"/>
    <n v="367"/>
    <n v="1744121.625"/>
    <n v="0"/>
    <n v="0"/>
    <n v="0"/>
    <n v="0"/>
    <n v="500"/>
    <n v="500"/>
    <n v="0"/>
    <n v="603551.625"/>
    <n v="0"/>
    <n v="0"/>
    <n v="0"/>
    <n v="367"/>
    <n v="1744121.625"/>
    <n v="0"/>
    <n v="139"/>
    <n v="491"/>
    <n v="124"/>
    <n v="0"/>
    <n v="0"/>
    <n v="630565.125"/>
    <n v="2333416.125"/>
    <n v="589294.5"/>
    <n v="0"/>
    <n v="367"/>
    <n v="1744121.625"/>
    <n v="2082991.5966386555"/>
    <n v="95"/>
    <n v="376"/>
    <n v="3"/>
    <n v="0"/>
    <n v="0"/>
    <n v="1692845.9999999998"/>
    <n v="14257.125"/>
    <x v="0"/>
    <x v="0"/>
    <n v="367"/>
    <n v="1744121.625"/>
    <n v="50394.957983193279"/>
    <n v="12"/>
    <n v="368"/>
    <n v="6"/>
    <m/>
    <n v="0"/>
    <n v="0"/>
    <n v="1748874"/>
    <n v="27013.499999999993"/>
    <x v="0"/>
    <n v="0"/>
    <n v="367"/>
    <n v="1744121.625"/>
    <n v="100789.91596638656"/>
    <n v="25"/>
    <n v="376"/>
    <n v="9"/>
    <m/>
    <n v="0"/>
    <n v="0"/>
    <n v="1786893"/>
    <n v="40520.249999999993"/>
    <n v="0"/>
    <n v="0"/>
    <n v="376"/>
    <n v="1744121.625"/>
    <n v="151184.87394957984"/>
    <n v="20"/>
    <n v="368"/>
    <n v="10"/>
    <n v="0"/>
    <n v="0"/>
    <n v="0"/>
    <n v="1748874"/>
    <n v="45022.499999999993"/>
    <n v="0"/>
    <n v="0"/>
    <n v="368"/>
    <n v="1744121.625"/>
    <n v="167983.19327731093"/>
    <n v="20"/>
    <n v="358"/>
    <n v="10"/>
    <n v="0"/>
    <n v="0"/>
    <n v="0"/>
    <n v="1701350.25"/>
    <n v="45022.499999999993"/>
    <n v="0"/>
    <n v="0"/>
    <n v="358"/>
    <n v="1701350.25"/>
    <n v="167983.19327731093"/>
    <n v="28"/>
    <n v="348"/>
    <n v="14"/>
    <n v="0"/>
    <n v="0"/>
    <m/>
    <n v="1566782.9999999998"/>
    <n v="63031.499999999985"/>
    <n v="0"/>
    <n v="0"/>
    <n v="348"/>
    <n v="1566782.9999999998"/>
    <n v="235176.4705882353"/>
    <n v="50"/>
    <n v="334"/>
    <n v="25"/>
    <n v="0"/>
    <n v="0"/>
    <n v="0"/>
    <m/>
    <n v="1503751.4999999998"/>
    <n v="112556.24999999997"/>
    <n v="0"/>
    <n v="0"/>
    <n v="334"/>
    <n v="1503751.4999999998"/>
    <n v="314915.96638655465"/>
    <n v="40"/>
    <n v="309"/>
    <n v="20"/>
    <n v="0"/>
    <n v="0"/>
    <n v="1391195.2499999998"/>
    <n v="90044.999999999985"/>
    <n v="0"/>
    <n v="0"/>
    <n v="309"/>
    <n v="1391195.2499999998"/>
    <n v="264529.4117647059"/>
    <n v="76"/>
    <n v="289"/>
    <n v="38"/>
    <n v="0"/>
    <n v="0"/>
    <n v="1301150.2499999998"/>
    <n v="171085.49999999997"/>
    <n v="0"/>
    <n v="289"/>
    <n v="1301150.2499999998"/>
    <n v="638336.13445378153"/>
    <n v="24"/>
    <n v="251"/>
    <n v="12"/>
    <n v="0"/>
    <m/>
    <n v="1130064.7499999998"/>
    <n v="57028.5"/>
    <n v="0"/>
    <n v="251"/>
    <n v="1130064.7499999998"/>
    <n v="201579.83193277312"/>
  </r>
  <r>
    <m/>
    <x v="8"/>
    <x v="36"/>
    <x v="46"/>
    <s v="MTTCBFRI450"/>
    <x v="682"/>
    <x v="519"/>
    <x v="0"/>
    <x v="2"/>
    <n v="0.6"/>
    <x v="415"/>
    <n v="210"/>
    <m/>
    <n v="0"/>
    <n v="5080.125"/>
    <n v="1066826.25"/>
    <n v="4.6500000000000004"/>
    <n v="5080.125"/>
    <n v="18478.991596638658"/>
    <n v="14277.310924369749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214"/>
    <s v=""/>
    <n v="33"/>
    <s v=""/>
    <n v="0.41249999999999998"/>
    <n v="17"/>
    <s v=""/>
    <n v="0.68"/>
    <n v="18"/>
    <s v=""/>
    <n v="0.51428571428571423"/>
    <n v="9"/>
    <s v=""/>
    <n v="0.36"/>
    <n v="0"/>
    <n v="0"/>
    <n v="0"/>
    <n v="0"/>
    <n v="0"/>
    <n v="0"/>
    <n v="1087146.75"/>
    <n v="0"/>
    <n v="0"/>
    <n v="0"/>
    <n v="210"/>
    <n v="1066826.25"/>
    <n v="0"/>
    <n v="0"/>
    <n v="0"/>
    <n v="0"/>
    <n v="500"/>
    <n v="500"/>
    <n v="0"/>
    <n v="1254790.875"/>
    <n v="0"/>
    <n v="0"/>
    <n v="0"/>
    <n v="210"/>
    <n v="1066826.25"/>
    <n v="0"/>
    <n v="196"/>
    <n v="424"/>
    <n v="214"/>
    <n v="0"/>
    <n v="0"/>
    <n v="1326982.125"/>
    <n v="2153973"/>
    <n v="1087146.75"/>
    <n v="0"/>
    <n v="210"/>
    <n v="1066826.25"/>
    <n v="3954504.2016806728"/>
    <n v="80"/>
    <n v="286"/>
    <n v="33"/>
    <n v="0"/>
    <n v="0"/>
    <n v="1376446.5"/>
    <n v="167644.125"/>
    <x v="0"/>
    <x v="0"/>
    <n v="210"/>
    <n v="1066826.25"/>
    <n v="609806.72268907574"/>
    <n v="25"/>
    <n v="227"/>
    <n v="15"/>
    <m/>
    <n v="0"/>
    <n v="0"/>
    <n v="1153188.375"/>
    <n v="72191.25"/>
    <x v="0"/>
    <n v="0"/>
    <n v="210"/>
    <n v="1066826.25"/>
    <n v="277184.87394957989"/>
    <n v="35"/>
    <n v="228"/>
    <n v="18"/>
    <m/>
    <n v="0"/>
    <n v="0"/>
    <n v="1158268.5"/>
    <n v="86629.5"/>
    <n v="0"/>
    <n v="0"/>
    <n v="228"/>
    <n v="1066826.25"/>
    <n v="332621.84873949585"/>
    <n v="25"/>
    <n v="219"/>
    <n v="15"/>
    <n v="0"/>
    <n v="0"/>
    <n v="0"/>
    <n v="1112547.375"/>
    <n v="72191.25"/>
    <n v="0"/>
    <n v="0"/>
    <n v="219"/>
    <n v="1066826.25"/>
    <n v="277184.87394957989"/>
    <n v="25"/>
    <n v="204"/>
    <n v="15"/>
    <n v="0"/>
    <n v="0"/>
    <n v="0"/>
    <n v="1036345.5"/>
    <n v="72191.25"/>
    <n v="0"/>
    <n v="0"/>
    <n v="204"/>
    <n v="1036345.5"/>
    <n v="277184.87394957989"/>
    <n v="20"/>
    <n v="189"/>
    <n v="12"/>
    <n v="0"/>
    <n v="0"/>
    <m/>
    <n v="909609.75"/>
    <n v="57753"/>
    <n v="0"/>
    <n v="0"/>
    <n v="189"/>
    <n v="909609.75"/>
    <n v="221747.89915966388"/>
    <n v="25"/>
    <n v="177"/>
    <n v="15"/>
    <n v="0"/>
    <n v="0"/>
    <n v="0"/>
    <m/>
    <n v="851856.75"/>
    <n v="72191.25"/>
    <n v="0"/>
    <n v="0"/>
    <n v="177"/>
    <n v="851856.75"/>
    <n v="214159.66386554623"/>
    <n v="20"/>
    <n v="162"/>
    <n v="12"/>
    <n v="0"/>
    <n v="0"/>
    <n v="779665.5"/>
    <n v="57753"/>
    <n v="0"/>
    <n v="0"/>
    <n v="162"/>
    <n v="779665.5"/>
    <n v="179894.11764705885"/>
    <n v="30"/>
    <n v="150"/>
    <n v="18"/>
    <n v="0"/>
    <n v="0"/>
    <n v="721912.5"/>
    <n v="86629.5"/>
    <n v="0"/>
    <n v="150"/>
    <n v="721912.5"/>
    <n v="332621.84873949585"/>
    <n v="12"/>
    <n v="132"/>
    <n v="7.1999999999999993"/>
    <n v="0"/>
    <m/>
    <n v="635283"/>
    <n v="36576.899999999994"/>
    <n v="0"/>
    <n v="132"/>
    <n v="635283"/>
    <n v="133048.73949579833"/>
  </r>
  <r>
    <m/>
    <x v="8"/>
    <x v="36"/>
    <x v="46"/>
    <s v="MTTCBFUN450"/>
    <x v="683"/>
    <x v="520"/>
    <x v="0"/>
    <x v="2"/>
    <n v="0.6"/>
    <x v="416"/>
    <n v="240"/>
    <m/>
    <n v="0"/>
    <n v="5080.125"/>
    <n v="1219230"/>
    <n v="4.6500000000000004"/>
    <n v="5080.125"/>
    <n v="18478.991596638658"/>
    <n v="14277.310924369749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7"/>
    <s v=""/>
    <n v="21"/>
    <s v=""/>
    <n v="0.26250000000000001"/>
    <n v="17"/>
    <s v=""/>
    <n v="0.85"/>
    <n v="16"/>
    <s v=""/>
    <n v="0.53333333333333333"/>
    <n v="10"/>
    <s v=""/>
    <n v="0.4"/>
    <n v="0"/>
    <n v="0"/>
    <n v="0"/>
    <n v="0"/>
    <n v="0"/>
    <n v="0"/>
    <n v="1000784.625"/>
    <n v="0"/>
    <n v="0"/>
    <n v="0"/>
    <n v="240"/>
    <n v="1219230"/>
    <n v="0"/>
    <n v="0"/>
    <n v="0"/>
    <n v="0"/>
    <n v="500"/>
    <n v="500"/>
    <n v="0"/>
    <n v="1107467.25"/>
    <n v="0"/>
    <n v="0"/>
    <n v="0"/>
    <n v="240"/>
    <n v="1219230"/>
    <n v="0"/>
    <n v="196"/>
    <n v="437"/>
    <n v="197"/>
    <n v="0"/>
    <n v="0"/>
    <n v="1165220.25"/>
    <n v="2220014.625"/>
    <n v="1000784.625"/>
    <n v="0"/>
    <n v="240"/>
    <n v="1219230"/>
    <n v="3640361.3445378155"/>
    <n v="80"/>
    <n v="301"/>
    <n v="21"/>
    <n v="0"/>
    <n v="0"/>
    <n v="1448637.75"/>
    <n v="106682.625"/>
    <x v="0"/>
    <x v="0"/>
    <n v="240"/>
    <n v="1219230"/>
    <n v="388058.82352941181"/>
    <n v="20"/>
    <n v="257"/>
    <n v="12"/>
    <m/>
    <n v="0"/>
    <n v="0"/>
    <n v="1305592.125"/>
    <n v="57753"/>
    <x v="0"/>
    <n v="0"/>
    <n v="240"/>
    <n v="1219230"/>
    <n v="221747.89915966388"/>
    <n v="30"/>
    <n v="256"/>
    <n v="16"/>
    <m/>
    <n v="0"/>
    <n v="0"/>
    <n v="1300512"/>
    <n v="77004"/>
    <n v="0"/>
    <n v="0"/>
    <n v="256"/>
    <n v="1219230"/>
    <n v="295663.86554621853"/>
    <n v="25"/>
    <n v="250"/>
    <n v="15"/>
    <n v="0"/>
    <n v="0"/>
    <n v="0"/>
    <n v="1270031.25"/>
    <n v="72191.25"/>
    <n v="0"/>
    <n v="0"/>
    <n v="250"/>
    <n v="1219230"/>
    <n v="277184.87394957989"/>
    <n v="25"/>
    <n v="235"/>
    <n v="15"/>
    <n v="0"/>
    <n v="0"/>
    <n v="0"/>
    <n v="1193829.375"/>
    <n v="72191.25"/>
    <n v="0"/>
    <n v="0"/>
    <n v="235"/>
    <n v="1193829.375"/>
    <n v="277184.87394957989"/>
    <n v="20"/>
    <n v="220"/>
    <n v="12"/>
    <n v="0"/>
    <n v="0"/>
    <m/>
    <n v="1058805"/>
    <n v="57753"/>
    <n v="0"/>
    <n v="0"/>
    <n v="220"/>
    <n v="1058805"/>
    <n v="221747.89915966388"/>
    <n v="25"/>
    <n v="208"/>
    <n v="15"/>
    <n v="0"/>
    <n v="0"/>
    <n v="0"/>
    <m/>
    <n v="1001052"/>
    <n v="72191.25"/>
    <n v="0"/>
    <n v="0"/>
    <n v="208"/>
    <n v="1001052"/>
    <n v="214159.66386554623"/>
    <n v="20"/>
    <n v="193"/>
    <n v="12"/>
    <n v="0"/>
    <n v="0"/>
    <n v="928860.75"/>
    <n v="57753"/>
    <n v="0"/>
    <n v="0"/>
    <n v="193"/>
    <n v="928860.75"/>
    <n v="179894.11764705885"/>
    <n v="30"/>
    <n v="181"/>
    <n v="18"/>
    <n v="0"/>
    <n v="0"/>
    <n v="871107.75"/>
    <n v="86629.5"/>
    <n v="0"/>
    <n v="181"/>
    <n v="871107.75"/>
    <n v="332621.84873949585"/>
    <n v="12"/>
    <n v="163"/>
    <n v="7.1999999999999993"/>
    <n v="0"/>
    <m/>
    <n v="784478.25"/>
    <n v="36576.899999999994"/>
    <n v="0"/>
    <n v="163"/>
    <n v="784478.25"/>
    <n v="133048.73949579833"/>
  </r>
  <r>
    <m/>
    <x v="8"/>
    <x v="36"/>
    <x v="46"/>
    <s v="MTTCHWTRU330"/>
    <x v="684"/>
    <x v="521"/>
    <x v="0"/>
    <x v="2"/>
    <n v="0.8"/>
    <x v="417"/>
    <n v="259"/>
    <m/>
    <n v="0"/>
    <n v="3889.2999999999997"/>
    <n v="1007328.7"/>
    <n v="3.56"/>
    <n v="3889.2999999999997"/>
    <n v="14277.310924369749"/>
    <n v="10075.63025210084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2"/>
    <s v=""/>
    <n v="14"/>
    <s v=""/>
    <n v="0.17499999999999999"/>
    <n v="21"/>
    <s v=""/>
    <n v="1.75"/>
    <n v="11"/>
    <s v=""/>
    <n v="0.44"/>
    <n v="3"/>
    <s v=""/>
    <n v="0.15"/>
    <n v="0"/>
    <n v="0"/>
    <n v="0"/>
    <n v="0"/>
    <n v="0"/>
    <n v="0"/>
    <n v="746745.6"/>
    <n v="0"/>
    <n v="0"/>
    <n v="0"/>
    <n v="259"/>
    <n v="1007328.7"/>
    <n v="0"/>
    <n v="0"/>
    <n v="0"/>
    <n v="0"/>
    <n v="0"/>
    <n v="0"/>
    <n v="0"/>
    <n v="801195.79999999993"/>
    <n v="0"/>
    <n v="0"/>
    <n v="0"/>
    <n v="259"/>
    <n v="1007328.7"/>
    <n v="0"/>
    <n v="196"/>
    <n v="451"/>
    <n v="192"/>
    <n v="0"/>
    <n v="0"/>
    <n v="836567.96"/>
    <n v="1754074.2999999998"/>
    <n v="746745.6"/>
    <n v="0"/>
    <n v="259"/>
    <n v="1007328.7"/>
    <n v="2741243.6974789919"/>
    <n v="80"/>
    <n v="307"/>
    <n v="14"/>
    <n v="0"/>
    <n v="0"/>
    <n v="1131172.2"/>
    <n v="54450.2"/>
    <x v="0"/>
    <x v="0"/>
    <n v="259"/>
    <n v="1007328.7"/>
    <n v="199882.35294117648"/>
    <n v="12"/>
    <n v="280"/>
    <n v="9.6000000000000014"/>
    <m/>
    <n v="0"/>
    <n v="0"/>
    <n v="1089004"/>
    <n v="35372.160000000003"/>
    <x v="0"/>
    <n v="0"/>
    <n v="259"/>
    <n v="1007328.7"/>
    <n v="137062.18487394962"/>
    <n v="25"/>
    <n v="270"/>
    <n v="11"/>
    <m/>
    <n v="0"/>
    <n v="0"/>
    <n v="1050111"/>
    <n v="40530.6"/>
    <n v="0"/>
    <n v="0"/>
    <n v="270"/>
    <n v="1007328.7"/>
    <n v="157050.42016806724"/>
    <n v="20"/>
    <n v="262"/>
    <n v="16"/>
    <n v="0"/>
    <n v="0"/>
    <n v="0"/>
    <n v="1018996.6"/>
    <n v="58953.599999999999"/>
    <n v="0"/>
    <n v="0"/>
    <n v="262"/>
    <n v="1007328.7"/>
    <n v="228436.97478991598"/>
    <n v="20"/>
    <n v="246"/>
    <n v="16"/>
    <n v="0"/>
    <n v="0"/>
    <n v="0"/>
    <n v="956767.79999999993"/>
    <n v="58953.599999999999"/>
    <n v="0"/>
    <n v="0"/>
    <n v="246"/>
    <n v="956767.79999999993"/>
    <n v="228436.97478991598"/>
    <n v="28"/>
    <n v="230"/>
    <n v="22.400000000000002"/>
    <n v="0"/>
    <n v="0"/>
    <m/>
    <n v="847458"/>
    <n v="82535.040000000008"/>
    <n v="0"/>
    <n v="0"/>
    <n v="230"/>
    <n v="847458"/>
    <n v="319811.76470588241"/>
    <n v="50"/>
    <n v="207.6"/>
    <n v="40"/>
    <n v="0"/>
    <n v="0"/>
    <n v="0"/>
    <m/>
    <n v="764922.96"/>
    <n v="147384"/>
    <n v="0"/>
    <n v="0"/>
    <n v="207.6"/>
    <n v="764922.96"/>
    <n v="403025.21008403361"/>
    <n v="40"/>
    <n v="167.6"/>
    <n v="32"/>
    <n v="0"/>
    <n v="0"/>
    <n v="617538.96"/>
    <n v="117907.2"/>
    <n v="0"/>
    <n v="0"/>
    <n v="167.6"/>
    <n v="617538.96"/>
    <n v="338541.17647058825"/>
    <n v="76"/>
    <n v="135.6"/>
    <n v="60.800000000000004"/>
    <n v="0"/>
    <n v="0"/>
    <n v="499631.75999999995"/>
    <n v="224023.68000000002"/>
    <n v="0"/>
    <n v="135.6"/>
    <n v="499631.75999999995"/>
    <n v="868060.50420168077"/>
    <n v="24"/>
    <n v="74.799999999999983"/>
    <n v="19.200000000000003"/>
    <n v="0"/>
    <m/>
    <n v="275608.07999999996"/>
    <n v="74674.560000000012"/>
    <n v="0"/>
    <n v="74.799999999999983"/>
    <n v="275608.07999999996"/>
    <n v="274124.36974789924"/>
  </r>
  <r>
    <m/>
    <x v="8"/>
    <x v="36"/>
    <x v="46"/>
    <s v="MTTCHWCLA330"/>
    <x v="685"/>
    <x v="522"/>
    <x v="0"/>
    <x v="2"/>
    <n v="0.6"/>
    <x v="418"/>
    <n v="252"/>
    <m/>
    <n v="0"/>
    <n v="3889.2999999999997"/>
    <n v="980103.6"/>
    <n v="3.56"/>
    <n v="3889.2999999999997"/>
    <n v="14277.310924369749"/>
    <n v="10075.63025210084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2"/>
    <s v=""/>
    <n v="22"/>
    <s v=""/>
    <n v="0.27500000000000002"/>
    <n v="14"/>
    <s v=""/>
    <n v="0.7"/>
    <n v="16"/>
    <s v=""/>
    <n v="0.35555555555555557"/>
    <n v="4"/>
    <s v=""/>
    <n v="0.16"/>
    <n v="0"/>
    <n v="0"/>
    <n v="0"/>
    <n v="0"/>
    <n v="0"/>
    <n v="0"/>
    <n v="746745.6"/>
    <n v="0"/>
    <n v="0"/>
    <n v="0"/>
    <n v="252"/>
    <n v="980103.6"/>
    <n v="0"/>
    <n v="0"/>
    <n v="0"/>
    <n v="0"/>
    <n v="500"/>
    <n v="500"/>
    <n v="0"/>
    <n v="832310.2"/>
    <n v="0"/>
    <n v="0"/>
    <n v="0"/>
    <n v="252"/>
    <n v="980103.6"/>
    <n v="0"/>
    <n v="196"/>
    <n v="444"/>
    <n v="192"/>
    <n v="0"/>
    <n v="0"/>
    <n v="876525.39999999991"/>
    <n v="1726849.2"/>
    <n v="746745.6"/>
    <n v="0"/>
    <n v="252"/>
    <n v="980103.6"/>
    <n v="2741243.6974789919"/>
    <n v="80"/>
    <n v="308"/>
    <n v="22"/>
    <n v="0"/>
    <n v="0"/>
    <n v="1134856.8"/>
    <n v="85564.599999999991"/>
    <x v="0"/>
    <x v="0"/>
    <n v="252"/>
    <n v="980103.6"/>
    <n v="314100.84033613448"/>
    <n v="20"/>
    <n v="266"/>
    <n v="12"/>
    <m/>
    <n v="0"/>
    <n v="0"/>
    <n v="1034553.7999999999"/>
    <n v="44215.199999999997"/>
    <x v="0"/>
    <n v="0"/>
    <n v="252"/>
    <n v="980103.6"/>
    <n v="171327.731092437"/>
    <n v="45"/>
    <n v="268"/>
    <n v="16"/>
    <m/>
    <n v="0"/>
    <n v="0"/>
    <n v="1042332.3999999999"/>
    <n v="58953.599999999999"/>
    <n v="0"/>
    <n v="0"/>
    <n v="268"/>
    <n v="980103.6"/>
    <n v="228436.97478991598"/>
    <n v="25"/>
    <n v="256"/>
    <n v="15"/>
    <n v="0"/>
    <n v="0"/>
    <n v="0"/>
    <n v="995660.79999999993"/>
    <n v="55269"/>
    <n v="0"/>
    <n v="0"/>
    <n v="256"/>
    <n v="980103.6"/>
    <n v="214159.66386554623"/>
    <n v="25"/>
    <n v="241"/>
    <n v="15"/>
    <n v="0"/>
    <n v="0"/>
    <n v="0"/>
    <n v="937321.29999999993"/>
    <n v="55269"/>
    <n v="0"/>
    <n v="0"/>
    <n v="241"/>
    <n v="937321.29999999993"/>
    <n v="214159.66386554623"/>
    <n v="26.6666666666667"/>
    <n v="226"/>
    <n v="16.000000000000018"/>
    <n v="0"/>
    <n v="0"/>
    <m/>
    <n v="832719.6"/>
    <n v="58953.600000000064"/>
    <n v="0"/>
    <n v="0"/>
    <n v="226"/>
    <n v="832719.6"/>
    <n v="228436.97478991625"/>
    <n v="50"/>
    <n v="209.99999999999997"/>
    <n v="30"/>
    <n v="0"/>
    <n v="0"/>
    <n v="0"/>
    <m/>
    <n v="773765.99999999988"/>
    <n v="110538"/>
    <n v="0"/>
    <n v="0"/>
    <n v="209.99999999999997"/>
    <n v="773765.99999999988"/>
    <n v="302268.90756302519"/>
    <n v="60"/>
    <n v="179.99999999999997"/>
    <n v="36"/>
    <n v="0"/>
    <n v="0"/>
    <n v="663227.99999999988"/>
    <n v="132645.6"/>
    <n v="0"/>
    <n v="0"/>
    <n v="179.99999999999997"/>
    <n v="663227.99999999988"/>
    <n v="380858.82352941181"/>
    <n v="80"/>
    <n v="143.99999999999997"/>
    <n v="48"/>
    <n v="0"/>
    <n v="0"/>
    <n v="530582.39999999991"/>
    <n v="176860.79999999999"/>
    <n v="0"/>
    <n v="143.99999999999997"/>
    <n v="530582.39999999991"/>
    <n v="685310.92436974798"/>
    <n v="36"/>
    <n v="95.999999999999972"/>
    <n v="21.599999999999998"/>
    <n v="0"/>
    <m/>
    <n v="353721.59999999986"/>
    <n v="84008.87999999999"/>
    <n v="0"/>
    <n v="95.999999999999972"/>
    <n v="353721.59999999986"/>
    <n v="308389.91596638656"/>
  </r>
  <r>
    <m/>
    <x v="8"/>
    <x v="12"/>
    <x v="88"/>
    <s v="MTBOBPET420"/>
    <x v="686"/>
    <x v="523"/>
    <x v="0"/>
    <x v="2"/>
    <n v="0.5"/>
    <x v="419"/>
    <n v="391"/>
    <m/>
    <n v="0"/>
    <n v="2141.2999999999997"/>
    <n v="837248.29999999993"/>
    <n v="1.96"/>
    <n v="2141.2999999999997"/>
    <n v="8394.957983193277"/>
    <n v="6714.2857142857147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6"/>
    <s v=""/>
    <n v="4"/>
    <s v=""/>
    <n v="3.9024390243902439E-2"/>
    <n v="2"/>
    <s v=""/>
    <n v="0.16666666666666666"/>
    <n v="9"/>
    <s v=""/>
    <n v="0.36"/>
    <n v="3"/>
    <s v=""/>
    <n v="0.15"/>
    <n v="0"/>
    <n v="0"/>
    <n v="0"/>
    <n v="0"/>
    <n v="0"/>
    <n v="0"/>
    <n v="205564.79999999999"/>
    <n v="0"/>
    <n v="0"/>
    <n v="0"/>
    <n v="391"/>
    <n v="837248.29999999993"/>
    <n v="0"/>
    <n v="0"/>
    <n v="0"/>
    <n v="0"/>
    <n v="500"/>
    <n v="500"/>
    <n v="0"/>
    <n v="214130"/>
    <n v="0"/>
    <n v="0"/>
    <n v="0"/>
    <n v="391"/>
    <n v="837248.29999999993"/>
    <n v="0"/>
    <n v="110.5"/>
    <n v="487"/>
    <n v="96"/>
    <n v="0"/>
    <n v="0"/>
    <n v="226301.6"/>
    <n v="1042813.0999999999"/>
    <n v="205564.79999999999"/>
    <n v="0"/>
    <n v="391"/>
    <n v="837248.29999999993"/>
    <n v="805915.96638655453"/>
    <n v="102.5"/>
    <n v="404"/>
    <n v="4"/>
    <n v="0"/>
    <n v="0"/>
    <n v="819554.39999999991"/>
    <n v="8565.1999999999989"/>
    <x v="0"/>
    <x v="0"/>
    <n v="391"/>
    <n v="837248.29999999993"/>
    <n v="33579.831932773108"/>
    <n v="12"/>
    <n v="393"/>
    <n v="6"/>
    <m/>
    <n v="0"/>
    <n v="0"/>
    <n v="841530.89999999991"/>
    <n v="12171.599999999999"/>
    <x v="0"/>
    <n v="0"/>
    <n v="391"/>
    <n v="837248.29999999993"/>
    <n v="50369.747899159658"/>
    <n v="25"/>
    <n v="400"/>
    <n v="9"/>
    <m/>
    <n v="0"/>
    <n v="0"/>
    <n v="856519.99999999988"/>
    <n v="18257.399999999998"/>
    <n v="0"/>
    <n v="0"/>
    <n v="400"/>
    <n v="837248.29999999993"/>
    <n v="75554.621848739494"/>
    <n v="20"/>
    <n v="394"/>
    <n v="10"/>
    <n v="0"/>
    <n v="0"/>
    <n v="0"/>
    <n v="843672.19999999984"/>
    <n v="20286"/>
    <n v="0"/>
    <n v="0"/>
    <n v="394"/>
    <n v="837248.29999999993"/>
    <n v="83949.579831932773"/>
    <n v="20"/>
    <n v="384"/>
    <n v="10"/>
    <n v="0"/>
    <n v="0"/>
    <n v="0"/>
    <n v="822259.19999999995"/>
    <n v="20286"/>
    <n v="0"/>
    <n v="0"/>
    <n v="384"/>
    <n v="822259.19999999995"/>
    <n v="83949.579831932773"/>
    <n v="28"/>
    <n v="374"/>
    <n v="14"/>
    <n v="0"/>
    <n v="0"/>
    <m/>
    <n v="758696.4"/>
    <n v="28400.399999999998"/>
    <n v="0"/>
    <n v="0"/>
    <n v="374"/>
    <n v="758696.4"/>
    <n v="117529.41176470587"/>
    <n v="50"/>
    <n v="360"/>
    <n v="25"/>
    <n v="0"/>
    <n v="0"/>
    <n v="0"/>
    <m/>
    <n v="730296"/>
    <n v="50715"/>
    <n v="0"/>
    <n v="0"/>
    <n v="360"/>
    <n v="730296"/>
    <n v="167857.14285714287"/>
    <n v="40"/>
    <n v="335"/>
    <n v="20"/>
    <n v="0"/>
    <n v="0"/>
    <n v="679581"/>
    <n v="40572"/>
    <n v="0"/>
    <n v="0"/>
    <n v="335"/>
    <n v="679581"/>
    <n v="141000"/>
    <n v="76"/>
    <n v="315"/>
    <n v="38"/>
    <n v="0"/>
    <n v="0"/>
    <n v="639009"/>
    <n v="77086.8"/>
    <n v="0"/>
    <n v="315"/>
    <n v="639009"/>
    <n v="319008.40336134454"/>
    <n v="24"/>
    <n v="277"/>
    <n v="12"/>
    <n v="0"/>
    <m/>
    <n v="561922.19999999995"/>
    <n v="25695.599999999999"/>
    <n v="0"/>
    <n v="277"/>
    <n v="561922.19999999995"/>
    <n v="100739.49579831932"/>
  </r>
  <r>
    <m/>
    <x v="8"/>
    <x v="12"/>
    <x v="88"/>
    <s v="MTBOBLOV420"/>
    <x v="687"/>
    <x v="524"/>
    <x v="0"/>
    <x v="2"/>
    <n v="0.5"/>
    <x v="420"/>
    <n v="351"/>
    <m/>
    <n v="0"/>
    <n v="2141.2999999999997"/>
    <n v="751596.29999999993"/>
    <n v="1.96"/>
    <n v="2141.2999999999997"/>
    <n v="8394.957983193277"/>
    <n v="6714.2857142857147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7"/>
    <s v=""/>
    <n v="18"/>
    <s v=""/>
    <n v="0.17560975609756097"/>
    <n v="11"/>
    <s v=""/>
    <n v="0.55000000000000004"/>
    <n v="15"/>
    <s v=""/>
    <n v="0.3"/>
    <n v="14"/>
    <s v=""/>
    <n v="0.56000000000000005"/>
    <n v="0"/>
    <n v="0"/>
    <n v="0"/>
    <n v="0"/>
    <n v="0"/>
    <n v="0"/>
    <n v="207706.09999999998"/>
    <n v="0"/>
    <n v="0"/>
    <n v="0"/>
    <n v="351"/>
    <n v="751596.29999999993"/>
    <n v="0"/>
    <n v="0"/>
    <n v="0"/>
    <n v="0"/>
    <n v="500"/>
    <n v="500"/>
    <n v="0"/>
    <n v="246249.49999999997"/>
    <n v="0"/>
    <n v="0"/>
    <n v="0"/>
    <n v="351"/>
    <n v="751596.29999999993"/>
    <n v="0"/>
    <n v="110.5"/>
    <n v="448"/>
    <n v="97"/>
    <n v="0"/>
    <n v="0"/>
    <n v="266535.5"/>
    <n v="959302.39999999991"/>
    <n v="207706.09999999998"/>
    <n v="0"/>
    <n v="351"/>
    <n v="751596.29999999993"/>
    <n v="814310.92436974787"/>
    <n v="102.5"/>
    <n v="404"/>
    <n v="18"/>
    <n v="0"/>
    <n v="0"/>
    <n v="819554.39999999991"/>
    <n v="38543.399999999994"/>
    <x v="0"/>
    <x v="0"/>
    <n v="351"/>
    <n v="751596.29999999993"/>
    <n v="151109.24369747899"/>
    <n v="20"/>
    <n v="362"/>
    <n v="10"/>
    <m/>
    <n v="0"/>
    <n v="0"/>
    <n v="775150.59999999986"/>
    <n v="20286"/>
    <x v="0"/>
    <n v="0"/>
    <n v="351"/>
    <n v="751596.29999999993"/>
    <n v="83949.579831932773"/>
    <n v="50"/>
    <n v="366"/>
    <n v="15"/>
    <m/>
    <n v="0"/>
    <n v="0"/>
    <n v="783715.79999999993"/>
    <n v="30429"/>
    <n v="0"/>
    <n v="0"/>
    <n v="366"/>
    <n v="751596.29999999993"/>
    <n v="125924.36974789915"/>
    <n v="25"/>
    <n v="365"/>
    <n v="12.5"/>
    <n v="0"/>
    <n v="0"/>
    <n v="0"/>
    <n v="781574.49999999988"/>
    <n v="25357.5"/>
    <n v="0"/>
    <n v="0"/>
    <n v="365"/>
    <n v="751596.29999999993"/>
    <n v="104936.97478991596"/>
    <n v="25"/>
    <n v="352.5"/>
    <n v="12.5"/>
    <n v="0"/>
    <n v="0"/>
    <n v="0"/>
    <n v="754808.24999999988"/>
    <n v="25357.5"/>
    <n v="0"/>
    <n v="0"/>
    <n v="352.5"/>
    <n v="754808.24999999988"/>
    <n v="104936.97478991596"/>
    <n v="26.6666666666667"/>
    <n v="340"/>
    <n v="13.33333333333335"/>
    <n v="0"/>
    <n v="0"/>
    <m/>
    <n v="689724"/>
    <n v="27048.000000000033"/>
    <n v="0"/>
    <n v="0"/>
    <n v="340"/>
    <n v="689724"/>
    <n v="111932.77310924383"/>
    <n v="50"/>
    <n v="326.66666666666663"/>
    <n v="25"/>
    <n v="0"/>
    <n v="0"/>
    <n v="0"/>
    <m/>
    <n v="662675.99999999988"/>
    <n v="50715"/>
    <n v="0"/>
    <n v="0"/>
    <n v="326.66666666666663"/>
    <n v="662675.99999999988"/>
    <n v="167857.14285714287"/>
    <n v="60"/>
    <n v="301.66666666666663"/>
    <n v="30"/>
    <n v="0"/>
    <n v="0"/>
    <n v="611960.99999999988"/>
    <n v="60858"/>
    <n v="0"/>
    <n v="0"/>
    <n v="301.66666666666663"/>
    <n v="611960.99999999988"/>
    <n v="211500.00000000003"/>
    <n v="80"/>
    <n v="271.66666666666663"/>
    <n v="40"/>
    <n v="0"/>
    <n v="0"/>
    <n v="551102.99999999988"/>
    <n v="81144"/>
    <n v="0"/>
    <n v="271.66666666666663"/>
    <n v="551102.99999999988"/>
    <n v="335798.31932773109"/>
    <n v="36"/>
    <n v="231.66666666666663"/>
    <n v="18"/>
    <n v="0"/>
    <m/>
    <n v="469958.99999999988"/>
    <n v="38543.399999999994"/>
    <n v="0"/>
    <n v="231.66666666666663"/>
    <n v="469958.99999999988"/>
    <n v="151109.24369747899"/>
  </r>
  <r>
    <m/>
    <x v="8"/>
    <x v="12"/>
    <x v="88"/>
    <s v="MTBOHWMON420"/>
    <x v="688"/>
    <x v="525"/>
    <x v="0"/>
    <x v="2"/>
    <n v="0.5"/>
    <x v="421"/>
    <n v="304"/>
    <m/>
    <n v="0"/>
    <n v="2141.2999999999997"/>
    <n v="650955.19999999995"/>
    <n v="1.96"/>
    <n v="2141.2999999999997"/>
    <n v="8394.957983193277"/>
    <n v="6714.2857142857147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6"/>
    <s v=""/>
    <n v="27"/>
    <s v=""/>
    <n v="0.26341463414634148"/>
    <n v="28"/>
    <s v=""/>
    <n v="1.4"/>
    <n v="28"/>
    <s v=""/>
    <n v="0.56000000000000005"/>
    <n v="10"/>
    <s v=""/>
    <n v="0.4"/>
    <n v="0"/>
    <n v="0"/>
    <n v="0"/>
    <n v="0"/>
    <n v="0"/>
    <n v="0"/>
    <n v="226977.79999999996"/>
    <n v="0"/>
    <n v="0"/>
    <n v="0"/>
    <n v="304"/>
    <n v="650955.19999999995"/>
    <n v="0"/>
    <n v="0"/>
    <n v="0"/>
    <n v="0"/>
    <n v="500"/>
    <n v="500"/>
    <n v="0"/>
    <n v="284792.89999999997"/>
    <n v="0"/>
    <n v="0"/>
    <n v="0"/>
    <n v="304"/>
    <n v="650955.19999999995"/>
    <n v="0"/>
    <n v="110.5"/>
    <n v="410"/>
    <n v="106"/>
    <n v="0"/>
    <n v="0"/>
    <n v="305078.89999999997"/>
    <n v="877932.99999999988"/>
    <n v="226977.79999999996"/>
    <n v="0"/>
    <n v="304"/>
    <n v="650955.19999999995"/>
    <n v="889865.54621848732"/>
    <n v="102.5"/>
    <n v="395"/>
    <n v="27"/>
    <n v="0"/>
    <n v="0"/>
    <n v="801297"/>
    <n v="57815.099999999991"/>
    <x v="0"/>
    <x v="0"/>
    <n v="304"/>
    <n v="650955.19999999995"/>
    <n v="226663.86554621847"/>
    <n v="20"/>
    <n v="332"/>
    <n v="10"/>
    <m/>
    <n v="0"/>
    <n v="0"/>
    <n v="710911.59999999986"/>
    <n v="20286"/>
    <x v="0"/>
    <n v="0"/>
    <n v="304"/>
    <n v="650955.19999999995"/>
    <n v="83949.579831932773"/>
    <n v="50"/>
    <n v="332"/>
    <n v="28"/>
    <m/>
    <n v="0"/>
    <n v="0"/>
    <n v="710911.59999999986"/>
    <n v="56800.799999999996"/>
    <n v="0"/>
    <n v="0"/>
    <n v="332"/>
    <n v="650955.19999999995"/>
    <n v="235058.82352941175"/>
    <n v="25"/>
    <n v="314"/>
    <n v="12.5"/>
    <n v="0"/>
    <n v="0"/>
    <n v="0"/>
    <n v="672368.2"/>
    <n v="25357.5"/>
    <n v="0"/>
    <n v="0"/>
    <n v="314"/>
    <n v="650955.19999999995"/>
    <n v="104936.97478991596"/>
    <n v="25"/>
    <n v="301.5"/>
    <n v="12.5"/>
    <n v="0"/>
    <n v="0"/>
    <n v="0"/>
    <n v="645601.94999999995"/>
    <n v="25357.5"/>
    <n v="0"/>
    <n v="0"/>
    <n v="301.5"/>
    <n v="645601.94999999995"/>
    <n v="104936.97478991596"/>
    <n v="26.6666666666667"/>
    <n v="289"/>
    <n v="13.33333333333335"/>
    <n v="0"/>
    <n v="0"/>
    <m/>
    <n v="586265.4"/>
    <n v="27048.000000000033"/>
    <n v="0"/>
    <n v="0"/>
    <n v="289"/>
    <n v="586265.4"/>
    <n v="111932.77310924383"/>
    <n v="50"/>
    <n v="275.66666666666663"/>
    <n v="25"/>
    <n v="0"/>
    <n v="0"/>
    <n v="0"/>
    <m/>
    <n v="559217.39999999991"/>
    <n v="50715"/>
    <n v="0"/>
    <n v="0"/>
    <n v="275.66666666666663"/>
    <n v="559217.39999999991"/>
    <n v="167857.14285714287"/>
    <n v="60"/>
    <n v="250.66666666666663"/>
    <n v="30"/>
    <n v="0"/>
    <n v="0"/>
    <n v="508502.39999999991"/>
    <n v="60858"/>
    <n v="0"/>
    <n v="0"/>
    <n v="250.66666666666663"/>
    <n v="508502.39999999991"/>
    <n v="211500.00000000003"/>
    <n v="80"/>
    <n v="220.66666666666663"/>
    <n v="40"/>
    <n v="0"/>
    <n v="0"/>
    <n v="447644.39999999991"/>
    <n v="81144"/>
    <n v="0"/>
    <n v="220.66666666666663"/>
    <n v="447644.39999999991"/>
    <n v="335798.31932773109"/>
    <n v="36"/>
    <n v="180.66666666666663"/>
    <n v="18"/>
    <n v="0"/>
    <m/>
    <n v="366500.39999999991"/>
    <n v="38543.399999999994"/>
    <n v="0"/>
    <n v="180.66666666666663"/>
    <n v="366500.39999999991"/>
    <n v="151109.24369747899"/>
  </r>
  <r>
    <m/>
    <x v="8"/>
    <x v="12"/>
    <x v="88"/>
    <s v="MTBOHWRAC420"/>
    <x v="689"/>
    <x v="526"/>
    <x v="0"/>
    <x v="2"/>
    <n v="0.6"/>
    <x v="422"/>
    <n v="334"/>
    <m/>
    <n v="0"/>
    <n v="2141.2999999999997"/>
    <n v="715194.2"/>
    <n v="1.96"/>
    <n v="2141.2999999999997"/>
    <n v="8394.957983193277"/>
    <n v="6714.2857142857147"/>
    <s v="Ningbo"/>
    <x v="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5"/>
    <s v=""/>
    <n v="14"/>
    <s v=""/>
    <n v="0.13658536585365855"/>
    <n v="11"/>
    <s v=""/>
    <n v="0.55000000000000004"/>
    <n v="27"/>
    <s v=""/>
    <n v="0.6"/>
    <n v="10"/>
    <s v=""/>
    <n v="0.4"/>
    <n v="0"/>
    <n v="0"/>
    <n v="0"/>
    <n v="0"/>
    <n v="0"/>
    <n v="0"/>
    <n v="224836.49999999997"/>
    <n v="0"/>
    <n v="0"/>
    <n v="0"/>
    <n v="334"/>
    <n v="715194.2"/>
    <n v="0"/>
    <n v="0"/>
    <n v="0"/>
    <n v="0"/>
    <n v="0"/>
    <n v="0"/>
    <n v="0"/>
    <n v="254814.69999999995"/>
    <n v="0"/>
    <n v="0"/>
    <n v="0"/>
    <n v="334"/>
    <n v="715194.2"/>
    <n v="0"/>
    <n v="110.5"/>
    <n v="439"/>
    <n v="105"/>
    <n v="0"/>
    <n v="0"/>
    <n v="279157.89999999997"/>
    <n v="940030.69999999984"/>
    <n v="224836.49999999997"/>
    <n v="0"/>
    <n v="334"/>
    <n v="715194.2"/>
    <n v="881470.5882352941"/>
    <n v="102.5"/>
    <n v="395"/>
    <n v="14"/>
    <n v="0"/>
    <n v="0"/>
    <n v="801297"/>
    <n v="29978.199999999997"/>
    <x v="0"/>
    <x v="0"/>
    <n v="334"/>
    <n v="715194.2"/>
    <n v="117529.41176470587"/>
    <n v="20"/>
    <n v="345"/>
    <n v="12"/>
    <m/>
    <n v="0"/>
    <n v="0"/>
    <n v="738748.49999999988"/>
    <n v="24343.199999999997"/>
    <x v="0"/>
    <n v="0"/>
    <n v="334"/>
    <n v="715194.2"/>
    <n v="100739.49579831932"/>
    <n v="45"/>
    <n v="361"/>
    <n v="27"/>
    <m/>
    <n v="0"/>
    <n v="0"/>
    <n v="773009.29999999993"/>
    <n v="54772.2"/>
    <n v="0"/>
    <n v="0"/>
    <n v="361"/>
    <n v="715194.2"/>
    <n v="226663.86554621847"/>
    <n v="25"/>
    <n v="344"/>
    <n v="15"/>
    <n v="0"/>
    <n v="0"/>
    <n v="0"/>
    <n v="736607.2"/>
    <n v="30429"/>
    <n v="0"/>
    <n v="0"/>
    <n v="344"/>
    <n v="715194.2"/>
    <n v="125924.36974789915"/>
    <n v="25"/>
    <n v="329"/>
    <n v="15"/>
    <n v="0"/>
    <n v="0"/>
    <n v="0"/>
    <n v="704487.7"/>
    <n v="30429"/>
    <n v="0"/>
    <n v="0"/>
    <n v="329"/>
    <n v="704487.7"/>
    <n v="125924.36974789915"/>
    <n v="26.6666666666667"/>
    <n v="314"/>
    <n v="16.000000000000018"/>
    <n v="0"/>
    <n v="0"/>
    <m/>
    <n v="636980.4"/>
    <n v="32457.600000000035"/>
    <n v="0"/>
    <n v="0"/>
    <n v="314"/>
    <n v="636980.4"/>
    <n v="134319.32773109258"/>
    <n v="50"/>
    <n v="298"/>
    <n v="30"/>
    <n v="0"/>
    <n v="0"/>
    <n v="0"/>
    <m/>
    <n v="604522.79999999993"/>
    <n v="60858"/>
    <n v="0"/>
    <n v="0"/>
    <n v="298"/>
    <n v="604522.79999999993"/>
    <n v="201428.57142857145"/>
    <n v="60"/>
    <n v="268"/>
    <n v="36"/>
    <n v="0"/>
    <n v="0"/>
    <n v="543664.79999999993"/>
    <n v="73029.599999999991"/>
    <n v="0"/>
    <n v="0"/>
    <n v="268"/>
    <n v="543664.79999999993"/>
    <n v="253800.00000000003"/>
    <n v="80"/>
    <n v="232"/>
    <n v="48"/>
    <n v="0"/>
    <n v="0"/>
    <n v="470635.19999999995"/>
    <n v="97372.799999999988"/>
    <n v="0"/>
    <n v="232"/>
    <n v="470635.19999999995"/>
    <n v="402957.98319327726"/>
    <n v="36"/>
    <n v="184"/>
    <n v="21.599999999999998"/>
    <n v="0"/>
    <m/>
    <n v="373262.39999999997"/>
    <n v="46252.079999999987"/>
    <n v="0"/>
    <n v="184"/>
    <n v="373262.39999999997"/>
    <n v="181331.092436974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624C3-E017-4AD8-BB60-25B581A16B5D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5:T15" firstHeaderRow="1" firstDataRow="2" firstDataCol="5" rowPageCount="3" colPageCount="1"/>
  <pivotFields count="27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m="1" x="13"/>
        <item sd="0" x="1"/>
        <item n="Simplit" sd="0" x="2"/>
        <item sd="0" x="0"/>
        <item sd="0" x="3"/>
        <item sd="0" x="4"/>
        <item m="1" x="14"/>
        <item m="1" x="9"/>
        <item m="1" x="10"/>
        <item m="1" x="11"/>
        <item m="1" x="12"/>
        <item sd="0" x="5"/>
        <item sd="0" x="6"/>
        <item m="1" x="15"/>
        <item h="1" sd="0" x="7"/>
        <item m="1" x="16"/>
        <item sd="0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8">
        <item sd="0" x="15"/>
        <item sd="0" x="0"/>
        <item x="25"/>
        <item sd="0" x="30"/>
        <item sd="0" x="24"/>
        <item sd="0" x="27"/>
        <item sd="0" x="10"/>
        <item sd="0" m="1" x="67"/>
        <item sd="0" x="8"/>
        <item sd="0" x="20"/>
        <item sd="0" x="29"/>
        <item sd="0" x="9"/>
        <item sd="0" x="21"/>
        <item sd="0" x="11"/>
        <item sd="0" x="34"/>
        <item sd="0" x="28"/>
        <item sd="0" x="26"/>
        <item sd="0" x="12"/>
        <item sd="0" x="35"/>
        <item sd="0" x="22"/>
        <item sd="0" x="31"/>
        <item sd="0" x="32"/>
        <item sd="0" x="33"/>
        <item sd="0" x="17"/>
        <item sd="0" x="4"/>
        <item sd="0" x="18"/>
        <item sd="0" x="19"/>
        <item sd="0" x="6"/>
        <item sd="0" x="1"/>
        <item sd="0" x="3"/>
        <item sd="0" x="14"/>
        <item sd="0" x="7"/>
        <item sd="0" x="5"/>
        <item sd="0" m="1" x="51"/>
        <item sd="0" m="1" x="37"/>
        <item sd="0" m="1" x="61"/>
        <item sd="0" m="1" x="60"/>
        <item sd="0" m="1" x="63"/>
        <item sd="0" m="1" x="46"/>
        <item sd="0" m="1" x="44"/>
        <item sd="0" m="1" x="56"/>
        <item sd="0" m="1" x="65"/>
        <item sd="0" m="1" x="45"/>
        <item sd="0" m="1" x="57"/>
        <item sd="0" m="1" x="47"/>
        <item sd="0" m="1" x="64"/>
        <item sd="0" m="1" x="62"/>
        <item sd="0" m="1" x="48"/>
        <item sd="0" m="1" x="58"/>
        <item sd="0" m="1" x="66"/>
        <item sd="0" m="1" x="53"/>
        <item sd="0" m="1" x="40"/>
        <item sd="0" m="1" x="54"/>
        <item sd="0" m="1" x="55"/>
        <item sd="0" m="1" x="42"/>
        <item sd="0" m="1" x="38"/>
        <item sd="0" m="1" x="39"/>
        <item sd="0" m="1" x="50"/>
        <item sd="0" m="1" x="43"/>
        <item sd="0" m="1" x="41"/>
        <item sd="0" m="1" x="59"/>
        <item sd="0" m="1" x="52"/>
        <item sd="0" m="1" x="49"/>
        <item sd="0" x="23"/>
        <item sd="0" x="16"/>
        <item sd="0" x="13"/>
        <item sd="0" x="2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0">
        <item m="1" x="89"/>
        <item x="87"/>
        <item x="77"/>
        <item x="71"/>
        <item x="21"/>
        <item x="74"/>
        <item x="60"/>
        <item x="83"/>
        <item x="7"/>
        <item x="22"/>
        <item x="24"/>
        <item x="57"/>
        <item x="86"/>
        <item x="65"/>
        <item x="54"/>
        <item x="43"/>
        <item x="26"/>
        <item x="28"/>
        <item x="2"/>
        <item x="49"/>
        <item x="36"/>
        <item x="42"/>
        <item x="31"/>
        <item x="8"/>
        <item x="10"/>
        <item x="0"/>
        <item x="1"/>
        <item x="11"/>
        <item x="67"/>
        <item x="78"/>
        <item x="50"/>
        <item x="55"/>
        <item x="48"/>
        <item x="85"/>
        <item x="3"/>
        <item x="84"/>
        <item x="52"/>
        <item x="58"/>
        <item x="63"/>
        <item x="13"/>
        <item x="4"/>
        <item x="70"/>
        <item x="34"/>
        <item x="61"/>
        <item x="59"/>
        <item x="79"/>
        <item x="69"/>
        <item x="62"/>
        <item x="25"/>
        <item x="44"/>
        <item x="80"/>
        <item x="12"/>
        <item x="16"/>
        <item x="27"/>
        <item x="6"/>
        <item x="72"/>
        <item x="17"/>
        <item x="41"/>
        <item x="37"/>
        <item x="40"/>
        <item x="23"/>
        <item x="9"/>
        <item x="20"/>
        <item x="82"/>
        <item x="39"/>
        <item x="38"/>
        <item x="14"/>
        <item x="45"/>
        <item x="75"/>
        <item x="53"/>
        <item x="68"/>
        <item x="66"/>
        <item x="81"/>
        <item x="32"/>
        <item x="33"/>
        <item x="19"/>
        <item x="18"/>
        <item x="73"/>
        <item x="51"/>
        <item x="30"/>
        <item x="15"/>
        <item x="46"/>
        <item x="29"/>
        <item x="35"/>
        <item x="64"/>
        <item x="47"/>
        <item x="56"/>
        <item x="5"/>
        <item x="88"/>
        <item x="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18">
        <item x="24"/>
        <item m="1" x="692"/>
        <item x="34"/>
        <item m="1" x="709"/>
        <item x="35"/>
        <item x="78"/>
        <item x="76"/>
        <item m="1" x="710"/>
        <item x="77"/>
        <item x="127"/>
        <item x="667"/>
        <item x="72"/>
        <item x="75"/>
        <item x="79"/>
        <item m="1" x="711"/>
        <item m="1" x="712"/>
        <item x="71"/>
        <item x="73"/>
        <item x="137"/>
        <item x="136"/>
        <item x="114"/>
        <item x="106"/>
        <item x="74"/>
        <item x="519"/>
        <item x="498"/>
        <item m="1" x="700"/>
        <item x="564"/>
        <item m="1" x="713"/>
        <item x="461"/>
        <item x="462"/>
        <item x="481"/>
        <item x="480"/>
        <item x="443"/>
        <item x="442"/>
        <item x="455"/>
        <item x="456"/>
        <item x="207"/>
        <item x="215"/>
        <item x="216"/>
        <item x="217"/>
        <item m="1" x="706"/>
        <item m="1" x="707"/>
        <item m="1" x="702"/>
        <item m="1" x="703"/>
        <item x="463"/>
        <item m="1" x="701"/>
        <item x="495"/>
        <item x="512"/>
        <item x="515"/>
        <item x="544"/>
        <item x="1"/>
        <item x="583"/>
        <item x="581"/>
        <item x="587"/>
        <item m="1" x="708"/>
        <item x="206"/>
        <item x="208"/>
        <item x="209"/>
        <item x="32"/>
        <item x="0"/>
        <item x="482"/>
        <item x="514"/>
        <item x="513"/>
        <item x="489"/>
        <item x="490"/>
        <item x="491"/>
        <item x="547"/>
        <item x="545"/>
        <item x="496"/>
        <item x="594"/>
        <item m="1" x="694"/>
        <item m="1" x="695"/>
        <item x="25"/>
        <item x="565"/>
        <item x="11"/>
        <item m="1" x="690"/>
        <item x="13"/>
        <item m="1" x="717"/>
        <item x="580"/>
        <item x="54"/>
        <item x="56"/>
        <item m="1" x="697"/>
        <item m="1" x="698"/>
        <item x="38"/>
        <item x="39"/>
        <item x="520"/>
        <item x="548"/>
        <item m="1" x="714"/>
        <item x="464"/>
        <item x="452"/>
        <item x="454"/>
        <item m="1" x="715"/>
        <item x="492"/>
        <item x="523"/>
        <item x="524"/>
        <item x="497"/>
        <item x="521"/>
        <item x="501"/>
        <item x="502"/>
        <item x="503"/>
        <item x="504"/>
        <item x="505"/>
        <item x="506"/>
        <item x="507"/>
        <item x="562"/>
        <item x="499"/>
        <item x="591"/>
        <item x="579"/>
        <item m="1" x="696"/>
        <item x="128"/>
        <item x="129"/>
        <item m="1" x="691"/>
        <item x="14"/>
        <item x="457"/>
        <item x="458"/>
        <item x="459"/>
        <item x="537"/>
        <item x="536"/>
        <item x="538"/>
        <item x="539"/>
        <item x="33"/>
        <item x="500"/>
        <item x="29"/>
        <item m="1" x="704"/>
        <item m="1" x="705"/>
        <item x="91"/>
        <item m="1" x="693"/>
        <item x="92"/>
        <item x="93"/>
        <item x="94"/>
        <item x="95"/>
        <item x="549"/>
        <item x="540"/>
        <item x="541"/>
        <item x="542"/>
        <item x="550"/>
        <item x="551"/>
        <item x="543"/>
        <item m="1" x="716"/>
        <item x="493"/>
        <item x="494"/>
        <item x="460"/>
        <item m="1" x="699"/>
        <item x="563"/>
        <item x="525"/>
        <item x="526"/>
        <item x="80"/>
        <item x="81"/>
        <item x="82"/>
        <item x="589"/>
        <item x="86"/>
        <item x="85"/>
        <item x="107"/>
        <item x="108"/>
        <item x="109"/>
        <item x="165"/>
        <item x="166"/>
        <item x="167"/>
        <item x="140"/>
        <item x="141"/>
        <item x="142"/>
        <item x="143"/>
        <item x="144"/>
        <item x="145"/>
        <item x="152"/>
        <item x="153"/>
        <item x="154"/>
        <item x="120"/>
        <item x="117"/>
        <item x="119"/>
        <item x="116"/>
        <item x="118"/>
        <item x="115"/>
        <item x="202"/>
        <item x="198"/>
        <item x="199"/>
        <item x="200"/>
        <item x="201"/>
        <item x="83"/>
        <item x="84"/>
        <item x="87"/>
        <item x="88"/>
        <item x="227"/>
        <item x="226"/>
        <item x="224"/>
        <item x="225"/>
        <item x="228"/>
        <item x="229"/>
        <item x="221"/>
        <item x="223"/>
        <item x="222"/>
        <item x="231"/>
        <item x="230"/>
        <item x="113"/>
        <item x="112"/>
        <item x="111"/>
        <item x="192"/>
        <item x="193"/>
        <item x="197"/>
        <item x="194"/>
        <item x="195"/>
        <item x="196"/>
        <item x="138"/>
        <item x="139"/>
        <item x="124"/>
        <item x="125"/>
        <item x="104"/>
        <item x="105"/>
        <item x="100"/>
        <item x="103"/>
        <item x="101"/>
        <item x="102"/>
        <item x="96"/>
        <item x="99"/>
        <item x="97"/>
        <item x="98"/>
        <item x="204"/>
        <item x="205"/>
        <item x="214"/>
        <item x="212"/>
        <item x="213"/>
        <item x="210"/>
        <item x="211"/>
        <item x="184"/>
        <item x="185"/>
        <item x="186"/>
        <item x="187"/>
        <item x="233"/>
        <item x="232"/>
        <item x="146"/>
        <item x="147"/>
        <item x="148"/>
        <item x="149"/>
        <item x="150"/>
        <item x="151"/>
        <item x="188"/>
        <item x="189"/>
        <item x="190"/>
        <item x="191"/>
        <item x="15"/>
        <item x="37"/>
        <item x="48"/>
        <item x="49"/>
        <item x="46"/>
        <item x="47"/>
        <item x="26"/>
        <item x="40"/>
        <item x="41"/>
        <item x="64"/>
        <item x="42"/>
        <item x="17"/>
        <item x="50"/>
        <item x="52"/>
        <item x="51"/>
        <item x="30"/>
        <item x="68"/>
        <item x="20"/>
        <item x="27"/>
        <item x="55"/>
        <item x="60"/>
        <item x="62"/>
        <item x="61"/>
        <item x="533"/>
        <item x="531"/>
        <item x="532"/>
        <item x="444"/>
        <item x="447"/>
        <item x="576"/>
        <item x="573"/>
        <item x="577"/>
        <item x="483"/>
        <item x="477"/>
        <item x="476"/>
        <item x="473"/>
        <item x="472"/>
        <item x="467"/>
        <item x="474"/>
        <item x="466"/>
        <item x="475"/>
        <item x="468"/>
        <item x="469"/>
        <item x="559"/>
        <item x="560"/>
        <item x="558"/>
        <item x="561"/>
        <item x="567"/>
        <item x="566"/>
        <item x="569"/>
        <item x="479"/>
        <item x="575"/>
        <item x="572"/>
        <item x="578"/>
        <item x="574"/>
        <item x="508"/>
        <item x="509"/>
        <item x="510"/>
        <item x="511"/>
        <item x="445"/>
        <item x="446"/>
        <item x="23"/>
        <item x="453"/>
        <item x="89"/>
        <item x="90"/>
        <item x="613"/>
        <item x="614"/>
        <item x="615"/>
        <item x="616"/>
        <item x="617"/>
        <item x="618"/>
        <item x="619"/>
        <item x="43"/>
        <item x="599"/>
        <item x="59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2"/>
        <item x="3"/>
        <item x="4"/>
        <item x="5"/>
        <item x="6"/>
        <item x="7"/>
        <item x="8"/>
        <item x="9"/>
        <item x="10"/>
        <item x="66"/>
        <item x="67"/>
        <item x="626"/>
        <item x="627"/>
        <item x="628"/>
        <item x="629"/>
        <item x="630"/>
        <item x="646"/>
        <item x="643"/>
        <item x="644"/>
        <item x="645"/>
        <item x="632"/>
        <item x="637"/>
        <item x="638"/>
        <item x="639"/>
        <item x="631"/>
        <item x="642"/>
        <item x="651"/>
        <item x="640"/>
        <item x="448"/>
        <item x="252"/>
        <item x="110"/>
        <item x="126"/>
        <item x="130"/>
        <item x="131"/>
        <item x="132"/>
        <item x="133"/>
        <item x="134"/>
        <item x="36"/>
        <item x="620"/>
        <item x="657"/>
        <item x="658"/>
        <item x="659"/>
        <item x="660"/>
        <item x="661"/>
        <item x="662"/>
        <item x="663"/>
        <item x="664"/>
        <item x="665"/>
        <item x="666"/>
        <item x="527"/>
        <item x="528"/>
        <item x="529"/>
        <item x="530"/>
        <item x="625"/>
        <item x="570"/>
        <item x="155"/>
        <item x="156"/>
        <item x="157"/>
        <item x="158"/>
        <item x="159"/>
        <item x="160"/>
        <item x="161"/>
        <item x="162"/>
        <item x="522"/>
        <item x="516"/>
        <item x="465"/>
        <item x="552"/>
        <item x="553"/>
        <item x="554"/>
        <item x="555"/>
        <item x="556"/>
        <item x="557"/>
        <item x="478"/>
        <item x="601"/>
        <item x="600"/>
        <item x="606"/>
        <item x="622"/>
        <item x="354"/>
        <item x="355"/>
        <item x="356"/>
        <item x="357"/>
        <item x="358"/>
        <item x="359"/>
        <item x="360"/>
        <item x="361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652"/>
        <item x="653"/>
        <item x="654"/>
        <item x="655"/>
        <item x="656"/>
        <item x="22"/>
        <item x="28"/>
        <item x="63"/>
        <item x="168"/>
        <item x="169"/>
        <item x="170"/>
        <item x="171"/>
        <item x="172"/>
        <item x="173"/>
        <item x="641"/>
        <item x="53"/>
        <item x="16"/>
        <item x="362"/>
        <item x="363"/>
        <item x="364"/>
        <item x="365"/>
        <item x="65"/>
        <item x="31"/>
        <item x="57"/>
        <item x="58"/>
        <item x="59"/>
        <item x="203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450"/>
        <item x="451"/>
        <item x="470"/>
        <item x="471"/>
        <item x="568"/>
        <item x="571"/>
        <item x="647"/>
        <item x="623"/>
        <item x="517"/>
        <item x="584"/>
        <item x="585"/>
        <item x="586"/>
        <item x="588"/>
        <item x="592"/>
        <item x="593"/>
        <item x="649"/>
        <item x="69"/>
        <item x="70"/>
        <item x="54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597"/>
        <item x="598"/>
        <item x="596"/>
        <item x="21"/>
        <item x="44"/>
        <item x="45"/>
        <item x="121"/>
        <item x="122"/>
        <item x="123"/>
        <item x="135"/>
        <item x="174"/>
        <item x="175"/>
        <item x="176"/>
        <item x="177"/>
        <item x="178"/>
        <item x="179"/>
        <item x="180"/>
        <item x="181"/>
        <item x="182"/>
        <item x="183"/>
        <item x="218"/>
        <item x="219"/>
        <item x="220"/>
        <item x="484"/>
        <item x="485"/>
        <item x="486"/>
        <item x="487"/>
        <item x="488"/>
        <item x="518"/>
        <item x="534"/>
        <item x="535"/>
        <item x="621"/>
        <item x="624"/>
        <item x="633"/>
        <item x="634"/>
        <item x="635"/>
        <item x="636"/>
        <item x="648"/>
        <item x="650"/>
        <item x="18"/>
        <item x="19"/>
        <item x="163"/>
        <item x="164"/>
        <item x="449"/>
        <item x="590"/>
        <item x="602"/>
        <item x="603"/>
        <item x="605"/>
        <item x="607"/>
        <item x="608"/>
        <item x="609"/>
        <item x="610"/>
        <item x="611"/>
        <item x="612"/>
        <item x="582"/>
        <item x="604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230">
        <item m="1" x="665"/>
        <item m="1" x="713"/>
        <item m="1" x="708"/>
        <item m="1" x="707"/>
        <item m="1" x="706"/>
        <item m="1" x="705"/>
        <item m="1" x="709"/>
        <item m="1" x="716"/>
        <item m="1" x="715"/>
        <item m="1" x="717"/>
        <item m="1" x="718"/>
        <item m="1" x="712"/>
        <item m="1" x="711"/>
        <item m="1" x="737"/>
        <item m="1" x="738"/>
        <item m="1" x="739"/>
        <item m="1" x="736"/>
        <item m="1" x="1197"/>
        <item m="1" x="1151"/>
        <item m="1" x="1149"/>
        <item m="1" x="1150"/>
        <item x="290"/>
        <item x="289"/>
        <item m="1" x="1067"/>
        <item m="1" x="1068"/>
        <item m="1" x="1070"/>
        <item m="1" x="809"/>
        <item m="1" x="808"/>
        <item m="1" x="810"/>
        <item m="1" x="811"/>
        <item m="1" x="812"/>
        <item m="1" x="807"/>
        <item m="1" x="741"/>
        <item m="1" x="748"/>
        <item m="1" x="744"/>
        <item m="1" x="746"/>
        <item m="1" x="745"/>
        <item m="1" x="747"/>
        <item m="1" x="749"/>
        <item m="1" x="743"/>
        <item m="1" x="742"/>
        <item m="1" x="773"/>
        <item m="1" x="772"/>
        <item m="1" x="774"/>
        <item m="1" x="779"/>
        <item m="1" x="780"/>
        <item m="1" x="781"/>
        <item m="1" x="783"/>
        <item m="1" x="785"/>
        <item m="1" x="782"/>
        <item m="1" x="786"/>
        <item m="1" x="784"/>
        <item m="1" x="794"/>
        <item m="1" x="797"/>
        <item m="1" x="795"/>
        <item m="1" x="799"/>
        <item m="1" x="798"/>
        <item m="1" x="800"/>
        <item m="1" x="796"/>
        <item m="1" x="776"/>
        <item m="1" x="778"/>
        <item m="1" x="775"/>
        <item m="1" x="777"/>
        <item m="1" x="1102"/>
        <item m="1" x="1103"/>
        <item m="1" x="1104"/>
        <item m="1" x="1105"/>
        <item m="1" x="837"/>
        <item m="1" x="836"/>
        <item m="1" x="835"/>
        <item m="1" x="666"/>
        <item m="1" x="1101"/>
        <item m="1" x="671"/>
        <item m="1" x="672"/>
        <item m="1" x="1200"/>
        <item m="1" x="1125"/>
        <item m="1" x="1122"/>
        <item m="1" x="1124"/>
        <item m="1" x="1121"/>
        <item m="1" x="1123"/>
        <item m="1" x="1120"/>
        <item m="1" x="649"/>
        <item m="1" x="859"/>
        <item m="1" x="860"/>
        <item m="1" x="861"/>
        <item m="1" x="858"/>
        <item m="1" x="862"/>
        <item m="1" x="1084"/>
        <item m="1" x="1155"/>
        <item m="1" x="1153"/>
        <item m="1" x="1154"/>
        <item m="1" x="1152"/>
        <item m="1" x="1175"/>
        <item m="1" x="1176"/>
        <item m="1" x="1174"/>
        <item m="1" x="667"/>
        <item m="1" x="1137"/>
        <item m="1" x="1178"/>
        <item m="1" x="1177"/>
        <item m="1" x="1194"/>
        <item m="1" x="1195"/>
        <item m="1" x="1193"/>
        <item m="1" x="680"/>
        <item m="1" x="679"/>
        <item x="399"/>
        <item m="1" x="793"/>
        <item m="1" x="790"/>
        <item m="1" x="789"/>
        <item m="1" x="792"/>
        <item m="1" x="791"/>
        <item m="1" x="869"/>
        <item m="1" x="871"/>
        <item m="1" x="870"/>
        <item m="1" x="866"/>
        <item m="1" x="868"/>
        <item m="1" x="867"/>
        <item m="1" x="873"/>
        <item m="1" x="874"/>
        <item m="1" x="872"/>
        <item m="1" x="863"/>
        <item m="1" x="865"/>
        <item m="1" x="864"/>
        <item m="1" x="876"/>
        <item m="1" x="875"/>
        <item m="1" x="647"/>
        <item m="1" x="648"/>
        <item m="1" x="1179"/>
        <item m="1" x="1183"/>
        <item m="1" x="1182"/>
        <item m="1" x="1181"/>
        <item m="1" x="660"/>
        <item m="1" x="701"/>
        <item m="1" x="751"/>
        <item m="1" x="750"/>
        <item m="1" x="752"/>
        <item m="1" x="1072"/>
        <item m="1" x="1073"/>
        <item x="300"/>
        <item m="1" x="829"/>
        <item m="1" x="825"/>
        <item m="1" x="828"/>
        <item m="1" x="827"/>
        <item m="1" x="830"/>
        <item m="1" x="826"/>
        <item x="124"/>
        <item m="1" x="673"/>
        <item m="1" x="674"/>
        <item m="1" x="676"/>
        <item m="1" x="675"/>
        <item m="1" x="677"/>
        <item m="1" x="767"/>
        <item m="1" x="768"/>
        <item m="1" x="766"/>
        <item m="1" x="770"/>
        <item m="1" x="771"/>
        <item m="1" x="764"/>
        <item m="1" x="765"/>
        <item m="1" x="756"/>
        <item m="1" x="769"/>
        <item m="1" x="757"/>
        <item m="1" x="758"/>
        <item m="1" x="1138"/>
        <item m="1" x="753"/>
        <item m="1" x="1099"/>
        <item m="1" x="1100"/>
        <item m="1" x="1134"/>
        <item m="1" x="1131"/>
        <item m="1" x="1132"/>
        <item m="1" x="1133"/>
        <item sd="0" m="1" x="1116"/>
        <item x="91"/>
        <item m="1" x="725"/>
        <item m="1" x="734"/>
        <item m="1" x="735"/>
        <item m="1" x="730"/>
        <item m="1" x="733"/>
        <item m="1" x="731"/>
        <item m="1" x="732"/>
        <item m="1" x="726"/>
        <item m="1" x="729"/>
        <item m="1" x="727"/>
        <item m="1" x="728"/>
        <item m="1" x="723"/>
        <item m="1" x="721"/>
        <item m="1" x="722"/>
        <item m="1" x="724"/>
        <item m="1" x="1083"/>
        <item m="1" x="669"/>
        <item m="1" x="668"/>
        <item x="73"/>
        <item m="1" x="703"/>
        <item m="1" x="702"/>
        <item m="1" x="646"/>
        <item m="1" x="684"/>
        <item m="1" x="686"/>
        <item m="1" x="685"/>
        <item x="210"/>
        <item x="212"/>
        <item x="211"/>
        <item m="1" x="1075"/>
        <item m="1" x="1074"/>
        <item m="1" x="1076"/>
        <item x="504"/>
        <item m="1" x="1144"/>
        <item m="1" x="1143"/>
        <item m="1" x="1140"/>
        <item m="1" x="1142"/>
        <item m="1" x="1141"/>
        <item m="1" x="1199"/>
        <item m="1" x="1088"/>
        <item m="1" x="1180"/>
        <item m="1" x="1160"/>
        <item m="1" x="1191"/>
        <item m="1" x="1106"/>
        <item m="1" x="1164"/>
        <item m="1" x="1165"/>
        <item m="1" x="1161"/>
        <item m="1" x="1163"/>
        <item m="1" x="1115"/>
        <item m="1" x="1114"/>
        <item m="1" x="1192"/>
        <item m="1" x="1189"/>
        <item m="1" x="1186"/>
        <item m="1" x="1188"/>
        <item m="1" x="1185"/>
        <item m="1" x="1118"/>
        <item m="1" x="1190"/>
        <item m="1" x="1187"/>
        <item m="1" x="1159"/>
        <item m="1" x="1167"/>
        <item m="1" x="1158"/>
        <item m="1" x="1156"/>
        <item m="1" x="1157"/>
        <item m="1" x="1166"/>
        <item m="1" x="1117"/>
        <item m="1" x="1093"/>
        <item m="1" x="1094"/>
        <item m="1" x="1097"/>
        <item m="1" x="1096"/>
        <item x="321"/>
        <item m="1" x="1095"/>
        <item m="1" x="1119"/>
        <item m="1" x="1090"/>
        <item m="1" x="1089"/>
        <item m="1" x="1087"/>
        <item m="1" x="1136"/>
        <item m="1" x="1081"/>
        <item m="1" x="1082"/>
        <item m="1" x="704"/>
        <item m="1" x="663"/>
        <item m="1" x="664"/>
        <item m="1" x="842"/>
        <item m="1" x="843"/>
        <item m="1" x="844"/>
        <item m="1" x="838"/>
        <item m="1" x="840"/>
        <item m="1" x="841"/>
        <item m="1" x="839"/>
        <item m="1" x="856"/>
        <item m="1" x="857"/>
        <item m="1" x="849"/>
        <item m="1" x="845"/>
        <item m="1" x="847"/>
        <item m="1" x="848"/>
        <item x="202"/>
        <item m="1" x="850"/>
        <item m="1" x="853"/>
        <item m="1" x="855"/>
        <item m="1" x="854"/>
        <item m="1" x="846"/>
        <item m="1" x="851"/>
        <item m="1" x="852"/>
        <item m="1" x="636"/>
        <item m="1" x="635"/>
        <item m="1" x="700"/>
        <item m="1" x="1085"/>
        <item m="1" x="787"/>
        <item m="1" x="788"/>
        <item m="1" x="834"/>
        <item m="1" x="832"/>
        <item m="1" x="831"/>
        <item m="1" x="833"/>
        <item m="1" x="1108"/>
        <item m="1" x="1107"/>
        <item m="1" x="694"/>
        <item m="1" x="688"/>
        <item m="1" x="696"/>
        <item m="1" x="690"/>
        <item m="1" x="695"/>
        <item m="1" x="689"/>
        <item m="1" x="817"/>
        <item m="1" x="814"/>
        <item m="1" x="816"/>
        <item m="1" x="815"/>
        <item m="1" x="818"/>
        <item m="1" x="1080"/>
        <item m="1" x="1079"/>
        <item m="1" x="1078"/>
        <item m="1" x="1077"/>
        <item m="1" x="1110"/>
        <item m="1" x="1109"/>
        <item m="1" x="819"/>
        <item m="1" x="878"/>
        <item m="1" x="877"/>
        <item m="1" x="1196"/>
        <item m="1" x="530"/>
        <item m="1" x="1126"/>
        <item m="1" x="1127"/>
        <item m="1" x="1128"/>
        <item m="1" x="1129"/>
        <item m="1" x="1130"/>
        <item m="1" x="824"/>
        <item m="1" x="820"/>
        <item m="1" x="822"/>
        <item m="1" x="821"/>
        <item m="1" x="823"/>
        <item m="1" x="1112"/>
        <item m="1" x="1113"/>
        <item m="1" x="1111"/>
        <item m="1" x="659"/>
        <item m="1" x="531"/>
        <item m="1" x="710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8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655"/>
        <item m="1" x="661"/>
        <item m="1" x="652"/>
        <item m="1" x="975"/>
        <item m="1" x="976"/>
        <item m="1" x="977"/>
        <item m="1" x="911"/>
        <item m="1" x="912"/>
        <item m="1" x="913"/>
        <item m="1" x="914"/>
        <item x="452"/>
        <item x="453"/>
        <item m="1" x="1206"/>
        <item m="1" x="1207"/>
        <item x="455"/>
        <item x="456"/>
        <item x="457"/>
        <item m="1" x="657"/>
        <item m="1" x="662"/>
        <item m="1" x="71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698"/>
        <item m="1" x="1229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81"/>
        <item m="1" x="682"/>
        <item m="1" x="678"/>
        <item x="66"/>
        <item x="67"/>
        <item x="464"/>
        <item x="465"/>
        <item x="466"/>
        <item m="1" x="1211"/>
        <item x="467"/>
        <item x="468"/>
        <item m="1" x="1212"/>
        <item x="483"/>
        <item m="1" x="1214"/>
        <item m="1" x="1215"/>
        <item x="482"/>
        <item x="470"/>
        <item x="475"/>
        <item x="476"/>
        <item x="477"/>
        <item x="469"/>
        <item x="480"/>
        <item m="1" x="1217"/>
        <item x="478"/>
        <item m="1" x="740"/>
        <item m="1" x="755"/>
        <item m="1" x="759"/>
        <item m="1" x="760"/>
        <item m="1" x="761"/>
        <item m="1" x="762"/>
        <item m="1" x="763"/>
        <item m="1" x="670"/>
        <item m="1" x="1208"/>
        <item m="1" x="1223"/>
        <item x="495"/>
        <item m="1" x="1224"/>
        <item x="497"/>
        <item x="498"/>
        <item x="499"/>
        <item x="500"/>
        <item x="501"/>
        <item m="1" x="1225"/>
        <item x="503"/>
        <item m="1" x="697"/>
        <item m="1" x="719"/>
        <item m="1" x="720"/>
        <item m="1" x="1145"/>
        <item m="1" x="1146"/>
        <item m="1" x="1147"/>
        <item m="1" x="1148"/>
        <item m="1" x="1210"/>
        <item m="1" x="1184"/>
        <item m="1" x="801"/>
        <item m="1" x="802"/>
        <item m="1" x="803"/>
        <item m="1" x="804"/>
        <item m="1" x="805"/>
        <item m="1" x="1226"/>
        <item m="1" x="1227"/>
        <item m="1" x="1228"/>
        <item m="1" x="1139"/>
        <item m="1" x="1135"/>
        <item m="1" x="1086"/>
        <item m="1" x="1168"/>
        <item m="1" x="1169"/>
        <item m="1" x="1170"/>
        <item m="1" x="1171"/>
        <item m="1" x="1172"/>
        <item m="1" x="1173"/>
        <item m="1" x="1098"/>
        <item m="1" x="1204"/>
        <item m="1" x="1209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x="222"/>
        <item x="223"/>
        <item x="224"/>
        <item x="225"/>
        <item x="226"/>
        <item m="1" x="879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m="1" x="1218"/>
        <item m="1" x="1219"/>
        <item m="1" x="1220"/>
        <item m="1" x="1221"/>
        <item m="1" x="1222"/>
        <item m="1" x="1203"/>
        <item m="1" x="630"/>
        <item m="1" x="1069"/>
        <item m="1" x="1213"/>
        <item m="1" x="617"/>
        <item m="1" x="618"/>
        <item m="1" x="813"/>
        <item m="1" x="620"/>
        <item m="1" x="621"/>
        <item m="1" x="622"/>
        <item m="1" x="687"/>
        <item m="1" x="754"/>
        <item m="1" x="650"/>
        <item m="1" x="651"/>
        <item m="1" x="1201"/>
        <item m="1" x="1202"/>
        <item m="1" x="699"/>
        <item x="69"/>
        <item x="70"/>
        <item x="434"/>
        <item x="435"/>
        <item x="406"/>
        <item m="1" x="550"/>
        <item m="1" x="683"/>
        <item m="1" x="658"/>
        <item m="1" x="691"/>
        <item m="1" x="692"/>
        <item m="1" x="693"/>
        <item x="20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97"/>
        <item x="298"/>
        <item m="1" x="1091"/>
        <item m="1" x="1092"/>
        <item x="409"/>
        <item m="1" x="1216"/>
        <item m="1" x="1205"/>
        <item x="461"/>
        <item m="1" x="545"/>
        <item m="1" x="528"/>
        <item m="1" x="532"/>
        <item m="1" x="533"/>
        <item x="357"/>
        <item m="1" x="534"/>
        <item m="1" x="1198"/>
        <item m="1" x="625"/>
        <item m="1" x="538"/>
        <item m="1" x="1162"/>
        <item x="422"/>
        <item x="423"/>
        <item x="42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m="1" x="656"/>
        <item m="1" x="557"/>
        <item m="1" x="558"/>
        <item x="119"/>
        <item x="120"/>
        <item x="121"/>
        <item x="132"/>
        <item x="171"/>
        <item x="172"/>
        <item x="173"/>
        <item x="174"/>
        <item x="175"/>
        <item x="176"/>
        <item x="177"/>
        <item x="178"/>
        <item x="179"/>
        <item x="180"/>
        <item x="213"/>
        <item x="214"/>
        <item x="215"/>
        <item x="331"/>
        <item x="332"/>
        <item x="333"/>
        <item x="334"/>
        <item x="335"/>
        <item x="358"/>
        <item x="372"/>
        <item x="373"/>
        <item m="1" x="623"/>
        <item m="1" x="626"/>
        <item m="1" x="627"/>
        <item x="430"/>
        <item x="432"/>
        <item m="1" x="631"/>
        <item m="1" x="632"/>
        <item m="1" x="633"/>
        <item m="1" x="634"/>
        <item m="1" x="536"/>
        <item x="447"/>
        <item x="448"/>
        <item x="449"/>
        <item x="450"/>
        <item m="1" x="537"/>
        <item x="459"/>
        <item x="462"/>
        <item x="471"/>
        <item x="472"/>
        <item x="473"/>
        <item x="474"/>
        <item x="485"/>
        <item x="487"/>
        <item x="486"/>
        <item m="1" x="653"/>
        <item m="1" x="654"/>
        <item x="431"/>
        <item m="1" x="614"/>
        <item m="1" x="615"/>
        <item m="1" x="616"/>
        <item x="160"/>
        <item m="1" x="806"/>
        <item m="1" x="1071"/>
        <item x="296"/>
        <item m="1" x="540"/>
        <item m="1" x="541"/>
        <item m="1" x="542"/>
        <item m="1" x="543"/>
        <item m="1" x="544"/>
        <item x="8"/>
        <item x="9"/>
        <item x="10"/>
        <item x="11"/>
        <item x="13"/>
        <item x="14"/>
        <item m="1" x="546"/>
        <item m="1" x="547"/>
        <item x="17"/>
        <item x="18"/>
        <item x="19"/>
        <item x="20"/>
        <item x="21"/>
        <item x="22"/>
        <item m="1" x="548"/>
        <item m="1" x="549"/>
        <item x="26"/>
        <item x="27"/>
        <item x="28"/>
        <item x="29"/>
        <item x="30"/>
        <item x="32"/>
        <item x="33"/>
        <item m="1" x="551"/>
        <item m="1" x="552"/>
        <item x="36"/>
        <item x="37"/>
        <item m="1" x="553"/>
        <item m="1" x="554"/>
        <item m="1" x="555"/>
        <item m="1" x="556"/>
        <item x="43"/>
        <item m="1" x="559"/>
        <item m="1" x="560"/>
        <item m="1" x="561"/>
        <item x="49"/>
        <item x="50"/>
        <item x="51"/>
        <item x="52"/>
        <item x="54"/>
        <item x="55"/>
        <item x="56"/>
        <item x="57"/>
        <item x="58"/>
        <item x="59"/>
        <item m="1" x="562"/>
        <item m="1" x="563"/>
        <item m="1" x="564"/>
        <item m="1" x="565"/>
        <item x="64"/>
        <item m="1" x="566"/>
        <item m="1" x="567"/>
        <item x="71"/>
        <item x="72"/>
        <item x="74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x="85"/>
        <item x="86"/>
        <item m="1" x="577"/>
        <item m="1" x="578"/>
        <item m="1" x="579"/>
        <item m="1" x="580"/>
        <item m="1" x="581"/>
        <item m="1" x="582"/>
        <item x="106"/>
        <item x="107"/>
        <item x="108"/>
        <item x="112"/>
        <item m="1" x="583"/>
        <item m="1" x="584"/>
        <item m="1" x="585"/>
        <item m="1" x="586"/>
        <item m="1" x="587"/>
        <item x="122"/>
        <item x="123"/>
        <item x="125"/>
        <item x="126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x="143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x="161"/>
        <item x="162"/>
        <item x="163"/>
        <item x="164"/>
        <item m="1" x="61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1"/>
        <item x="203"/>
        <item x="204"/>
        <item x="205"/>
        <item x="206"/>
        <item x="207"/>
        <item x="208"/>
        <item x="209"/>
        <item x="216"/>
        <item x="217"/>
        <item x="218"/>
        <item x="219"/>
        <item x="220"/>
        <item x="221"/>
        <item x="227"/>
        <item x="240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1"/>
        <item x="292"/>
        <item x="293"/>
        <item x="294"/>
        <item x="295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2"/>
        <item x="323"/>
        <item x="324"/>
        <item x="325"/>
        <item x="326"/>
        <item x="327"/>
        <item x="328"/>
        <item x="329"/>
        <item x="330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7"/>
        <item x="408"/>
        <item x="410"/>
        <item x="411"/>
        <item x="412"/>
        <item x="413"/>
        <item x="414"/>
        <item x="415"/>
        <item x="416"/>
        <item x="417"/>
        <item x="418"/>
        <item x="419"/>
        <item x="421"/>
        <item m="1" x="624"/>
        <item x="427"/>
        <item x="433"/>
        <item m="1" x="628"/>
        <item x="437"/>
        <item m="1" x="629"/>
        <item x="439"/>
        <item x="445"/>
        <item x="454"/>
        <item x="458"/>
        <item x="460"/>
        <item x="463"/>
        <item x="479"/>
        <item x="481"/>
        <item x="484"/>
        <item x="488"/>
        <item x="489"/>
        <item x="490"/>
        <item x="491"/>
        <item x="492"/>
        <item x="493"/>
        <item x="494"/>
        <item x="496"/>
        <item x="502"/>
        <item x="0"/>
        <item x="1"/>
        <item x="2"/>
        <item x="3"/>
        <item x="4"/>
        <item x="5"/>
        <item x="6"/>
        <item x="7"/>
        <item m="1" x="527"/>
        <item x="15"/>
        <item x="16"/>
        <item x="24"/>
        <item x="25"/>
        <item x="31"/>
        <item x="34"/>
        <item x="35"/>
        <item x="38"/>
        <item x="39"/>
        <item x="40"/>
        <item x="41"/>
        <item x="42"/>
        <item x="44"/>
        <item x="45"/>
        <item x="46"/>
        <item x="47"/>
        <item x="48"/>
        <item x="60"/>
        <item x="61"/>
        <item x="62"/>
        <item x="63"/>
        <item x="65"/>
        <item x="68"/>
        <item x="75"/>
        <item x="76"/>
        <item x="77"/>
        <item x="78"/>
        <item x="79"/>
        <item x="80"/>
        <item x="81"/>
        <item x="82"/>
        <item x="83"/>
        <item x="84"/>
        <item x="87"/>
        <item x="88"/>
        <item x="89"/>
        <item x="90"/>
        <item x="92"/>
        <item m="1" x="539"/>
        <item x="95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18"/>
        <item x="115"/>
        <item x="117"/>
        <item m="1" x="529"/>
        <item x="116"/>
        <item x="113"/>
        <item x="110"/>
        <item x="111"/>
        <item x="109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5"/>
        <item x="166"/>
        <item x="167"/>
        <item x="168"/>
        <item x="169"/>
        <item x="170"/>
        <item x="420"/>
        <item x="425"/>
        <item x="426"/>
        <item x="428"/>
        <item x="429"/>
        <item x="436"/>
        <item x="438"/>
        <item x="440"/>
        <item x="441"/>
        <item x="442"/>
        <item m="1" x="535"/>
        <item x="444"/>
        <item x="93"/>
        <item x="443"/>
        <item x="446"/>
        <item x="451"/>
        <item x="23"/>
        <item x="53"/>
        <item x="114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h="1" m="1"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10">
        <item x="3"/>
        <item x="4"/>
        <item x="0"/>
        <item x="1"/>
        <item x="2"/>
        <item x="6"/>
        <item x="5"/>
        <item x="8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424">
        <item x="353"/>
        <item x="260"/>
        <item x="382"/>
        <item x="39"/>
        <item x="259"/>
        <item x="258"/>
        <item x="355"/>
        <item x="349"/>
        <item x="41"/>
        <item x="15"/>
        <item x="364"/>
        <item x="271"/>
        <item x="26"/>
        <item x="113"/>
        <item x="47"/>
        <item x="152"/>
        <item x="273"/>
        <item x="257"/>
        <item x="367"/>
        <item x="386"/>
        <item x="37"/>
        <item x="363"/>
        <item x="42"/>
        <item x="18"/>
        <item x="272"/>
        <item x="154"/>
        <item x="267"/>
        <item x="313"/>
        <item x="38"/>
        <item x="387"/>
        <item x="329"/>
        <item x="373"/>
        <item x="372"/>
        <item x="155"/>
        <item x="291"/>
        <item x="400"/>
        <item x="23"/>
        <item x="385"/>
        <item x="28"/>
        <item x="319"/>
        <item x="58"/>
        <item x="323"/>
        <item x="52"/>
        <item x="289"/>
        <item x="376"/>
        <item x="314"/>
        <item x="48"/>
        <item x="51"/>
        <item x="375"/>
        <item x="283"/>
        <item x="97"/>
        <item x="379"/>
        <item x="380"/>
        <item x="91"/>
        <item x="350"/>
        <item x="68"/>
        <item x="25"/>
        <item x="315"/>
        <item x="31"/>
        <item x="277"/>
        <item x="88"/>
        <item x="75"/>
        <item x="310"/>
        <item x="321"/>
        <item x="316"/>
        <item x="278"/>
        <item x="43"/>
        <item x="17"/>
        <item x="293"/>
        <item x="16"/>
        <item x="104"/>
        <item x="11"/>
        <item x="108"/>
        <item x="365"/>
        <item x="95"/>
        <item x="22"/>
        <item x="308"/>
        <item x="381"/>
        <item x="92"/>
        <item x="36"/>
        <item x="59"/>
        <item x="266"/>
        <item x="320"/>
        <item x="377"/>
        <item x="76"/>
        <item x="57"/>
        <item x="362"/>
        <item x="53"/>
        <item x="13"/>
        <item x="279"/>
        <item x="72"/>
        <item x="21"/>
        <item x="274"/>
        <item x="328"/>
        <item x="105"/>
        <item x="54"/>
        <item x="74"/>
        <item x="281"/>
        <item x="378"/>
        <item x="27"/>
        <item x="129"/>
        <item x="32"/>
        <item x="397"/>
        <item x="69"/>
        <item x="322"/>
        <item x="292"/>
        <item x="35"/>
        <item x="348"/>
        <item x="352"/>
        <item x="73"/>
        <item x="126"/>
        <item x="317"/>
        <item x="65"/>
        <item x="82"/>
        <item x="354"/>
        <item x="80"/>
        <item x="78"/>
        <item x="136"/>
        <item x="407"/>
        <item x="107"/>
        <item x="61"/>
        <item x="269"/>
        <item x="396"/>
        <item x="110"/>
        <item x="343"/>
        <item x="49"/>
        <item x="263"/>
        <item x="64"/>
        <item x="318"/>
        <item x="102"/>
        <item x="94"/>
        <item x="264"/>
        <item x="371"/>
        <item x="340"/>
        <item x="33"/>
        <item x="106"/>
        <item x="389"/>
        <item x="342"/>
        <item x="309"/>
        <item x="270"/>
        <item x="100"/>
        <item x="109"/>
        <item x="71"/>
        <item x="133"/>
        <item x="112"/>
        <item x="124"/>
        <item x="262"/>
        <item x="127"/>
        <item x="119"/>
        <item x="115"/>
        <item x="130"/>
        <item x="96"/>
        <item x="34"/>
        <item x="339"/>
        <item x="77"/>
        <item x="306"/>
        <item x="282"/>
        <item x="99"/>
        <item x="290"/>
        <item x="121"/>
        <item x="134"/>
        <item x="90"/>
        <item x="388"/>
        <item x="131"/>
        <item x="114"/>
        <item x="261"/>
        <item x="79"/>
        <item x="122"/>
        <item x="280"/>
        <item x="351"/>
        <item x="327"/>
        <item x="368"/>
        <item x="117"/>
        <item x="305"/>
        <item x="98"/>
        <item x="268"/>
        <item x="50"/>
        <item x="330"/>
        <item x="14"/>
        <item x="395"/>
        <item x="19"/>
        <item x="344"/>
        <item x="135"/>
        <item x="116"/>
        <item x="93"/>
        <item x="125"/>
        <item x="63"/>
        <item x="70"/>
        <item x="415"/>
        <item x="137"/>
        <item x="87"/>
        <item x="85"/>
        <item x="276"/>
        <item x="40"/>
        <item x="86"/>
        <item x="331"/>
        <item x="120"/>
        <item x="302"/>
        <item x="66"/>
        <item x="138"/>
        <item x="24"/>
        <item x="10"/>
        <item x="393"/>
        <item x="332"/>
        <item x="62"/>
        <item x="357"/>
        <item x="128"/>
        <item x="30"/>
        <item x="29"/>
        <item x="81"/>
        <item x="284"/>
        <item x="311"/>
        <item x="123"/>
        <item x="303"/>
        <item x="103"/>
        <item x="325"/>
        <item x="324"/>
        <item x="366"/>
        <item x="359"/>
        <item x="84"/>
        <item x="356"/>
        <item x="89"/>
        <item x="301"/>
        <item x="139"/>
        <item x="55"/>
        <item x="83"/>
        <item x="142"/>
        <item x="326"/>
        <item x="361"/>
        <item x="265"/>
        <item x="358"/>
        <item x="409"/>
        <item x="360"/>
        <item x="147"/>
        <item x="0"/>
        <item x="312"/>
        <item x="288"/>
        <item x="140"/>
        <item x="144"/>
        <item x="416"/>
        <item x="307"/>
        <item x="341"/>
        <item x="4"/>
        <item x="175"/>
        <item x="9"/>
        <item x="390"/>
        <item x="345"/>
        <item x="8"/>
        <item x="285"/>
        <item x="408"/>
        <item x="336"/>
        <item x="412"/>
        <item x="410"/>
        <item x="338"/>
        <item x="149"/>
        <item x="176"/>
        <item x="174"/>
        <item x="7"/>
        <item x="394"/>
        <item x="56"/>
        <item x="300"/>
        <item x="173"/>
        <item x="145"/>
        <item x="5"/>
        <item x="417"/>
        <item x="401"/>
        <item x="418"/>
        <item x="337"/>
        <item x="346"/>
        <item x="383"/>
        <item x="347"/>
        <item x="333"/>
        <item x="146"/>
        <item x="20"/>
        <item x="12"/>
        <item x="67"/>
        <item x="179"/>
        <item x="247"/>
        <item x="180"/>
        <item x="295"/>
        <item x="169"/>
        <item x="118"/>
        <item x="404"/>
        <item x="60"/>
        <item x="143"/>
        <item x="203"/>
        <item x="215"/>
        <item x="200"/>
        <item x="421"/>
        <item x="245"/>
        <item x="190"/>
        <item x="132"/>
        <item x="226"/>
        <item x="240"/>
        <item x="170"/>
        <item x="255"/>
        <item x="211"/>
        <item x="402"/>
        <item x="181"/>
        <item x="172"/>
        <item x="210"/>
        <item x="208"/>
        <item x="158"/>
        <item x="195"/>
        <item x="199"/>
        <item x="168"/>
        <item x="216"/>
        <item x="405"/>
        <item x="299"/>
        <item x="157"/>
        <item x="184"/>
        <item x="220"/>
        <item x="374"/>
        <item x="253"/>
        <item x="398"/>
        <item x="212"/>
        <item x="298"/>
        <item x="186"/>
        <item x="217"/>
        <item x="420"/>
        <item x="249"/>
        <item x="206"/>
        <item x="222"/>
        <item x="164"/>
        <item x="197"/>
        <item x="185"/>
        <item x="205"/>
        <item x="182"/>
        <item x="161"/>
        <item x="223"/>
        <item x="156"/>
        <item x="171"/>
        <item x="218"/>
        <item x="2"/>
        <item x="246"/>
        <item x="196"/>
        <item x="411"/>
        <item x="252"/>
        <item x="198"/>
        <item x="406"/>
        <item x="419"/>
        <item x="241"/>
        <item x="235"/>
        <item x="178"/>
        <item x="189"/>
        <item x="163"/>
        <item x="243"/>
        <item x="167"/>
        <item x="1"/>
        <item x="188"/>
        <item x="414"/>
        <item x="248"/>
        <item x="159"/>
        <item x="46"/>
        <item x="204"/>
        <item x="294"/>
        <item x="275"/>
        <item x="296"/>
        <item x="191"/>
        <item x="44"/>
        <item x="422"/>
        <item x="335"/>
        <item x="239"/>
        <item x="6"/>
        <item x="192"/>
        <item x="304"/>
        <item x="187"/>
        <item x="286"/>
        <item x="207"/>
        <item x="287"/>
        <item x="384"/>
        <item x="403"/>
        <item x="183"/>
        <item x="219"/>
        <item x="297"/>
        <item x="369"/>
        <item x="141"/>
        <item x="3"/>
        <item x="162"/>
        <item x="151"/>
        <item x="165"/>
        <item x="194"/>
        <item x="45"/>
        <item x="101"/>
        <item x="111"/>
        <item x="148"/>
        <item x="150"/>
        <item x="153"/>
        <item x="160"/>
        <item x="166"/>
        <item x="177"/>
        <item x="193"/>
        <item x="201"/>
        <item x="202"/>
        <item x="209"/>
        <item x="213"/>
        <item x="214"/>
        <item x="221"/>
        <item x="224"/>
        <item x="225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42"/>
        <item x="244"/>
        <item x="250"/>
        <item x="251"/>
        <item x="254"/>
        <item x="256"/>
        <item x="334"/>
        <item x="370"/>
        <item x="391"/>
        <item x="392"/>
        <item x="399"/>
        <item x="4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"/>
    <field x="2"/>
    <field x="3"/>
    <field x="5"/>
    <field x="6"/>
  </rowFields>
  <rowItems count="9">
    <i>
      <x v="1"/>
    </i>
    <i>
      <x v="2"/>
    </i>
    <i>
      <x v="3"/>
    </i>
    <i>
      <x v="4"/>
    </i>
    <i>
      <x v="5"/>
    </i>
    <i>
      <x v="11"/>
    </i>
    <i>
      <x v="12"/>
    </i>
    <i>
      <x v="1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3">
    <pageField fld="7" hier="-1"/>
    <pageField fld="8" hier="-1"/>
    <pageField fld="10" hier="-1"/>
  </pageFields>
  <dataFields count="15">
    <dataField name=" Stock HOY" fld="11" baseField="1" baseItem="4" numFmtId="3"/>
    <dataField name=" Transito JUL 26" fld="146" baseField="1" baseItem="1" numFmtId="3"/>
    <dataField name=" Stock + Pedido Unid JUL26" fld="152" baseField="1" baseItem="1" numFmtId="3"/>
    <dataField name="  Venta PPTO JUL26" fld="144" baseField="1" baseItem="1" numFmtId="3"/>
    <dataField name=" Cobert. JUL 26 Unid" fld="271" baseField="1" baseItem="1" numFmtId="4"/>
    <dataField name=" Stock Inicial AGO26" fld="156" baseField="1" baseItem="1" numFmtId="3"/>
    <dataField name=" Transito AGO 26" fld="159" baseField="1" baseItem="1" numFmtId="3"/>
    <dataField name=" Stock + Pedido Unid AGO26" fld="165" baseField="1" baseItem="1" numFmtId="3"/>
    <dataField name="  Venta PPTO AGO26" fld="157" baseField="1" baseItem="1" numFmtId="3"/>
    <dataField name=" Cobert. AGO 26 Unid" fld="272" baseField="1" baseItem="1" numFmtId="4"/>
    <dataField name=" Stock Inicial SEP26" fld="169" baseField="1" baseItem="1" numFmtId="3"/>
    <dataField name=" Transito SEP 26" fld="172" baseField="1" baseItem="1" numFmtId="3"/>
    <dataField name=" Stock + Pedido Unid SEP26" fld="178" baseField="1" baseItem="1" numFmtId="3"/>
    <dataField name="  Venta PPTO SEP26" fld="170" baseField="1" baseItem="1" numFmtId="3"/>
    <dataField name=" Cobert. SEP 26 Unid" fld="273" baseField="1" baseItem="1" numFmtId="4"/>
  </dataFields>
  <formats count="18">
    <format dxfId="17">
      <pivotArea outline="0" fieldPosition="0">
        <references count="1">
          <reference field="4294967294" count="1">
            <x v="0"/>
          </reference>
        </references>
      </pivotArea>
    </format>
    <format dxfId="16">
      <pivotArea dataOnly="0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dataOnly="0" outline="0" fieldPosition="0">
        <references count="1">
          <reference field="4294967294" count="1">
            <x v="0"/>
          </reference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  <format dxfId="12">
      <pivotArea outline="0" fieldPosition="0">
        <references count="1">
          <reference field="4294967294" count="1">
            <x v="2"/>
          </reference>
        </references>
      </pivotArea>
    </format>
    <format dxfId="11">
      <pivotArea outline="0" fieldPosition="0">
        <references count="1">
          <reference field="4294967294" count="1">
            <x v="3"/>
          </reference>
        </references>
      </pivotArea>
    </format>
    <format dxfId="10">
      <pivotArea outline="0" fieldPosition="0">
        <references count="1">
          <reference field="4294967294" count="1">
            <x v="5"/>
          </reference>
        </references>
      </pivotArea>
    </format>
    <format dxfId="9">
      <pivotArea outline="0" fieldPosition="0">
        <references count="1">
          <reference field="4294967294" count="1">
            <x v="6"/>
          </reference>
        </references>
      </pivotArea>
    </format>
    <format dxfId="8">
      <pivotArea outline="0" fieldPosition="0">
        <references count="1">
          <reference field="4294967294" count="1">
            <x v="7"/>
          </reference>
        </references>
      </pivotArea>
    </format>
    <format dxfId="7">
      <pivotArea outline="0" fieldPosition="0">
        <references count="1">
          <reference field="4294967294" count="1">
            <x v="8"/>
          </reference>
        </references>
      </pivotArea>
    </format>
    <format dxfId="6">
      <pivotArea outline="0" fieldPosition="0">
        <references count="1">
          <reference field="4294967294" count="1">
            <x v="10"/>
          </reference>
        </references>
      </pivotArea>
    </format>
    <format dxfId="5">
      <pivotArea outline="0" fieldPosition="0">
        <references count="1">
          <reference field="4294967294" count="1">
            <x v="11"/>
          </reference>
        </references>
      </pivotArea>
    </format>
    <format dxfId="4">
      <pivotArea outline="0" fieldPosition="0">
        <references count="1">
          <reference field="4294967294" count="1">
            <x v="12"/>
          </reference>
        </references>
      </pivotArea>
    </format>
    <format dxfId="3">
      <pivotArea outline="0" fieldPosition="0">
        <references count="1">
          <reference field="4294967294" count="1">
            <x v="13"/>
          </reference>
        </references>
      </pivotArea>
    </format>
    <format dxfId="2">
      <pivotArea outline="0" fieldPosition="0">
        <references count="1">
          <reference field="4294967294" count="1">
            <x v="4"/>
          </reference>
        </references>
      </pivotArea>
    </format>
    <format dxfId="1">
      <pivotArea outline="0" fieldPosition="0">
        <references count="1">
          <reference field="4294967294" count="1">
            <x v="9"/>
          </reference>
        </references>
      </pivotArea>
    </format>
    <format dxfId="0">
      <pivotArea outline="0" fieldPosition="0">
        <references count="1">
          <reference field="4294967294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2292-349D-492A-89A9-C7216C4F1624}">
  <dimension ref="A1:G47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G1"/>
    </sheetView>
  </sheetViews>
  <sheetFormatPr baseColWidth="10" defaultColWidth="8.88671875" defaultRowHeight="14.4" x14ac:dyDescent="0.3"/>
  <cols>
    <col min="1" max="1" width="22" style="123" customWidth="1"/>
    <col min="2" max="7" width="15" style="123" customWidth="1"/>
    <col min="8" max="16384" width="8.88671875" style="123"/>
  </cols>
  <sheetData>
    <row r="1" spans="1:7" ht="25.95" customHeight="1" x14ac:dyDescent="0.3">
      <c r="A1" s="146" t="s">
        <v>1365</v>
      </c>
      <c r="B1" s="147"/>
      <c r="C1" s="147"/>
      <c r="D1" s="147"/>
      <c r="E1" s="147"/>
      <c r="F1" s="147"/>
      <c r="G1" s="147"/>
    </row>
    <row r="2" spans="1:7" ht="18" customHeight="1" x14ac:dyDescent="0.3">
      <c r="A2" s="148" t="s">
        <v>1366</v>
      </c>
      <c r="B2" s="147"/>
      <c r="C2" s="147"/>
      <c r="D2" s="147"/>
      <c r="E2" s="147"/>
      <c r="F2" s="147"/>
      <c r="G2" s="147"/>
    </row>
    <row r="3" spans="1:7" ht="25.95" customHeight="1" x14ac:dyDescent="0.3">
      <c r="A3" s="150" t="s">
        <v>1355</v>
      </c>
      <c r="B3" s="147"/>
      <c r="C3" s="147"/>
      <c r="D3" s="147"/>
      <c r="E3" s="147"/>
      <c r="F3" s="147"/>
      <c r="G3" s="147"/>
    </row>
    <row r="4" spans="1:7" ht="22.05" customHeight="1" x14ac:dyDescent="0.3">
      <c r="A4" s="177" t="s">
        <v>1357</v>
      </c>
      <c r="B4" s="178" t="s">
        <v>1367</v>
      </c>
      <c r="C4" s="178" t="s">
        <v>1368</v>
      </c>
      <c r="D4" s="179" t="s">
        <v>1369</v>
      </c>
      <c r="E4" s="180" t="s">
        <v>1370</v>
      </c>
      <c r="F4" s="180" t="s">
        <v>1371</v>
      </c>
      <c r="G4" s="181" t="s">
        <v>1372</v>
      </c>
    </row>
    <row r="5" spans="1:7" ht="16.05" customHeight="1" x14ac:dyDescent="0.3">
      <c r="A5" s="162" t="s">
        <v>1358</v>
      </c>
      <c r="B5" s="163">
        <v>120254281.2147828</v>
      </c>
      <c r="C5" s="163">
        <v>46550432.258242413</v>
      </c>
      <c r="D5" s="164">
        <v>52516750.420168072</v>
      </c>
      <c r="E5" s="182">
        <v>5966318.1619256586</v>
      </c>
      <c r="F5" s="183">
        <v>1.128168909986206</v>
      </c>
      <c r="G5" s="184">
        <v>0.4367141850556604</v>
      </c>
    </row>
    <row r="6" spans="1:7" ht="16.05" customHeight="1" x14ac:dyDescent="0.3">
      <c r="A6" s="162" t="s">
        <v>14</v>
      </c>
      <c r="B6" s="163">
        <v>140740675.3629902</v>
      </c>
      <c r="C6" s="163">
        <v>54480715.433013514</v>
      </c>
      <c r="D6" s="164">
        <v>32402563.02521009</v>
      </c>
      <c r="E6" s="182">
        <v>-22078152.40780342</v>
      </c>
      <c r="F6" s="185">
        <v>0.59475289132446318</v>
      </c>
      <c r="G6" s="184">
        <v>0.2302288442316997</v>
      </c>
    </row>
    <row r="7" spans="1:7" ht="16.05" customHeight="1" x14ac:dyDescent="0.3">
      <c r="A7" s="162" t="s">
        <v>15</v>
      </c>
      <c r="B7" s="163">
        <v>201943451.99188921</v>
      </c>
      <c r="C7" s="163">
        <v>78172310.266060308</v>
      </c>
      <c r="D7" s="164">
        <v>62649708.40336135</v>
      </c>
      <c r="E7" s="182">
        <v>-15522601.862698959</v>
      </c>
      <c r="F7" s="186">
        <v>0.80143094389985903</v>
      </c>
      <c r="G7" s="184">
        <v>0.3102339183836354</v>
      </c>
    </row>
    <row r="8" spans="1:7" ht="16.05" customHeight="1" x14ac:dyDescent="0.3">
      <c r="A8" s="162" t="s">
        <v>1359</v>
      </c>
      <c r="B8" s="163">
        <v>35219149.91471155</v>
      </c>
      <c r="C8" s="163">
        <v>13633332.93198484</v>
      </c>
      <c r="D8" s="164">
        <v>7677281.5126050422</v>
      </c>
      <c r="E8" s="182">
        <v>-5956051.4193797996</v>
      </c>
      <c r="F8" s="185">
        <v>0.56312579989839118</v>
      </c>
      <c r="G8" s="184">
        <v>0.21798599714066719</v>
      </c>
    </row>
    <row r="9" spans="1:7" ht="16.05" customHeight="1" x14ac:dyDescent="0.3">
      <c r="A9" s="162" t="s">
        <v>1360</v>
      </c>
      <c r="B9" s="163">
        <v>24699747.484177899</v>
      </c>
      <c r="C9" s="163">
        <v>9561272.2511252668</v>
      </c>
      <c r="D9" s="164">
        <v>27726603.361344539</v>
      </c>
      <c r="E9" s="182">
        <v>18165331.11021927</v>
      </c>
      <c r="F9" s="183">
        <v>2.899886399331574</v>
      </c>
      <c r="G9" s="184">
        <v>1.122546025181252</v>
      </c>
    </row>
    <row r="10" spans="1:7" ht="16.05" customHeight="1" x14ac:dyDescent="0.3">
      <c r="A10" s="162" t="s">
        <v>1361</v>
      </c>
      <c r="B10" s="163">
        <v>30187637.085662931</v>
      </c>
      <c r="C10" s="163">
        <v>11685634.315860121</v>
      </c>
      <c r="D10" s="164">
        <v>13276291.596638661</v>
      </c>
      <c r="E10" s="182">
        <v>1590657.280778538</v>
      </c>
      <c r="F10" s="183">
        <v>1.136120747730369</v>
      </c>
      <c r="G10" s="184">
        <v>0.43979234144642582</v>
      </c>
    </row>
    <row r="11" spans="1:7" ht="16.05" customHeight="1" x14ac:dyDescent="0.3">
      <c r="A11" s="162" t="s">
        <v>1362</v>
      </c>
      <c r="B11" s="163">
        <v>8028453.9441583203</v>
      </c>
      <c r="C11" s="163">
        <v>3107814.5217836858</v>
      </c>
      <c r="D11" s="164">
        <v>1889762.18487395</v>
      </c>
      <c r="E11" s="182">
        <v>-1218052.336909736</v>
      </c>
      <c r="F11" s="185">
        <v>0.60806787909252313</v>
      </c>
      <c r="G11" s="184">
        <v>0.23538307599671571</v>
      </c>
    </row>
    <row r="12" spans="1:7" ht="16.05" customHeight="1" x14ac:dyDescent="0.3">
      <c r="A12" s="162" t="s">
        <v>39</v>
      </c>
      <c r="B12" s="163">
        <v>6000000</v>
      </c>
      <c r="C12" s="163">
        <v>2322600</v>
      </c>
      <c r="D12" s="164">
        <v>0</v>
      </c>
      <c r="E12" s="182">
        <v>-2322600</v>
      </c>
      <c r="F12" s="187">
        <v>0</v>
      </c>
      <c r="G12" s="184">
        <v>0</v>
      </c>
    </row>
    <row r="13" spans="1:7" ht="19.95" customHeight="1" x14ac:dyDescent="0.3">
      <c r="A13" s="169" t="s">
        <v>45</v>
      </c>
      <c r="B13" s="166">
        <v>567073396.99837291</v>
      </c>
      <c r="C13" s="166">
        <v>219514111.97807011</v>
      </c>
      <c r="D13" s="167">
        <v>198138960.50420171</v>
      </c>
      <c r="E13" s="188">
        <v>-21375151.473868459</v>
      </c>
      <c r="F13" s="189">
        <v>0.9026251602630273</v>
      </c>
      <c r="G13" s="190">
        <v>0.34940619953781782</v>
      </c>
    </row>
    <row r="15" spans="1:7" ht="25.95" customHeight="1" x14ac:dyDescent="0.3">
      <c r="A15" s="172" t="s">
        <v>1373</v>
      </c>
      <c r="B15" s="147"/>
      <c r="C15" s="147"/>
      <c r="D15" s="147"/>
      <c r="E15" s="147"/>
      <c r="F15" s="147"/>
      <c r="G15" s="147"/>
    </row>
    <row r="16" spans="1:7" ht="22.05" customHeight="1" x14ac:dyDescent="0.3">
      <c r="A16" s="191" t="s">
        <v>1357</v>
      </c>
      <c r="B16" s="178" t="s">
        <v>1367</v>
      </c>
      <c r="C16" s="178" t="s">
        <v>1368</v>
      </c>
      <c r="D16" s="179" t="s">
        <v>1369</v>
      </c>
      <c r="E16" s="180" t="s">
        <v>1370</v>
      </c>
      <c r="F16" s="180" t="s">
        <v>1371</v>
      </c>
      <c r="G16" s="181" t="s">
        <v>1372</v>
      </c>
    </row>
    <row r="17" spans="1:7" ht="16.05" customHeight="1" x14ac:dyDescent="0.3">
      <c r="A17" s="176" t="s">
        <v>1358</v>
      </c>
      <c r="B17" s="163">
        <v>55712961.507099994</v>
      </c>
      <c r="C17" s="163">
        <v>21566487.399398409</v>
      </c>
      <c r="D17" s="164">
        <v>26127081.011620149</v>
      </c>
      <c r="E17" s="182">
        <v>4560593.6122217365</v>
      </c>
      <c r="F17" s="183">
        <v>1.211466685685169</v>
      </c>
      <c r="G17" s="184">
        <v>0.46895875402872889</v>
      </c>
    </row>
    <row r="18" spans="1:7" ht="16.05" customHeight="1" x14ac:dyDescent="0.3">
      <c r="A18" s="176" t="s">
        <v>14</v>
      </c>
      <c r="B18" s="163">
        <v>57396663.979500003</v>
      </c>
      <c r="C18" s="163">
        <v>22218248.626464449</v>
      </c>
      <c r="D18" s="164">
        <v>15764120.00106068</v>
      </c>
      <c r="E18" s="182">
        <v>-6454128.625403773</v>
      </c>
      <c r="F18" s="186">
        <v>0.70951226922016819</v>
      </c>
      <c r="G18" s="184">
        <v>0.27465219941512709</v>
      </c>
    </row>
    <row r="19" spans="1:7" ht="16.05" customHeight="1" x14ac:dyDescent="0.3">
      <c r="A19" s="176" t="s">
        <v>15</v>
      </c>
      <c r="B19" s="163">
        <v>108648846.1961</v>
      </c>
      <c r="C19" s="163">
        <v>42057968.362510309</v>
      </c>
      <c r="D19" s="164">
        <v>36780531.957541063</v>
      </c>
      <c r="E19" s="182">
        <v>-5277436.4049692452</v>
      </c>
      <c r="F19" s="186">
        <v>0.87451993972981701</v>
      </c>
      <c r="G19" s="184">
        <v>0.33852666866941222</v>
      </c>
    </row>
    <row r="20" spans="1:7" ht="16.05" customHeight="1" x14ac:dyDescent="0.3">
      <c r="A20" s="176" t="s">
        <v>1359</v>
      </c>
      <c r="B20" s="163">
        <v>13295408.677300001</v>
      </c>
      <c r="C20" s="163">
        <v>5146652.6989828302</v>
      </c>
      <c r="D20" s="164">
        <v>4333835.2460745266</v>
      </c>
      <c r="E20" s="182">
        <v>-812817.45290830359</v>
      </c>
      <c r="F20" s="186">
        <v>0.84206871913681947</v>
      </c>
      <c r="G20" s="184">
        <v>0.32596480117786281</v>
      </c>
    </row>
    <row r="21" spans="1:7" ht="16.05" customHeight="1" x14ac:dyDescent="0.3">
      <c r="A21" s="176" t="s">
        <v>1360</v>
      </c>
      <c r="B21" s="163">
        <v>13569104.7798</v>
      </c>
      <c r="C21" s="163">
        <v>5252600.4602605803</v>
      </c>
      <c r="D21" s="164">
        <v>16889646.435412001</v>
      </c>
      <c r="E21" s="182">
        <v>11637045.97515142</v>
      </c>
      <c r="F21" s="183">
        <v>3.2154828000327491</v>
      </c>
      <c r="G21" s="184">
        <v>1.2447133918926769</v>
      </c>
    </row>
    <row r="22" spans="1:7" ht="16.05" customHeight="1" x14ac:dyDescent="0.3">
      <c r="A22" s="176" t="s">
        <v>1361</v>
      </c>
      <c r="B22" s="163">
        <v>8288598.7620000001</v>
      </c>
      <c r="C22" s="163">
        <v>3208516.5807702001</v>
      </c>
      <c r="D22" s="164">
        <v>9069701.4292071518</v>
      </c>
      <c r="E22" s="182">
        <v>5861184.8484369516</v>
      </c>
      <c r="F22" s="183">
        <v>2.826758472611659</v>
      </c>
      <c r="G22" s="184">
        <v>1.0942382047479731</v>
      </c>
    </row>
    <row r="23" spans="1:7" ht="16.05" customHeight="1" x14ac:dyDescent="0.3">
      <c r="A23" s="176" t="s">
        <v>1362</v>
      </c>
      <c r="B23" s="163">
        <v>2689532.0712930369</v>
      </c>
      <c r="C23" s="163">
        <v>1041117.864797535</v>
      </c>
      <c r="D23" s="164">
        <v>1213767</v>
      </c>
      <c r="E23" s="182">
        <v>172649.1352024652</v>
      </c>
      <c r="F23" s="183">
        <v>1.1658305375789899</v>
      </c>
      <c r="G23" s="184">
        <v>0.45129300109682702</v>
      </c>
    </row>
    <row r="24" spans="1:7" ht="16.05" customHeight="1" x14ac:dyDescent="0.3">
      <c r="A24" s="176" t="s">
        <v>39</v>
      </c>
      <c r="B24" s="163">
        <v>3000000</v>
      </c>
      <c r="C24" s="163">
        <v>1161300</v>
      </c>
      <c r="D24" s="164">
        <v>0</v>
      </c>
      <c r="E24" s="182">
        <v>-1161300</v>
      </c>
      <c r="F24" s="187">
        <v>0</v>
      </c>
      <c r="G24" s="184">
        <v>0</v>
      </c>
    </row>
    <row r="25" spans="1:7" ht="19.95" customHeight="1" x14ac:dyDescent="0.3">
      <c r="A25" s="169" t="s">
        <v>45</v>
      </c>
      <c r="B25" s="166">
        <v>262601115.973093</v>
      </c>
      <c r="C25" s="166">
        <v>101652891.9931843</v>
      </c>
      <c r="D25" s="167">
        <v>110178683.0809156</v>
      </c>
      <c r="E25" s="188">
        <v>8525791.0877312571</v>
      </c>
      <c r="F25" s="189">
        <v>1.0838716038526759</v>
      </c>
      <c r="G25" s="190">
        <v>0.41956669785137107</v>
      </c>
    </row>
    <row r="27" spans="1:7" ht="25.95" customHeight="1" x14ac:dyDescent="0.3">
      <c r="A27" s="150" t="s">
        <v>1330</v>
      </c>
      <c r="B27" s="147"/>
      <c r="C27" s="147"/>
      <c r="D27" s="147"/>
      <c r="E27" s="147"/>
      <c r="F27" s="147"/>
      <c r="G27" s="147"/>
    </row>
    <row r="28" spans="1:7" ht="22.05" customHeight="1" x14ac:dyDescent="0.3">
      <c r="A28" s="177" t="s">
        <v>1332</v>
      </c>
      <c r="B28" s="178" t="s">
        <v>1367</v>
      </c>
      <c r="C28" s="178" t="s">
        <v>1368</v>
      </c>
      <c r="D28" s="179" t="s">
        <v>1369</v>
      </c>
      <c r="E28" s="180" t="s">
        <v>1370</v>
      </c>
      <c r="F28" s="180" t="s">
        <v>1371</v>
      </c>
      <c r="G28" s="181" t="s">
        <v>1372</v>
      </c>
    </row>
    <row r="29" spans="1:7" ht="16.05" customHeight="1" x14ac:dyDescent="0.3">
      <c r="A29" s="162" t="s">
        <v>1344</v>
      </c>
      <c r="B29" s="163">
        <v>23391102.239999998</v>
      </c>
      <c r="C29" s="163">
        <v>9054695.677104</v>
      </c>
      <c r="D29" s="164">
        <v>0</v>
      </c>
      <c r="E29" s="182">
        <v>-9054695.677104</v>
      </c>
      <c r="F29" s="187">
        <v>0</v>
      </c>
      <c r="G29" s="184">
        <v>0</v>
      </c>
    </row>
    <row r="30" spans="1:7" ht="16.05" customHeight="1" x14ac:dyDescent="0.3">
      <c r="A30" s="162" t="s">
        <v>1345</v>
      </c>
      <c r="B30" s="163">
        <v>73141715.350000009</v>
      </c>
      <c r="C30" s="163">
        <v>28313158.011985</v>
      </c>
      <c r="D30" s="164">
        <v>8051759.6638655467</v>
      </c>
      <c r="E30" s="182">
        <v>-20261398.34811946</v>
      </c>
      <c r="F30" s="187">
        <v>0.28438225296016872</v>
      </c>
      <c r="G30" s="184">
        <v>0.11008437012088131</v>
      </c>
    </row>
    <row r="31" spans="1:7" ht="16.05" customHeight="1" x14ac:dyDescent="0.3">
      <c r="A31" s="162" t="s">
        <v>1346</v>
      </c>
      <c r="B31" s="163">
        <v>20000000</v>
      </c>
      <c r="C31" s="163">
        <v>7742000</v>
      </c>
      <c r="D31" s="164">
        <v>5401404.2016806724</v>
      </c>
      <c r="E31" s="182">
        <v>-2340595.7983193281</v>
      </c>
      <c r="F31" s="185">
        <v>0.69767556208740278</v>
      </c>
      <c r="G31" s="184">
        <v>0.27007021008403359</v>
      </c>
    </row>
    <row r="32" spans="1:7" ht="16.05" customHeight="1" x14ac:dyDescent="0.3">
      <c r="A32" s="162" t="s">
        <v>1347</v>
      </c>
      <c r="B32" s="163">
        <v>54117994.589075632</v>
      </c>
      <c r="C32" s="163">
        <v>20949075.705431178</v>
      </c>
      <c r="D32" s="164">
        <v>19008905.882352941</v>
      </c>
      <c r="E32" s="182">
        <v>-1940169.823078237</v>
      </c>
      <c r="F32" s="189">
        <v>0.90738637587837656</v>
      </c>
      <c r="G32" s="184">
        <v>0.35124926610251961</v>
      </c>
    </row>
    <row r="33" spans="1:7" ht="16.05" customHeight="1" x14ac:dyDescent="0.3">
      <c r="A33" s="162" t="s">
        <v>1348</v>
      </c>
      <c r="B33" s="163">
        <v>359386735.69239372</v>
      </c>
      <c r="C33" s="163">
        <v>139118605.3865256</v>
      </c>
      <c r="D33" s="164">
        <v>156551064.7058824</v>
      </c>
      <c r="E33" s="182">
        <v>17432459.319356799</v>
      </c>
      <c r="F33" s="183">
        <v>1.125306455386917</v>
      </c>
      <c r="G33" s="184">
        <v>0.43560612888027561</v>
      </c>
    </row>
    <row r="34" spans="1:7" ht="16.05" customHeight="1" x14ac:dyDescent="0.3">
      <c r="A34" s="162" t="s">
        <v>1349</v>
      </c>
      <c r="B34" s="163">
        <v>37034887.5</v>
      </c>
      <c r="C34" s="163">
        <v>14336204.95125</v>
      </c>
      <c r="D34" s="164">
        <v>9616588.2352941185</v>
      </c>
      <c r="E34" s="182">
        <v>-4719616.7159558814</v>
      </c>
      <c r="F34" s="185">
        <v>0.67079037081257897</v>
      </c>
      <c r="G34" s="184">
        <v>0.25966295254154931</v>
      </c>
    </row>
    <row r="35" spans="1:7" ht="16.05" customHeight="1" x14ac:dyDescent="0.3">
      <c r="A35" s="162" t="s">
        <v>1350</v>
      </c>
      <c r="B35" s="163">
        <v>0</v>
      </c>
      <c r="C35" s="163">
        <v>0</v>
      </c>
      <c r="D35" s="164">
        <v>0</v>
      </c>
      <c r="E35" s="182">
        <v>0</v>
      </c>
      <c r="F35" s="192" t="s">
        <v>482</v>
      </c>
      <c r="G35" s="193" t="s">
        <v>482</v>
      </c>
    </row>
    <row r="36" spans="1:7" ht="19.95" customHeight="1" x14ac:dyDescent="0.3">
      <c r="A36" s="169" t="s">
        <v>45</v>
      </c>
      <c r="B36" s="166">
        <v>567072435.37146926</v>
      </c>
      <c r="C36" s="166">
        <v>219513739.73229569</v>
      </c>
      <c r="D36" s="167">
        <v>198629722.68907559</v>
      </c>
      <c r="E36" s="188">
        <v>-20884017.043220069</v>
      </c>
      <c r="F36" s="189">
        <v>0.90486236957791877</v>
      </c>
      <c r="G36" s="190">
        <v>0.35027222326361229</v>
      </c>
    </row>
    <row r="38" spans="1:7" ht="25.95" customHeight="1" x14ac:dyDescent="0.3">
      <c r="A38" s="172" t="s">
        <v>1374</v>
      </c>
      <c r="B38" s="147"/>
      <c r="C38" s="147"/>
      <c r="D38" s="147"/>
      <c r="E38" s="147"/>
      <c r="F38" s="147"/>
      <c r="G38" s="147"/>
    </row>
    <row r="39" spans="1:7" ht="22.05" customHeight="1" x14ac:dyDescent="0.3">
      <c r="A39" s="191" t="s">
        <v>1332</v>
      </c>
      <c r="B39" s="178" t="s">
        <v>1367</v>
      </c>
      <c r="C39" s="178" t="s">
        <v>1368</v>
      </c>
      <c r="D39" s="179" t="s">
        <v>1369</v>
      </c>
      <c r="E39" s="180" t="s">
        <v>1370</v>
      </c>
      <c r="F39" s="180" t="s">
        <v>1371</v>
      </c>
      <c r="G39" s="181" t="s">
        <v>1372</v>
      </c>
    </row>
    <row r="40" spans="1:7" ht="16.05" customHeight="1" x14ac:dyDescent="0.3">
      <c r="A40" s="176" t="s">
        <v>1344</v>
      </c>
      <c r="B40" s="163">
        <v>5617345.879399999</v>
      </c>
      <c r="C40" s="163">
        <v>2174474.5899157398</v>
      </c>
      <c r="D40" s="164">
        <v>0</v>
      </c>
      <c r="E40" s="182">
        <v>-2174474.5899157398</v>
      </c>
      <c r="F40" s="187">
        <v>0</v>
      </c>
      <c r="G40" s="184">
        <v>0</v>
      </c>
    </row>
    <row r="41" spans="1:7" ht="16.05" customHeight="1" x14ac:dyDescent="0.3">
      <c r="A41" s="176" t="s">
        <v>1345</v>
      </c>
      <c r="B41" s="163">
        <v>29110402.7093</v>
      </c>
      <c r="C41" s="163">
        <v>11268636.888770031</v>
      </c>
      <c r="D41" s="164">
        <v>3816097</v>
      </c>
      <c r="E41" s="182">
        <v>-7452539.8887700308</v>
      </c>
      <c r="F41" s="187">
        <v>0.33864761440693869</v>
      </c>
      <c r="G41" s="184">
        <v>0.13109049153692601</v>
      </c>
    </row>
    <row r="42" spans="1:7" ht="16.05" customHeight="1" x14ac:dyDescent="0.3">
      <c r="A42" s="176" t="s">
        <v>1346</v>
      </c>
      <c r="B42" s="163">
        <v>6000000</v>
      </c>
      <c r="C42" s="163">
        <v>2322600</v>
      </c>
      <c r="D42" s="164">
        <v>1295187.285157491</v>
      </c>
      <c r="E42" s="182">
        <v>-1027412.714842509</v>
      </c>
      <c r="F42" s="185">
        <v>0.55764543406419143</v>
      </c>
      <c r="G42" s="184">
        <v>0.21586454752624851</v>
      </c>
    </row>
    <row r="43" spans="1:7" ht="16.05" customHeight="1" x14ac:dyDescent="0.3">
      <c r="A43" s="176" t="s">
        <v>1347</v>
      </c>
      <c r="B43" s="163">
        <v>23913523.319600001</v>
      </c>
      <c r="C43" s="163">
        <v>9256924.877017159</v>
      </c>
      <c r="D43" s="164">
        <v>11057459.984809469</v>
      </c>
      <c r="E43" s="182">
        <v>1800535.1077923069</v>
      </c>
      <c r="F43" s="183">
        <v>1.194506829396728</v>
      </c>
      <c r="G43" s="184">
        <v>0.46239359365947352</v>
      </c>
    </row>
    <row r="44" spans="1:7" ht="16.05" customHeight="1" x14ac:dyDescent="0.3">
      <c r="A44" s="176" t="s">
        <v>1348</v>
      </c>
      <c r="B44" s="163">
        <v>184965016.12689301</v>
      </c>
      <c r="C44" s="163">
        <v>71599957.742720291</v>
      </c>
      <c r="D44" s="164">
        <v>88886514.78773582</v>
      </c>
      <c r="E44" s="182">
        <v>17286557.045015529</v>
      </c>
      <c r="F44" s="183">
        <v>1.24143250345386</v>
      </c>
      <c r="G44" s="184">
        <v>0.48055852208698913</v>
      </c>
    </row>
    <row r="45" spans="1:7" ht="16.05" customHeight="1" x14ac:dyDescent="0.3">
      <c r="A45" s="176" t="s">
        <v>1349</v>
      </c>
      <c r="B45" s="163">
        <v>12994827.937899999</v>
      </c>
      <c r="C45" s="163">
        <v>5030297.8947610902</v>
      </c>
      <c r="D45" s="164">
        <v>5138897.0232127868</v>
      </c>
      <c r="E45" s="182">
        <v>108599.1284516966</v>
      </c>
      <c r="F45" s="189">
        <v>1.021589005407572</v>
      </c>
      <c r="G45" s="184">
        <v>0.39545710399327122</v>
      </c>
    </row>
    <row r="46" spans="1:7" ht="16.05" customHeight="1" x14ac:dyDescent="0.3">
      <c r="A46" s="176" t="s">
        <v>1350</v>
      </c>
      <c r="B46" s="163">
        <v>0</v>
      </c>
      <c r="C46" s="163">
        <v>0</v>
      </c>
      <c r="D46" s="164">
        <v>0</v>
      </c>
      <c r="E46" s="182">
        <v>0</v>
      </c>
      <c r="F46" s="192" t="s">
        <v>482</v>
      </c>
      <c r="G46" s="193" t="s">
        <v>482</v>
      </c>
    </row>
    <row r="47" spans="1:7" ht="19.95" customHeight="1" x14ac:dyDescent="0.3">
      <c r="A47" s="169" t="s">
        <v>45</v>
      </c>
      <c r="B47" s="166">
        <v>262601115.973093</v>
      </c>
      <c r="C47" s="166">
        <v>101652891.9931843</v>
      </c>
      <c r="D47" s="167">
        <v>110194156.0809156</v>
      </c>
      <c r="E47" s="188">
        <v>8541264.087731272</v>
      </c>
      <c r="F47" s="189">
        <v>1.0840238179185691</v>
      </c>
      <c r="G47" s="190">
        <v>0.419625619916278</v>
      </c>
    </row>
  </sheetData>
  <mergeCells count="6">
    <mergeCell ref="A1:G1"/>
    <mergeCell ref="A2:G2"/>
    <mergeCell ref="A3:G3"/>
    <mergeCell ref="A15:G15"/>
    <mergeCell ref="A27:G27"/>
    <mergeCell ref="A38:G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C7C2-5A52-40CA-AAF2-A734F83D978F}">
  <dimension ref="A1:Y29"/>
  <sheetViews>
    <sheetView workbookViewId="0">
      <pane xSplit="1" ySplit="4" topLeftCell="B5" activePane="bottomRight" state="frozen"/>
      <selection pane="topRight"/>
      <selection pane="bottomLeft"/>
      <selection pane="bottomRight" sqref="A1:Y1"/>
    </sheetView>
  </sheetViews>
  <sheetFormatPr baseColWidth="10" defaultColWidth="8.88671875" defaultRowHeight="14.4" x14ac:dyDescent="0.3"/>
  <cols>
    <col min="1" max="1" width="20" style="123" customWidth="1"/>
    <col min="2" max="3" width="13" style="123" customWidth="1"/>
    <col min="4" max="4" width="7.44140625" style="123" customWidth="1"/>
    <col min="5" max="6" width="13" style="123" customWidth="1"/>
    <col min="7" max="7" width="7.44140625" style="123" customWidth="1"/>
    <col min="8" max="9" width="13" style="123" customWidth="1"/>
    <col min="10" max="10" width="7.44140625" style="123" customWidth="1"/>
    <col min="11" max="12" width="13" style="123" customWidth="1"/>
    <col min="13" max="13" width="7.44140625" style="123" customWidth="1"/>
    <col min="14" max="15" width="13" style="123" customWidth="1"/>
    <col min="16" max="16" width="7.44140625" style="123" customWidth="1"/>
    <col min="17" max="18" width="13" style="123" customWidth="1"/>
    <col min="19" max="19" width="7.44140625" style="123" customWidth="1"/>
    <col min="20" max="21" width="13" style="123" customWidth="1"/>
    <col min="22" max="22" width="7.44140625" style="123" customWidth="1"/>
    <col min="23" max="24" width="13" style="123" customWidth="1"/>
    <col min="25" max="25" width="7.44140625" style="123" customWidth="1"/>
    <col min="26" max="16384" width="8.88671875" style="123"/>
  </cols>
  <sheetData>
    <row r="1" spans="1:25" ht="25.95" customHeight="1" x14ac:dyDescent="0.3">
      <c r="A1" s="146" t="s">
        <v>1353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5" ht="16.05" customHeight="1" x14ac:dyDescent="0.3">
      <c r="A2" s="148" t="s">
        <v>1354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5" ht="25.95" customHeight="1" x14ac:dyDescent="0.3">
      <c r="A3" s="150" t="s">
        <v>1355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</row>
    <row r="4" spans="1:25" ht="13.95" customHeight="1" x14ac:dyDescent="0.3">
      <c r="A4" s="148" t="s">
        <v>1356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</row>
    <row r="5" spans="1:25" ht="19.95" customHeight="1" x14ac:dyDescent="0.3">
      <c r="A5" s="151" t="s">
        <v>1357</v>
      </c>
      <c r="B5" s="152" t="s">
        <v>1333</v>
      </c>
      <c r="C5" s="153"/>
      <c r="D5" s="153"/>
      <c r="E5" s="152" t="s">
        <v>1334</v>
      </c>
      <c r="F5" s="153"/>
      <c r="G5" s="153"/>
      <c r="H5" s="152" t="s">
        <v>1335</v>
      </c>
      <c r="I5" s="153"/>
      <c r="J5" s="153"/>
      <c r="K5" s="152" t="s">
        <v>1336</v>
      </c>
      <c r="L5" s="153"/>
      <c r="M5" s="153"/>
      <c r="N5" s="152" t="s">
        <v>1337</v>
      </c>
      <c r="O5" s="153"/>
      <c r="P5" s="153"/>
      <c r="Q5" s="152" t="s">
        <v>1338</v>
      </c>
      <c r="R5" s="153"/>
      <c r="S5" s="153"/>
      <c r="T5" s="152" t="s">
        <v>1339</v>
      </c>
      <c r="U5" s="153"/>
      <c r="V5" s="153"/>
      <c r="W5" s="154" t="s">
        <v>1340</v>
      </c>
      <c r="X5" s="153"/>
      <c r="Y5" s="153"/>
    </row>
    <row r="6" spans="1:25" ht="18" customHeight="1" x14ac:dyDescent="0.3">
      <c r="A6" s="155"/>
      <c r="B6" s="156" t="s">
        <v>1341</v>
      </c>
      <c r="C6" s="157" t="s">
        <v>1342</v>
      </c>
      <c r="D6" s="158" t="s">
        <v>1343</v>
      </c>
      <c r="E6" s="156" t="s">
        <v>1341</v>
      </c>
      <c r="F6" s="157" t="s">
        <v>1342</v>
      </c>
      <c r="G6" s="158" t="s">
        <v>1343</v>
      </c>
      <c r="H6" s="156" t="s">
        <v>1341</v>
      </c>
      <c r="I6" s="157" t="s">
        <v>1342</v>
      </c>
      <c r="J6" s="158" t="s">
        <v>1343</v>
      </c>
      <c r="K6" s="156" t="s">
        <v>1341</v>
      </c>
      <c r="L6" s="157" t="s">
        <v>1342</v>
      </c>
      <c r="M6" s="158" t="s">
        <v>1343</v>
      </c>
      <c r="N6" s="156" t="s">
        <v>1341</v>
      </c>
      <c r="O6" s="157" t="s">
        <v>1342</v>
      </c>
      <c r="P6" s="158" t="s">
        <v>1343</v>
      </c>
      <c r="Q6" s="156" t="s">
        <v>1341</v>
      </c>
      <c r="R6" s="157" t="s">
        <v>1342</v>
      </c>
      <c r="S6" s="158" t="s">
        <v>1343</v>
      </c>
      <c r="T6" s="156" t="s">
        <v>1341</v>
      </c>
      <c r="U6" s="157" t="s">
        <v>1342</v>
      </c>
      <c r="V6" s="158" t="s">
        <v>1343</v>
      </c>
      <c r="W6" s="159" t="s">
        <v>1341</v>
      </c>
      <c r="X6" s="160" t="s">
        <v>1342</v>
      </c>
      <c r="Y6" s="161" t="s">
        <v>1343</v>
      </c>
    </row>
    <row r="7" spans="1:25" ht="16.05" customHeight="1" x14ac:dyDescent="0.3">
      <c r="A7" s="162" t="s">
        <v>1358</v>
      </c>
      <c r="B7" s="163">
        <v>87731057.555528745</v>
      </c>
      <c r="C7" s="164">
        <v>52891566.915457591</v>
      </c>
      <c r="D7" s="165">
        <f t="shared" ref="D7:D15" si="0">IF(B7&lt;&gt;0,C7/B7-1,"")</f>
        <v>-0.39711695733315133</v>
      </c>
      <c r="E7" s="163">
        <v>117721980.22172651</v>
      </c>
      <c r="F7" s="164">
        <v>66010402.887834817</v>
      </c>
      <c r="G7" s="165">
        <f t="shared" ref="G7:G15" si="1">IF(E7&lt;&gt;0,F7/E7-1,"")</f>
        <v>-0.43926866704496625</v>
      </c>
      <c r="H7" s="163">
        <v>119089817.0410714</v>
      </c>
      <c r="I7" s="164">
        <v>121976787.5081038</v>
      </c>
      <c r="J7" s="165">
        <f t="shared" ref="J7:J15" si="2">IF(H7&lt;&gt;0,I7/H7-1,"")</f>
        <v>2.4241959042029082E-2</v>
      </c>
      <c r="K7" s="163">
        <v>97909148.156365678</v>
      </c>
      <c r="L7" s="164">
        <v>106691105.5863068</v>
      </c>
      <c r="M7" s="165">
        <f t="shared" ref="M7:M15" si="3">IF(K7&lt;&gt;0,L7/K7-1,"")</f>
        <v>8.9694963088800428E-2</v>
      </c>
      <c r="N7" s="163">
        <v>132106402.9667538</v>
      </c>
      <c r="O7" s="164">
        <v>88746713.445378155</v>
      </c>
      <c r="P7" s="165">
        <f t="shared" ref="P7:P15" si="4">IF(N7&lt;&gt;0,O7/N7-1,"")</f>
        <v>-0.32821792545731221</v>
      </c>
      <c r="Q7" s="163">
        <v>169562632.88840511</v>
      </c>
      <c r="R7" s="164">
        <v>180680933.6134454</v>
      </c>
      <c r="S7" s="165">
        <f t="shared" ref="S7:S15" si="5">IF(Q7&lt;&gt;0,R7/Q7-1,"")</f>
        <v>6.5570465235448516E-2</v>
      </c>
      <c r="T7" s="163">
        <v>120254281.2147828</v>
      </c>
      <c r="U7" s="164">
        <v>52516750.420168072</v>
      </c>
      <c r="V7" s="165">
        <f t="shared" ref="V7:V15" si="6">IF(T7&lt;&gt;0,U7/T7-1,"")</f>
        <v>-0.56328581494433971</v>
      </c>
      <c r="W7" s="166">
        <f t="shared" ref="W7:X14" si="7">B7+E7+H7+K7+N7+Q7+T7</f>
        <v>844375320.0446341</v>
      </c>
      <c r="X7" s="167">
        <f t="shared" si="7"/>
        <v>669514260.37669456</v>
      </c>
      <c r="Y7" s="168">
        <f t="shared" ref="Y7:Y15" si="8">IF(W7&lt;&gt;0,X7/W7-1,"")</f>
        <v>-0.20708925938135703</v>
      </c>
    </row>
    <row r="8" spans="1:25" ht="16.05" customHeight="1" x14ac:dyDescent="0.3">
      <c r="A8" s="162" t="s">
        <v>14</v>
      </c>
      <c r="B8" s="163">
        <v>122974611.4869757</v>
      </c>
      <c r="C8" s="164">
        <v>122162034.416032</v>
      </c>
      <c r="D8" s="165">
        <f t="shared" si="0"/>
        <v>-6.6076815459568117E-3</v>
      </c>
      <c r="E8" s="163">
        <v>103703078.1238147</v>
      </c>
      <c r="F8" s="164">
        <v>80150512.539493337</v>
      </c>
      <c r="G8" s="165">
        <f t="shared" si="1"/>
        <v>-0.22711539532318548</v>
      </c>
      <c r="H8" s="163">
        <v>149890838.40696341</v>
      </c>
      <c r="I8" s="164">
        <v>124646327.8058733</v>
      </c>
      <c r="J8" s="165">
        <f t="shared" si="2"/>
        <v>-0.16841930347036693</v>
      </c>
      <c r="K8" s="163">
        <v>113297698.18048801</v>
      </c>
      <c r="L8" s="164">
        <v>66563517.829446226</v>
      </c>
      <c r="M8" s="165">
        <f t="shared" si="3"/>
        <v>-0.41249011322888718</v>
      </c>
      <c r="N8" s="163">
        <v>96112368.937458754</v>
      </c>
      <c r="O8" s="164">
        <v>80956123.092830881</v>
      </c>
      <c r="P8" s="165">
        <f t="shared" si="4"/>
        <v>-0.15769297970888829</v>
      </c>
      <c r="Q8" s="163">
        <v>166954195.19136319</v>
      </c>
      <c r="R8" s="164">
        <v>94223894.117647067</v>
      </c>
      <c r="S8" s="165">
        <f t="shared" si="5"/>
        <v>-0.43563026966978891</v>
      </c>
      <c r="T8" s="163">
        <v>140740675.3629902</v>
      </c>
      <c r="U8" s="164">
        <v>32402563.02521009</v>
      </c>
      <c r="V8" s="165">
        <f t="shared" si="6"/>
        <v>-0.76977115576830024</v>
      </c>
      <c r="W8" s="166">
        <f t="shared" si="7"/>
        <v>893673465.69005394</v>
      </c>
      <c r="X8" s="167">
        <f t="shared" si="7"/>
        <v>601104972.82653296</v>
      </c>
      <c r="Y8" s="168">
        <f t="shared" si="8"/>
        <v>-0.32737739688579981</v>
      </c>
    </row>
    <row r="9" spans="1:25" ht="16.05" customHeight="1" x14ac:dyDescent="0.3">
      <c r="A9" s="162" t="s">
        <v>15</v>
      </c>
      <c r="B9" s="163">
        <v>157467003.49100029</v>
      </c>
      <c r="C9" s="164">
        <v>102593523.7355978</v>
      </c>
      <c r="D9" s="165">
        <f t="shared" si="0"/>
        <v>-0.34847605237206836</v>
      </c>
      <c r="E9" s="163">
        <v>148073308.22037649</v>
      </c>
      <c r="F9" s="164">
        <v>116908627.8273126</v>
      </c>
      <c r="G9" s="165">
        <f t="shared" si="1"/>
        <v>-0.21046791462700154</v>
      </c>
      <c r="H9" s="163">
        <v>191534779.59242639</v>
      </c>
      <c r="I9" s="164">
        <v>211155821.85366341</v>
      </c>
      <c r="J9" s="165">
        <f t="shared" si="2"/>
        <v>0.10244114569160412</v>
      </c>
      <c r="K9" s="163">
        <v>171676617.3628433</v>
      </c>
      <c r="L9" s="164">
        <v>169774779.55188909</v>
      </c>
      <c r="M9" s="165">
        <f t="shared" si="3"/>
        <v>-1.1078024719782475E-2</v>
      </c>
      <c r="N9" s="163">
        <v>175930263.0053488</v>
      </c>
      <c r="O9" s="164">
        <v>187673075.12473741</v>
      </c>
      <c r="P9" s="165">
        <f t="shared" si="4"/>
        <v>6.6746970753017054E-2</v>
      </c>
      <c r="Q9" s="163">
        <v>328513204.47168428</v>
      </c>
      <c r="R9" s="164">
        <v>310061945.92436981</v>
      </c>
      <c r="S9" s="165">
        <f t="shared" si="5"/>
        <v>-5.6165957094442609E-2</v>
      </c>
      <c r="T9" s="163">
        <v>201943451.99188921</v>
      </c>
      <c r="U9" s="164">
        <v>62649708.40336135</v>
      </c>
      <c r="V9" s="165">
        <f t="shared" si="6"/>
        <v>-0.68976608161636466</v>
      </c>
      <c r="W9" s="166">
        <f t="shared" si="7"/>
        <v>1375138628.1355689</v>
      </c>
      <c r="X9" s="167">
        <f t="shared" si="7"/>
        <v>1160817482.4209313</v>
      </c>
      <c r="Y9" s="168">
        <f t="shared" si="8"/>
        <v>-0.15585421086252005</v>
      </c>
    </row>
    <row r="10" spans="1:25" ht="16.05" customHeight="1" x14ac:dyDescent="0.3">
      <c r="A10" s="162" t="s">
        <v>1359</v>
      </c>
      <c r="B10" s="163">
        <v>24273429.4219824</v>
      </c>
      <c r="C10" s="164">
        <v>38298103.857011557</v>
      </c>
      <c r="D10" s="165">
        <f t="shared" si="0"/>
        <v>0.57777886227844633</v>
      </c>
      <c r="E10" s="163">
        <v>13807833.768873541</v>
      </c>
      <c r="F10" s="164">
        <v>22720944.141855959</v>
      </c>
      <c r="G10" s="165">
        <f t="shared" si="1"/>
        <v>0.64551112956435608</v>
      </c>
      <c r="H10" s="163">
        <v>18441914.815021001</v>
      </c>
      <c r="I10" s="164">
        <v>9837540.7809217442</v>
      </c>
      <c r="J10" s="165">
        <f t="shared" si="2"/>
        <v>-0.46656619556072154</v>
      </c>
      <c r="K10" s="163">
        <v>18663600.603387699</v>
      </c>
      <c r="L10" s="164">
        <v>25145736.465992648</v>
      </c>
      <c r="M10" s="165">
        <f t="shared" si="3"/>
        <v>0.34731432590924349</v>
      </c>
      <c r="N10" s="163">
        <v>18382120.41594312</v>
      </c>
      <c r="O10" s="164">
        <v>11477913.445378151</v>
      </c>
      <c r="P10" s="165">
        <f t="shared" si="4"/>
        <v>-0.37559361022229165</v>
      </c>
      <c r="Q10" s="163">
        <v>23528627.54665463</v>
      </c>
      <c r="R10" s="164">
        <v>12574397.4789916</v>
      </c>
      <c r="S10" s="165">
        <f t="shared" si="5"/>
        <v>-0.46557029499243086</v>
      </c>
      <c r="T10" s="163">
        <v>35219149.91471155</v>
      </c>
      <c r="U10" s="164">
        <v>7677281.5126050422</v>
      </c>
      <c r="V10" s="165">
        <f t="shared" si="6"/>
        <v>-0.78201400285933276</v>
      </c>
      <c r="W10" s="166">
        <f t="shared" si="7"/>
        <v>152316676.48657393</v>
      </c>
      <c r="X10" s="167">
        <f t="shared" si="7"/>
        <v>127731917.68275669</v>
      </c>
      <c r="Y10" s="168">
        <f t="shared" si="8"/>
        <v>-0.1614055622201308</v>
      </c>
    </row>
    <row r="11" spans="1:25" ht="16.05" customHeight="1" x14ac:dyDescent="0.3">
      <c r="A11" s="162" t="s">
        <v>1360</v>
      </c>
      <c r="B11" s="163">
        <v>14897323.51997483</v>
      </c>
      <c r="C11" s="164">
        <v>4534038.5857077213</v>
      </c>
      <c r="D11" s="165">
        <f t="shared" si="0"/>
        <v>-0.69564743763345604</v>
      </c>
      <c r="E11" s="163">
        <v>13144614.996873541</v>
      </c>
      <c r="F11" s="164">
        <v>8278443.7073266804</v>
      </c>
      <c r="G11" s="165">
        <f t="shared" si="1"/>
        <v>-0.37020264881887255</v>
      </c>
      <c r="H11" s="163">
        <v>16497312.2227626</v>
      </c>
      <c r="I11" s="164">
        <v>24951092.963005509</v>
      </c>
      <c r="J11" s="165">
        <f t="shared" si="2"/>
        <v>0.51243382110320868</v>
      </c>
      <c r="K11" s="163">
        <v>15178751.091121029</v>
      </c>
      <c r="L11" s="164">
        <v>29874546.238182779</v>
      </c>
      <c r="M11" s="165">
        <f t="shared" si="3"/>
        <v>0.96818210265390081</v>
      </c>
      <c r="N11" s="163">
        <v>18900588.36677938</v>
      </c>
      <c r="O11" s="164">
        <v>39713901.680672273</v>
      </c>
      <c r="P11" s="165">
        <f t="shared" si="4"/>
        <v>1.1011992277698304</v>
      </c>
      <c r="Q11" s="163">
        <v>37513192.32923194</v>
      </c>
      <c r="R11" s="164">
        <v>57672134.453781523</v>
      </c>
      <c r="S11" s="165">
        <f t="shared" si="5"/>
        <v>0.53738274118678087</v>
      </c>
      <c r="T11" s="163">
        <v>24699747.484177899</v>
      </c>
      <c r="U11" s="164">
        <v>27726603.361344539</v>
      </c>
      <c r="V11" s="165">
        <f t="shared" si="6"/>
        <v>0.12254602518125246</v>
      </c>
      <c r="W11" s="166">
        <f t="shared" si="7"/>
        <v>140831530.01092121</v>
      </c>
      <c r="X11" s="167">
        <f t="shared" si="7"/>
        <v>192750760.99002102</v>
      </c>
      <c r="Y11" s="168">
        <f t="shared" si="8"/>
        <v>0.3686619819799839</v>
      </c>
    </row>
    <row r="12" spans="1:25" ht="16.05" customHeight="1" x14ac:dyDescent="0.3">
      <c r="A12" s="162" t="s">
        <v>1361</v>
      </c>
      <c r="B12" s="163">
        <v>42779727.409474298</v>
      </c>
      <c r="C12" s="164">
        <v>39608427.976823851</v>
      </c>
      <c r="D12" s="165">
        <f t="shared" si="0"/>
        <v>-7.4130893876338977E-2</v>
      </c>
      <c r="E12" s="163">
        <v>51409120.062413737</v>
      </c>
      <c r="F12" s="164">
        <v>39500054.500079758</v>
      </c>
      <c r="G12" s="165">
        <f t="shared" si="1"/>
        <v>-0.23165277966002262</v>
      </c>
      <c r="H12" s="163">
        <v>39961773.384841867</v>
      </c>
      <c r="I12" s="164">
        <v>41537753.863587908</v>
      </c>
      <c r="J12" s="165">
        <f t="shared" si="2"/>
        <v>3.9437200736037292E-2</v>
      </c>
      <c r="K12" s="163">
        <v>38889103.623881549</v>
      </c>
      <c r="L12" s="164">
        <v>43110639.78762266</v>
      </c>
      <c r="M12" s="165">
        <f t="shared" si="3"/>
        <v>0.10855318766330968</v>
      </c>
      <c r="N12" s="163">
        <v>22190484.376411729</v>
      </c>
      <c r="O12" s="164">
        <v>29184959.663865551</v>
      </c>
      <c r="P12" s="165">
        <f t="shared" si="4"/>
        <v>0.31520155976806352</v>
      </c>
      <c r="Q12" s="163">
        <v>62083808.717193291</v>
      </c>
      <c r="R12" s="164">
        <v>51806510.084033623</v>
      </c>
      <c r="S12" s="165">
        <f t="shared" si="5"/>
        <v>-0.16553911310395342</v>
      </c>
      <c r="T12" s="163">
        <v>30187637.085662931</v>
      </c>
      <c r="U12" s="164">
        <v>13276291.596638661</v>
      </c>
      <c r="V12" s="165">
        <f t="shared" si="6"/>
        <v>-0.56020765855357413</v>
      </c>
      <c r="W12" s="166">
        <f t="shared" si="7"/>
        <v>287501654.65987945</v>
      </c>
      <c r="X12" s="167">
        <f t="shared" si="7"/>
        <v>258024637.47265199</v>
      </c>
      <c r="Y12" s="168">
        <f t="shared" si="8"/>
        <v>-0.10252816534951559</v>
      </c>
    </row>
    <row r="13" spans="1:25" ht="16.05" customHeight="1" x14ac:dyDescent="0.3">
      <c r="A13" s="162" t="s">
        <v>1362</v>
      </c>
      <c r="B13" s="163">
        <v>0</v>
      </c>
      <c r="C13" s="164">
        <v>0</v>
      </c>
      <c r="D13" s="165" t="str">
        <f t="shared" si="0"/>
        <v/>
      </c>
      <c r="E13" s="163">
        <v>0</v>
      </c>
      <c r="F13" s="164">
        <v>0</v>
      </c>
      <c r="G13" s="165" t="str">
        <f t="shared" si="1"/>
        <v/>
      </c>
      <c r="H13" s="163">
        <v>70353275.99999997</v>
      </c>
      <c r="I13" s="164">
        <v>74476557.168912485</v>
      </c>
      <c r="J13" s="165">
        <f t="shared" si="2"/>
        <v>5.8608232670110727E-2</v>
      </c>
      <c r="K13" s="163">
        <v>10267459.2348029</v>
      </c>
      <c r="L13" s="164">
        <v>4285631.0214515496</v>
      </c>
      <c r="M13" s="165">
        <f t="shared" si="3"/>
        <v>-0.58260062947950741</v>
      </c>
      <c r="N13" s="163">
        <v>11693035.78441086</v>
      </c>
      <c r="O13" s="164">
        <v>3609473.9495798321</v>
      </c>
      <c r="P13" s="165">
        <f t="shared" si="4"/>
        <v>-0.69131421333782472</v>
      </c>
      <c r="Q13" s="163">
        <v>17909842.1324986</v>
      </c>
      <c r="R13" s="164">
        <v>4459058.7310924381</v>
      </c>
      <c r="S13" s="165">
        <f t="shared" si="5"/>
        <v>-0.751027468689901</v>
      </c>
      <c r="T13" s="163">
        <v>8028453.9441583203</v>
      </c>
      <c r="U13" s="164">
        <v>1889762.18487395</v>
      </c>
      <c r="V13" s="165">
        <f t="shared" si="6"/>
        <v>-0.76461692400328429</v>
      </c>
      <c r="W13" s="166">
        <f t="shared" si="7"/>
        <v>118252067.09587064</v>
      </c>
      <c r="X13" s="167">
        <f t="shared" si="7"/>
        <v>88720483.055910259</v>
      </c>
      <c r="Y13" s="168">
        <f t="shared" si="8"/>
        <v>-0.24973418871416608</v>
      </c>
    </row>
    <row r="14" spans="1:25" ht="16.05" customHeight="1" x14ac:dyDescent="0.3">
      <c r="A14" s="162" t="s">
        <v>39</v>
      </c>
      <c r="B14" s="163">
        <v>0</v>
      </c>
      <c r="C14" s="164">
        <v>0</v>
      </c>
      <c r="D14" s="165" t="str">
        <f t="shared" si="0"/>
        <v/>
      </c>
      <c r="E14" s="163">
        <v>0</v>
      </c>
      <c r="F14" s="164">
        <v>0</v>
      </c>
      <c r="G14" s="165" t="str">
        <f t="shared" si="1"/>
        <v/>
      </c>
      <c r="H14" s="163">
        <v>4500000</v>
      </c>
      <c r="I14" s="164">
        <v>0</v>
      </c>
      <c r="J14" s="165">
        <f t="shared" si="2"/>
        <v>-1</v>
      </c>
      <c r="K14" s="163">
        <v>5000000</v>
      </c>
      <c r="L14" s="164">
        <v>0</v>
      </c>
      <c r="M14" s="165">
        <f t="shared" si="3"/>
        <v>-1</v>
      </c>
      <c r="N14" s="163">
        <v>5000000</v>
      </c>
      <c r="O14" s="164">
        <v>0</v>
      </c>
      <c r="P14" s="165">
        <f t="shared" si="4"/>
        <v>-1</v>
      </c>
      <c r="Q14" s="163">
        <v>15000000</v>
      </c>
      <c r="R14" s="164">
        <v>0</v>
      </c>
      <c r="S14" s="165">
        <f t="shared" si="5"/>
        <v>-1</v>
      </c>
      <c r="T14" s="163">
        <v>6000000</v>
      </c>
      <c r="U14" s="164">
        <v>0</v>
      </c>
      <c r="V14" s="165">
        <f t="shared" si="6"/>
        <v>-1</v>
      </c>
      <c r="W14" s="166">
        <f t="shared" si="7"/>
        <v>35500000</v>
      </c>
      <c r="X14" s="167">
        <f t="shared" si="7"/>
        <v>0</v>
      </c>
      <c r="Y14" s="168">
        <f t="shared" si="8"/>
        <v>-1</v>
      </c>
    </row>
    <row r="15" spans="1:25" ht="19.95" customHeight="1" x14ac:dyDescent="0.3">
      <c r="A15" s="169" t="s">
        <v>45</v>
      </c>
      <c r="B15" s="166">
        <f>SUM(B7:B14)</f>
        <v>450123152.88493627</v>
      </c>
      <c r="C15" s="167">
        <f>SUM(C7:C14)</f>
        <v>360087695.48663056</v>
      </c>
      <c r="D15" s="168">
        <f t="shared" si="0"/>
        <v>-0.20002405302026582</v>
      </c>
      <c r="E15" s="166">
        <f>SUM(E7:E14)</f>
        <v>447859935.39407855</v>
      </c>
      <c r="F15" s="167">
        <f>SUM(F7:F14)</f>
        <v>333568985.60390317</v>
      </c>
      <c r="G15" s="168">
        <f t="shared" si="1"/>
        <v>-0.25519351198407392</v>
      </c>
      <c r="H15" s="166">
        <f>SUM(H7:H14)</f>
        <v>610269711.46308661</v>
      </c>
      <c r="I15" s="167">
        <f>SUM(I7:I14)</f>
        <v>608581881.94406819</v>
      </c>
      <c r="J15" s="168">
        <f t="shared" si="2"/>
        <v>-2.7657107788815471E-3</v>
      </c>
      <c r="K15" s="166">
        <f>SUM(K7:K14)</f>
        <v>470882378.25289017</v>
      </c>
      <c r="L15" s="167">
        <f>SUM(L7:L14)</f>
        <v>445445956.48089164</v>
      </c>
      <c r="M15" s="168">
        <f t="shared" si="3"/>
        <v>-5.4018631715153642E-2</v>
      </c>
      <c r="N15" s="166">
        <f>SUM(N7:N14)</f>
        <v>480315263.85310644</v>
      </c>
      <c r="O15" s="167">
        <f>SUM(O7:O14)</f>
        <v>441362160.40244228</v>
      </c>
      <c r="P15" s="168">
        <f t="shared" si="4"/>
        <v>-8.109903303547128E-2</v>
      </c>
      <c r="Q15" s="166">
        <f>SUM(Q7:Q14)</f>
        <v>821065503.27703106</v>
      </c>
      <c r="R15" s="167">
        <f>SUM(R7:R14)</f>
        <v>711478874.40336144</v>
      </c>
      <c r="S15" s="168">
        <f t="shared" si="5"/>
        <v>-0.13346880174150322</v>
      </c>
      <c r="T15" s="166">
        <f>SUM(T7:T14)</f>
        <v>567073396.99837291</v>
      </c>
      <c r="U15" s="167">
        <f>SUM(U7:U14)</f>
        <v>198138960.50420168</v>
      </c>
      <c r="V15" s="168">
        <f t="shared" si="6"/>
        <v>-0.65059380046218218</v>
      </c>
      <c r="W15" s="170">
        <f>SUM(W7:W14)</f>
        <v>3847589342.1235013</v>
      </c>
      <c r="X15" s="171">
        <f>SUM(X7:X14)</f>
        <v>3098664514.8254991</v>
      </c>
      <c r="Y15" s="168">
        <f t="shared" si="8"/>
        <v>-0.19464780690048056</v>
      </c>
    </row>
    <row r="17" spans="1:25" ht="25.95" customHeight="1" x14ac:dyDescent="0.3">
      <c r="A17" s="172" t="s">
        <v>1363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pans="1:25" ht="13.95" customHeight="1" x14ac:dyDescent="0.3">
      <c r="A18" s="148" t="s">
        <v>1364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pans="1:25" ht="19.95" customHeight="1" x14ac:dyDescent="0.3">
      <c r="A19" s="173" t="s">
        <v>1357</v>
      </c>
      <c r="B19" s="174" t="s">
        <v>1333</v>
      </c>
      <c r="C19" s="153"/>
      <c r="D19" s="153"/>
      <c r="E19" s="174" t="s">
        <v>1334</v>
      </c>
      <c r="F19" s="153"/>
      <c r="G19" s="153"/>
      <c r="H19" s="174" t="s">
        <v>1335</v>
      </c>
      <c r="I19" s="153"/>
      <c r="J19" s="153"/>
      <c r="K19" s="174" t="s">
        <v>1336</v>
      </c>
      <c r="L19" s="153"/>
      <c r="M19" s="153"/>
      <c r="N19" s="174" t="s">
        <v>1337</v>
      </c>
      <c r="O19" s="153"/>
      <c r="P19" s="153"/>
      <c r="Q19" s="174" t="s">
        <v>1338</v>
      </c>
      <c r="R19" s="153"/>
      <c r="S19" s="153"/>
      <c r="T19" s="174" t="s">
        <v>1339</v>
      </c>
      <c r="U19" s="153"/>
      <c r="V19" s="153"/>
      <c r="W19" s="154" t="s">
        <v>1340</v>
      </c>
      <c r="X19" s="153"/>
      <c r="Y19" s="153"/>
    </row>
    <row r="20" spans="1:25" ht="18" customHeight="1" x14ac:dyDescent="0.3">
      <c r="A20" s="175"/>
      <c r="B20" s="156" t="s">
        <v>1341</v>
      </c>
      <c r="C20" s="157" t="s">
        <v>1342</v>
      </c>
      <c r="D20" s="158" t="s">
        <v>1343</v>
      </c>
      <c r="E20" s="156" t="s">
        <v>1341</v>
      </c>
      <c r="F20" s="157" t="s">
        <v>1342</v>
      </c>
      <c r="G20" s="158" t="s">
        <v>1343</v>
      </c>
      <c r="H20" s="156" t="s">
        <v>1341</v>
      </c>
      <c r="I20" s="157" t="s">
        <v>1342</v>
      </c>
      <c r="J20" s="158" t="s">
        <v>1343</v>
      </c>
      <c r="K20" s="156" t="s">
        <v>1341</v>
      </c>
      <c r="L20" s="157" t="s">
        <v>1342</v>
      </c>
      <c r="M20" s="158" t="s">
        <v>1343</v>
      </c>
      <c r="N20" s="156" t="s">
        <v>1341</v>
      </c>
      <c r="O20" s="157" t="s">
        <v>1342</v>
      </c>
      <c r="P20" s="158" t="s">
        <v>1343</v>
      </c>
      <c r="Q20" s="156" t="s">
        <v>1341</v>
      </c>
      <c r="R20" s="157" t="s">
        <v>1342</v>
      </c>
      <c r="S20" s="158" t="s">
        <v>1343</v>
      </c>
      <c r="T20" s="156" t="s">
        <v>1341</v>
      </c>
      <c r="U20" s="157" t="s">
        <v>1342</v>
      </c>
      <c r="V20" s="158" t="s">
        <v>1343</v>
      </c>
      <c r="W20" s="159" t="s">
        <v>1341</v>
      </c>
      <c r="X20" s="160" t="s">
        <v>1342</v>
      </c>
      <c r="Y20" s="161" t="s">
        <v>1343</v>
      </c>
    </row>
    <row r="21" spans="1:25" ht="16.05" customHeight="1" x14ac:dyDescent="0.3">
      <c r="A21" s="176" t="s">
        <v>1358</v>
      </c>
      <c r="B21" s="163">
        <v>43447225.7447</v>
      </c>
      <c r="C21" s="164">
        <v>28986701.368591309</v>
      </c>
      <c r="D21" s="165">
        <f t="shared" ref="D21:D29" si="9">IF(B21&lt;&gt;0,C21/B21-1,"")</f>
        <v>-0.33282963706543878</v>
      </c>
      <c r="E21" s="163">
        <v>58700520.223600008</v>
      </c>
      <c r="F21" s="164">
        <v>34525445.932922363</v>
      </c>
      <c r="G21" s="165">
        <f t="shared" ref="G21:G29" si="10">IF(E21&lt;&gt;0,F21/E21-1,"")</f>
        <v>-0.41183747943954807</v>
      </c>
      <c r="H21" s="163">
        <v>57909348.668700002</v>
      </c>
      <c r="I21" s="164">
        <v>63033325.988982588</v>
      </c>
      <c r="J21" s="165">
        <f t="shared" ref="J21:J29" si="11">IF(H21&lt;&gt;0,I21/H21-1,"")</f>
        <v>8.8482730993866276E-2</v>
      </c>
      <c r="K21" s="163">
        <v>48518684.9164</v>
      </c>
      <c r="L21" s="164">
        <v>57424030.092683554</v>
      </c>
      <c r="M21" s="165">
        <f t="shared" ref="M21:M29" si="12">IF(K21&lt;&gt;0,L21/K21-1,"")</f>
        <v>0.18354465277918974</v>
      </c>
      <c r="N21" s="163">
        <v>65494037.690800004</v>
      </c>
      <c r="O21" s="164">
        <v>47589335.495220669</v>
      </c>
      <c r="P21" s="165">
        <f t="shared" ref="P21:P29" si="13">IF(N21&lt;&gt;0,O21/N21-1,"")</f>
        <v>-0.27337911704433548</v>
      </c>
      <c r="Q21" s="163">
        <v>79993883.867200017</v>
      </c>
      <c r="R21" s="164">
        <v>87472673.892811939</v>
      </c>
      <c r="S21" s="165">
        <f t="shared" ref="S21:S29" si="14">IF(Q21&lt;&gt;0,R21/Q21-1,"")</f>
        <v>9.3492022940499631E-2</v>
      </c>
      <c r="T21" s="163">
        <v>55712961.507099994</v>
      </c>
      <c r="U21" s="164">
        <v>26127081.011620149</v>
      </c>
      <c r="V21" s="165">
        <f t="shared" ref="V21:V29" si="15">IF(T21&lt;&gt;0,U21/T21-1,"")</f>
        <v>-0.531041245971271</v>
      </c>
      <c r="W21" s="166">
        <f t="shared" ref="W21:X28" si="16">B21+E21+H21+K21+N21+Q21+T21</f>
        <v>409776662.61850005</v>
      </c>
      <c r="X21" s="167">
        <f t="shared" si="16"/>
        <v>345158593.78283256</v>
      </c>
      <c r="Y21" s="168">
        <f t="shared" ref="Y21:Y29" si="17">IF(W21&lt;&gt;0,X21/W21-1,"")</f>
        <v>-0.15769094419080321</v>
      </c>
    </row>
    <row r="22" spans="1:25" ht="16.05" customHeight="1" x14ac:dyDescent="0.3">
      <c r="A22" s="176" t="s">
        <v>14</v>
      </c>
      <c r="B22" s="163">
        <v>55310241.8583</v>
      </c>
      <c r="C22" s="164">
        <v>58753189.13962388</v>
      </c>
      <c r="D22" s="165">
        <f t="shared" si="9"/>
        <v>6.224791585877365E-2</v>
      </c>
      <c r="E22" s="163">
        <v>46698337.110200003</v>
      </c>
      <c r="F22" s="164">
        <v>41594713.591395907</v>
      </c>
      <c r="G22" s="165">
        <f t="shared" si="10"/>
        <v>-0.1092891917491714</v>
      </c>
      <c r="H22" s="163">
        <v>66485375.026000001</v>
      </c>
      <c r="I22" s="164">
        <v>63512163.88640736</v>
      </c>
      <c r="J22" s="165">
        <f t="shared" si="11"/>
        <v>-4.4719776919810217E-2</v>
      </c>
      <c r="K22" s="163">
        <v>50359799.881800003</v>
      </c>
      <c r="L22" s="164">
        <v>36902611.644615948</v>
      </c>
      <c r="M22" s="165">
        <f t="shared" si="12"/>
        <v>-0.26722084418066705</v>
      </c>
      <c r="N22" s="163">
        <v>43366193.606899999</v>
      </c>
      <c r="O22" s="164">
        <v>41692771.791119844</v>
      </c>
      <c r="P22" s="165">
        <f t="shared" si="13"/>
        <v>-3.8588164572366246E-2</v>
      </c>
      <c r="Q22" s="163">
        <v>74395301.702899992</v>
      </c>
      <c r="R22" s="164">
        <v>44448209.134812668</v>
      </c>
      <c r="S22" s="165">
        <f t="shared" si="14"/>
        <v>-0.40254010512225613</v>
      </c>
      <c r="T22" s="163">
        <v>57396663.979500003</v>
      </c>
      <c r="U22" s="164">
        <v>15764120.00106068</v>
      </c>
      <c r="V22" s="165">
        <f t="shared" si="15"/>
        <v>-0.7253478005848728</v>
      </c>
      <c r="W22" s="166">
        <f t="shared" si="16"/>
        <v>394011913.1656</v>
      </c>
      <c r="X22" s="167">
        <f t="shared" si="16"/>
        <v>302667779.18903631</v>
      </c>
      <c r="Y22" s="168">
        <f t="shared" si="17"/>
        <v>-0.2318308937480591</v>
      </c>
    </row>
    <row r="23" spans="1:25" ht="16.05" customHeight="1" x14ac:dyDescent="0.3">
      <c r="A23" s="176" t="s">
        <v>15</v>
      </c>
      <c r="B23" s="163">
        <v>83386184.786300004</v>
      </c>
      <c r="C23" s="164">
        <v>60020308.597232208</v>
      </c>
      <c r="D23" s="165">
        <f t="shared" si="9"/>
        <v>-0.28021279842637326</v>
      </c>
      <c r="E23" s="163">
        <v>78149310.081599995</v>
      </c>
      <c r="F23" s="164">
        <v>68108812.032873213</v>
      </c>
      <c r="G23" s="165">
        <f t="shared" si="10"/>
        <v>-0.1284783965238202</v>
      </c>
      <c r="H23" s="163">
        <v>101022518.7341</v>
      </c>
      <c r="I23" s="164">
        <v>118266789.0499682</v>
      </c>
      <c r="J23" s="165">
        <f t="shared" si="11"/>
        <v>0.17069729137576362</v>
      </c>
      <c r="K23" s="163">
        <v>90094348.783999994</v>
      </c>
      <c r="L23" s="164">
        <v>96599925.159428924</v>
      </c>
      <c r="M23" s="165">
        <f t="shared" si="12"/>
        <v>7.2208484363719183E-2</v>
      </c>
      <c r="N23" s="163">
        <v>90719103.180700004</v>
      </c>
      <c r="O23" s="164">
        <v>103411716.2906695</v>
      </c>
      <c r="P23" s="165">
        <f t="shared" si="13"/>
        <v>0.13991113960515622</v>
      </c>
      <c r="Q23" s="163">
        <v>162341031.30109999</v>
      </c>
      <c r="R23" s="164">
        <v>164332988.08469951</v>
      </c>
      <c r="S23" s="165">
        <f t="shared" si="14"/>
        <v>1.2270199145802962E-2</v>
      </c>
      <c r="T23" s="163">
        <v>108648846.1961</v>
      </c>
      <c r="U23" s="164">
        <v>36780531.957541063</v>
      </c>
      <c r="V23" s="165">
        <f t="shared" si="15"/>
        <v>-0.66147333133058783</v>
      </c>
      <c r="W23" s="166">
        <f t="shared" si="16"/>
        <v>714361343.06389999</v>
      </c>
      <c r="X23" s="167">
        <f t="shared" si="16"/>
        <v>647521071.17241275</v>
      </c>
      <c r="Y23" s="168">
        <f t="shared" si="17"/>
        <v>-9.3566473802752181E-2</v>
      </c>
    </row>
    <row r="24" spans="1:25" ht="16.05" customHeight="1" x14ac:dyDescent="0.3">
      <c r="A24" s="176" t="s">
        <v>1359</v>
      </c>
      <c r="B24" s="163">
        <v>11571305.8267</v>
      </c>
      <c r="C24" s="164">
        <v>20570291.574707031</v>
      </c>
      <c r="D24" s="165">
        <f t="shared" si="9"/>
        <v>0.77769837586026669</v>
      </c>
      <c r="E24" s="163">
        <v>7021673.5598999998</v>
      </c>
      <c r="F24" s="164">
        <v>12972964.45806885</v>
      </c>
      <c r="G24" s="165">
        <f t="shared" si="10"/>
        <v>0.84756017883770807</v>
      </c>
      <c r="H24" s="163">
        <v>9391795.7038000003</v>
      </c>
      <c r="I24" s="164">
        <v>5789459.3828125</v>
      </c>
      <c r="J24" s="165">
        <f t="shared" si="11"/>
        <v>-0.38356204016767148</v>
      </c>
      <c r="K24" s="163">
        <v>9214859.8227999993</v>
      </c>
      <c r="L24" s="164">
        <v>13937330.31494141</v>
      </c>
      <c r="M24" s="165">
        <f t="shared" si="12"/>
        <v>0.51248424641867807</v>
      </c>
      <c r="N24" s="163">
        <v>9084330.1254000012</v>
      </c>
      <c r="O24" s="164">
        <v>7549513</v>
      </c>
      <c r="P24" s="165">
        <f t="shared" si="13"/>
        <v>-0.16895215213597492</v>
      </c>
      <c r="Q24" s="163">
        <v>11598713.7733</v>
      </c>
      <c r="R24" s="164">
        <v>7068231.4857121538</v>
      </c>
      <c r="S24" s="165">
        <f t="shared" si="14"/>
        <v>-0.3906021284891884</v>
      </c>
      <c r="T24" s="163">
        <v>13295408.677300001</v>
      </c>
      <c r="U24" s="164">
        <v>4333835.2460745266</v>
      </c>
      <c r="V24" s="165">
        <f t="shared" si="15"/>
        <v>-0.67403519882213714</v>
      </c>
      <c r="W24" s="166">
        <f t="shared" si="16"/>
        <v>71178087.489199996</v>
      </c>
      <c r="X24" s="167">
        <f t="shared" si="16"/>
        <v>72221625.462316468</v>
      </c>
      <c r="Y24" s="168">
        <f t="shared" si="17"/>
        <v>1.4660944258650055E-2</v>
      </c>
    </row>
    <row r="25" spans="1:25" ht="16.05" customHeight="1" x14ac:dyDescent="0.3">
      <c r="A25" s="176" t="s">
        <v>1360</v>
      </c>
      <c r="B25" s="163">
        <v>8180552.6577000003</v>
      </c>
      <c r="C25" s="164">
        <v>2627406.1056213379</v>
      </c>
      <c r="D25" s="165">
        <f t="shared" si="9"/>
        <v>-0.67882290896957009</v>
      </c>
      <c r="E25" s="163">
        <v>7218106.0606000004</v>
      </c>
      <c r="F25" s="164">
        <v>4931356.6474609384</v>
      </c>
      <c r="G25" s="165">
        <f t="shared" si="10"/>
        <v>-0.31680739988309026</v>
      </c>
      <c r="H25" s="163">
        <v>9044305.2780999988</v>
      </c>
      <c r="I25" s="164">
        <v>14868851.398681641</v>
      </c>
      <c r="J25" s="165">
        <f t="shared" si="11"/>
        <v>0.6440014950275148</v>
      </c>
      <c r="K25" s="163">
        <v>8333192.9284999995</v>
      </c>
      <c r="L25" s="164">
        <v>17988915.697937012</v>
      </c>
      <c r="M25" s="165">
        <f t="shared" si="12"/>
        <v>1.1587062548874734</v>
      </c>
      <c r="N25" s="163">
        <v>10381195.7612</v>
      </c>
      <c r="O25" s="164">
        <v>24451876.331837609</v>
      </c>
      <c r="P25" s="165">
        <f t="shared" si="13"/>
        <v>1.3554007548173939</v>
      </c>
      <c r="Q25" s="163">
        <v>18345660.257399999</v>
      </c>
      <c r="R25" s="164">
        <v>31779115.987197932</v>
      </c>
      <c r="S25" s="165">
        <f t="shared" si="14"/>
        <v>0.73224160598849775</v>
      </c>
      <c r="T25" s="163">
        <v>13569104.7798</v>
      </c>
      <c r="U25" s="164">
        <v>16889646.435412001</v>
      </c>
      <c r="V25" s="165">
        <f t="shared" si="15"/>
        <v>0.2447133918926776</v>
      </c>
      <c r="W25" s="166">
        <f t="shared" si="16"/>
        <v>75072117.723299995</v>
      </c>
      <c r="X25" s="167">
        <f t="shared" si="16"/>
        <v>113537168.60414848</v>
      </c>
      <c r="Y25" s="168">
        <f t="shared" si="17"/>
        <v>0.512374661157456</v>
      </c>
    </row>
    <row r="26" spans="1:25" ht="16.05" customHeight="1" x14ac:dyDescent="0.3">
      <c r="A26" s="176" t="s">
        <v>1361</v>
      </c>
      <c r="B26" s="163">
        <v>16857014.356699999</v>
      </c>
      <c r="C26" s="164">
        <v>23924082.529513411</v>
      </c>
      <c r="D26" s="165">
        <f t="shared" si="9"/>
        <v>0.41923605350698012</v>
      </c>
      <c r="E26" s="163">
        <v>20759541.0746</v>
      </c>
      <c r="F26" s="164">
        <v>23778753.006336208</v>
      </c>
      <c r="G26" s="165">
        <f t="shared" si="10"/>
        <v>0.14543731582921726</v>
      </c>
      <c r="H26" s="163">
        <v>15578113.4398</v>
      </c>
      <c r="I26" s="164">
        <v>28006182.211569101</v>
      </c>
      <c r="J26" s="165">
        <f t="shared" si="11"/>
        <v>0.79779036272884274</v>
      </c>
      <c r="K26" s="163">
        <v>15472086.489700001</v>
      </c>
      <c r="L26" s="164">
        <v>26763000.852149699</v>
      </c>
      <c r="M26" s="165">
        <f t="shared" si="12"/>
        <v>0.72976029250910845</v>
      </c>
      <c r="N26" s="163">
        <v>8321431.6412000004</v>
      </c>
      <c r="O26" s="164">
        <v>21600552.728178609</v>
      </c>
      <c r="P26" s="165">
        <f t="shared" si="13"/>
        <v>1.5957736191970544</v>
      </c>
      <c r="Q26" s="163">
        <v>23063574.751400001</v>
      </c>
      <c r="R26" s="164">
        <v>34854968.119784243</v>
      </c>
      <c r="S26" s="165">
        <f t="shared" si="14"/>
        <v>0.51125610385564713</v>
      </c>
      <c r="T26" s="163">
        <v>8288598.7620000001</v>
      </c>
      <c r="U26" s="164">
        <v>9069701.4292071518</v>
      </c>
      <c r="V26" s="165">
        <f t="shared" si="15"/>
        <v>9.4238204747973064E-2</v>
      </c>
      <c r="W26" s="166">
        <f t="shared" si="16"/>
        <v>108340360.51539999</v>
      </c>
      <c r="X26" s="167">
        <f t="shared" si="16"/>
        <v>167997240.8767384</v>
      </c>
      <c r="Y26" s="168">
        <f t="shared" si="17"/>
        <v>0.55064317745978442</v>
      </c>
    </row>
    <row r="27" spans="1:25" ht="16.05" customHeight="1" x14ac:dyDescent="0.3">
      <c r="A27" s="176" t="s">
        <v>1362</v>
      </c>
      <c r="B27" s="163">
        <v>0</v>
      </c>
      <c r="C27" s="164">
        <v>0</v>
      </c>
      <c r="D27" s="165" t="str">
        <f t="shared" si="9"/>
        <v/>
      </c>
      <c r="E27" s="163">
        <v>0</v>
      </c>
      <c r="F27" s="164">
        <v>0</v>
      </c>
      <c r="G27" s="165" t="str">
        <f t="shared" si="10"/>
        <v/>
      </c>
      <c r="H27" s="163">
        <v>23568347.45999999</v>
      </c>
      <c r="I27" s="164">
        <v>41951309</v>
      </c>
      <c r="J27" s="165">
        <f t="shared" si="11"/>
        <v>0.77998517168840231</v>
      </c>
      <c r="K27" s="163">
        <v>3439598.8436589721</v>
      </c>
      <c r="L27" s="164">
        <v>3093650.0334472661</v>
      </c>
      <c r="M27" s="165">
        <f t="shared" si="12"/>
        <v>-0.10057824354996381</v>
      </c>
      <c r="N27" s="163">
        <v>3917166.9877776378</v>
      </c>
      <c r="O27" s="164">
        <v>2506603</v>
      </c>
      <c r="P27" s="165">
        <f t="shared" si="13"/>
        <v>-0.36009799739936688</v>
      </c>
      <c r="Q27" s="163">
        <v>5999797.1143870316</v>
      </c>
      <c r="R27" s="164">
        <v>2874931</v>
      </c>
      <c r="S27" s="165">
        <f t="shared" si="14"/>
        <v>-0.52082863050383055</v>
      </c>
      <c r="T27" s="163">
        <v>2689532.0712930369</v>
      </c>
      <c r="U27" s="164">
        <v>1213767</v>
      </c>
      <c r="V27" s="165">
        <f t="shared" si="15"/>
        <v>-0.54870699890317298</v>
      </c>
      <c r="W27" s="166">
        <f t="shared" si="16"/>
        <v>39614442.477116667</v>
      </c>
      <c r="X27" s="167">
        <f t="shared" si="16"/>
        <v>51640260.033447266</v>
      </c>
      <c r="Y27" s="168">
        <f t="shared" si="17"/>
        <v>0.30357154624294735</v>
      </c>
    </row>
    <row r="28" spans="1:25" ht="16.05" customHeight="1" x14ac:dyDescent="0.3">
      <c r="A28" s="176" t="s">
        <v>39</v>
      </c>
      <c r="B28" s="163">
        <v>0</v>
      </c>
      <c r="C28" s="164">
        <v>0</v>
      </c>
      <c r="D28" s="165" t="str">
        <f t="shared" si="9"/>
        <v/>
      </c>
      <c r="E28" s="163">
        <v>0</v>
      </c>
      <c r="F28" s="164">
        <v>0</v>
      </c>
      <c r="G28" s="165" t="str">
        <f t="shared" si="10"/>
        <v/>
      </c>
      <c r="H28" s="163">
        <v>2250000</v>
      </c>
      <c r="I28" s="164">
        <v>0</v>
      </c>
      <c r="J28" s="165">
        <f t="shared" si="11"/>
        <v>-1</v>
      </c>
      <c r="K28" s="163">
        <v>2500000</v>
      </c>
      <c r="L28" s="164">
        <v>0</v>
      </c>
      <c r="M28" s="165">
        <f t="shared" si="12"/>
        <v>-1</v>
      </c>
      <c r="N28" s="163">
        <v>2500000</v>
      </c>
      <c r="O28" s="164">
        <v>0</v>
      </c>
      <c r="P28" s="165">
        <f t="shared" si="13"/>
        <v>-1</v>
      </c>
      <c r="Q28" s="163">
        <v>7500000</v>
      </c>
      <c r="R28" s="164">
        <v>0</v>
      </c>
      <c r="S28" s="165">
        <f t="shared" si="14"/>
        <v>-1</v>
      </c>
      <c r="T28" s="163">
        <v>3000000</v>
      </c>
      <c r="U28" s="164">
        <v>0</v>
      </c>
      <c r="V28" s="165">
        <f t="shared" si="15"/>
        <v>-1</v>
      </c>
      <c r="W28" s="166">
        <f t="shared" si="16"/>
        <v>17750000</v>
      </c>
      <c r="X28" s="167">
        <f t="shared" si="16"/>
        <v>0</v>
      </c>
      <c r="Y28" s="168">
        <f t="shared" si="17"/>
        <v>-1</v>
      </c>
    </row>
    <row r="29" spans="1:25" ht="19.95" customHeight="1" x14ac:dyDescent="0.3">
      <c r="A29" s="169" t="s">
        <v>45</v>
      </c>
      <c r="B29" s="166">
        <f>SUM(B21:B28)</f>
        <v>218752525.2304</v>
      </c>
      <c r="C29" s="167">
        <f>SUM(C21:C28)</f>
        <v>194881979.3152892</v>
      </c>
      <c r="D29" s="168">
        <f t="shared" si="9"/>
        <v>-0.10912123592616485</v>
      </c>
      <c r="E29" s="166">
        <f>SUM(E21:E28)</f>
        <v>218547488.11050004</v>
      </c>
      <c r="F29" s="167">
        <f>SUM(F21:F28)</f>
        <v>185912045.66905749</v>
      </c>
      <c r="G29" s="168">
        <f t="shared" si="10"/>
        <v>-0.14932883797292473</v>
      </c>
      <c r="H29" s="166">
        <f>SUM(H21:H28)</f>
        <v>285249804.31049997</v>
      </c>
      <c r="I29" s="167">
        <f>SUM(I21:I28)</f>
        <v>335428080.91842139</v>
      </c>
      <c r="J29" s="168">
        <f t="shared" si="11"/>
        <v>0.175909942266959</v>
      </c>
      <c r="K29" s="166">
        <f>SUM(K21:K28)</f>
        <v>227932571.66685897</v>
      </c>
      <c r="L29" s="167">
        <f>SUM(L21:L28)</f>
        <v>252709463.7952038</v>
      </c>
      <c r="M29" s="168">
        <f t="shared" si="12"/>
        <v>0.10870272707034689</v>
      </c>
      <c r="N29" s="166">
        <f>SUM(N21:N28)</f>
        <v>233783458.99397767</v>
      </c>
      <c r="O29" s="167">
        <f>SUM(O21:O28)</f>
        <v>248802368.63702625</v>
      </c>
      <c r="P29" s="168">
        <f t="shared" si="13"/>
        <v>6.424282414024618E-2</v>
      </c>
      <c r="Q29" s="166">
        <f>SUM(Q21:Q28)</f>
        <v>383237962.76768696</v>
      </c>
      <c r="R29" s="167">
        <f>SUM(R21:R28)</f>
        <v>372831117.70501846</v>
      </c>
      <c r="S29" s="168">
        <f t="shared" si="14"/>
        <v>-2.7155047447574909E-2</v>
      </c>
      <c r="T29" s="166">
        <f>SUM(T21:T28)</f>
        <v>262601115.973093</v>
      </c>
      <c r="U29" s="167">
        <f>SUM(U21:U28)</f>
        <v>110178683.08091557</v>
      </c>
      <c r="V29" s="168">
        <f t="shared" si="15"/>
        <v>-0.58043330214862898</v>
      </c>
      <c r="W29" s="170">
        <f>SUM(W21:W28)</f>
        <v>1830104927.0530167</v>
      </c>
      <c r="X29" s="171">
        <f>SUM(X21:X28)</f>
        <v>1700743739.1209321</v>
      </c>
      <c r="Y29" s="168">
        <f t="shared" si="17"/>
        <v>-7.0685120847356231E-2</v>
      </c>
    </row>
  </sheetData>
  <mergeCells count="22">
    <mergeCell ref="T19:V19"/>
    <mergeCell ref="W19:Y19"/>
    <mergeCell ref="T5:V5"/>
    <mergeCell ref="W5:Y5"/>
    <mergeCell ref="A17:Y17"/>
    <mergeCell ref="A18:Y18"/>
    <mergeCell ref="B19:D19"/>
    <mergeCell ref="E19:G19"/>
    <mergeCell ref="H19:J19"/>
    <mergeCell ref="K19:M19"/>
    <mergeCell ref="N19:P19"/>
    <mergeCell ref="Q19:S19"/>
    <mergeCell ref="A1:Y1"/>
    <mergeCell ref="A2:Y2"/>
    <mergeCell ref="A3:Y3"/>
    <mergeCell ref="A4:Y4"/>
    <mergeCell ref="B5:D5"/>
    <mergeCell ref="E5:G5"/>
    <mergeCell ref="H5:J5"/>
    <mergeCell ref="K5:M5"/>
    <mergeCell ref="N5:P5"/>
    <mergeCell ref="Q5:S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9625-375A-4928-A1D8-AE08DC3C7F79}">
  <dimension ref="A1:Y28"/>
  <sheetViews>
    <sheetView workbookViewId="0">
      <pane xSplit="1" ySplit="5" topLeftCell="B6" activePane="bottomRight" state="frozen"/>
      <selection pane="topRight"/>
      <selection pane="bottomLeft"/>
      <selection pane="bottomRight" sqref="A1:Y1"/>
    </sheetView>
  </sheetViews>
  <sheetFormatPr baseColWidth="10" defaultColWidth="8.88671875" defaultRowHeight="14.4" x14ac:dyDescent="0.3"/>
  <cols>
    <col min="1" max="1" width="22" style="123" customWidth="1"/>
    <col min="2" max="3" width="13" style="123" customWidth="1"/>
    <col min="4" max="4" width="7.44140625" style="123" customWidth="1"/>
    <col min="5" max="6" width="13" style="123" customWidth="1"/>
    <col min="7" max="7" width="7.44140625" style="123" customWidth="1"/>
    <col min="8" max="9" width="13" style="123" customWidth="1"/>
    <col min="10" max="10" width="7.44140625" style="123" customWidth="1"/>
    <col min="11" max="12" width="13" style="123" customWidth="1"/>
    <col min="13" max="13" width="7.44140625" style="123" customWidth="1"/>
    <col min="14" max="15" width="13" style="123" customWidth="1"/>
    <col min="16" max="16" width="7.44140625" style="123" customWidth="1"/>
    <col min="17" max="18" width="13" style="123" customWidth="1"/>
    <col min="19" max="19" width="7.44140625" style="123" customWidth="1"/>
    <col min="20" max="21" width="13" style="123" customWidth="1"/>
    <col min="22" max="22" width="7.44140625" style="123" customWidth="1"/>
    <col min="23" max="24" width="13" style="123" customWidth="1"/>
    <col min="25" max="25" width="7.44140625" style="123" customWidth="1"/>
    <col min="26" max="16384" width="8.88671875" style="123"/>
  </cols>
  <sheetData>
    <row r="1" spans="1:25" ht="25.95" customHeight="1" x14ac:dyDescent="0.3">
      <c r="A1" s="146" t="s">
        <v>1327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5" ht="13.95" customHeight="1" x14ac:dyDescent="0.3">
      <c r="A2" s="148" t="s">
        <v>1328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5" ht="22.05" customHeight="1" x14ac:dyDescent="0.3">
      <c r="A3" s="149" t="s">
        <v>1329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</row>
    <row r="4" spans="1:25" ht="25.95" customHeight="1" x14ac:dyDescent="0.3">
      <c r="A4" s="150" t="s">
        <v>1330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</row>
    <row r="5" spans="1:25" ht="13.95" customHeight="1" x14ac:dyDescent="0.3">
      <c r="A5" s="148" t="s">
        <v>1331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</row>
    <row r="6" spans="1:25" ht="19.95" customHeight="1" x14ac:dyDescent="0.3">
      <c r="A6" s="151" t="s">
        <v>1332</v>
      </c>
      <c r="B6" s="152" t="s">
        <v>1333</v>
      </c>
      <c r="C6" s="153"/>
      <c r="D6" s="153"/>
      <c r="E6" s="152" t="s">
        <v>1334</v>
      </c>
      <c r="F6" s="153"/>
      <c r="G6" s="153"/>
      <c r="H6" s="152" t="s">
        <v>1335</v>
      </c>
      <c r="I6" s="153"/>
      <c r="J6" s="153"/>
      <c r="K6" s="152" t="s">
        <v>1336</v>
      </c>
      <c r="L6" s="153"/>
      <c r="M6" s="153"/>
      <c r="N6" s="152" t="s">
        <v>1337</v>
      </c>
      <c r="O6" s="153"/>
      <c r="P6" s="153"/>
      <c r="Q6" s="152" t="s">
        <v>1338</v>
      </c>
      <c r="R6" s="153"/>
      <c r="S6" s="153"/>
      <c r="T6" s="152" t="s">
        <v>1339</v>
      </c>
      <c r="U6" s="153"/>
      <c r="V6" s="153"/>
      <c r="W6" s="154" t="s">
        <v>1340</v>
      </c>
      <c r="X6" s="153"/>
      <c r="Y6" s="153"/>
    </row>
    <row r="7" spans="1:25" ht="18" customHeight="1" x14ac:dyDescent="0.3">
      <c r="A7" s="155"/>
      <c r="B7" s="156" t="s">
        <v>1341</v>
      </c>
      <c r="C7" s="157" t="s">
        <v>1342</v>
      </c>
      <c r="D7" s="158" t="s">
        <v>1343</v>
      </c>
      <c r="E7" s="156" t="s">
        <v>1341</v>
      </c>
      <c r="F7" s="157" t="s">
        <v>1342</v>
      </c>
      <c r="G7" s="158" t="s">
        <v>1343</v>
      </c>
      <c r="H7" s="156" t="s">
        <v>1341</v>
      </c>
      <c r="I7" s="157" t="s">
        <v>1342</v>
      </c>
      <c r="J7" s="158" t="s">
        <v>1343</v>
      </c>
      <c r="K7" s="156" t="s">
        <v>1341</v>
      </c>
      <c r="L7" s="157" t="s">
        <v>1342</v>
      </c>
      <c r="M7" s="158" t="s">
        <v>1343</v>
      </c>
      <c r="N7" s="156" t="s">
        <v>1341</v>
      </c>
      <c r="O7" s="157" t="s">
        <v>1342</v>
      </c>
      <c r="P7" s="158" t="s">
        <v>1343</v>
      </c>
      <c r="Q7" s="156" t="s">
        <v>1341</v>
      </c>
      <c r="R7" s="157" t="s">
        <v>1342</v>
      </c>
      <c r="S7" s="158" t="s">
        <v>1343</v>
      </c>
      <c r="T7" s="156" t="s">
        <v>1341</v>
      </c>
      <c r="U7" s="157" t="s">
        <v>1342</v>
      </c>
      <c r="V7" s="158" t="s">
        <v>1343</v>
      </c>
      <c r="W7" s="159" t="s">
        <v>1341</v>
      </c>
      <c r="X7" s="160" t="s">
        <v>1342</v>
      </c>
      <c r="Y7" s="161" t="s">
        <v>1343</v>
      </c>
    </row>
    <row r="8" spans="1:25" ht="16.05" customHeight="1" x14ac:dyDescent="0.3">
      <c r="A8" s="162" t="s">
        <v>1344</v>
      </c>
      <c r="B8" s="163">
        <v>19748280.682666671</v>
      </c>
      <c r="C8" s="164">
        <v>35851423.682050943</v>
      </c>
      <c r="D8" s="165">
        <f t="shared" ref="D8:D15" si="0">IF(B8&lt;&gt;0,C8/B8-1,"")</f>
        <v>0.81541999823398381</v>
      </c>
      <c r="E8" s="163">
        <v>19748280.682666671</v>
      </c>
      <c r="F8" s="164">
        <v>582382.00047597161</v>
      </c>
      <c r="G8" s="165">
        <f t="shared" ref="G8:G15" si="1">IF(E8&lt;&gt;0,F8/E8-1,"")</f>
        <v>-0.97050973652672778</v>
      </c>
      <c r="H8" s="163">
        <v>19748280.682666671</v>
      </c>
      <c r="I8" s="164">
        <v>136458.0004267332</v>
      </c>
      <c r="J8" s="165">
        <f t="shared" ref="J8:J15" si="2">IF(H8&lt;&gt;0,I8/H8-1,"")</f>
        <v>-0.99309013262372237</v>
      </c>
      <c r="K8" s="163">
        <v>19748280.682666671</v>
      </c>
      <c r="L8" s="164">
        <v>14549416.87319459</v>
      </c>
      <c r="M8" s="165">
        <f t="shared" ref="M8:M15" si="3">IF(K8&lt;&gt;0,L8/K8-1,"")</f>
        <v>-0.2632565281510908</v>
      </c>
      <c r="N8" s="163">
        <v>19748280.682666671</v>
      </c>
      <c r="O8" s="164">
        <v>3932511.7647058819</v>
      </c>
      <c r="P8" s="165">
        <f t="shared" ref="P8:P15" si="4">IF(N8&lt;&gt;0,O8/N8-1,"")</f>
        <v>-0.80086814503515236</v>
      </c>
      <c r="Q8" s="163">
        <v>19748280.682666671</v>
      </c>
      <c r="R8" s="164">
        <v>448669.74789915967</v>
      </c>
      <c r="S8" s="165">
        <f t="shared" ref="S8:S15" si="5">IF(Q8&lt;&gt;0,R8/Q8-1,"")</f>
        <v>-0.97728056659165463</v>
      </c>
      <c r="T8" s="163">
        <v>23391102.239999998</v>
      </c>
      <c r="U8" s="164">
        <v>0</v>
      </c>
      <c r="V8" s="165">
        <f t="shared" ref="V8:V15" si="6">IF(T8&lt;&gt;0,U8/T8-1,"")</f>
        <v>-1</v>
      </c>
      <c r="W8" s="166">
        <f t="shared" ref="W8:X14" si="7">B8+E8+H8+K8+N8+Q8+T8</f>
        <v>141880786.33600003</v>
      </c>
      <c r="X8" s="167">
        <f t="shared" si="7"/>
        <v>55500862.06875328</v>
      </c>
      <c r="Y8" s="168">
        <f t="shared" ref="Y8:Y15" si="8">IF(W8&lt;&gt;0,X8/W8-1,"")</f>
        <v>-0.60882045059070267</v>
      </c>
    </row>
    <row r="9" spans="1:25" ht="16.05" customHeight="1" x14ac:dyDescent="0.3">
      <c r="A9" s="162" t="s">
        <v>1345</v>
      </c>
      <c r="B9" s="163">
        <v>62765484.5</v>
      </c>
      <c r="C9" s="164">
        <v>33201753.937844671</v>
      </c>
      <c r="D9" s="165">
        <f t="shared" si="0"/>
        <v>-0.47101891744586677</v>
      </c>
      <c r="E9" s="163">
        <v>66797727.391999997</v>
      </c>
      <c r="F9" s="164">
        <v>7080205.8897387087</v>
      </c>
      <c r="G9" s="165">
        <f t="shared" si="1"/>
        <v>-0.89400528781183253</v>
      </c>
      <c r="H9" s="163">
        <v>138183134.47999999</v>
      </c>
      <c r="I9" s="164">
        <v>118232515.4169676</v>
      </c>
      <c r="J9" s="165">
        <f t="shared" si="2"/>
        <v>-0.14437810473838941</v>
      </c>
      <c r="K9" s="163">
        <v>52451359.185000002</v>
      </c>
      <c r="L9" s="164">
        <v>8927802.0407284014</v>
      </c>
      <c r="M9" s="165">
        <f t="shared" si="3"/>
        <v>-0.82978892864836251</v>
      </c>
      <c r="N9" s="163">
        <v>73515940.912499994</v>
      </c>
      <c r="O9" s="164">
        <v>48652887.394957989</v>
      </c>
      <c r="P9" s="165">
        <f t="shared" si="4"/>
        <v>-0.33819948719876225</v>
      </c>
      <c r="Q9" s="163">
        <v>60514201.887999997</v>
      </c>
      <c r="R9" s="164">
        <v>4169427.7310924339</v>
      </c>
      <c r="S9" s="165">
        <f t="shared" si="5"/>
        <v>-0.9311000128728586</v>
      </c>
      <c r="T9" s="163">
        <v>73141715.350000009</v>
      </c>
      <c r="U9" s="164">
        <v>8051759.6638655467</v>
      </c>
      <c r="V9" s="165">
        <f t="shared" si="6"/>
        <v>-0.88991562987911865</v>
      </c>
      <c r="W9" s="166">
        <f t="shared" si="7"/>
        <v>527369563.70749998</v>
      </c>
      <c r="X9" s="167">
        <f t="shared" si="7"/>
        <v>228316352.07519531</v>
      </c>
      <c r="Y9" s="168">
        <f t="shared" si="8"/>
        <v>-0.56706573949757066</v>
      </c>
    </row>
    <row r="10" spans="1:25" ht="16.05" customHeight="1" x14ac:dyDescent="0.3">
      <c r="A10" s="162" t="s">
        <v>1346</v>
      </c>
      <c r="B10" s="163">
        <v>13000000</v>
      </c>
      <c r="C10" s="164">
        <v>15894490.108816961</v>
      </c>
      <c r="D10" s="165">
        <f t="shared" si="0"/>
        <v>0.22265308529361238</v>
      </c>
      <c r="E10" s="163">
        <v>20000000</v>
      </c>
      <c r="F10" s="164">
        <v>14490573.057338171</v>
      </c>
      <c r="G10" s="165">
        <f t="shared" si="1"/>
        <v>-0.27547134713309152</v>
      </c>
      <c r="H10" s="163">
        <v>25000000</v>
      </c>
      <c r="I10" s="164">
        <v>18819282.488757219</v>
      </c>
      <c r="J10" s="165">
        <f t="shared" si="2"/>
        <v>-0.24722870044971124</v>
      </c>
      <c r="K10" s="163">
        <v>22000000</v>
      </c>
      <c r="L10" s="164">
        <v>19789401.31220457</v>
      </c>
      <c r="M10" s="165">
        <f t="shared" si="3"/>
        <v>-0.10048175853615593</v>
      </c>
      <c r="N10" s="163">
        <v>20000000</v>
      </c>
      <c r="O10" s="164">
        <v>29447439.059217442</v>
      </c>
      <c r="P10" s="165">
        <f t="shared" si="4"/>
        <v>0.47237195296087209</v>
      </c>
      <c r="Q10" s="163">
        <v>23000000</v>
      </c>
      <c r="R10" s="164">
        <v>31695274.789915971</v>
      </c>
      <c r="S10" s="165">
        <f t="shared" si="5"/>
        <v>0.37805542564852046</v>
      </c>
      <c r="T10" s="163">
        <v>20000000</v>
      </c>
      <c r="U10" s="164">
        <v>5401404.2016806724</v>
      </c>
      <c r="V10" s="165">
        <f t="shared" si="6"/>
        <v>-0.72992978991596646</v>
      </c>
      <c r="W10" s="166">
        <f t="shared" si="7"/>
        <v>143000000</v>
      </c>
      <c r="X10" s="167">
        <f t="shared" si="7"/>
        <v>135537865.01793098</v>
      </c>
      <c r="Y10" s="168">
        <f t="shared" si="8"/>
        <v>-5.2182762112370717E-2</v>
      </c>
    </row>
    <row r="11" spans="1:25" ht="16.05" customHeight="1" x14ac:dyDescent="0.3">
      <c r="A11" s="162" t="s">
        <v>1347</v>
      </c>
      <c r="B11" s="163">
        <v>62000000</v>
      </c>
      <c r="C11" s="164">
        <v>20775297.586085219</v>
      </c>
      <c r="D11" s="165">
        <f t="shared" si="0"/>
        <v>-0.66491455506314168</v>
      </c>
      <c r="E11" s="163">
        <v>60000000</v>
      </c>
      <c r="F11" s="164">
        <v>34440146.685842313</v>
      </c>
      <c r="G11" s="165">
        <f t="shared" si="1"/>
        <v>-0.4259975552359615</v>
      </c>
      <c r="H11" s="163">
        <v>72000000</v>
      </c>
      <c r="I11" s="164">
        <v>65346852.94733128</v>
      </c>
      <c r="J11" s="165">
        <f t="shared" si="2"/>
        <v>-9.2404820175954416E-2</v>
      </c>
      <c r="K11" s="163">
        <v>58600000</v>
      </c>
      <c r="L11" s="164">
        <v>38602261.684488252</v>
      </c>
      <c r="M11" s="165">
        <f t="shared" si="3"/>
        <v>-0.34125833302921071</v>
      </c>
      <c r="N11" s="163">
        <v>50740000</v>
      </c>
      <c r="O11" s="164">
        <v>33135567.226890761</v>
      </c>
      <c r="P11" s="165">
        <f t="shared" si="4"/>
        <v>-0.34695374010857782</v>
      </c>
      <c r="Q11" s="163">
        <v>95000000</v>
      </c>
      <c r="R11" s="164">
        <v>58669495.798319332</v>
      </c>
      <c r="S11" s="165">
        <f t="shared" si="5"/>
        <v>-0.38242636001769126</v>
      </c>
      <c r="T11" s="163">
        <v>54117994.589075632</v>
      </c>
      <c r="U11" s="164">
        <v>19008905.882352941</v>
      </c>
      <c r="V11" s="165">
        <f t="shared" si="6"/>
        <v>-0.6487507338974805</v>
      </c>
      <c r="W11" s="166">
        <f t="shared" si="7"/>
        <v>452457994.58907562</v>
      </c>
      <c r="X11" s="167">
        <f t="shared" si="7"/>
        <v>269978527.81131011</v>
      </c>
      <c r="Y11" s="168">
        <f t="shared" si="8"/>
        <v>-0.40330697868095844</v>
      </c>
    </row>
    <row r="12" spans="1:25" ht="16.05" customHeight="1" x14ac:dyDescent="0.3">
      <c r="A12" s="162" t="s">
        <v>1348</v>
      </c>
      <c r="B12" s="163">
        <v>260171192.19764781</v>
      </c>
      <c r="C12" s="164">
        <v>256761421.26947051</v>
      </c>
      <c r="D12" s="165">
        <f t="shared" si="0"/>
        <v>-1.3105874249086491E-2</v>
      </c>
      <c r="E12" s="163">
        <v>252733458.01941201</v>
      </c>
      <c r="F12" s="164">
        <v>252562166.74562979</v>
      </c>
      <c r="G12" s="165">
        <f t="shared" si="1"/>
        <v>-6.7775463970842775E-4</v>
      </c>
      <c r="H12" s="163">
        <v>306644222.24999988</v>
      </c>
      <c r="I12" s="164">
        <v>357008006.2351371</v>
      </c>
      <c r="J12" s="165">
        <f t="shared" si="2"/>
        <v>0.16424175096335847</v>
      </c>
      <c r="K12" s="163">
        <v>280282309.50522351</v>
      </c>
      <c r="L12" s="164">
        <v>325594460.47495031</v>
      </c>
      <c r="M12" s="165">
        <f t="shared" si="3"/>
        <v>0.16166611103538919</v>
      </c>
      <c r="N12" s="163">
        <v>280991441.05793983</v>
      </c>
      <c r="O12" s="164">
        <v>299348917.1415441</v>
      </c>
      <c r="P12" s="165">
        <f t="shared" si="4"/>
        <v>6.5331086293902496E-2</v>
      </c>
      <c r="Q12" s="163">
        <v>533293061.07636428</v>
      </c>
      <c r="R12" s="164">
        <v>559504351.71428585</v>
      </c>
      <c r="S12" s="165">
        <f t="shared" si="5"/>
        <v>4.9149881277319452E-2</v>
      </c>
      <c r="T12" s="163">
        <v>359386735.69239372</v>
      </c>
      <c r="U12" s="164">
        <v>156551064.7058824</v>
      </c>
      <c r="V12" s="165">
        <f t="shared" si="6"/>
        <v>-0.56439387111972439</v>
      </c>
      <c r="W12" s="166">
        <f t="shared" si="7"/>
        <v>2273502419.7989812</v>
      </c>
      <c r="X12" s="167">
        <f t="shared" si="7"/>
        <v>2207330388.2869</v>
      </c>
      <c r="Y12" s="168">
        <f t="shared" si="8"/>
        <v>-2.9105766915318187E-2</v>
      </c>
    </row>
    <row r="13" spans="1:25" ht="16.05" customHeight="1" x14ac:dyDescent="0.3">
      <c r="A13" s="162" t="s">
        <v>1349</v>
      </c>
      <c r="B13" s="163">
        <v>32438195.50462186</v>
      </c>
      <c r="C13" s="164">
        <v>26839256.93169602</v>
      </c>
      <c r="D13" s="165">
        <f t="shared" si="0"/>
        <v>-0.17260326864137965</v>
      </c>
      <c r="E13" s="163">
        <v>28580469.300000001</v>
      </c>
      <c r="F13" s="164">
        <v>24813045.956036221</v>
      </c>
      <c r="G13" s="165">
        <f t="shared" si="1"/>
        <v>-0.13181810642849656</v>
      </c>
      <c r="H13" s="163">
        <v>48694074.050420158</v>
      </c>
      <c r="I13" s="164">
        <v>49486765.268329017</v>
      </c>
      <c r="J13" s="165">
        <f t="shared" si="2"/>
        <v>1.6279007936121026E-2</v>
      </c>
      <c r="K13" s="163">
        <v>37800428.880000003</v>
      </c>
      <c r="L13" s="164">
        <v>38836083.11429064</v>
      </c>
      <c r="M13" s="165">
        <f t="shared" si="3"/>
        <v>2.7397949308416436E-2</v>
      </c>
      <c r="N13" s="163">
        <v>35319601.200000003</v>
      </c>
      <c r="O13" s="164">
        <v>41046689.075630262</v>
      </c>
      <c r="P13" s="165">
        <f t="shared" si="4"/>
        <v>0.16215041169916322</v>
      </c>
      <c r="Q13" s="163">
        <v>89509959.629999995</v>
      </c>
      <c r="R13" s="164">
        <v>57514117.64705883</v>
      </c>
      <c r="S13" s="165">
        <f t="shared" si="5"/>
        <v>-0.35745566320440503</v>
      </c>
      <c r="T13" s="163">
        <v>37034887.5</v>
      </c>
      <c r="U13" s="164">
        <v>9616588.2352941185</v>
      </c>
      <c r="V13" s="165">
        <f t="shared" si="6"/>
        <v>-0.74033704745845075</v>
      </c>
      <c r="W13" s="166">
        <f t="shared" si="7"/>
        <v>309377616.06504202</v>
      </c>
      <c r="X13" s="167">
        <f t="shared" si="7"/>
        <v>248152546.22833508</v>
      </c>
      <c r="Y13" s="168">
        <f t="shared" si="8"/>
        <v>-0.19789754221855305</v>
      </c>
    </row>
    <row r="14" spans="1:25" ht="16.05" customHeight="1" x14ac:dyDescent="0.3">
      <c r="A14" s="162" t="s">
        <v>1350</v>
      </c>
      <c r="B14" s="163">
        <v>0</v>
      </c>
      <c r="C14" s="164">
        <v>0</v>
      </c>
      <c r="D14" s="165" t="str">
        <f t="shared" si="0"/>
        <v/>
      </c>
      <c r="E14" s="163">
        <v>0</v>
      </c>
      <c r="F14" s="164">
        <v>0</v>
      </c>
      <c r="G14" s="165" t="str">
        <f t="shared" si="1"/>
        <v/>
      </c>
      <c r="H14" s="163">
        <v>0</v>
      </c>
      <c r="I14" s="164">
        <v>0</v>
      </c>
      <c r="J14" s="165" t="str">
        <f t="shared" si="2"/>
        <v/>
      </c>
      <c r="K14" s="163">
        <v>0</v>
      </c>
      <c r="L14" s="164">
        <v>0</v>
      </c>
      <c r="M14" s="165" t="str">
        <f t="shared" si="3"/>
        <v/>
      </c>
      <c r="N14" s="163">
        <v>0</v>
      </c>
      <c r="O14" s="164">
        <v>0</v>
      </c>
      <c r="P14" s="165" t="str">
        <f t="shared" si="4"/>
        <v/>
      </c>
      <c r="Q14" s="163">
        <v>0</v>
      </c>
      <c r="R14" s="164">
        <v>0</v>
      </c>
      <c r="S14" s="165" t="str">
        <f t="shared" si="5"/>
        <v/>
      </c>
      <c r="T14" s="163">
        <v>0</v>
      </c>
      <c r="U14" s="164">
        <v>0</v>
      </c>
      <c r="V14" s="165" t="str">
        <f t="shared" si="6"/>
        <v/>
      </c>
      <c r="W14" s="166">
        <f t="shared" si="7"/>
        <v>0</v>
      </c>
      <c r="X14" s="167">
        <f t="shared" si="7"/>
        <v>0</v>
      </c>
      <c r="Y14" s="168" t="str">
        <f t="shared" si="8"/>
        <v/>
      </c>
    </row>
    <row r="15" spans="1:25" ht="19.95" customHeight="1" x14ac:dyDescent="0.3">
      <c r="A15" s="169" t="s">
        <v>45</v>
      </c>
      <c r="B15" s="166">
        <f>SUM(B8:B14)</f>
        <v>450123152.88493633</v>
      </c>
      <c r="C15" s="167">
        <f>SUM(C8:C14)</f>
        <v>389323643.51596433</v>
      </c>
      <c r="D15" s="168">
        <f t="shared" si="0"/>
        <v>-0.13507305496128075</v>
      </c>
      <c r="E15" s="166">
        <f>SUM(E8:E14)</f>
        <v>447859935.39407867</v>
      </c>
      <c r="F15" s="167">
        <f>SUM(F8:F14)</f>
        <v>333968520.33506119</v>
      </c>
      <c r="G15" s="168">
        <f t="shared" si="1"/>
        <v>-0.25430141447861976</v>
      </c>
      <c r="H15" s="166">
        <f>SUM(H8:H14)</f>
        <v>610269711.46308672</v>
      </c>
      <c r="I15" s="167">
        <f>SUM(I8:I14)</f>
        <v>609029880.35694897</v>
      </c>
      <c r="J15" s="168">
        <f t="shared" si="2"/>
        <v>-2.0316117330571037E-3</v>
      </c>
      <c r="K15" s="166">
        <f>SUM(K8:K14)</f>
        <v>470882378.25289017</v>
      </c>
      <c r="L15" s="167">
        <f>SUM(L8:L14)</f>
        <v>446299425.49985677</v>
      </c>
      <c r="M15" s="168">
        <f t="shared" si="3"/>
        <v>-5.2206142952818224E-2</v>
      </c>
      <c r="N15" s="166">
        <f>SUM(N8:N14)</f>
        <v>480315263.8531065</v>
      </c>
      <c r="O15" s="167">
        <f>SUM(O8:O14)</f>
        <v>455564011.6629464</v>
      </c>
      <c r="P15" s="168">
        <f t="shared" si="4"/>
        <v>-5.153126301172406E-2</v>
      </c>
      <c r="Q15" s="166">
        <f>SUM(Q8:Q14)</f>
        <v>821065503.27703094</v>
      </c>
      <c r="R15" s="167">
        <f>SUM(R8:R14)</f>
        <v>712001337.42857158</v>
      </c>
      <c r="S15" s="168">
        <f t="shared" si="5"/>
        <v>-0.13283247854545488</v>
      </c>
      <c r="T15" s="166">
        <f>SUM(T8:T14)</f>
        <v>567072435.37146938</v>
      </c>
      <c r="U15" s="167">
        <f>SUM(U8:U14)</f>
        <v>198629722.68907565</v>
      </c>
      <c r="V15" s="168">
        <f t="shared" si="6"/>
        <v>-0.64972777673638782</v>
      </c>
      <c r="W15" s="170">
        <f>SUM(W8:W14)</f>
        <v>3847588380.4965987</v>
      </c>
      <c r="X15" s="171">
        <f>SUM(X8:X14)</f>
        <v>3144816541.4884248</v>
      </c>
      <c r="Y15" s="168">
        <f t="shared" si="8"/>
        <v>-0.18265255258866042</v>
      </c>
    </row>
    <row r="17" spans="1:25" ht="25.95" customHeight="1" x14ac:dyDescent="0.3">
      <c r="A17" s="172" t="s">
        <v>1351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pans="1:25" ht="13.95" customHeight="1" x14ac:dyDescent="0.3">
      <c r="A18" s="148" t="s">
        <v>1352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pans="1:25" ht="19.95" customHeight="1" x14ac:dyDescent="0.3">
      <c r="A19" s="173" t="s">
        <v>1332</v>
      </c>
      <c r="B19" s="174" t="s">
        <v>1333</v>
      </c>
      <c r="C19" s="153"/>
      <c r="D19" s="153"/>
      <c r="E19" s="174" t="s">
        <v>1334</v>
      </c>
      <c r="F19" s="153"/>
      <c r="G19" s="153"/>
      <c r="H19" s="174" t="s">
        <v>1335</v>
      </c>
      <c r="I19" s="153"/>
      <c r="J19" s="153"/>
      <c r="K19" s="174" t="s">
        <v>1336</v>
      </c>
      <c r="L19" s="153"/>
      <c r="M19" s="153"/>
      <c r="N19" s="174" t="s">
        <v>1337</v>
      </c>
      <c r="O19" s="153"/>
      <c r="P19" s="153"/>
      <c r="Q19" s="174" t="s">
        <v>1338</v>
      </c>
      <c r="R19" s="153"/>
      <c r="S19" s="153"/>
      <c r="T19" s="174" t="s">
        <v>1339</v>
      </c>
      <c r="U19" s="153"/>
      <c r="V19" s="153"/>
      <c r="W19" s="154" t="s">
        <v>1340</v>
      </c>
      <c r="X19" s="153"/>
      <c r="Y19" s="153"/>
    </row>
    <row r="20" spans="1:25" ht="18" customHeight="1" x14ac:dyDescent="0.3">
      <c r="A20" s="175"/>
      <c r="B20" s="156" t="s">
        <v>1341</v>
      </c>
      <c r="C20" s="157" t="s">
        <v>1342</v>
      </c>
      <c r="D20" s="158" t="s">
        <v>1343</v>
      </c>
      <c r="E20" s="156" t="s">
        <v>1341</v>
      </c>
      <c r="F20" s="157" t="s">
        <v>1342</v>
      </c>
      <c r="G20" s="158" t="s">
        <v>1343</v>
      </c>
      <c r="H20" s="156" t="s">
        <v>1341</v>
      </c>
      <c r="I20" s="157" t="s">
        <v>1342</v>
      </c>
      <c r="J20" s="158" t="s">
        <v>1343</v>
      </c>
      <c r="K20" s="156" t="s">
        <v>1341</v>
      </c>
      <c r="L20" s="157" t="s">
        <v>1342</v>
      </c>
      <c r="M20" s="158" t="s">
        <v>1343</v>
      </c>
      <c r="N20" s="156" t="s">
        <v>1341</v>
      </c>
      <c r="O20" s="157" t="s">
        <v>1342</v>
      </c>
      <c r="P20" s="158" t="s">
        <v>1343</v>
      </c>
      <c r="Q20" s="156" t="s">
        <v>1341</v>
      </c>
      <c r="R20" s="157" t="s">
        <v>1342</v>
      </c>
      <c r="S20" s="158" t="s">
        <v>1343</v>
      </c>
      <c r="T20" s="156" t="s">
        <v>1341</v>
      </c>
      <c r="U20" s="157" t="s">
        <v>1342</v>
      </c>
      <c r="V20" s="158" t="s">
        <v>1343</v>
      </c>
      <c r="W20" s="159" t="s">
        <v>1341</v>
      </c>
      <c r="X20" s="160" t="s">
        <v>1342</v>
      </c>
      <c r="Y20" s="161" t="s">
        <v>1343</v>
      </c>
    </row>
    <row r="21" spans="1:25" ht="16.05" customHeight="1" x14ac:dyDescent="0.3">
      <c r="A21" s="176" t="s">
        <v>1344</v>
      </c>
      <c r="B21" s="163">
        <v>8086920.9395999992</v>
      </c>
      <c r="C21" s="164">
        <v>20252359.181884769</v>
      </c>
      <c r="D21" s="165">
        <f t="shared" ref="D21:D28" si="9">IF(B21&lt;&gt;0,C21/B21-1,"")</f>
        <v>1.5043350037853225</v>
      </c>
      <c r="E21" s="163">
        <v>8886726.3071999997</v>
      </c>
      <c r="F21" s="164">
        <v>215671.4201660156</v>
      </c>
      <c r="G21" s="165">
        <f t="shared" ref="G21:G28" si="10">IF(E21&lt;&gt;0,F21/E21-1,"")</f>
        <v>-0.97573106083043437</v>
      </c>
      <c r="H21" s="163">
        <v>7820319.1504000006</v>
      </c>
      <c r="I21" s="164">
        <v>56960.564208984382</v>
      </c>
      <c r="J21" s="165">
        <f t="shared" ref="J21:J28" si="11">IF(H21&lt;&gt;0,I21/H21-1,"")</f>
        <v>-0.99271633764383249</v>
      </c>
      <c r="K21" s="163">
        <v>8175788.2027000003</v>
      </c>
      <c r="L21" s="164">
        <v>6284614.2045898438</v>
      </c>
      <c r="M21" s="165">
        <f t="shared" ref="M21:M28" si="12">IF(K21&lt;&gt;0,L21/K21-1,"")</f>
        <v>-0.23131396646082503</v>
      </c>
      <c r="N21" s="163">
        <v>7109381.0459000003</v>
      </c>
      <c r="O21" s="164">
        <v>-956644</v>
      </c>
      <c r="P21" s="165">
        <f t="shared" ref="P21:P28" si="13">IF(N21&lt;&gt;0,O21/N21-1,"")</f>
        <v>-1.1345607998535541</v>
      </c>
      <c r="Q21" s="163">
        <v>8708991.7810999993</v>
      </c>
      <c r="R21" s="164">
        <v>162242</v>
      </c>
      <c r="S21" s="165">
        <f t="shared" ref="S21:S28" si="14">IF(Q21&lt;&gt;0,R21/Q21-1,"")</f>
        <v>-0.98137074829349447</v>
      </c>
      <c r="T21" s="163">
        <v>5617345.879399999</v>
      </c>
      <c r="U21" s="164">
        <v>0</v>
      </c>
      <c r="V21" s="165">
        <f t="shared" ref="V21:V28" si="15">IF(T21&lt;&gt;0,U21/T21-1,"")</f>
        <v>-1</v>
      </c>
      <c r="W21" s="166">
        <f t="shared" ref="W21:X27" si="16">B21+E21+H21+K21+N21+Q21+T21</f>
        <v>54405473.306299999</v>
      </c>
      <c r="X21" s="167">
        <f t="shared" si="16"/>
        <v>26015203.370849613</v>
      </c>
      <c r="Y21" s="168">
        <f t="shared" ref="Y21:Y28" si="17">IF(W21&lt;&gt;0,X21/W21-1,"")</f>
        <v>-0.5218274598148358</v>
      </c>
    </row>
    <row r="22" spans="1:25" ht="16.05" customHeight="1" x14ac:dyDescent="0.3">
      <c r="A22" s="176" t="s">
        <v>1345</v>
      </c>
      <c r="B22" s="163">
        <v>24950884.109999999</v>
      </c>
      <c r="C22" s="164">
        <v>15782766.619628901</v>
      </c>
      <c r="D22" s="165">
        <f t="shared" si="9"/>
        <v>-0.36744659828292947</v>
      </c>
      <c r="E22" s="163">
        <v>28995482.741099998</v>
      </c>
      <c r="F22" s="164">
        <v>3045060.7954101558</v>
      </c>
      <c r="G22" s="165">
        <f t="shared" si="10"/>
        <v>-0.89498154513930894</v>
      </c>
      <c r="H22" s="163">
        <v>50503693.682399988</v>
      </c>
      <c r="I22" s="164">
        <v>60202449.837646477</v>
      </c>
      <c r="J22" s="165">
        <f t="shared" si="11"/>
        <v>0.19204053105973928</v>
      </c>
      <c r="K22" s="163">
        <v>20791516.4903</v>
      </c>
      <c r="L22" s="164">
        <v>4222338.5048828116</v>
      </c>
      <c r="M22" s="165">
        <f t="shared" si="12"/>
        <v>-0.79692012812760982</v>
      </c>
      <c r="N22" s="163">
        <v>32844023.179499999</v>
      </c>
      <c r="O22" s="164">
        <v>21085389.152132548</v>
      </c>
      <c r="P22" s="165">
        <f t="shared" si="13"/>
        <v>-0.3580144236016356</v>
      </c>
      <c r="Q22" s="163">
        <v>24051307.791200001</v>
      </c>
      <c r="R22" s="164">
        <v>1750315.3162844051</v>
      </c>
      <c r="S22" s="165">
        <f t="shared" si="14"/>
        <v>-0.92722577368849701</v>
      </c>
      <c r="T22" s="163">
        <v>29110402.7093</v>
      </c>
      <c r="U22" s="164">
        <v>3816097</v>
      </c>
      <c r="V22" s="165">
        <f t="shared" si="15"/>
        <v>-0.86890950846307402</v>
      </c>
      <c r="W22" s="166">
        <f t="shared" si="16"/>
        <v>211247310.70380002</v>
      </c>
      <c r="X22" s="167">
        <f t="shared" si="16"/>
        <v>109904417.2259853</v>
      </c>
      <c r="Y22" s="168">
        <f t="shared" si="17"/>
        <v>-0.47973578049432519</v>
      </c>
    </row>
    <row r="23" spans="1:25" ht="16.05" customHeight="1" x14ac:dyDescent="0.3">
      <c r="A23" s="176" t="s">
        <v>1346</v>
      </c>
      <c r="B23" s="163">
        <v>3900000</v>
      </c>
      <c r="C23" s="164">
        <v>6825396.7120420951</v>
      </c>
      <c r="D23" s="165">
        <f t="shared" si="9"/>
        <v>0.75010172103643469</v>
      </c>
      <c r="E23" s="163">
        <v>6000000</v>
      </c>
      <c r="F23" s="164">
        <v>5641795.5491447449</v>
      </c>
      <c r="G23" s="165">
        <f t="shared" si="10"/>
        <v>-5.9700741809209146E-2</v>
      </c>
      <c r="H23" s="163">
        <v>7500000</v>
      </c>
      <c r="I23" s="164">
        <v>7476689.6438084394</v>
      </c>
      <c r="J23" s="165">
        <f t="shared" si="11"/>
        <v>-3.1080474922080548E-3</v>
      </c>
      <c r="K23" s="163">
        <v>6600000</v>
      </c>
      <c r="L23" s="164">
        <v>8078300.2874145508</v>
      </c>
      <c r="M23" s="165">
        <f t="shared" si="12"/>
        <v>0.2239848920325076</v>
      </c>
      <c r="N23" s="163">
        <v>6000000</v>
      </c>
      <c r="O23" s="164">
        <v>8229278.5011137119</v>
      </c>
      <c r="P23" s="165">
        <f t="shared" si="13"/>
        <v>0.37154641685228529</v>
      </c>
      <c r="Q23" s="163">
        <v>6900000</v>
      </c>
      <c r="R23" s="164">
        <v>9937373.2201250009</v>
      </c>
      <c r="S23" s="165">
        <f t="shared" si="14"/>
        <v>0.44019901740942036</v>
      </c>
      <c r="T23" s="163">
        <v>6000000</v>
      </c>
      <c r="U23" s="164">
        <v>1295187.285157491</v>
      </c>
      <c r="V23" s="165">
        <f t="shared" si="15"/>
        <v>-0.78413545247375149</v>
      </c>
      <c r="W23" s="166">
        <f t="shared" si="16"/>
        <v>42900000</v>
      </c>
      <c r="X23" s="167">
        <f t="shared" si="16"/>
        <v>47484021.19880604</v>
      </c>
      <c r="Y23" s="168">
        <f t="shared" si="17"/>
        <v>0.10685364099780981</v>
      </c>
    </row>
    <row r="24" spans="1:25" ht="16.05" customHeight="1" x14ac:dyDescent="0.3">
      <c r="A24" s="176" t="s">
        <v>1347</v>
      </c>
      <c r="B24" s="163">
        <v>31809100</v>
      </c>
      <c r="C24" s="164">
        <v>12359359.950275419</v>
      </c>
      <c r="D24" s="165">
        <f t="shared" si="9"/>
        <v>-0.61145207031084126</v>
      </c>
      <c r="E24" s="163">
        <v>30576000</v>
      </c>
      <c r="F24" s="164">
        <v>18296607.709980011</v>
      </c>
      <c r="G24" s="165">
        <f t="shared" si="10"/>
        <v>-0.40160231194466212</v>
      </c>
      <c r="H24" s="163">
        <v>36918000</v>
      </c>
      <c r="I24" s="164">
        <v>36895123.816454202</v>
      </c>
      <c r="J24" s="165">
        <f t="shared" si="11"/>
        <v>-6.1964850603490884E-4</v>
      </c>
      <c r="K24" s="163">
        <v>30064730</v>
      </c>
      <c r="L24" s="164">
        <v>22208271.11181068</v>
      </c>
      <c r="M24" s="165">
        <f t="shared" si="12"/>
        <v>-0.26131812553079037</v>
      </c>
      <c r="N24" s="163">
        <v>26032157</v>
      </c>
      <c r="O24" s="164">
        <v>20363369.308357731</v>
      </c>
      <c r="P24" s="165">
        <f t="shared" si="13"/>
        <v>-0.21776096739283912</v>
      </c>
      <c r="Q24" s="163">
        <v>45410000</v>
      </c>
      <c r="R24" s="164">
        <v>32041021.831224859</v>
      </c>
      <c r="S24" s="165">
        <f t="shared" si="14"/>
        <v>-0.29440603762993045</v>
      </c>
      <c r="T24" s="163">
        <v>23913523.319600001</v>
      </c>
      <c r="U24" s="164">
        <v>11057459.984809469</v>
      </c>
      <c r="V24" s="165">
        <f t="shared" si="15"/>
        <v>-0.53760640634052637</v>
      </c>
      <c r="W24" s="166">
        <f t="shared" si="16"/>
        <v>224723510.31959999</v>
      </c>
      <c r="X24" s="167">
        <f t="shared" si="16"/>
        <v>153221213.71291238</v>
      </c>
      <c r="Y24" s="168">
        <f t="shared" si="17"/>
        <v>-0.31817897693480135</v>
      </c>
    </row>
    <row r="25" spans="1:25" ht="16.05" customHeight="1" x14ac:dyDescent="0.3">
      <c r="A25" s="176" t="s">
        <v>1348</v>
      </c>
      <c r="B25" s="163">
        <v>133149111.88689999</v>
      </c>
      <c r="C25" s="164">
        <v>142110958.58845431</v>
      </c>
      <c r="D25" s="165">
        <f t="shared" si="9"/>
        <v>6.730684549489685E-2</v>
      </c>
      <c r="E25" s="163">
        <v>129273163.777</v>
      </c>
      <c r="F25" s="164">
        <v>144977245.82498169</v>
      </c>
      <c r="G25" s="165">
        <f t="shared" si="10"/>
        <v>0.12147983068683699</v>
      </c>
      <c r="H25" s="163">
        <v>157182003.56420001</v>
      </c>
      <c r="I25" s="164">
        <v>203931329.54249409</v>
      </c>
      <c r="J25" s="165">
        <f t="shared" si="11"/>
        <v>0.29742161900360053</v>
      </c>
      <c r="K25" s="163">
        <v>142415621.361559</v>
      </c>
      <c r="L25" s="164">
        <v>191015695.58581629</v>
      </c>
      <c r="M25" s="165">
        <f t="shared" si="12"/>
        <v>0.34125522017611676</v>
      </c>
      <c r="N25" s="163">
        <v>143218021.55727759</v>
      </c>
      <c r="O25" s="164">
        <v>176593972.75322729</v>
      </c>
      <c r="P25" s="165">
        <f t="shared" si="13"/>
        <v>0.23304295669663033</v>
      </c>
      <c r="Q25" s="163">
        <v>256160639.14108711</v>
      </c>
      <c r="R25" s="164">
        <v>299271332.6574797</v>
      </c>
      <c r="S25" s="165">
        <f t="shared" si="14"/>
        <v>0.16829554166066973</v>
      </c>
      <c r="T25" s="163">
        <v>184965016.12689301</v>
      </c>
      <c r="U25" s="164">
        <v>88886514.78773582</v>
      </c>
      <c r="V25" s="165">
        <f t="shared" si="15"/>
        <v>-0.51944147791301087</v>
      </c>
      <c r="W25" s="166">
        <f t="shared" si="16"/>
        <v>1146363577.4149168</v>
      </c>
      <c r="X25" s="167">
        <f t="shared" si="16"/>
        <v>1246787049.7401891</v>
      </c>
      <c r="Y25" s="168">
        <f t="shared" si="17"/>
        <v>8.7601764661548565E-2</v>
      </c>
    </row>
    <row r="26" spans="1:25" ht="16.05" customHeight="1" x14ac:dyDescent="0.3">
      <c r="A26" s="176" t="s">
        <v>1349</v>
      </c>
      <c r="B26" s="163">
        <v>16856508.293900002</v>
      </c>
      <c r="C26" s="164">
        <v>15036822.804443359</v>
      </c>
      <c r="D26" s="165">
        <f t="shared" si="9"/>
        <v>-0.10795150797126507</v>
      </c>
      <c r="E26" s="163">
        <v>14816115.2852</v>
      </c>
      <c r="F26" s="164">
        <v>13994477.35681152</v>
      </c>
      <c r="G26" s="165">
        <f t="shared" si="10"/>
        <v>-5.5455692168460913E-2</v>
      </c>
      <c r="H26" s="163">
        <v>25325787.9135</v>
      </c>
      <c r="I26" s="164">
        <v>27520066.167480469</v>
      </c>
      <c r="J26" s="165">
        <f t="shared" si="11"/>
        <v>8.6642052814901893E-2</v>
      </c>
      <c r="K26" s="163">
        <v>19884915.612300001</v>
      </c>
      <c r="L26" s="164">
        <v>21748770.83603153</v>
      </c>
      <c r="M26" s="165">
        <f t="shared" si="12"/>
        <v>9.3732116347460037E-2</v>
      </c>
      <c r="N26" s="163">
        <v>18579876.211300001</v>
      </c>
      <c r="O26" s="164">
        <v>22688967.92219514</v>
      </c>
      <c r="P26" s="165">
        <f t="shared" si="13"/>
        <v>0.22115818556401634</v>
      </c>
      <c r="Q26" s="163">
        <v>42007024.054300003</v>
      </c>
      <c r="R26" s="164">
        <v>29690924.679905351</v>
      </c>
      <c r="S26" s="165">
        <f t="shared" si="14"/>
        <v>-0.29319142814007382</v>
      </c>
      <c r="T26" s="163">
        <v>12994827.937899999</v>
      </c>
      <c r="U26" s="164">
        <v>5138897.0232127868</v>
      </c>
      <c r="V26" s="165">
        <f t="shared" si="15"/>
        <v>-0.60454289600672872</v>
      </c>
      <c r="W26" s="166">
        <f t="shared" si="16"/>
        <v>150465055.30840001</v>
      </c>
      <c r="X26" s="167">
        <f t="shared" si="16"/>
        <v>135818926.79008016</v>
      </c>
      <c r="Y26" s="168">
        <f t="shared" si="17"/>
        <v>-9.7339069781355425E-2</v>
      </c>
    </row>
    <row r="27" spans="1:25" ht="16.05" customHeight="1" x14ac:dyDescent="0.3">
      <c r="A27" s="176" t="s">
        <v>1350</v>
      </c>
      <c r="B27" s="163">
        <v>0</v>
      </c>
      <c r="C27" s="164">
        <v>0</v>
      </c>
      <c r="D27" s="165" t="str">
        <f t="shared" si="9"/>
        <v/>
      </c>
      <c r="E27" s="163">
        <v>0</v>
      </c>
      <c r="F27" s="164">
        <v>0</v>
      </c>
      <c r="G27" s="165" t="str">
        <f t="shared" si="10"/>
        <v/>
      </c>
      <c r="H27" s="163">
        <v>0</v>
      </c>
      <c r="I27" s="164">
        <v>0</v>
      </c>
      <c r="J27" s="165" t="str">
        <f t="shared" si="11"/>
        <v/>
      </c>
      <c r="K27" s="163">
        <v>0</v>
      </c>
      <c r="L27" s="164">
        <v>0</v>
      </c>
      <c r="M27" s="165" t="str">
        <f t="shared" si="12"/>
        <v/>
      </c>
      <c r="N27" s="163">
        <v>0</v>
      </c>
      <c r="O27" s="164">
        <v>0</v>
      </c>
      <c r="P27" s="165" t="str">
        <f t="shared" si="13"/>
        <v/>
      </c>
      <c r="Q27" s="163">
        <v>0</v>
      </c>
      <c r="R27" s="164">
        <v>0</v>
      </c>
      <c r="S27" s="165" t="str">
        <f t="shared" si="14"/>
        <v/>
      </c>
      <c r="T27" s="163">
        <v>0</v>
      </c>
      <c r="U27" s="164">
        <v>0</v>
      </c>
      <c r="V27" s="165" t="str">
        <f t="shared" si="15"/>
        <v/>
      </c>
      <c r="W27" s="166">
        <f t="shared" si="16"/>
        <v>0</v>
      </c>
      <c r="X27" s="167">
        <f t="shared" si="16"/>
        <v>0</v>
      </c>
      <c r="Y27" s="168" t="str">
        <f t="shared" si="17"/>
        <v/>
      </c>
    </row>
    <row r="28" spans="1:25" ht="19.95" customHeight="1" x14ac:dyDescent="0.3">
      <c r="A28" s="169" t="s">
        <v>45</v>
      </c>
      <c r="B28" s="166">
        <f>SUM(B21:B27)</f>
        <v>218752525.23040003</v>
      </c>
      <c r="C28" s="167">
        <f>SUM(C21:C27)</f>
        <v>212367663.85672885</v>
      </c>
      <c r="D28" s="168">
        <f t="shared" si="9"/>
        <v>-2.9187600769163047E-2</v>
      </c>
      <c r="E28" s="166">
        <f>SUM(E21:E27)</f>
        <v>218547488.11049998</v>
      </c>
      <c r="F28" s="167">
        <f>SUM(F21:F27)</f>
        <v>186170858.65649414</v>
      </c>
      <c r="G28" s="168">
        <f t="shared" si="10"/>
        <v>-0.14814459655393464</v>
      </c>
      <c r="H28" s="166">
        <f>SUM(H21:H27)</f>
        <v>285249804.31050003</v>
      </c>
      <c r="I28" s="167">
        <f>SUM(I21:I27)</f>
        <v>336082619.57209265</v>
      </c>
      <c r="J28" s="168">
        <f t="shared" si="11"/>
        <v>0.1782045578767868</v>
      </c>
      <c r="K28" s="166">
        <f>SUM(K21:K27)</f>
        <v>227932571.666859</v>
      </c>
      <c r="L28" s="167">
        <f>SUM(L21:L27)</f>
        <v>253557990.53054571</v>
      </c>
      <c r="M28" s="168">
        <f t="shared" si="12"/>
        <v>0.11242543650646053</v>
      </c>
      <c r="N28" s="166">
        <f>SUM(N21:N27)</f>
        <v>233783458.99397761</v>
      </c>
      <c r="O28" s="167">
        <f>SUM(O21:O27)</f>
        <v>248004333.63702643</v>
      </c>
      <c r="P28" s="168">
        <f t="shared" si="13"/>
        <v>6.0829259282262349E-2</v>
      </c>
      <c r="Q28" s="166">
        <f>SUM(Q21:Q27)</f>
        <v>383237962.76768714</v>
      </c>
      <c r="R28" s="167">
        <f>SUM(R21:R27)</f>
        <v>372853209.7050193</v>
      </c>
      <c r="S28" s="168">
        <f t="shared" si="14"/>
        <v>-2.7097401801404852E-2</v>
      </c>
      <c r="T28" s="166">
        <f>SUM(T21:T27)</f>
        <v>262601115.97309303</v>
      </c>
      <c r="U28" s="167">
        <f>SUM(U21:U27)</f>
        <v>110194156.08091557</v>
      </c>
      <c r="V28" s="168">
        <f t="shared" si="15"/>
        <v>-0.580374380083722</v>
      </c>
      <c r="W28" s="170">
        <f>SUM(W21:W27)</f>
        <v>1830104927.0530167</v>
      </c>
      <c r="X28" s="171">
        <f>SUM(X21:X27)</f>
        <v>1719230832.0388227</v>
      </c>
      <c r="Y28" s="168">
        <f t="shared" si="17"/>
        <v>-6.0583463480824773E-2</v>
      </c>
    </row>
  </sheetData>
  <mergeCells count="23">
    <mergeCell ref="Q19:S19"/>
    <mergeCell ref="T19:V19"/>
    <mergeCell ref="W19:Y19"/>
    <mergeCell ref="Q6:S6"/>
    <mergeCell ref="T6:V6"/>
    <mergeCell ref="W6:Y6"/>
    <mergeCell ref="A17:Y17"/>
    <mergeCell ref="A18:Y18"/>
    <mergeCell ref="B19:D19"/>
    <mergeCell ref="E19:G19"/>
    <mergeCell ref="H19:J19"/>
    <mergeCell ref="K19:M19"/>
    <mergeCell ref="N19:P19"/>
    <mergeCell ref="A1:Y1"/>
    <mergeCell ref="A2:Y2"/>
    <mergeCell ref="A3:Y3"/>
    <mergeCell ref="A4:Y4"/>
    <mergeCell ref="A5:Y5"/>
    <mergeCell ref="B6:D6"/>
    <mergeCell ref="E6:G6"/>
    <mergeCell ref="H6:J6"/>
    <mergeCell ref="K6:M6"/>
    <mergeCell ref="N6:P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workbookViewId="0">
      <pane xSplit="1" ySplit="4" topLeftCell="B5" activePane="bottomRight" state="frozen"/>
      <selection pane="topRight"/>
      <selection pane="bottomLeft"/>
      <selection pane="bottomRight" sqref="A1:W1"/>
    </sheetView>
  </sheetViews>
  <sheetFormatPr baseColWidth="10" defaultColWidth="8.88671875" defaultRowHeight="14.4" x14ac:dyDescent="0.3"/>
  <cols>
    <col min="1" max="1" width="18" customWidth="1"/>
    <col min="2" max="2" width="13" customWidth="1"/>
    <col min="3" max="3" width="9" customWidth="1"/>
    <col min="4" max="5" width="11" customWidth="1"/>
    <col min="6" max="6" width="12" customWidth="1"/>
    <col min="7" max="7" width="11" customWidth="1"/>
    <col min="8" max="8" width="9" customWidth="1"/>
    <col min="9" max="10" width="11" customWidth="1"/>
    <col min="11" max="11" width="12" customWidth="1"/>
    <col min="12" max="12" width="11" customWidth="1"/>
    <col min="13" max="13" width="9" customWidth="1"/>
    <col min="14" max="15" width="11" customWidth="1"/>
    <col min="16" max="16" width="12" customWidth="1"/>
    <col min="17" max="17" width="11" customWidth="1"/>
    <col min="18" max="18" width="9" customWidth="1"/>
    <col min="19" max="20" width="11" customWidth="1"/>
    <col min="21" max="21" width="12" customWidth="1"/>
    <col min="22" max="22" width="11" customWidth="1"/>
    <col min="23" max="23" width="9" customWidth="1"/>
  </cols>
  <sheetData>
    <row r="1" spans="1:23" ht="28.05" customHeight="1" x14ac:dyDescent="0.3">
      <c r="A1" s="133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</row>
    <row r="2" spans="1:23" ht="19.95" customHeight="1" x14ac:dyDescent="0.3">
      <c r="A2" s="1"/>
      <c r="B2" s="131" t="s">
        <v>1</v>
      </c>
      <c r="C2" s="132"/>
      <c r="D2" s="136" t="s">
        <v>2</v>
      </c>
      <c r="E2" s="135"/>
      <c r="F2" s="135"/>
      <c r="G2" s="135"/>
      <c r="H2" s="132"/>
      <c r="I2" s="137" t="s">
        <v>3</v>
      </c>
      <c r="J2" s="135"/>
      <c r="K2" s="135"/>
      <c r="L2" s="135"/>
      <c r="M2" s="132"/>
      <c r="N2" s="138" t="s">
        <v>4</v>
      </c>
      <c r="O2" s="135"/>
      <c r="P2" s="135"/>
      <c r="Q2" s="135"/>
      <c r="R2" s="132"/>
      <c r="S2" s="134" t="s">
        <v>5</v>
      </c>
      <c r="T2" s="135"/>
      <c r="U2" s="135"/>
      <c r="V2" s="135"/>
      <c r="W2" s="132"/>
    </row>
    <row r="3" spans="1:23" ht="36" customHeight="1" x14ac:dyDescent="0.3">
      <c r="A3" s="2" t="s">
        <v>6</v>
      </c>
      <c r="B3" s="2" t="s">
        <v>7</v>
      </c>
      <c r="C3" s="2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</row>
    <row r="4" spans="1:23" ht="16.05" customHeight="1" x14ac:dyDescent="0.3">
      <c r="A4" s="7" t="s">
        <v>14</v>
      </c>
      <c r="B4" s="8">
        <v>335168128.52522629</v>
      </c>
      <c r="C4" s="9">
        <v>5.5540128700343434</v>
      </c>
      <c r="D4" s="8">
        <v>382456230.94396567</v>
      </c>
      <c r="E4" s="8">
        <v>0</v>
      </c>
      <c r="F4" s="8">
        <v>335168128.52522629</v>
      </c>
      <c r="G4" s="8">
        <v>65917099.665000007</v>
      </c>
      <c r="H4" s="9">
        <v>5.5540128700343434</v>
      </c>
      <c r="I4" s="8">
        <v>293468947.91997528</v>
      </c>
      <c r="J4" s="8">
        <v>30732255</v>
      </c>
      <c r="K4" s="8">
        <v>363035814.08894068</v>
      </c>
      <c r="L4" s="8">
        <v>60498868.454999998</v>
      </c>
      <c r="M4" s="10">
        <v>6.2865486380571616</v>
      </c>
      <c r="N4" s="8">
        <v>280243144.30499989</v>
      </c>
      <c r="O4" s="8">
        <v>118009006.1689655</v>
      </c>
      <c r="P4" s="8">
        <v>398252150.47396553</v>
      </c>
      <c r="Q4" s="8">
        <v>54625093.38000001</v>
      </c>
      <c r="R4" s="10">
        <v>7.3407777446692277</v>
      </c>
      <c r="S4" s="8">
        <v>382456230.94396567</v>
      </c>
      <c r="T4" s="8">
        <v>54611775</v>
      </c>
      <c r="U4" s="8">
        <v>437068005.94396567</v>
      </c>
      <c r="V4" s="8">
        <v>58120135.200000018</v>
      </c>
      <c r="W4" s="10">
        <v>6.5462966873020916</v>
      </c>
    </row>
    <row r="5" spans="1:23" ht="16.05" customHeight="1" x14ac:dyDescent="0.3">
      <c r="A5" s="11" t="s">
        <v>15</v>
      </c>
      <c r="B5" s="12">
        <v>289169481.77741909</v>
      </c>
      <c r="C5" s="13">
        <v>3.3430011850856292</v>
      </c>
      <c r="D5" s="12">
        <v>270865536.12</v>
      </c>
      <c r="E5" s="12">
        <v>0</v>
      </c>
      <c r="F5" s="12">
        <v>289169481.77741909</v>
      </c>
      <c r="G5" s="12">
        <v>90323827.965000018</v>
      </c>
      <c r="H5" s="13">
        <v>3.3430011850856292</v>
      </c>
      <c r="I5" s="12">
        <v>225710442.92405549</v>
      </c>
      <c r="J5" s="12">
        <v>45285804</v>
      </c>
      <c r="K5" s="12">
        <v>312800259.17405552</v>
      </c>
      <c r="L5" s="12">
        <v>90522216.764999986</v>
      </c>
      <c r="M5" s="13">
        <v>3.2980779204449591</v>
      </c>
      <c r="N5" s="12">
        <v>175249555.47</v>
      </c>
      <c r="O5" s="12">
        <v>95789011.950000003</v>
      </c>
      <c r="P5" s="12">
        <v>271038567.42000008</v>
      </c>
      <c r="Q5" s="12">
        <v>78653846.924999982</v>
      </c>
      <c r="R5" s="13">
        <v>2.8858195702372371</v>
      </c>
      <c r="S5" s="12">
        <v>270865536.12</v>
      </c>
      <c r="T5" s="12">
        <v>132630758.09999999</v>
      </c>
      <c r="U5" s="12">
        <v>403496294.22000003</v>
      </c>
      <c r="V5" s="12">
        <v>115353532.08</v>
      </c>
      <c r="W5" s="13">
        <v>3.862016444403416</v>
      </c>
    </row>
    <row r="6" spans="1:23" ht="16.05" customHeight="1" x14ac:dyDescent="0.3">
      <c r="A6" s="7" t="s">
        <v>16</v>
      </c>
      <c r="B6" s="8">
        <v>181530041.20661139</v>
      </c>
      <c r="C6" s="13">
        <v>3.560345058464276</v>
      </c>
      <c r="D6" s="8">
        <v>148666350.7241379</v>
      </c>
      <c r="E6" s="8">
        <v>0</v>
      </c>
      <c r="F6" s="8">
        <v>181530041.20661139</v>
      </c>
      <c r="G6" s="8">
        <v>60580557.899999999</v>
      </c>
      <c r="H6" s="13">
        <v>3.560345058464276</v>
      </c>
      <c r="I6" s="8">
        <v>149112054.51808769</v>
      </c>
      <c r="J6" s="8">
        <v>19178032.5</v>
      </c>
      <c r="K6" s="8">
        <v>210175591.24222571</v>
      </c>
      <c r="L6" s="8">
        <v>53058074.399999999</v>
      </c>
      <c r="M6" s="13">
        <v>3.9201417591310319</v>
      </c>
      <c r="N6" s="8">
        <v>116389610.55</v>
      </c>
      <c r="O6" s="8">
        <v>66454541.224137932</v>
      </c>
      <c r="P6" s="8">
        <v>182844151.77413791</v>
      </c>
      <c r="Q6" s="8">
        <v>39321295.649999999</v>
      </c>
      <c r="R6" s="13">
        <v>3.1170075524608549</v>
      </c>
      <c r="S6" s="8">
        <v>148666350.7241379</v>
      </c>
      <c r="T6" s="8">
        <v>104528790</v>
      </c>
      <c r="U6" s="8">
        <v>253195140.7241379</v>
      </c>
      <c r="V6" s="8">
        <v>68463480.149999991</v>
      </c>
      <c r="W6" s="13">
        <v>3.2852342482807542</v>
      </c>
    </row>
    <row r="7" spans="1:23" ht="16.05" customHeight="1" x14ac:dyDescent="0.3">
      <c r="A7" s="11" t="s">
        <v>17</v>
      </c>
      <c r="B7" s="12">
        <v>33594226.757497668</v>
      </c>
      <c r="C7" s="13">
        <v>2.7330367803563118</v>
      </c>
      <c r="D7" s="12">
        <v>92912179.243421063</v>
      </c>
      <c r="E7" s="12">
        <v>0</v>
      </c>
      <c r="F7" s="12">
        <v>33594226.757497668</v>
      </c>
      <c r="G7" s="12">
        <v>9309048.75</v>
      </c>
      <c r="H7" s="13">
        <v>2.7330367803563118</v>
      </c>
      <c r="I7" s="12">
        <v>28561742.298573159</v>
      </c>
      <c r="J7" s="12">
        <v>19949625</v>
      </c>
      <c r="K7" s="12">
        <v>42927542.298573151</v>
      </c>
      <c r="L7" s="12">
        <v>11322641.25</v>
      </c>
      <c r="M7" s="13">
        <v>2.4088448186335589</v>
      </c>
      <c r="N7" s="12">
        <v>38341575</v>
      </c>
      <c r="O7" s="12">
        <v>19494225</v>
      </c>
      <c r="P7" s="12">
        <v>57835800</v>
      </c>
      <c r="Q7" s="12">
        <v>16244023.125</v>
      </c>
      <c r="R7" s="13">
        <v>2.4575958223741292</v>
      </c>
      <c r="S7" s="12">
        <v>92912179.243421063</v>
      </c>
      <c r="T7" s="12">
        <v>57823888.421052627</v>
      </c>
      <c r="U7" s="12">
        <v>150736067.66447371</v>
      </c>
      <c r="V7" s="12">
        <v>25895736.31578948</v>
      </c>
      <c r="W7" s="9">
        <v>4.6681589044769023</v>
      </c>
    </row>
    <row r="8" spans="1:23" ht="16.05" customHeight="1" x14ac:dyDescent="0.3">
      <c r="A8" s="7" t="s">
        <v>18</v>
      </c>
      <c r="B8" s="8">
        <v>22556207</v>
      </c>
      <c r="C8" s="9">
        <v>4.3457081612867929</v>
      </c>
      <c r="D8" s="8">
        <v>11885629.5</v>
      </c>
      <c r="E8" s="8">
        <v>0</v>
      </c>
      <c r="F8" s="8">
        <v>22556207</v>
      </c>
      <c r="G8" s="8">
        <v>5306962.5</v>
      </c>
      <c r="H8" s="9">
        <v>4.3457081612867929</v>
      </c>
      <c r="I8" s="8">
        <v>19802592.5</v>
      </c>
      <c r="J8" s="8">
        <v>0</v>
      </c>
      <c r="K8" s="8">
        <v>22260717.5</v>
      </c>
      <c r="L8" s="8">
        <v>5411497.5</v>
      </c>
      <c r="M8" s="9">
        <v>4.0455580395741322</v>
      </c>
      <c r="N8" s="8">
        <v>13919197.5</v>
      </c>
      <c r="O8" s="8">
        <v>2458125</v>
      </c>
      <c r="P8" s="8">
        <v>16377322.5</v>
      </c>
      <c r="Q8" s="8">
        <v>4852908</v>
      </c>
      <c r="R8" s="13">
        <v>2.7376613340407618</v>
      </c>
      <c r="S8" s="8">
        <v>11885629.5</v>
      </c>
      <c r="T8" s="8">
        <v>7245000</v>
      </c>
      <c r="U8" s="8">
        <v>19130629.5</v>
      </c>
      <c r="V8" s="8">
        <v>6243119.9999999991</v>
      </c>
      <c r="W8" s="13">
        <v>2.6730506881342042</v>
      </c>
    </row>
    <row r="9" spans="1:23" ht="16.05" customHeight="1" x14ac:dyDescent="0.3">
      <c r="A9" s="11" t="s">
        <v>19</v>
      </c>
      <c r="B9" s="12">
        <v>31915159</v>
      </c>
      <c r="C9" s="13">
        <v>2.9330362213230199</v>
      </c>
      <c r="D9" s="12">
        <v>18656475.300000001</v>
      </c>
      <c r="E9" s="12">
        <v>0</v>
      </c>
      <c r="F9" s="12">
        <v>31915159</v>
      </c>
      <c r="G9" s="12">
        <v>10718827.425000001</v>
      </c>
      <c r="H9" s="13">
        <v>2.9330362213230199</v>
      </c>
      <c r="I9" s="12">
        <v>25547318.899999999</v>
      </c>
      <c r="J9" s="12">
        <v>978074.99999999988</v>
      </c>
      <c r="K9" s="12">
        <v>25547318.899999999</v>
      </c>
      <c r="L9" s="12">
        <v>15547221.449999999</v>
      </c>
      <c r="M9" s="13">
        <v>2.3637580373188962</v>
      </c>
      <c r="N9" s="12">
        <v>14260742.324999999</v>
      </c>
      <c r="O9" s="12">
        <v>0</v>
      </c>
      <c r="P9" s="12">
        <v>14260742.324999999</v>
      </c>
      <c r="Q9" s="12">
        <v>6377761.080000001</v>
      </c>
      <c r="R9" s="14">
        <v>1.2067969709882811</v>
      </c>
      <c r="S9" s="12">
        <v>18656475.300000001</v>
      </c>
      <c r="T9" s="12">
        <v>41877807.75</v>
      </c>
      <c r="U9" s="12">
        <v>60534283.049999997</v>
      </c>
      <c r="V9" s="12">
        <v>10498791.6</v>
      </c>
      <c r="W9" s="13">
        <v>3.0763177535978419</v>
      </c>
    </row>
    <row r="10" spans="1:23" ht="16.05" customHeight="1" x14ac:dyDescent="0.3">
      <c r="A10" s="7" t="s">
        <v>20</v>
      </c>
      <c r="B10" s="8">
        <v>18052309</v>
      </c>
      <c r="C10" s="13">
        <v>2.518677898114722</v>
      </c>
      <c r="D10" s="8">
        <v>89229937.499999985</v>
      </c>
      <c r="E10" s="8">
        <v>0</v>
      </c>
      <c r="F10" s="8">
        <v>18052309</v>
      </c>
      <c r="G10" s="8">
        <v>7498574.9999999991</v>
      </c>
      <c r="H10" s="13">
        <v>2.518677898114722</v>
      </c>
      <c r="I10" s="8">
        <v>16969233</v>
      </c>
      <c r="J10" s="8">
        <v>0</v>
      </c>
      <c r="K10" s="8">
        <v>16969233</v>
      </c>
      <c r="L10" s="8">
        <v>7001774.9999999991</v>
      </c>
      <c r="M10" s="14">
        <v>1.6058172578744909</v>
      </c>
      <c r="N10" s="8">
        <v>12744472.5</v>
      </c>
      <c r="O10" s="8">
        <v>2173500</v>
      </c>
      <c r="P10" s="8">
        <v>14917972.5</v>
      </c>
      <c r="Q10" s="8">
        <v>7001774.9999999991</v>
      </c>
      <c r="R10" s="14">
        <v>1.115739904528448</v>
      </c>
      <c r="S10" s="8">
        <v>89229937.499999985</v>
      </c>
      <c r="T10" s="8">
        <v>97387289.999999985</v>
      </c>
      <c r="U10" s="8">
        <v>186617227.5</v>
      </c>
      <c r="V10" s="8">
        <v>17698500</v>
      </c>
      <c r="W10" s="10">
        <v>9.0720251572327051</v>
      </c>
    </row>
    <row r="11" spans="1:23" ht="16.05" customHeight="1" x14ac:dyDescent="0.3">
      <c r="A11" s="11" t="s">
        <v>21</v>
      </c>
      <c r="B11" s="12">
        <v>39290702.774999999</v>
      </c>
      <c r="C11" s="10">
        <v>26.978041835678368</v>
      </c>
      <c r="D11" s="12">
        <v>33616275.600000001</v>
      </c>
      <c r="E11" s="12">
        <v>0</v>
      </c>
      <c r="F11" s="12">
        <v>39290702.774999999</v>
      </c>
      <c r="G11" s="12">
        <v>1591804.125</v>
      </c>
      <c r="H11" s="10">
        <v>26.978041835678368</v>
      </c>
      <c r="I11" s="12">
        <v>38375411.737499997</v>
      </c>
      <c r="J11" s="12">
        <v>0</v>
      </c>
      <c r="K11" s="12">
        <v>38375411.737499997</v>
      </c>
      <c r="L11" s="12">
        <v>1259258.625</v>
      </c>
      <c r="M11" s="10">
        <v>23.26218836560269</v>
      </c>
      <c r="N11" s="12">
        <v>35096394.600000001</v>
      </c>
      <c r="O11" s="12">
        <v>0</v>
      </c>
      <c r="P11" s="12">
        <v>35096394.600000001</v>
      </c>
      <c r="Q11" s="12">
        <v>1518124.2</v>
      </c>
      <c r="R11" s="10">
        <v>17.33754482999964</v>
      </c>
      <c r="S11" s="12">
        <v>33616275.600000001</v>
      </c>
      <c r="T11" s="12">
        <v>0</v>
      </c>
      <c r="U11" s="12">
        <v>33616275.600000001</v>
      </c>
      <c r="V11" s="12">
        <v>2171688.75</v>
      </c>
      <c r="W11" s="10">
        <v>11.28764838148769</v>
      </c>
    </row>
    <row r="12" spans="1:23" ht="4.0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6.05" customHeight="1" x14ac:dyDescent="0.3">
      <c r="A13" s="15" t="s">
        <v>22</v>
      </c>
      <c r="B13" s="16">
        <v>951276256.04175448</v>
      </c>
      <c r="C13" s="17">
        <v>4.0510692929061562</v>
      </c>
      <c r="D13" s="16">
        <v>1048288614.931525</v>
      </c>
      <c r="E13" s="16">
        <v>0</v>
      </c>
      <c r="F13" s="16">
        <v>951276256.04175448</v>
      </c>
      <c r="G13" s="16">
        <v>251246703.33000001</v>
      </c>
      <c r="H13" s="17">
        <v>4.0510692929061562</v>
      </c>
      <c r="I13" s="16">
        <v>797547743.79819155</v>
      </c>
      <c r="J13" s="16">
        <v>116123791.5</v>
      </c>
      <c r="K13" s="16">
        <v>1032091887.941295</v>
      </c>
      <c r="L13" s="16">
        <v>244621553.44499999</v>
      </c>
      <c r="M13" s="17">
        <v>4.0866220811316163</v>
      </c>
      <c r="N13" s="16">
        <v>686244692.24999988</v>
      </c>
      <c r="O13" s="16">
        <v>304378409.34310341</v>
      </c>
      <c r="P13" s="16">
        <v>990623101.59310353</v>
      </c>
      <c r="Q13" s="16">
        <v>208594827.36000001</v>
      </c>
      <c r="R13" s="17">
        <v>3.75861696556847</v>
      </c>
      <c r="S13" s="16">
        <v>1048288614.931525</v>
      </c>
      <c r="T13" s="16">
        <v>496105309.27105272</v>
      </c>
      <c r="U13" s="16">
        <v>1544393924.2025771</v>
      </c>
      <c r="V13" s="16">
        <v>304444984.09578949</v>
      </c>
      <c r="W13" s="17">
        <v>4.6660135628553991</v>
      </c>
    </row>
    <row r="14" spans="1:23" ht="16.05" customHeight="1" x14ac:dyDescent="0.3">
      <c r="A14" s="15" t="s">
        <v>23</v>
      </c>
      <c r="B14" s="16">
        <v>87716000</v>
      </c>
      <c r="C14" s="17">
        <v>6.3245847913615618</v>
      </c>
      <c r="D14" s="16">
        <v>0</v>
      </c>
      <c r="E14" s="16">
        <v>0</v>
      </c>
      <c r="F14" s="16">
        <v>87716000</v>
      </c>
      <c r="G14" s="16">
        <v>13869052.735257329</v>
      </c>
      <c r="H14" s="17">
        <v>0</v>
      </c>
      <c r="I14" s="16">
        <v>0</v>
      </c>
      <c r="J14" s="16">
        <v>0</v>
      </c>
      <c r="K14" s="16">
        <v>0</v>
      </c>
      <c r="L14" s="16">
        <v>0</v>
      </c>
      <c r="M14" s="17">
        <v>0</v>
      </c>
      <c r="N14" s="16">
        <v>0</v>
      </c>
      <c r="O14" s="16">
        <v>0</v>
      </c>
      <c r="P14" s="16">
        <v>0</v>
      </c>
      <c r="Q14" s="16">
        <v>0</v>
      </c>
      <c r="R14" s="17">
        <v>0</v>
      </c>
      <c r="S14" s="16">
        <v>0</v>
      </c>
      <c r="T14" s="16">
        <v>0</v>
      </c>
      <c r="U14" s="16">
        <v>0</v>
      </c>
      <c r="V14" s="16">
        <v>0</v>
      </c>
      <c r="W14" s="17">
        <v>0</v>
      </c>
    </row>
    <row r="15" spans="1:23" ht="16.05" customHeight="1" x14ac:dyDescent="0.3">
      <c r="A15" s="15" t="s">
        <v>24</v>
      </c>
      <c r="B15" s="16">
        <v>1038992256.041754</v>
      </c>
      <c r="C15" s="17">
        <v>4.1778596588249473</v>
      </c>
      <c r="D15" s="16">
        <v>0</v>
      </c>
      <c r="E15" s="16">
        <v>0</v>
      </c>
      <c r="F15" s="16">
        <v>1038992256.041754</v>
      </c>
      <c r="G15" s="16">
        <v>265115756.0652574</v>
      </c>
      <c r="H15" s="17">
        <v>0</v>
      </c>
      <c r="I15" s="16">
        <v>0</v>
      </c>
      <c r="J15" s="16">
        <v>0</v>
      </c>
      <c r="K15" s="16">
        <v>0</v>
      </c>
      <c r="L15" s="16">
        <v>0</v>
      </c>
      <c r="M15" s="17">
        <v>0</v>
      </c>
      <c r="N15" s="16">
        <v>0</v>
      </c>
      <c r="O15" s="16">
        <v>0</v>
      </c>
      <c r="P15" s="16">
        <v>0</v>
      </c>
      <c r="Q15" s="16">
        <v>0</v>
      </c>
      <c r="R15" s="17">
        <v>0</v>
      </c>
      <c r="S15" s="16">
        <v>0</v>
      </c>
      <c r="T15" s="16">
        <v>0</v>
      </c>
      <c r="U15" s="16">
        <v>0</v>
      </c>
      <c r="V15" s="16">
        <v>0</v>
      </c>
      <c r="W15" s="17">
        <v>0</v>
      </c>
    </row>
    <row r="16" spans="1:23" ht="13.95" customHeight="1" x14ac:dyDescent="0.3">
      <c r="A16" s="129" t="s">
        <v>25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</row>
  </sheetData>
  <autoFilter ref="A3:W11" xr:uid="{00000000-0009-0000-0000-000000000000}"/>
  <mergeCells count="7">
    <mergeCell ref="A16:W16"/>
    <mergeCell ref="B2:C2"/>
    <mergeCell ref="A1:W1"/>
    <mergeCell ref="S2:W2"/>
    <mergeCell ref="D2:H2"/>
    <mergeCell ref="I2:M2"/>
    <mergeCell ref="N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7" customWidth="1"/>
    <col min="3" max="4" width="10" customWidth="1"/>
    <col min="5" max="8" width="14" customWidth="1"/>
    <col min="9" max="9" width="13" customWidth="1"/>
    <col min="10" max="10" width="35" customWidth="1"/>
  </cols>
  <sheetData>
    <row r="1" spans="1:10" ht="22.05" customHeight="1" x14ac:dyDescent="0.3">
      <c r="A1" s="139" t="s">
        <v>26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37.950000000000003" customHeight="1" x14ac:dyDescent="0.3">
      <c r="A2" s="2" t="s">
        <v>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</row>
    <row r="3" spans="1:10" ht="15" customHeight="1" x14ac:dyDescent="0.3">
      <c r="A3" s="11" t="s">
        <v>19</v>
      </c>
      <c r="B3" s="18">
        <v>3</v>
      </c>
      <c r="C3" s="19">
        <v>0.24</v>
      </c>
      <c r="D3" s="20">
        <v>1</v>
      </c>
      <c r="E3" s="21">
        <v>58</v>
      </c>
      <c r="F3" s="21">
        <v>157</v>
      </c>
      <c r="G3" s="21">
        <v>492440</v>
      </c>
      <c r="H3" s="21">
        <v>2800440.9</v>
      </c>
      <c r="I3" s="22">
        <v>80</v>
      </c>
      <c r="J3" s="23" t="s">
        <v>36</v>
      </c>
    </row>
    <row r="4" spans="1:10" ht="15" customHeight="1" x14ac:dyDescent="0.3">
      <c r="A4" s="24" t="s">
        <v>16</v>
      </c>
      <c r="B4" s="25">
        <v>8</v>
      </c>
      <c r="C4" s="19">
        <v>0.3</v>
      </c>
      <c r="D4" s="20">
        <v>3</v>
      </c>
      <c r="E4" s="26">
        <v>111</v>
      </c>
      <c r="F4" s="26">
        <v>220</v>
      </c>
      <c r="G4" s="26">
        <v>778051.74801061011</v>
      </c>
      <c r="H4" s="26">
        <v>1327387.5</v>
      </c>
      <c r="I4" s="22">
        <v>327</v>
      </c>
      <c r="J4" s="27" t="s">
        <v>37</v>
      </c>
    </row>
    <row r="5" spans="1:10" ht="15" customHeight="1" x14ac:dyDescent="0.3">
      <c r="A5" s="11" t="s">
        <v>14</v>
      </c>
      <c r="B5" s="18">
        <v>56</v>
      </c>
      <c r="C5" s="19">
        <v>0.12</v>
      </c>
      <c r="D5" s="20">
        <v>43</v>
      </c>
      <c r="E5" s="21">
        <v>196</v>
      </c>
      <c r="F5" s="21">
        <v>1109.5999999999999</v>
      </c>
      <c r="G5" s="21">
        <v>1549962</v>
      </c>
      <c r="H5" s="21">
        <v>8226581.5799999991</v>
      </c>
      <c r="I5" s="22">
        <v>1200</v>
      </c>
      <c r="J5" s="23" t="s">
        <v>38</v>
      </c>
    </row>
    <row r="6" spans="1:10" ht="15" customHeight="1" x14ac:dyDescent="0.3">
      <c r="A6" s="24" t="s">
        <v>39</v>
      </c>
      <c r="B6" s="25">
        <v>6</v>
      </c>
      <c r="C6" s="28">
        <v>0</v>
      </c>
      <c r="D6" s="20">
        <v>6</v>
      </c>
      <c r="E6" s="26">
        <v>0</v>
      </c>
      <c r="F6" s="26">
        <v>396</v>
      </c>
      <c r="G6" s="26">
        <v>0</v>
      </c>
      <c r="H6" s="26">
        <v>3227647.5</v>
      </c>
      <c r="I6" s="26">
        <v>0</v>
      </c>
      <c r="J6" s="27" t="s">
        <v>40</v>
      </c>
    </row>
    <row r="7" spans="1:10" ht="15" customHeight="1" x14ac:dyDescent="0.3">
      <c r="A7" s="11" t="s">
        <v>15</v>
      </c>
      <c r="B7" s="18">
        <v>24</v>
      </c>
      <c r="C7" s="19">
        <v>0.31</v>
      </c>
      <c r="D7" s="20">
        <v>11</v>
      </c>
      <c r="E7" s="21">
        <v>877</v>
      </c>
      <c r="F7" s="21">
        <v>1603</v>
      </c>
      <c r="G7" s="21">
        <v>7660006.0445705829</v>
      </c>
      <c r="H7" s="21">
        <v>13425492.15</v>
      </c>
      <c r="I7" s="22">
        <v>3350</v>
      </c>
      <c r="J7" s="23" t="s">
        <v>41</v>
      </c>
    </row>
    <row r="8" spans="1:10" ht="15" customHeight="1" x14ac:dyDescent="0.3">
      <c r="A8" s="24" t="s">
        <v>20</v>
      </c>
      <c r="B8" s="25">
        <v>1</v>
      </c>
      <c r="C8" s="29">
        <v>0.55000000000000004</v>
      </c>
      <c r="D8" s="30">
        <v>0</v>
      </c>
      <c r="E8" s="26">
        <v>105</v>
      </c>
      <c r="F8" s="26">
        <v>200</v>
      </c>
      <c r="G8" s="26">
        <v>2266425</v>
      </c>
      <c r="H8" s="26">
        <v>4967999.9999999991</v>
      </c>
      <c r="I8" s="26">
        <v>0</v>
      </c>
      <c r="J8" s="27" t="s">
        <v>42</v>
      </c>
    </row>
    <row r="9" spans="1:10" ht="15" customHeight="1" x14ac:dyDescent="0.3">
      <c r="A9" s="11" t="s">
        <v>21</v>
      </c>
      <c r="B9" s="18">
        <v>8</v>
      </c>
      <c r="C9" s="28">
        <v>0</v>
      </c>
      <c r="D9" s="20">
        <v>8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3" t="s">
        <v>43</v>
      </c>
    </row>
    <row r="10" spans="1:10" ht="15" customHeight="1" x14ac:dyDescent="0.3">
      <c r="A10" s="24" t="s">
        <v>17</v>
      </c>
      <c r="B10" s="25">
        <v>11</v>
      </c>
      <c r="C10" s="19">
        <v>0.05</v>
      </c>
      <c r="D10" s="20">
        <v>9</v>
      </c>
      <c r="E10" s="26">
        <v>19</v>
      </c>
      <c r="F10" s="26">
        <v>60</v>
      </c>
      <c r="G10" s="26">
        <v>318892.30948303128</v>
      </c>
      <c r="H10" s="26">
        <v>1049490</v>
      </c>
      <c r="I10" s="22">
        <v>250</v>
      </c>
      <c r="J10" s="27" t="s">
        <v>44</v>
      </c>
    </row>
    <row r="11" spans="1:10" ht="18" customHeight="1" x14ac:dyDescent="0.3">
      <c r="A11" s="31" t="s">
        <v>45</v>
      </c>
      <c r="B11" s="32">
        <v>117</v>
      </c>
      <c r="C11" s="31"/>
      <c r="D11" s="31"/>
      <c r="E11" s="33">
        <v>1366</v>
      </c>
      <c r="F11" s="33">
        <v>3745.6</v>
      </c>
      <c r="G11" s="33">
        <v>13065777.10206422</v>
      </c>
      <c r="H11" s="33">
        <v>35025039.630000003</v>
      </c>
      <c r="I11" s="33">
        <v>5207</v>
      </c>
      <c r="J11" s="31"/>
    </row>
  </sheetData>
  <autoFilter ref="A2:J10" xr:uid="{00000000-0009-0000-0000-000001000000}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9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8" customWidth="1"/>
    <col min="3" max="4" width="16" customWidth="1"/>
    <col min="5" max="5" width="10" customWidth="1"/>
    <col min="6" max="6" width="16" customWidth="1"/>
    <col min="7" max="7" width="38" customWidth="1"/>
    <col min="8" max="8" width="9" customWidth="1"/>
    <col min="9" max="9" width="11" customWidth="1"/>
    <col min="10" max="10" width="12" customWidth="1"/>
    <col min="11" max="11" width="11" customWidth="1"/>
    <col min="12" max="12" width="12" customWidth="1"/>
    <col min="13" max="16" width="11" customWidth="1"/>
    <col min="17" max="17" width="13" customWidth="1"/>
    <col min="18" max="18" width="15" customWidth="1"/>
    <col min="19" max="19" width="13" customWidth="1"/>
    <col min="20" max="20" width="14" customWidth="1"/>
  </cols>
  <sheetData>
    <row r="1" spans="1:20" ht="22.05" customHeight="1" x14ac:dyDescent="0.3">
      <c r="A1" s="140" t="s">
        <v>46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</row>
    <row r="2" spans="1:20" ht="37.950000000000003" customHeight="1" x14ac:dyDescent="0.3">
      <c r="A2" s="2" t="s">
        <v>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64</v>
      </c>
      <c r="T2" s="2" t="s">
        <v>65</v>
      </c>
    </row>
    <row r="3" spans="1:20" ht="15" customHeight="1" x14ac:dyDescent="0.3">
      <c r="A3" s="34" t="s">
        <v>19</v>
      </c>
      <c r="B3" s="34" t="s">
        <v>66</v>
      </c>
      <c r="C3" s="34" t="s">
        <v>67</v>
      </c>
      <c r="D3" s="34" t="s">
        <v>68</v>
      </c>
      <c r="E3" s="35">
        <v>30</v>
      </c>
      <c r="F3" s="35" t="s">
        <v>69</v>
      </c>
      <c r="G3" s="34" t="s">
        <v>70</v>
      </c>
      <c r="H3" s="36">
        <v>0.13200000000000001</v>
      </c>
      <c r="I3" s="21">
        <v>10</v>
      </c>
      <c r="J3" s="21">
        <v>88</v>
      </c>
      <c r="K3" s="21">
        <v>263480</v>
      </c>
      <c r="L3" s="21">
        <v>2184098.4</v>
      </c>
      <c r="M3" s="37"/>
      <c r="N3" s="37"/>
      <c r="O3" s="38">
        <v>80</v>
      </c>
      <c r="P3" s="38">
        <v>200</v>
      </c>
      <c r="Q3" s="39" t="s">
        <v>71</v>
      </c>
      <c r="R3" s="40"/>
      <c r="S3" s="40"/>
      <c r="T3" s="20" t="s">
        <v>72</v>
      </c>
    </row>
    <row r="4" spans="1:20" ht="15" customHeight="1" x14ac:dyDescent="0.3">
      <c r="A4" s="41" t="s">
        <v>19</v>
      </c>
      <c r="B4" s="41" t="s">
        <v>66</v>
      </c>
      <c r="C4" s="41" t="s">
        <v>67</v>
      </c>
      <c r="D4" s="41" t="s">
        <v>73</v>
      </c>
      <c r="E4" s="30">
        <v>137</v>
      </c>
      <c r="F4" s="30" t="s">
        <v>74</v>
      </c>
      <c r="G4" s="41" t="s">
        <v>75</v>
      </c>
      <c r="H4" s="42">
        <v>0.57999999999999996</v>
      </c>
      <c r="I4" s="26">
        <v>48</v>
      </c>
      <c r="J4" s="26">
        <v>60</v>
      </c>
      <c r="K4" s="26">
        <v>228960</v>
      </c>
      <c r="L4" s="26">
        <v>322920</v>
      </c>
      <c r="M4" s="38">
        <v>50</v>
      </c>
      <c r="N4" s="43"/>
      <c r="O4" s="38">
        <v>80</v>
      </c>
      <c r="P4" s="38">
        <v>200</v>
      </c>
      <c r="Q4" s="39" t="s">
        <v>71</v>
      </c>
      <c r="R4" s="40"/>
      <c r="S4" s="40"/>
      <c r="T4" s="20" t="s">
        <v>72</v>
      </c>
    </row>
    <row r="5" spans="1:20" ht="15" customHeight="1" x14ac:dyDescent="0.3">
      <c r="A5" s="34" t="s">
        <v>19</v>
      </c>
      <c r="B5" s="34" t="s">
        <v>76</v>
      </c>
      <c r="C5" s="34" t="s">
        <v>77</v>
      </c>
      <c r="D5" s="34" t="s">
        <v>78</v>
      </c>
      <c r="E5" s="35">
        <v>0</v>
      </c>
      <c r="F5" s="35" t="s">
        <v>79</v>
      </c>
      <c r="G5" s="34" t="s">
        <v>80</v>
      </c>
      <c r="H5" s="44">
        <v>0</v>
      </c>
      <c r="I5" s="21">
        <v>0</v>
      </c>
      <c r="J5" s="21">
        <v>9</v>
      </c>
      <c r="K5" s="21">
        <v>0</v>
      </c>
      <c r="L5" s="21">
        <v>293422.49999999988</v>
      </c>
      <c r="M5" s="38">
        <v>30</v>
      </c>
      <c r="N5" s="38">
        <v>30</v>
      </c>
      <c r="O5" s="37"/>
      <c r="P5" s="38">
        <v>40</v>
      </c>
      <c r="Q5" s="39" t="s">
        <v>81</v>
      </c>
      <c r="R5" s="39" t="s">
        <v>82</v>
      </c>
      <c r="S5" s="39" t="s">
        <v>83</v>
      </c>
      <c r="T5" s="34"/>
    </row>
    <row r="6" spans="1:20" ht="15" customHeight="1" x14ac:dyDescent="0.3">
      <c r="A6" s="41" t="s">
        <v>16</v>
      </c>
      <c r="B6" s="41" t="s">
        <v>84</v>
      </c>
      <c r="C6" s="41" t="s">
        <v>85</v>
      </c>
      <c r="D6" s="41" t="s">
        <v>86</v>
      </c>
      <c r="E6" s="30">
        <v>252</v>
      </c>
      <c r="F6" s="30" t="s">
        <v>87</v>
      </c>
      <c r="G6" s="41" t="s">
        <v>88</v>
      </c>
      <c r="H6" s="36">
        <v>0.14000000000000001</v>
      </c>
      <c r="I6" s="26">
        <v>3</v>
      </c>
      <c r="J6" s="26">
        <v>25</v>
      </c>
      <c r="K6" s="26">
        <v>2520</v>
      </c>
      <c r="L6" s="26">
        <v>20700</v>
      </c>
      <c r="M6" s="43"/>
      <c r="N6" s="43"/>
      <c r="O6" s="43"/>
      <c r="P6" s="38">
        <v>100</v>
      </c>
      <c r="Q6" s="39" t="s">
        <v>89</v>
      </c>
      <c r="R6" s="40"/>
      <c r="S6" s="40"/>
      <c r="T6" s="45" t="s">
        <v>90</v>
      </c>
    </row>
    <row r="7" spans="1:20" ht="15" customHeight="1" x14ac:dyDescent="0.3">
      <c r="A7" s="34" t="s">
        <v>16</v>
      </c>
      <c r="B7" s="34" t="s">
        <v>84</v>
      </c>
      <c r="C7" s="34" t="s">
        <v>91</v>
      </c>
      <c r="D7" s="34" t="s">
        <v>92</v>
      </c>
      <c r="E7" s="35">
        <v>180</v>
      </c>
      <c r="F7" s="35" t="s">
        <v>93</v>
      </c>
      <c r="G7" s="34" t="s">
        <v>94</v>
      </c>
      <c r="H7" s="42">
        <v>0.77500000000000002</v>
      </c>
      <c r="I7" s="21">
        <v>20</v>
      </c>
      <c r="J7" s="21">
        <v>25</v>
      </c>
      <c r="K7" s="21">
        <v>96255</v>
      </c>
      <c r="L7" s="21">
        <v>116437.5</v>
      </c>
      <c r="M7" s="37"/>
      <c r="N7" s="38">
        <v>50</v>
      </c>
      <c r="O7" s="38">
        <v>50</v>
      </c>
      <c r="P7" s="38">
        <v>105</v>
      </c>
      <c r="Q7" s="39" t="s">
        <v>71</v>
      </c>
      <c r="R7" s="39" t="s">
        <v>95</v>
      </c>
      <c r="S7" s="39" t="s">
        <v>96</v>
      </c>
      <c r="T7" s="34"/>
    </row>
    <row r="8" spans="1:20" ht="15" customHeight="1" x14ac:dyDescent="0.3">
      <c r="A8" s="41" t="s">
        <v>16</v>
      </c>
      <c r="B8" s="41" t="s">
        <v>76</v>
      </c>
      <c r="C8" s="41" t="s">
        <v>91</v>
      </c>
      <c r="D8" s="41" t="s">
        <v>92</v>
      </c>
      <c r="E8" s="30">
        <v>0</v>
      </c>
      <c r="F8" s="30" t="s">
        <v>97</v>
      </c>
      <c r="G8" s="41" t="s">
        <v>98</v>
      </c>
      <c r="H8" s="44">
        <v>0</v>
      </c>
      <c r="I8" s="26">
        <v>0</v>
      </c>
      <c r="J8" s="26">
        <v>0</v>
      </c>
      <c r="K8" s="26">
        <v>0</v>
      </c>
      <c r="L8" s="26">
        <v>0</v>
      </c>
      <c r="M8" s="43"/>
      <c r="N8" s="38">
        <v>1000</v>
      </c>
      <c r="O8" s="43"/>
      <c r="P8" s="43"/>
      <c r="Q8" s="39" t="s">
        <v>81</v>
      </c>
      <c r="R8" s="40"/>
      <c r="S8" s="40"/>
      <c r="T8" s="20" t="s">
        <v>99</v>
      </c>
    </row>
    <row r="9" spans="1:20" ht="15" customHeight="1" x14ac:dyDescent="0.3">
      <c r="A9" s="34" t="s">
        <v>16</v>
      </c>
      <c r="B9" s="34" t="s">
        <v>76</v>
      </c>
      <c r="C9" s="34" t="s">
        <v>100</v>
      </c>
      <c r="D9" s="34" t="s">
        <v>101</v>
      </c>
      <c r="E9" s="35">
        <v>0</v>
      </c>
      <c r="F9" s="35" t="s">
        <v>102</v>
      </c>
      <c r="G9" s="34" t="s">
        <v>103</v>
      </c>
      <c r="H9" s="44">
        <v>0</v>
      </c>
      <c r="I9" s="21">
        <v>0</v>
      </c>
      <c r="J9" s="21">
        <v>10</v>
      </c>
      <c r="K9" s="21">
        <v>0</v>
      </c>
      <c r="L9" s="21">
        <v>72449.999999999985</v>
      </c>
      <c r="M9" s="38">
        <v>100</v>
      </c>
      <c r="N9" s="38">
        <v>99</v>
      </c>
      <c r="O9" s="37"/>
      <c r="P9" s="37"/>
      <c r="Q9" s="39" t="s">
        <v>81</v>
      </c>
      <c r="R9" s="39" t="s">
        <v>82</v>
      </c>
      <c r="S9" s="39" t="s">
        <v>83</v>
      </c>
      <c r="T9" s="34"/>
    </row>
    <row r="10" spans="1:20" ht="15" customHeight="1" x14ac:dyDescent="0.3">
      <c r="A10" s="41" t="s">
        <v>16</v>
      </c>
      <c r="B10" s="41" t="s">
        <v>76</v>
      </c>
      <c r="C10" s="41" t="s">
        <v>100</v>
      </c>
      <c r="D10" s="41" t="s">
        <v>101</v>
      </c>
      <c r="E10" s="30">
        <v>0</v>
      </c>
      <c r="F10" s="30" t="s">
        <v>104</v>
      </c>
      <c r="G10" s="41" t="s">
        <v>105</v>
      </c>
      <c r="H10" s="44">
        <v>0</v>
      </c>
      <c r="I10" s="26">
        <v>0</v>
      </c>
      <c r="J10" s="26">
        <v>10</v>
      </c>
      <c r="K10" s="26">
        <v>0</v>
      </c>
      <c r="L10" s="26">
        <v>67274.999999999985</v>
      </c>
      <c r="M10" s="38">
        <v>100</v>
      </c>
      <c r="N10" s="38">
        <v>99</v>
      </c>
      <c r="O10" s="43"/>
      <c r="P10" s="43"/>
      <c r="Q10" s="39" t="s">
        <v>81</v>
      </c>
      <c r="R10" s="39" t="s">
        <v>82</v>
      </c>
      <c r="S10" s="39" t="s">
        <v>83</v>
      </c>
      <c r="T10" s="41"/>
    </row>
    <row r="11" spans="1:20" ht="15" customHeight="1" x14ac:dyDescent="0.3">
      <c r="A11" s="34" t="s">
        <v>16</v>
      </c>
      <c r="B11" s="34" t="s">
        <v>76</v>
      </c>
      <c r="C11" s="34" t="s">
        <v>106</v>
      </c>
      <c r="D11" s="34" t="s">
        <v>107</v>
      </c>
      <c r="E11" s="35">
        <v>229</v>
      </c>
      <c r="F11" s="35" t="s">
        <v>108</v>
      </c>
      <c r="G11" s="34" t="s">
        <v>109</v>
      </c>
      <c r="H11" s="42">
        <v>0.82099999999999995</v>
      </c>
      <c r="I11" s="21">
        <v>52</v>
      </c>
      <c r="J11" s="21">
        <v>60</v>
      </c>
      <c r="K11" s="21">
        <v>481312</v>
      </c>
      <c r="L11" s="21">
        <v>527850</v>
      </c>
      <c r="M11" s="37"/>
      <c r="N11" s="38">
        <v>300</v>
      </c>
      <c r="O11" s="38">
        <v>300</v>
      </c>
      <c r="P11" s="37"/>
      <c r="Q11" s="39" t="s">
        <v>71</v>
      </c>
      <c r="R11" s="39" t="s">
        <v>95</v>
      </c>
      <c r="S11" s="39" t="s">
        <v>96</v>
      </c>
      <c r="T11" s="34"/>
    </row>
    <row r="12" spans="1:20" ht="15" customHeight="1" x14ac:dyDescent="0.3">
      <c r="A12" s="41" t="s">
        <v>16</v>
      </c>
      <c r="B12" s="41" t="s">
        <v>110</v>
      </c>
      <c r="C12" s="41" t="s">
        <v>91</v>
      </c>
      <c r="D12" s="41" t="s">
        <v>92</v>
      </c>
      <c r="E12" s="30">
        <v>89</v>
      </c>
      <c r="F12" s="30" t="s">
        <v>111</v>
      </c>
      <c r="G12" s="41" t="s">
        <v>112</v>
      </c>
      <c r="H12" s="36">
        <v>0.33200000000000002</v>
      </c>
      <c r="I12" s="26">
        <v>15</v>
      </c>
      <c r="J12" s="26">
        <v>50</v>
      </c>
      <c r="K12" s="26">
        <v>72191.25</v>
      </c>
      <c r="L12" s="26">
        <v>232875</v>
      </c>
      <c r="M12" s="38">
        <v>75</v>
      </c>
      <c r="N12" s="38">
        <v>50</v>
      </c>
      <c r="O12" s="38">
        <v>50</v>
      </c>
      <c r="P12" s="38">
        <v>250</v>
      </c>
      <c r="Q12" s="39" t="s">
        <v>71</v>
      </c>
      <c r="R12" s="39" t="s">
        <v>95</v>
      </c>
      <c r="S12" s="39" t="s">
        <v>96</v>
      </c>
      <c r="T12" s="41"/>
    </row>
    <row r="13" spans="1:20" ht="15" customHeight="1" x14ac:dyDescent="0.3">
      <c r="A13" s="34" t="s">
        <v>16</v>
      </c>
      <c r="B13" s="34" t="s">
        <v>110</v>
      </c>
      <c r="C13" s="34" t="s">
        <v>91</v>
      </c>
      <c r="D13" s="34" t="s">
        <v>92</v>
      </c>
      <c r="E13" s="35">
        <v>72</v>
      </c>
      <c r="F13" s="35" t="s">
        <v>113</v>
      </c>
      <c r="G13" s="34" t="s">
        <v>114</v>
      </c>
      <c r="H13" s="36">
        <v>0.35899999999999999</v>
      </c>
      <c r="I13" s="21">
        <v>21</v>
      </c>
      <c r="J13" s="21">
        <v>40</v>
      </c>
      <c r="K13" s="21">
        <v>125773.4980106101</v>
      </c>
      <c r="L13" s="21">
        <v>289799.99999999988</v>
      </c>
      <c r="M13" s="38">
        <v>52</v>
      </c>
      <c r="N13" s="38">
        <v>85</v>
      </c>
      <c r="O13" s="38">
        <v>86</v>
      </c>
      <c r="P13" s="38">
        <v>150</v>
      </c>
      <c r="Q13" s="39" t="s">
        <v>71</v>
      </c>
      <c r="R13" s="39" t="s">
        <v>95</v>
      </c>
      <c r="S13" s="39" t="s">
        <v>96</v>
      </c>
      <c r="T13" s="34"/>
    </row>
    <row r="14" spans="1:20" ht="15" customHeight="1" x14ac:dyDescent="0.3">
      <c r="A14" s="41" t="s">
        <v>14</v>
      </c>
      <c r="B14" s="41" t="s">
        <v>84</v>
      </c>
      <c r="C14" s="41" t="s">
        <v>115</v>
      </c>
      <c r="D14" s="41" t="s">
        <v>116</v>
      </c>
      <c r="E14" s="30">
        <v>415</v>
      </c>
      <c r="F14" s="30" t="s">
        <v>117</v>
      </c>
      <c r="G14" s="41" t="s">
        <v>118</v>
      </c>
      <c r="H14" s="36">
        <v>0.25800000000000001</v>
      </c>
      <c r="I14" s="26">
        <v>1</v>
      </c>
      <c r="J14" s="26">
        <v>4</v>
      </c>
      <c r="K14" s="26">
        <v>15945</v>
      </c>
      <c r="L14" s="26">
        <v>61685.999999999993</v>
      </c>
      <c r="M14" s="43"/>
      <c r="N14" s="43"/>
      <c r="O14" s="43"/>
      <c r="P14" s="43"/>
      <c r="Q14" s="20" t="s">
        <v>119</v>
      </c>
      <c r="R14" s="46"/>
      <c r="S14" s="46"/>
      <c r="T14" s="41"/>
    </row>
    <row r="15" spans="1:20" ht="15" customHeight="1" x14ac:dyDescent="0.3">
      <c r="A15" s="34" t="s">
        <v>14</v>
      </c>
      <c r="B15" s="34" t="s">
        <v>66</v>
      </c>
      <c r="C15" s="34" t="s">
        <v>120</v>
      </c>
      <c r="D15" s="34" t="s">
        <v>121</v>
      </c>
      <c r="E15" s="35">
        <v>0</v>
      </c>
      <c r="F15" s="35" t="s">
        <v>122</v>
      </c>
      <c r="G15" s="34" t="s">
        <v>123</v>
      </c>
      <c r="H15" s="44">
        <v>0</v>
      </c>
      <c r="I15" s="21">
        <v>0</v>
      </c>
      <c r="J15" s="21">
        <v>0</v>
      </c>
      <c r="K15" s="21">
        <v>0</v>
      </c>
      <c r="L15" s="21">
        <v>0</v>
      </c>
      <c r="M15" s="37"/>
      <c r="N15" s="37"/>
      <c r="O15" s="38">
        <v>500</v>
      </c>
      <c r="P15" s="37"/>
      <c r="Q15" s="39" t="s">
        <v>71</v>
      </c>
      <c r="R15" s="40"/>
      <c r="S15" s="40"/>
      <c r="T15" s="20" t="s">
        <v>72</v>
      </c>
    </row>
    <row r="16" spans="1:20" ht="15" customHeight="1" x14ac:dyDescent="0.3">
      <c r="A16" s="41" t="s">
        <v>14</v>
      </c>
      <c r="B16" s="41" t="s">
        <v>66</v>
      </c>
      <c r="C16" s="41" t="s">
        <v>120</v>
      </c>
      <c r="D16" s="41" t="s">
        <v>121</v>
      </c>
      <c r="E16" s="30">
        <v>0</v>
      </c>
      <c r="F16" s="30" t="s">
        <v>124</v>
      </c>
      <c r="G16" s="41" t="s">
        <v>125</v>
      </c>
      <c r="H16" s="44">
        <v>0</v>
      </c>
      <c r="I16" s="26">
        <v>0</v>
      </c>
      <c r="J16" s="26">
        <v>0</v>
      </c>
      <c r="K16" s="26">
        <v>0</v>
      </c>
      <c r="L16" s="26">
        <v>0</v>
      </c>
      <c r="M16" s="43"/>
      <c r="N16" s="43"/>
      <c r="O16" s="38">
        <v>500</v>
      </c>
      <c r="P16" s="43"/>
      <c r="Q16" s="39" t="s">
        <v>71</v>
      </c>
      <c r="R16" s="40"/>
      <c r="S16" s="40"/>
      <c r="T16" s="20" t="s">
        <v>72</v>
      </c>
    </row>
    <row r="17" spans="1:20" ht="15" customHeight="1" x14ac:dyDescent="0.3">
      <c r="A17" s="34" t="s">
        <v>14</v>
      </c>
      <c r="B17" s="34" t="s">
        <v>66</v>
      </c>
      <c r="C17" s="34" t="s">
        <v>126</v>
      </c>
      <c r="D17" s="34" t="s">
        <v>101</v>
      </c>
      <c r="E17" s="35">
        <v>120</v>
      </c>
      <c r="F17" s="35" t="s">
        <v>127</v>
      </c>
      <c r="G17" s="34" t="s">
        <v>128</v>
      </c>
      <c r="H17" s="36">
        <v>0.152</v>
      </c>
      <c r="I17" s="21">
        <v>5</v>
      </c>
      <c r="J17" s="21">
        <v>35</v>
      </c>
      <c r="K17" s="21">
        <v>63125</v>
      </c>
      <c r="L17" s="21">
        <v>434699.99999999988</v>
      </c>
      <c r="M17" s="38">
        <v>300</v>
      </c>
      <c r="N17" s="37"/>
      <c r="O17" s="38">
        <v>303</v>
      </c>
      <c r="P17" s="37"/>
      <c r="Q17" s="39" t="s">
        <v>71</v>
      </c>
      <c r="R17" s="39" t="s">
        <v>129</v>
      </c>
      <c r="S17" s="39" t="s">
        <v>130</v>
      </c>
      <c r="T17" s="34"/>
    </row>
    <row r="18" spans="1:20" ht="15" customHeight="1" x14ac:dyDescent="0.3">
      <c r="A18" s="41" t="s">
        <v>14</v>
      </c>
      <c r="B18" s="41" t="s">
        <v>66</v>
      </c>
      <c r="C18" s="41" t="s">
        <v>120</v>
      </c>
      <c r="D18" s="41" t="s">
        <v>121</v>
      </c>
      <c r="E18" s="30">
        <v>187</v>
      </c>
      <c r="F18" s="30" t="s">
        <v>131</v>
      </c>
      <c r="G18" s="41" t="s">
        <v>132</v>
      </c>
      <c r="H18" s="36">
        <v>0.28899999999999998</v>
      </c>
      <c r="I18" s="26">
        <v>12</v>
      </c>
      <c r="J18" s="26">
        <v>40</v>
      </c>
      <c r="K18" s="26">
        <v>61524</v>
      </c>
      <c r="L18" s="26">
        <v>213210</v>
      </c>
      <c r="M18" s="43"/>
      <c r="N18" s="43"/>
      <c r="O18" s="43"/>
      <c r="P18" s="38">
        <v>500</v>
      </c>
      <c r="Q18" s="39" t="s">
        <v>89</v>
      </c>
      <c r="R18" s="40"/>
      <c r="S18" s="40"/>
      <c r="T18" s="45" t="s">
        <v>133</v>
      </c>
    </row>
    <row r="19" spans="1:20" ht="15" customHeight="1" x14ac:dyDescent="0.3">
      <c r="A19" s="34" t="s">
        <v>14</v>
      </c>
      <c r="B19" s="34" t="s">
        <v>66</v>
      </c>
      <c r="C19" s="34" t="s">
        <v>120</v>
      </c>
      <c r="D19" s="34" t="s">
        <v>121</v>
      </c>
      <c r="E19" s="35">
        <v>148</v>
      </c>
      <c r="F19" s="35" t="s">
        <v>134</v>
      </c>
      <c r="G19" s="34" t="s">
        <v>135</v>
      </c>
      <c r="H19" s="36">
        <v>0.38500000000000001</v>
      </c>
      <c r="I19" s="21">
        <v>16</v>
      </c>
      <c r="J19" s="21">
        <v>40</v>
      </c>
      <c r="K19" s="21">
        <v>82032</v>
      </c>
      <c r="L19" s="21">
        <v>213210</v>
      </c>
      <c r="M19" s="37"/>
      <c r="N19" s="37"/>
      <c r="O19" s="37"/>
      <c r="P19" s="38">
        <v>500</v>
      </c>
      <c r="Q19" s="39" t="s">
        <v>89</v>
      </c>
      <c r="R19" s="40"/>
      <c r="S19" s="40"/>
      <c r="T19" s="45" t="s">
        <v>133</v>
      </c>
    </row>
    <row r="20" spans="1:20" ht="15" customHeight="1" x14ac:dyDescent="0.3">
      <c r="A20" s="41" t="s">
        <v>14</v>
      </c>
      <c r="B20" s="41" t="s">
        <v>66</v>
      </c>
      <c r="C20" s="41" t="s">
        <v>126</v>
      </c>
      <c r="D20" s="41" t="s">
        <v>101</v>
      </c>
      <c r="E20" s="30">
        <v>142</v>
      </c>
      <c r="F20" s="30" t="s">
        <v>136</v>
      </c>
      <c r="G20" s="41" t="s">
        <v>137</v>
      </c>
      <c r="H20" s="36">
        <v>0.46500000000000002</v>
      </c>
      <c r="I20" s="26">
        <v>15</v>
      </c>
      <c r="J20" s="26">
        <v>42</v>
      </c>
      <c r="K20" s="26">
        <v>192645</v>
      </c>
      <c r="L20" s="26">
        <v>543374.99999999988</v>
      </c>
      <c r="M20" s="38">
        <v>300</v>
      </c>
      <c r="N20" s="43"/>
      <c r="O20" s="38">
        <v>303</v>
      </c>
      <c r="P20" s="43"/>
      <c r="Q20" s="39" t="s">
        <v>71</v>
      </c>
      <c r="R20" s="39" t="s">
        <v>129</v>
      </c>
      <c r="S20" s="39" t="s">
        <v>130</v>
      </c>
      <c r="T20" s="41"/>
    </row>
    <row r="21" spans="1:20" ht="15" customHeight="1" x14ac:dyDescent="0.3">
      <c r="A21" s="34" t="s">
        <v>14</v>
      </c>
      <c r="B21" s="34" t="s">
        <v>66</v>
      </c>
      <c r="C21" s="34" t="s">
        <v>126</v>
      </c>
      <c r="D21" s="34" t="s">
        <v>101</v>
      </c>
      <c r="E21" s="35">
        <v>14</v>
      </c>
      <c r="F21" s="35" t="s">
        <v>138</v>
      </c>
      <c r="G21" s="34" t="s">
        <v>139</v>
      </c>
      <c r="H21" s="42">
        <v>0.61799999999999999</v>
      </c>
      <c r="I21" s="21">
        <v>28</v>
      </c>
      <c r="J21" s="21">
        <v>0</v>
      </c>
      <c r="K21" s="21">
        <v>511364</v>
      </c>
      <c r="L21" s="21">
        <v>0</v>
      </c>
      <c r="M21" s="38">
        <v>300</v>
      </c>
      <c r="N21" s="38">
        <v>300</v>
      </c>
      <c r="O21" s="38">
        <v>303</v>
      </c>
      <c r="P21" s="38">
        <v>300</v>
      </c>
      <c r="Q21" s="39" t="s">
        <v>71</v>
      </c>
      <c r="R21" s="39" t="s">
        <v>129</v>
      </c>
      <c r="S21" s="39" t="s">
        <v>130</v>
      </c>
      <c r="T21" s="34"/>
    </row>
    <row r="22" spans="1:20" ht="15" customHeight="1" x14ac:dyDescent="0.3">
      <c r="A22" s="41" t="s">
        <v>14</v>
      </c>
      <c r="B22" s="41" t="s">
        <v>66</v>
      </c>
      <c r="C22" s="41" t="s">
        <v>126</v>
      </c>
      <c r="D22" s="41" t="s">
        <v>140</v>
      </c>
      <c r="E22" s="30">
        <v>75</v>
      </c>
      <c r="F22" s="30" t="s">
        <v>141</v>
      </c>
      <c r="G22" s="41" t="s">
        <v>142</v>
      </c>
      <c r="H22" s="42">
        <v>0.66300000000000003</v>
      </c>
      <c r="I22" s="26">
        <v>17</v>
      </c>
      <c r="J22" s="26">
        <v>34</v>
      </c>
      <c r="K22" s="26">
        <v>216682</v>
      </c>
      <c r="L22" s="26">
        <v>422279.99999999988</v>
      </c>
      <c r="M22" s="38">
        <v>300</v>
      </c>
      <c r="N22" s="43"/>
      <c r="O22" s="38">
        <v>300</v>
      </c>
      <c r="P22" s="43"/>
      <c r="Q22" s="39" t="s">
        <v>71</v>
      </c>
      <c r="R22" s="39" t="s">
        <v>129</v>
      </c>
      <c r="S22" s="39" t="s">
        <v>130</v>
      </c>
      <c r="T22" s="41"/>
    </row>
    <row r="23" spans="1:20" ht="15" customHeight="1" x14ac:dyDescent="0.3">
      <c r="A23" s="34" t="s">
        <v>14</v>
      </c>
      <c r="B23" s="34" t="s">
        <v>76</v>
      </c>
      <c r="C23" s="34" t="s">
        <v>120</v>
      </c>
      <c r="D23" s="34" t="s">
        <v>121</v>
      </c>
      <c r="E23" s="35">
        <v>0</v>
      </c>
      <c r="F23" s="35" t="s">
        <v>143</v>
      </c>
      <c r="G23" s="34" t="s">
        <v>144</v>
      </c>
      <c r="H23" s="44">
        <v>0</v>
      </c>
      <c r="I23" s="21">
        <v>0</v>
      </c>
      <c r="J23" s="21">
        <v>0</v>
      </c>
      <c r="K23" s="21">
        <v>0</v>
      </c>
      <c r="L23" s="21">
        <v>0</v>
      </c>
      <c r="M23" s="37"/>
      <c r="N23" s="38">
        <v>500</v>
      </c>
      <c r="O23" s="37"/>
      <c r="P23" s="37"/>
      <c r="Q23" s="39" t="s">
        <v>81</v>
      </c>
      <c r="R23" s="40"/>
      <c r="S23" s="40"/>
      <c r="T23" s="20" t="s">
        <v>145</v>
      </c>
    </row>
    <row r="24" spans="1:20" ht="15" customHeight="1" x14ac:dyDescent="0.3">
      <c r="A24" s="41" t="s">
        <v>14</v>
      </c>
      <c r="B24" s="41" t="s">
        <v>76</v>
      </c>
      <c r="C24" s="41" t="s">
        <v>120</v>
      </c>
      <c r="D24" s="41" t="s">
        <v>121</v>
      </c>
      <c r="E24" s="30">
        <v>0</v>
      </c>
      <c r="F24" s="30" t="s">
        <v>146</v>
      </c>
      <c r="G24" s="41" t="s">
        <v>147</v>
      </c>
      <c r="H24" s="44">
        <v>0</v>
      </c>
      <c r="I24" s="26">
        <v>0</v>
      </c>
      <c r="J24" s="26">
        <v>0</v>
      </c>
      <c r="K24" s="26">
        <v>0</v>
      </c>
      <c r="L24" s="26">
        <v>0</v>
      </c>
      <c r="M24" s="43"/>
      <c r="N24" s="38">
        <v>500</v>
      </c>
      <c r="O24" s="43"/>
      <c r="P24" s="43"/>
      <c r="Q24" s="39" t="s">
        <v>81</v>
      </c>
      <c r="R24" s="40"/>
      <c r="S24" s="40"/>
      <c r="T24" s="20" t="s">
        <v>145</v>
      </c>
    </row>
    <row r="25" spans="1:20" ht="15" customHeight="1" x14ac:dyDescent="0.3">
      <c r="A25" s="34" t="s">
        <v>14</v>
      </c>
      <c r="B25" s="34" t="s">
        <v>76</v>
      </c>
      <c r="C25" s="34" t="s">
        <v>120</v>
      </c>
      <c r="D25" s="34" t="s">
        <v>121</v>
      </c>
      <c r="E25" s="35">
        <v>0</v>
      </c>
      <c r="F25" s="35" t="s">
        <v>148</v>
      </c>
      <c r="G25" s="34" t="s">
        <v>149</v>
      </c>
      <c r="H25" s="44">
        <v>0</v>
      </c>
      <c r="I25" s="21">
        <v>0</v>
      </c>
      <c r="J25" s="21">
        <v>0</v>
      </c>
      <c r="K25" s="21">
        <v>0</v>
      </c>
      <c r="L25" s="21">
        <v>0</v>
      </c>
      <c r="M25" s="37"/>
      <c r="N25" s="38">
        <v>500</v>
      </c>
      <c r="O25" s="37"/>
      <c r="P25" s="37"/>
      <c r="Q25" s="39" t="s">
        <v>81</v>
      </c>
      <c r="R25" s="40"/>
      <c r="S25" s="40"/>
      <c r="T25" s="20" t="s">
        <v>145</v>
      </c>
    </row>
    <row r="26" spans="1:20" ht="15" customHeight="1" x14ac:dyDescent="0.3">
      <c r="A26" s="41" t="s">
        <v>14</v>
      </c>
      <c r="B26" s="41" t="s">
        <v>76</v>
      </c>
      <c r="C26" s="41" t="s">
        <v>120</v>
      </c>
      <c r="D26" s="41" t="s">
        <v>121</v>
      </c>
      <c r="E26" s="30">
        <v>0</v>
      </c>
      <c r="F26" s="30" t="s">
        <v>150</v>
      </c>
      <c r="G26" s="41" t="s">
        <v>151</v>
      </c>
      <c r="H26" s="44">
        <v>0</v>
      </c>
      <c r="I26" s="26">
        <v>0</v>
      </c>
      <c r="J26" s="26">
        <v>0</v>
      </c>
      <c r="K26" s="26">
        <v>0</v>
      </c>
      <c r="L26" s="26">
        <v>0</v>
      </c>
      <c r="M26" s="43"/>
      <c r="N26" s="38">
        <v>500</v>
      </c>
      <c r="O26" s="43"/>
      <c r="P26" s="43"/>
      <c r="Q26" s="39" t="s">
        <v>81</v>
      </c>
      <c r="R26" s="40"/>
      <c r="S26" s="40"/>
      <c r="T26" s="20" t="s">
        <v>145</v>
      </c>
    </row>
    <row r="27" spans="1:20" ht="15" customHeight="1" x14ac:dyDescent="0.3">
      <c r="A27" s="34" t="s">
        <v>14</v>
      </c>
      <c r="B27" s="34" t="s">
        <v>76</v>
      </c>
      <c r="C27" s="34" t="s">
        <v>120</v>
      </c>
      <c r="D27" s="34" t="s">
        <v>121</v>
      </c>
      <c r="E27" s="35">
        <v>0</v>
      </c>
      <c r="F27" s="35" t="s">
        <v>152</v>
      </c>
      <c r="G27" s="34" t="s">
        <v>153</v>
      </c>
      <c r="H27" s="44">
        <v>0</v>
      </c>
      <c r="I27" s="21">
        <v>0</v>
      </c>
      <c r="J27" s="21">
        <v>0</v>
      </c>
      <c r="K27" s="21">
        <v>0</v>
      </c>
      <c r="L27" s="21">
        <v>0</v>
      </c>
      <c r="M27" s="37"/>
      <c r="N27" s="38">
        <v>500</v>
      </c>
      <c r="O27" s="37"/>
      <c r="P27" s="37"/>
      <c r="Q27" s="39" t="s">
        <v>81</v>
      </c>
      <c r="R27" s="40"/>
      <c r="S27" s="40"/>
      <c r="T27" s="20" t="s">
        <v>145</v>
      </c>
    </row>
    <row r="28" spans="1:20" ht="15" customHeight="1" x14ac:dyDescent="0.3">
      <c r="A28" s="41" t="s">
        <v>14</v>
      </c>
      <c r="B28" s="41" t="s">
        <v>76</v>
      </c>
      <c r="C28" s="41" t="s">
        <v>120</v>
      </c>
      <c r="D28" s="41" t="s">
        <v>121</v>
      </c>
      <c r="E28" s="30">
        <v>0</v>
      </c>
      <c r="F28" s="30" t="s">
        <v>154</v>
      </c>
      <c r="G28" s="41" t="s">
        <v>155</v>
      </c>
      <c r="H28" s="44">
        <v>0</v>
      </c>
      <c r="I28" s="26">
        <v>0</v>
      </c>
      <c r="J28" s="26">
        <v>0</v>
      </c>
      <c r="K28" s="26">
        <v>0</v>
      </c>
      <c r="L28" s="26">
        <v>0</v>
      </c>
      <c r="M28" s="43"/>
      <c r="N28" s="38">
        <v>500</v>
      </c>
      <c r="O28" s="43"/>
      <c r="P28" s="43"/>
      <c r="Q28" s="39" t="s">
        <v>81</v>
      </c>
      <c r="R28" s="40"/>
      <c r="S28" s="40"/>
      <c r="T28" s="20" t="s">
        <v>145</v>
      </c>
    </row>
    <row r="29" spans="1:20" ht="15" customHeight="1" x14ac:dyDescent="0.3">
      <c r="A29" s="34" t="s">
        <v>14</v>
      </c>
      <c r="B29" s="34" t="s">
        <v>76</v>
      </c>
      <c r="C29" s="34" t="s">
        <v>120</v>
      </c>
      <c r="D29" s="34" t="s">
        <v>121</v>
      </c>
      <c r="E29" s="35">
        <v>0</v>
      </c>
      <c r="F29" s="35" t="s">
        <v>156</v>
      </c>
      <c r="G29" s="34" t="s">
        <v>157</v>
      </c>
      <c r="H29" s="44">
        <v>0</v>
      </c>
      <c r="I29" s="21">
        <v>0</v>
      </c>
      <c r="J29" s="21">
        <v>0</v>
      </c>
      <c r="K29" s="21">
        <v>0</v>
      </c>
      <c r="L29" s="21">
        <v>0</v>
      </c>
      <c r="M29" s="37"/>
      <c r="N29" s="38">
        <v>500</v>
      </c>
      <c r="O29" s="37"/>
      <c r="P29" s="37"/>
      <c r="Q29" s="39" t="s">
        <v>81</v>
      </c>
      <c r="R29" s="40"/>
      <c r="S29" s="40"/>
      <c r="T29" s="20" t="s">
        <v>145</v>
      </c>
    </row>
    <row r="30" spans="1:20" ht="15" customHeight="1" x14ac:dyDescent="0.3">
      <c r="A30" s="41" t="s">
        <v>14</v>
      </c>
      <c r="B30" s="41" t="s">
        <v>76</v>
      </c>
      <c r="C30" s="41" t="s">
        <v>120</v>
      </c>
      <c r="D30" s="41" t="s">
        <v>121</v>
      </c>
      <c r="E30" s="30">
        <v>0</v>
      </c>
      <c r="F30" s="30" t="s">
        <v>158</v>
      </c>
      <c r="G30" s="41" t="s">
        <v>159</v>
      </c>
      <c r="H30" s="44">
        <v>0</v>
      </c>
      <c r="I30" s="26">
        <v>0</v>
      </c>
      <c r="J30" s="26">
        <v>0</v>
      </c>
      <c r="K30" s="26">
        <v>0</v>
      </c>
      <c r="L30" s="26">
        <v>0</v>
      </c>
      <c r="M30" s="43"/>
      <c r="N30" s="38">
        <v>500</v>
      </c>
      <c r="O30" s="43"/>
      <c r="P30" s="43"/>
      <c r="Q30" s="39" t="s">
        <v>81</v>
      </c>
      <c r="R30" s="40"/>
      <c r="S30" s="40"/>
      <c r="T30" s="20" t="s">
        <v>145</v>
      </c>
    </row>
    <row r="31" spans="1:20" ht="15" customHeight="1" x14ac:dyDescent="0.3">
      <c r="A31" s="34" t="s">
        <v>14</v>
      </c>
      <c r="B31" s="34" t="s">
        <v>76</v>
      </c>
      <c r="C31" s="34" t="s">
        <v>120</v>
      </c>
      <c r="D31" s="34" t="s">
        <v>121</v>
      </c>
      <c r="E31" s="35">
        <v>0</v>
      </c>
      <c r="F31" s="35" t="s">
        <v>160</v>
      </c>
      <c r="G31" s="34" t="s">
        <v>161</v>
      </c>
      <c r="H31" s="44">
        <v>0</v>
      </c>
      <c r="I31" s="21">
        <v>0</v>
      </c>
      <c r="J31" s="21">
        <v>0</v>
      </c>
      <c r="K31" s="21">
        <v>0</v>
      </c>
      <c r="L31" s="21">
        <v>0</v>
      </c>
      <c r="M31" s="37"/>
      <c r="N31" s="38">
        <v>500</v>
      </c>
      <c r="O31" s="37"/>
      <c r="P31" s="37"/>
      <c r="Q31" s="39" t="s">
        <v>81</v>
      </c>
      <c r="R31" s="40"/>
      <c r="S31" s="40"/>
      <c r="T31" s="20" t="s">
        <v>145</v>
      </c>
    </row>
    <row r="32" spans="1:20" ht="15" customHeight="1" x14ac:dyDescent="0.3">
      <c r="A32" s="41" t="s">
        <v>14</v>
      </c>
      <c r="B32" s="41" t="s">
        <v>76</v>
      </c>
      <c r="C32" s="41" t="s">
        <v>120</v>
      </c>
      <c r="D32" s="41" t="s">
        <v>121</v>
      </c>
      <c r="E32" s="30">
        <v>0</v>
      </c>
      <c r="F32" s="30" t="s">
        <v>162</v>
      </c>
      <c r="G32" s="41" t="s">
        <v>163</v>
      </c>
      <c r="H32" s="44">
        <v>0</v>
      </c>
      <c r="I32" s="26">
        <v>0</v>
      </c>
      <c r="J32" s="26">
        <v>0</v>
      </c>
      <c r="K32" s="26">
        <v>0</v>
      </c>
      <c r="L32" s="26">
        <v>0</v>
      </c>
      <c r="M32" s="43"/>
      <c r="N32" s="38">
        <v>500</v>
      </c>
      <c r="O32" s="43"/>
      <c r="P32" s="43"/>
      <c r="Q32" s="39" t="s">
        <v>81</v>
      </c>
      <c r="R32" s="40"/>
      <c r="S32" s="40"/>
      <c r="T32" s="20" t="s">
        <v>145</v>
      </c>
    </row>
    <row r="33" spans="1:20" ht="15" customHeight="1" x14ac:dyDescent="0.3">
      <c r="A33" s="34" t="s">
        <v>14</v>
      </c>
      <c r="B33" s="34" t="s">
        <v>76</v>
      </c>
      <c r="C33" s="34" t="s">
        <v>164</v>
      </c>
      <c r="D33" s="34" t="s">
        <v>164</v>
      </c>
      <c r="E33" s="35">
        <v>0</v>
      </c>
      <c r="F33" s="35" t="s">
        <v>165</v>
      </c>
      <c r="G33" s="34" t="s">
        <v>166</v>
      </c>
      <c r="H33" s="44">
        <v>0</v>
      </c>
      <c r="I33" s="21">
        <v>0</v>
      </c>
      <c r="J33" s="21">
        <v>0</v>
      </c>
      <c r="K33" s="21">
        <v>0</v>
      </c>
      <c r="L33" s="21">
        <v>0</v>
      </c>
      <c r="M33" s="37"/>
      <c r="N33" s="38">
        <v>100</v>
      </c>
      <c r="O33" s="37"/>
      <c r="P33" s="37"/>
      <c r="Q33" s="39" t="s">
        <v>81</v>
      </c>
      <c r="R33" s="40"/>
      <c r="S33" s="40"/>
      <c r="T33" s="20" t="s">
        <v>99</v>
      </c>
    </row>
    <row r="34" spans="1:20" ht="15" customHeight="1" x14ac:dyDescent="0.3">
      <c r="A34" s="41" t="s">
        <v>14</v>
      </c>
      <c r="B34" s="41" t="s">
        <v>76</v>
      </c>
      <c r="C34" s="41" t="s">
        <v>164</v>
      </c>
      <c r="D34" s="41" t="s">
        <v>164</v>
      </c>
      <c r="E34" s="30">
        <v>0</v>
      </c>
      <c r="F34" s="30" t="s">
        <v>167</v>
      </c>
      <c r="G34" s="41" t="s">
        <v>168</v>
      </c>
      <c r="H34" s="44">
        <v>0</v>
      </c>
      <c r="I34" s="26">
        <v>0</v>
      </c>
      <c r="J34" s="26">
        <v>0</v>
      </c>
      <c r="K34" s="26">
        <v>0</v>
      </c>
      <c r="L34" s="26">
        <v>0</v>
      </c>
      <c r="M34" s="43"/>
      <c r="N34" s="38">
        <v>100</v>
      </c>
      <c r="O34" s="43"/>
      <c r="P34" s="43"/>
      <c r="Q34" s="39" t="s">
        <v>81</v>
      </c>
      <c r="R34" s="40"/>
      <c r="S34" s="40"/>
      <c r="T34" s="20" t="s">
        <v>99</v>
      </c>
    </row>
    <row r="35" spans="1:20" ht="15" customHeight="1" x14ac:dyDescent="0.3">
      <c r="A35" s="34" t="s">
        <v>14</v>
      </c>
      <c r="B35" s="34" t="s">
        <v>76</v>
      </c>
      <c r="C35" s="34" t="s">
        <v>164</v>
      </c>
      <c r="D35" s="34" t="s">
        <v>164</v>
      </c>
      <c r="E35" s="35">
        <v>0</v>
      </c>
      <c r="F35" s="35" t="s">
        <v>169</v>
      </c>
      <c r="G35" s="34" t="s">
        <v>170</v>
      </c>
      <c r="H35" s="44">
        <v>0</v>
      </c>
      <c r="I35" s="21">
        <v>0</v>
      </c>
      <c r="J35" s="21">
        <v>0</v>
      </c>
      <c r="K35" s="21">
        <v>0</v>
      </c>
      <c r="L35" s="21">
        <v>0</v>
      </c>
      <c r="M35" s="37"/>
      <c r="N35" s="38">
        <v>100</v>
      </c>
      <c r="O35" s="37"/>
      <c r="P35" s="37"/>
      <c r="Q35" s="39" t="s">
        <v>81</v>
      </c>
      <c r="R35" s="40"/>
      <c r="S35" s="40"/>
      <c r="T35" s="20" t="s">
        <v>99</v>
      </c>
    </row>
    <row r="36" spans="1:20" ht="15" customHeight="1" x14ac:dyDescent="0.3">
      <c r="A36" s="41" t="s">
        <v>14</v>
      </c>
      <c r="B36" s="41" t="s">
        <v>76</v>
      </c>
      <c r="C36" s="41" t="s">
        <v>171</v>
      </c>
      <c r="D36" s="41" t="s">
        <v>172</v>
      </c>
      <c r="E36" s="30">
        <v>0</v>
      </c>
      <c r="F36" s="30" t="s">
        <v>173</v>
      </c>
      <c r="G36" s="41" t="s">
        <v>174</v>
      </c>
      <c r="H36" s="44">
        <v>0</v>
      </c>
      <c r="I36" s="26">
        <v>0</v>
      </c>
      <c r="J36" s="26">
        <v>11</v>
      </c>
      <c r="K36" s="26">
        <v>0</v>
      </c>
      <c r="L36" s="26">
        <v>85387.499999999985</v>
      </c>
      <c r="M36" s="43"/>
      <c r="N36" s="43"/>
      <c r="O36" s="43"/>
      <c r="P36" s="43"/>
      <c r="Q36" s="20" t="s">
        <v>119</v>
      </c>
      <c r="R36" s="46"/>
      <c r="S36" s="46"/>
      <c r="T36" s="41"/>
    </row>
    <row r="37" spans="1:20" ht="15" customHeight="1" x14ac:dyDescent="0.3">
      <c r="A37" s="34" t="s">
        <v>14</v>
      </c>
      <c r="B37" s="34" t="s">
        <v>76</v>
      </c>
      <c r="C37" s="34" t="s">
        <v>171</v>
      </c>
      <c r="D37" s="34" t="s">
        <v>172</v>
      </c>
      <c r="E37" s="35">
        <v>0</v>
      </c>
      <c r="F37" s="35" t="s">
        <v>175</v>
      </c>
      <c r="G37" s="34" t="s">
        <v>176</v>
      </c>
      <c r="H37" s="44">
        <v>0</v>
      </c>
      <c r="I37" s="21">
        <v>0</v>
      </c>
      <c r="J37" s="21">
        <v>25</v>
      </c>
      <c r="K37" s="21">
        <v>0</v>
      </c>
      <c r="L37" s="21">
        <v>194062.5</v>
      </c>
      <c r="M37" s="37"/>
      <c r="N37" s="37"/>
      <c r="O37" s="37"/>
      <c r="P37" s="37"/>
      <c r="Q37" s="20" t="s">
        <v>119</v>
      </c>
      <c r="R37" s="46"/>
      <c r="S37" s="46"/>
      <c r="T37" s="34"/>
    </row>
    <row r="38" spans="1:20" ht="15" customHeight="1" x14ac:dyDescent="0.3">
      <c r="A38" s="41" t="s">
        <v>14</v>
      </c>
      <c r="B38" s="41" t="s">
        <v>76</v>
      </c>
      <c r="C38" s="41" t="s">
        <v>171</v>
      </c>
      <c r="D38" s="41" t="s">
        <v>172</v>
      </c>
      <c r="E38" s="30">
        <v>0</v>
      </c>
      <c r="F38" s="30" t="s">
        <v>177</v>
      </c>
      <c r="G38" s="41" t="s">
        <v>178</v>
      </c>
      <c r="H38" s="44">
        <v>0</v>
      </c>
      <c r="I38" s="26">
        <v>0</v>
      </c>
      <c r="J38" s="26">
        <v>53</v>
      </c>
      <c r="K38" s="26">
        <v>0</v>
      </c>
      <c r="L38" s="26">
        <v>411412.49999999988</v>
      </c>
      <c r="M38" s="43"/>
      <c r="N38" s="43"/>
      <c r="O38" s="43"/>
      <c r="P38" s="43"/>
      <c r="Q38" s="20" t="s">
        <v>119</v>
      </c>
      <c r="R38" s="46"/>
      <c r="S38" s="46"/>
      <c r="T38" s="41"/>
    </row>
    <row r="39" spans="1:20" ht="15" customHeight="1" x14ac:dyDescent="0.3">
      <c r="A39" s="34" t="s">
        <v>14</v>
      </c>
      <c r="B39" s="34" t="s">
        <v>76</v>
      </c>
      <c r="C39" s="34" t="s">
        <v>171</v>
      </c>
      <c r="D39" s="34" t="s">
        <v>172</v>
      </c>
      <c r="E39" s="35">
        <v>0</v>
      </c>
      <c r="F39" s="35" t="s">
        <v>179</v>
      </c>
      <c r="G39" s="34" t="s">
        <v>180</v>
      </c>
      <c r="H39" s="44">
        <v>0</v>
      </c>
      <c r="I39" s="21">
        <v>0</v>
      </c>
      <c r="J39" s="21">
        <v>60</v>
      </c>
      <c r="K39" s="21">
        <v>0</v>
      </c>
      <c r="L39" s="21">
        <v>465749.99999999988</v>
      </c>
      <c r="M39" s="37"/>
      <c r="N39" s="37"/>
      <c r="O39" s="37"/>
      <c r="P39" s="37"/>
      <c r="Q39" s="20" t="s">
        <v>119</v>
      </c>
      <c r="R39" s="46"/>
      <c r="S39" s="46"/>
      <c r="T39" s="34"/>
    </row>
    <row r="40" spans="1:20" ht="15" customHeight="1" x14ac:dyDescent="0.3">
      <c r="A40" s="41" t="s">
        <v>14</v>
      </c>
      <c r="B40" s="41" t="s">
        <v>76</v>
      </c>
      <c r="C40" s="41" t="s">
        <v>171</v>
      </c>
      <c r="D40" s="41" t="s">
        <v>172</v>
      </c>
      <c r="E40" s="30">
        <v>0</v>
      </c>
      <c r="F40" s="30" t="s">
        <v>181</v>
      </c>
      <c r="G40" s="41" t="s">
        <v>182</v>
      </c>
      <c r="H40" s="44">
        <v>0</v>
      </c>
      <c r="I40" s="26">
        <v>0</v>
      </c>
      <c r="J40" s="26">
        <v>28</v>
      </c>
      <c r="K40" s="26">
        <v>0</v>
      </c>
      <c r="L40" s="26">
        <v>217350</v>
      </c>
      <c r="M40" s="43"/>
      <c r="N40" s="43"/>
      <c r="O40" s="43"/>
      <c r="P40" s="43"/>
      <c r="Q40" s="20" t="s">
        <v>119</v>
      </c>
      <c r="R40" s="46"/>
      <c r="S40" s="46"/>
      <c r="T40" s="41"/>
    </row>
    <row r="41" spans="1:20" ht="15" customHeight="1" x14ac:dyDescent="0.3">
      <c r="A41" s="34" t="s">
        <v>14</v>
      </c>
      <c r="B41" s="34" t="s">
        <v>76</v>
      </c>
      <c r="C41" s="34" t="s">
        <v>171</v>
      </c>
      <c r="D41" s="34" t="s">
        <v>172</v>
      </c>
      <c r="E41" s="35">
        <v>0</v>
      </c>
      <c r="F41" s="35" t="s">
        <v>183</v>
      </c>
      <c r="G41" s="34" t="s">
        <v>184</v>
      </c>
      <c r="H41" s="44">
        <v>0</v>
      </c>
      <c r="I41" s="21">
        <v>0</v>
      </c>
      <c r="J41" s="21">
        <v>11</v>
      </c>
      <c r="K41" s="21">
        <v>0</v>
      </c>
      <c r="L41" s="21">
        <v>85387.499999999985</v>
      </c>
      <c r="M41" s="37"/>
      <c r="N41" s="37"/>
      <c r="O41" s="37"/>
      <c r="P41" s="37"/>
      <c r="Q41" s="20" t="s">
        <v>119</v>
      </c>
      <c r="R41" s="46"/>
      <c r="S41" s="46"/>
      <c r="T41" s="34"/>
    </row>
    <row r="42" spans="1:20" ht="15" customHeight="1" x14ac:dyDescent="0.3">
      <c r="A42" s="41" t="s">
        <v>14</v>
      </c>
      <c r="B42" s="41" t="s">
        <v>76</v>
      </c>
      <c r="C42" s="41" t="s">
        <v>171</v>
      </c>
      <c r="D42" s="41" t="s">
        <v>172</v>
      </c>
      <c r="E42" s="30">
        <v>0</v>
      </c>
      <c r="F42" s="30" t="s">
        <v>185</v>
      </c>
      <c r="G42" s="41" t="s">
        <v>186</v>
      </c>
      <c r="H42" s="44">
        <v>0</v>
      </c>
      <c r="I42" s="26">
        <v>0</v>
      </c>
      <c r="J42" s="26">
        <v>25</v>
      </c>
      <c r="K42" s="26">
        <v>0</v>
      </c>
      <c r="L42" s="26">
        <v>194062.5</v>
      </c>
      <c r="M42" s="43"/>
      <c r="N42" s="43"/>
      <c r="O42" s="43"/>
      <c r="P42" s="43"/>
      <c r="Q42" s="20" t="s">
        <v>119</v>
      </c>
      <c r="R42" s="46"/>
      <c r="S42" s="46"/>
      <c r="T42" s="41"/>
    </row>
    <row r="43" spans="1:20" ht="15" customHeight="1" x14ac:dyDescent="0.3">
      <c r="A43" s="34" t="s">
        <v>14</v>
      </c>
      <c r="B43" s="34" t="s">
        <v>76</v>
      </c>
      <c r="C43" s="34" t="s">
        <v>171</v>
      </c>
      <c r="D43" s="34" t="s">
        <v>172</v>
      </c>
      <c r="E43" s="35">
        <v>0</v>
      </c>
      <c r="F43" s="35" t="s">
        <v>187</v>
      </c>
      <c r="G43" s="34" t="s">
        <v>188</v>
      </c>
      <c r="H43" s="44">
        <v>0</v>
      </c>
      <c r="I43" s="21">
        <v>0</v>
      </c>
      <c r="J43" s="21">
        <v>53</v>
      </c>
      <c r="K43" s="21">
        <v>0</v>
      </c>
      <c r="L43" s="21">
        <v>411412.49999999988</v>
      </c>
      <c r="M43" s="37"/>
      <c r="N43" s="37"/>
      <c r="O43" s="37"/>
      <c r="P43" s="37"/>
      <c r="Q43" s="20" t="s">
        <v>119</v>
      </c>
      <c r="R43" s="46"/>
      <c r="S43" s="46"/>
      <c r="T43" s="34"/>
    </row>
    <row r="44" spans="1:20" ht="15" customHeight="1" x14ac:dyDescent="0.3">
      <c r="A44" s="41" t="s">
        <v>14</v>
      </c>
      <c r="B44" s="41" t="s">
        <v>76</v>
      </c>
      <c r="C44" s="41" t="s">
        <v>171</v>
      </c>
      <c r="D44" s="41" t="s">
        <v>172</v>
      </c>
      <c r="E44" s="30">
        <v>0</v>
      </c>
      <c r="F44" s="30" t="s">
        <v>189</v>
      </c>
      <c r="G44" s="41" t="s">
        <v>190</v>
      </c>
      <c r="H44" s="44">
        <v>0</v>
      </c>
      <c r="I44" s="26">
        <v>0</v>
      </c>
      <c r="J44" s="26">
        <v>60</v>
      </c>
      <c r="K44" s="26">
        <v>0</v>
      </c>
      <c r="L44" s="26">
        <v>465749.99999999988</v>
      </c>
      <c r="M44" s="43"/>
      <c r="N44" s="43"/>
      <c r="O44" s="43"/>
      <c r="P44" s="43"/>
      <c r="Q44" s="20" t="s">
        <v>119</v>
      </c>
      <c r="R44" s="46"/>
      <c r="S44" s="46"/>
      <c r="T44" s="41"/>
    </row>
    <row r="45" spans="1:20" ht="15" customHeight="1" x14ac:dyDescent="0.3">
      <c r="A45" s="34" t="s">
        <v>14</v>
      </c>
      <c r="B45" s="34" t="s">
        <v>76</v>
      </c>
      <c r="C45" s="34" t="s">
        <v>171</v>
      </c>
      <c r="D45" s="34" t="s">
        <v>172</v>
      </c>
      <c r="E45" s="35">
        <v>0</v>
      </c>
      <c r="F45" s="35" t="s">
        <v>191</v>
      </c>
      <c r="G45" s="34" t="s">
        <v>192</v>
      </c>
      <c r="H45" s="44">
        <v>0</v>
      </c>
      <c r="I45" s="21">
        <v>0</v>
      </c>
      <c r="J45" s="21">
        <v>28</v>
      </c>
      <c r="K45" s="21">
        <v>0</v>
      </c>
      <c r="L45" s="21">
        <v>217350</v>
      </c>
      <c r="M45" s="37"/>
      <c r="N45" s="37"/>
      <c r="O45" s="37"/>
      <c r="P45" s="37"/>
      <c r="Q45" s="20" t="s">
        <v>119</v>
      </c>
      <c r="R45" s="46"/>
      <c r="S45" s="46"/>
      <c r="T45" s="34"/>
    </row>
    <row r="46" spans="1:20" ht="15" customHeight="1" x14ac:dyDescent="0.3">
      <c r="A46" s="41" t="s">
        <v>14</v>
      </c>
      <c r="B46" s="41" t="s">
        <v>76</v>
      </c>
      <c r="C46" s="41" t="s">
        <v>171</v>
      </c>
      <c r="D46" s="41" t="s">
        <v>172</v>
      </c>
      <c r="E46" s="30">
        <v>0</v>
      </c>
      <c r="F46" s="30" t="s">
        <v>193</v>
      </c>
      <c r="G46" s="41" t="s">
        <v>194</v>
      </c>
      <c r="H46" s="44">
        <v>0</v>
      </c>
      <c r="I46" s="26">
        <v>0</v>
      </c>
      <c r="J46" s="26">
        <v>14</v>
      </c>
      <c r="K46" s="26">
        <v>0</v>
      </c>
      <c r="L46" s="26">
        <v>108675</v>
      </c>
      <c r="M46" s="43"/>
      <c r="N46" s="43"/>
      <c r="O46" s="43"/>
      <c r="P46" s="43"/>
      <c r="Q46" s="20" t="s">
        <v>119</v>
      </c>
      <c r="R46" s="46"/>
      <c r="S46" s="46"/>
      <c r="T46" s="41"/>
    </row>
    <row r="47" spans="1:20" ht="15" customHeight="1" x14ac:dyDescent="0.3">
      <c r="A47" s="34" t="s">
        <v>14</v>
      </c>
      <c r="B47" s="34" t="s">
        <v>76</v>
      </c>
      <c r="C47" s="34" t="s">
        <v>171</v>
      </c>
      <c r="D47" s="34" t="s">
        <v>172</v>
      </c>
      <c r="E47" s="35">
        <v>0</v>
      </c>
      <c r="F47" s="35" t="s">
        <v>195</v>
      </c>
      <c r="G47" s="34" t="s">
        <v>196</v>
      </c>
      <c r="H47" s="44">
        <v>0</v>
      </c>
      <c r="I47" s="21">
        <v>0</v>
      </c>
      <c r="J47" s="21">
        <v>49</v>
      </c>
      <c r="K47" s="21">
        <v>0</v>
      </c>
      <c r="L47" s="21">
        <v>380362.49999999988</v>
      </c>
      <c r="M47" s="37"/>
      <c r="N47" s="37"/>
      <c r="O47" s="37"/>
      <c r="P47" s="37"/>
      <c r="Q47" s="20" t="s">
        <v>119</v>
      </c>
      <c r="R47" s="46"/>
      <c r="S47" s="46"/>
      <c r="T47" s="34"/>
    </row>
    <row r="48" spans="1:20" ht="15" customHeight="1" x14ac:dyDescent="0.3">
      <c r="A48" s="41" t="s">
        <v>14</v>
      </c>
      <c r="B48" s="41" t="s">
        <v>76</v>
      </c>
      <c r="C48" s="41" t="s">
        <v>171</v>
      </c>
      <c r="D48" s="41" t="s">
        <v>172</v>
      </c>
      <c r="E48" s="30">
        <v>0</v>
      </c>
      <c r="F48" s="30" t="s">
        <v>197</v>
      </c>
      <c r="G48" s="41" t="s">
        <v>198</v>
      </c>
      <c r="H48" s="44">
        <v>0</v>
      </c>
      <c r="I48" s="26">
        <v>0</v>
      </c>
      <c r="J48" s="26">
        <v>56</v>
      </c>
      <c r="K48" s="26">
        <v>0</v>
      </c>
      <c r="L48" s="26">
        <v>434699.99999999988</v>
      </c>
      <c r="M48" s="43"/>
      <c r="N48" s="43"/>
      <c r="O48" s="43"/>
      <c r="P48" s="43"/>
      <c r="Q48" s="20" t="s">
        <v>119</v>
      </c>
      <c r="R48" s="46"/>
      <c r="S48" s="46"/>
      <c r="T48" s="41"/>
    </row>
    <row r="49" spans="1:20" ht="15" customHeight="1" x14ac:dyDescent="0.3">
      <c r="A49" s="34" t="s">
        <v>14</v>
      </c>
      <c r="B49" s="34" t="s">
        <v>76</v>
      </c>
      <c r="C49" s="34" t="s">
        <v>171</v>
      </c>
      <c r="D49" s="34" t="s">
        <v>172</v>
      </c>
      <c r="E49" s="35">
        <v>0</v>
      </c>
      <c r="F49" s="35" t="s">
        <v>199</v>
      </c>
      <c r="G49" s="34" t="s">
        <v>200</v>
      </c>
      <c r="H49" s="44">
        <v>0</v>
      </c>
      <c r="I49" s="21">
        <v>0</v>
      </c>
      <c r="J49" s="21">
        <v>21</v>
      </c>
      <c r="K49" s="21">
        <v>0</v>
      </c>
      <c r="L49" s="21">
        <v>163012.5</v>
      </c>
      <c r="M49" s="37"/>
      <c r="N49" s="37"/>
      <c r="O49" s="37"/>
      <c r="P49" s="37"/>
      <c r="Q49" s="20" t="s">
        <v>119</v>
      </c>
      <c r="R49" s="46"/>
      <c r="S49" s="46"/>
      <c r="T49" s="34"/>
    </row>
    <row r="50" spans="1:20" ht="15" customHeight="1" x14ac:dyDescent="0.3">
      <c r="A50" s="41" t="s">
        <v>14</v>
      </c>
      <c r="B50" s="41" t="s">
        <v>76</v>
      </c>
      <c r="C50" s="41" t="s">
        <v>171</v>
      </c>
      <c r="D50" s="41" t="s">
        <v>172</v>
      </c>
      <c r="E50" s="30">
        <v>0</v>
      </c>
      <c r="F50" s="30" t="s">
        <v>201</v>
      </c>
      <c r="G50" s="41" t="s">
        <v>202</v>
      </c>
      <c r="H50" s="44">
        <v>0</v>
      </c>
      <c r="I50" s="26">
        <v>0</v>
      </c>
      <c r="J50" s="26">
        <v>11</v>
      </c>
      <c r="K50" s="26">
        <v>0</v>
      </c>
      <c r="L50" s="26">
        <v>85387.499999999985</v>
      </c>
      <c r="M50" s="43"/>
      <c r="N50" s="43"/>
      <c r="O50" s="43"/>
      <c r="P50" s="43"/>
      <c r="Q50" s="20" t="s">
        <v>119</v>
      </c>
      <c r="R50" s="46"/>
      <c r="S50" s="46"/>
      <c r="T50" s="41"/>
    </row>
    <row r="51" spans="1:20" ht="15" customHeight="1" x14ac:dyDescent="0.3">
      <c r="A51" s="34" t="s">
        <v>14</v>
      </c>
      <c r="B51" s="34" t="s">
        <v>76</v>
      </c>
      <c r="C51" s="34" t="s">
        <v>171</v>
      </c>
      <c r="D51" s="34" t="s">
        <v>172</v>
      </c>
      <c r="E51" s="35">
        <v>0</v>
      </c>
      <c r="F51" s="35" t="s">
        <v>203</v>
      </c>
      <c r="G51" s="34" t="s">
        <v>204</v>
      </c>
      <c r="H51" s="44">
        <v>0</v>
      </c>
      <c r="I51" s="21">
        <v>0</v>
      </c>
      <c r="J51" s="21">
        <v>35</v>
      </c>
      <c r="K51" s="21">
        <v>0</v>
      </c>
      <c r="L51" s="21">
        <v>271687.49999999988</v>
      </c>
      <c r="M51" s="37"/>
      <c r="N51" s="37"/>
      <c r="O51" s="37"/>
      <c r="P51" s="37"/>
      <c r="Q51" s="20" t="s">
        <v>119</v>
      </c>
      <c r="R51" s="46"/>
      <c r="S51" s="46"/>
      <c r="T51" s="34"/>
    </row>
    <row r="52" spans="1:20" ht="15" customHeight="1" x14ac:dyDescent="0.3">
      <c r="A52" s="41" t="s">
        <v>14</v>
      </c>
      <c r="B52" s="41" t="s">
        <v>76</v>
      </c>
      <c r="C52" s="41" t="s">
        <v>171</v>
      </c>
      <c r="D52" s="41" t="s">
        <v>172</v>
      </c>
      <c r="E52" s="30">
        <v>0</v>
      </c>
      <c r="F52" s="30" t="s">
        <v>205</v>
      </c>
      <c r="G52" s="41" t="s">
        <v>206</v>
      </c>
      <c r="H52" s="44">
        <v>0</v>
      </c>
      <c r="I52" s="26">
        <v>0</v>
      </c>
      <c r="J52" s="26">
        <v>42</v>
      </c>
      <c r="K52" s="26">
        <v>0</v>
      </c>
      <c r="L52" s="26">
        <v>326024.99999999988</v>
      </c>
      <c r="M52" s="43"/>
      <c r="N52" s="43"/>
      <c r="O52" s="43"/>
      <c r="P52" s="43"/>
      <c r="Q52" s="20" t="s">
        <v>119</v>
      </c>
      <c r="R52" s="46"/>
      <c r="S52" s="46"/>
      <c r="T52" s="41"/>
    </row>
    <row r="53" spans="1:20" ht="15" customHeight="1" x14ac:dyDescent="0.3">
      <c r="A53" s="34" t="s">
        <v>14</v>
      </c>
      <c r="B53" s="34" t="s">
        <v>76</v>
      </c>
      <c r="C53" s="34" t="s">
        <v>171</v>
      </c>
      <c r="D53" s="34" t="s">
        <v>172</v>
      </c>
      <c r="E53" s="35">
        <v>0</v>
      </c>
      <c r="F53" s="35" t="s">
        <v>207</v>
      </c>
      <c r="G53" s="34" t="s">
        <v>208</v>
      </c>
      <c r="H53" s="44">
        <v>0</v>
      </c>
      <c r="I53" s="21">
        <v>0</v>
      </c>
      <c r="J53" s="21">
        <v>18</v>
      </c>
      <c r="K53" s="21">
        <v>0</v>
      </c>
      <c r="L53" s="21">
        <v>139725</v>
      </c>
      <c r="M53" s="37"/>
      <c r="N53" s="37"/>
      <c r="O53" s="37"/>
      <c r="P53" s="37"/>
      <c r="Q53" s="20" t="s">
        <v>119</v>
      </c>
      <c r="R53" s="46"/>
      <c r="S53" s="46"/>
      <c r="T53" s="34"/>
    </row>
    <row r="54" spans="1:20" ht="15" customHeight="1" x14ac:dyDescent="0.3">
      <c r="A54" s="41" t="s">
        <v>14</v>
      </c>
      <c r="B54" s="41" t="s">
        <v>76</v>
      </c>
      <c r="C54" s="41" t="s">
        <v>171</v>
      </c>
      <c r="D54" s="41" t="s">
        <v>172</v>
      </c>
      <c r="E54" s="30">
        <v>0</v>
      </c>
      <c r="F54" s="30" t="s">
        <v>209</v>
      </c>
      <c r="G54" s="41" t="s">
        <v>210</v>
      </c>
      <c r="H54" s="44">
        <v>0</v>
      </c>
      <c r="I54" s="26">
        <v>0</v>
      </c>
      <c r="J54" s="26">
        <v>7</v>
      </c>
      <c r="K54" s="26">
        <v>0</v>
      </c>
      <c r="L54" s="26">
        <v>54337.499999999993</v>
      </c>
      <c r="M54" s="43"/>
      <c r="N54" s="43"/>
      <c r="O54" s="43"/>
      <c r="P54" s="43"/>
      <c r="Q54" s="20" t="s">
        <v>119</v>
      </c>
      <c r="R54" s="46"/>
      <c r="S54" s="46"/>
      <c r="T54" s="41"/>
    </row>
    <row r="55" spans="1:20" ht="15" customHeight="1" x14ac:dyDescent="0.3">
      <c r="A55" s="34" t="s">
        <v>14</v>
      </c>
      <c r="B55" s="34" t="s">
        <v>76</v>
      </c>
      <c r="C55" s="34" t="s">
        <v>171</v>
      </c>
      <c r="D55" s="34" t="s">
        <v>172</v>
      </c>
      <c r="E55" s="35">
        <v>0</v>
      </c>
      <c r="F55" s="35" t="s">
        <v>211</v>
      </c>
      <c r="G55" s="34" t="s">
        <v>212</v>
      </c>
      <c r="H55" s="44">
        <v>0</v>
      </c>
      <c r="I55" s="21">
        <v>0</v>
      </c>
      <c r="J55" s="21">
        <v>14</v>
      </c>
      <c r="K55" s="21">
        <v>0</v>
      </c>
      <c r="L55" s="21">
        <v>108675</v>
      </c>
      <c r="M55" s="37"/>
      <c r="N55" s="37"/>
      <c r="O55" s="37"/>
      <c r="P55" s="37"/>
      <c r="Q55" s="20" t="s">
        <v>119</v>
      </c>
      <c r="R55" s="46"/>
      <c r="S55" s="46"/>
      <c r="T55" s="34"/>
    </row>
    <row r="56" spans="1:20" ht="15" customHeight="1" x14ac:dyDescent="0.3">
      <c r="A56" s="41" t="s">
        <v>14</v>
      </c>
      <c r="B56" s="41" t="s">
        <v>76</v>
      </c>
      <c r="C56" s="41" t="s">
        <v>171</v>
      </c>
      <c r="D56" s="41" t="s">
        <v>172</v>
      </c>
      <c r="E56" s="30">
        <v>0</v>
      </c>
      <c r="F56" s="30" t="s">
        <v>213</v>
      </c>
      <c r="G56" s="41" t="s">
        <v>214</v>
      </c>
      <c r="H56" s="44">
        <v>0</v>
      </c>
      <c r="I56" s="26">
        <v>0</v>
      </c>
      <c r="J56" s="26">
        <v>32</v>
      </c>
      <c r="K56" s="26">
        <v>0</v>
      </c>
      <c r="L56" s="26">
        <v>248400</v>
      </c>
      <c r="M56" s="43"/>
      <c r="N56" s="43"/>
      <c r="O56" s="43"/>
      <c r="P56" s="43"/>
      <c r="Q56" s="20" t="s">
        <v>119</v>
      </c>
      <c r="R56" s="46"/>
      <c r="S56" s="46"/>
      <c r="T56" s="41"/>
    </row>
    <row r="57" spans="1:20" ht="15" customHeight="1" x14ac:dyDescent="0.3">
      <c r="A57" s="34" t="s">
        <v>14</v>
      </c>
      <c r="B57" s="34" t="s">
        <v>76</v>
      </c>
      <c r="C57" s="34" t="s">
        <v>171</v>
      </c>
      <c r="D57" s="34" t="s">
        <v>172</v>
      </c>
      <c r="E57" s="35">
        <v>0</v>
      </c>
      <c r="F57" s="35" t="s">
        <v>215</v>
      </c>
      <c r="G57" s="34" t="s">
        <v>216</v>
      </c>
      <c r="H57" s="44">
        <v>0</v>
      </c>
      <c r="I57" s="21">
        <v>0</v>
      </c>
      <c r="J57" s="21">
        <v>40</v>
      </c>
      <c r="K57" s="21">
        <v>0</v>
      </c>
      <c r="L57" s="21">
        <v>310499.99999999988</v>
      </c>
      <c r="M57" s="37"/>
      <c r="N57" s="37"/>
      <c r="O57" s="37"/>
      <c r="P57" s="37"/>
      <c r="Q57" s="20" t="s">
        <v>119</v>
      </c>
      <c r="R57" s="46"/>
      <c r="S57" s="46"/>
      <c r="T57" s="34"/>
    </row>
    <row r="58" spans="1:20" ht="15" customHeight="1" x14ac:dyDescent="0.3">
      <c r="A58" s="41" t="s">
        <v>14</v>
      </c>
      <c r="B58" s="41" t="s">
        <v>76</v>
      </c>
      <c r="C58" s="41" t="s">
        <v>171</v>
      </c>
      <c r="D58" s="41" t="s">
        <v>172</v>
      </c>
      <c r="E58" s="30">
        <v>0</v>
      </c>
      <c r="F58" s="30" t="s">
        <v>217</v>
      </c>
      <c r="G58" s="41" t="s">
        <v>218</v>
      </c>
      <c r="H58" s="44">
        <v>0</v>
      </c>
      <c r="I58" s="26">
        <v>0</v>
      </c>
      <c r="J58" s="26">
        <v>14</v>
      </c>
      <c r="K58" s="26">
        <v>0</v>
      </c>
      <c r="L58" s="26">
        <v>108675</v>
      </c>
      <c r="M58" s="43"/>
      <c r="N58" s="43"/>
      <c r="O58" s="43"/>
      <c r="P58" s="43"/>
      <c r="Q58" s="20" t="s">
        <v>119</v>
      </c>
      <c r="R58" s="46"/>
      <c r="S58" s="46"/>
      <c r="T58" s="41"/>
    </row>
    <row r="59" spans="1:20" ht="15" customHeight="1" x14ac:dyDescent="0.3">
      <c r="A59" s="34" t="s">
        <v>14</v>
      </c>
      <c r="B59" s="34" t="s">
        <v>219</v>
      </c>
      <c r="C59" s="34" t="s">
        <v>126</v>
      </c>
      <c r="D59" s="34" t="s">
        <v>220</v>
      </c>
      <c r="E59" s="35">
        <v>130</v>
      </c>
      <c r="F59" s="35" t="s">
        <v>221</v>
      </c>
      <c r="G59" s="34" t="s">
        <v>222</v>
      </c>
      <c r="H59" s="36">
        <v>0.47499999999999998</v>
      </c>
      <c r="I59" s="21">
        <v>16</v>
      </c>
      <c r="J59" s="21">
        <v>55</v>
      </c>
      <c r="K59" s="21">
        <v>75696</v>
      </c>
      <c r="L59" s="21">
        <v>250470</v>
      </c>
      <c r="M59" s="37"/>
      <c r="N59" s="38">
        <v>300</v>
      </c>
      <c r="O59" s="37"/>
      <c r="P59" s="37"/>
      <c r="Q59" s="39" t="s">
        <v>81</v>
      </c>
      <c r="R59" s="40"/>
      <c r="S59" s="40"/>
      <c r="T59" s="20" t="s">
        <v>99</v>
      </c>
    </row>
    <row r="60" spans="1:20" ht="15" customHeight="1" x14ac:dyDescent="0.3">
      <c r="A60" s="41" t="s">
        <v>14</v>
      </c>
      <c r="B60" s="41" t="s">
        <v>219</v>
      </c>
      <c r="C60" s="41" t="s">
        <v>120</v>
      </c>
      <c r="D60" s="41" t="s">
        <v>121</v>
      </c>
      <c r="E60" s="30">
        <v>149</v>
      </c>
      <c r="F60" s="30" t="s">
        <v>223</v>
      </c>
      <c r="G60" s="41" t="s">
        <v>224</v>
      </c>
      <c r="H60" s="42">
        <v>0.91500000000000004</v>
      </c>
      <c r="I60" s="26">
        <v>44</v>
      </c>
      <c r="J60" s="26">
        <v>79</v>
      </c>
      <c r="K60" s="26">
        <v>136048</v>
      </c>
      <c r="L60" s="26">
        <v>228942</v>
      </c>
      <c r="M60" s="43"/>
      <c r="N60" s="38">
        <v>100</v>
      </c>
      <c r="O60" s="38">
        <v>100</v>
      </c>
      <c r="P60" s="38">
        <v>200</v>
      </c>
      <c r="Q60" s="39" t="s">
        <v>71</v>
      </c>
      <c r="R60" s="39" t="s">
        <v>95</v>
      </c>
      <c r="S60" s="39" t="s">
        <v>96</v>
      </c>
      <c r="T60" s="41"/>
    </row>
    <row r="61" spans="1:20" ht="15" customHeight="1" x14ac:dyDescent="0.3">
      <c r="A61" s="34" t="s">
        <v>14</v>
      </c>
      <c r="B61" s="34" t="s">
        <v>219</v>
      </c>
      <c r="C61" s="34" t="s">
        <v>120</v>
      </c>
      <c r="D61" s="34" t="s">
        <v>121</v>
      </c>
      <c r="E61" s="35">
        <v>150</v>
      </c>
      <c r="F61" s="35" t="s">
        <v>225</v>
      </c>
      <c r="G61" s="34" t="s">
        <v>226</v>
      </c>
      <c r="H61" s="42">
        <v>0.97199999999999998</v>
      </c>
      <c r="I61" s="21">
        <v>30</v>
      </c>
      <c r="J61" s="21">
        <v>42</v>
      </c>
      <c r="K61" s="21">
        <v>88920</v>
      </c>
      <c r="L61" s="21">
        <v>113022</v>
      </c>
      <c r="M61" s="37"/>
      <c r="N61" s="38">
        <v>100</v>
      </c>
      <c r="O61" s="37"/>
      <c r="P61" s="37"/>
      <c r="Q61" s="39" t="s">
        <v>81</v>
      </c>
      <c r="R61" s="39" t="s">
        <v>227</v>
      </c>
      <c r="S61" s="39" t="s">
        <v>228</v>
      </c>
      <c r="T61" s="34"/>
    </row>
    <row r="62" spans="1:20" ht="15" customHeight="1" x14ac:dyDescent="0.3">
      <c r="A62" s="41" t="s">
        <v>14</v>
      </c>
      <c r="B62" s="41" t="s">
        <v>219</v>
      </c>
      <c r="C62" s="41" t="s">
        <v>229</v>
      </c>
      <c r="D62" s="41" t="s">
        <v>230</v>
      </c>
      <c r="E62" s="30">
        <v>192</v>
      </c>
      <c r="F62" s="30" t="s">
        <v>231</v>
      </c>
      <c r="G62" s="41" t="s">
        <v>232</v>
      </c>
      <c r="H62" s="36">
        <v>0.41</v>
      </c>
      <c r="I62" s="26">
        <v>7</v>
      </c>
      <c r="J62" s="26">
        <v>9.6000000000000014</v>
      </c>
      <c r="K62" s="26">
        <v>76230</v>
      </c>
      <c r="L62" s="26">
        <v>104626.08</v>
      </c>
      <c r="M62" s="43"/>
      <c r="N62" s="43"/>
      <c r="O62" s="43"/>
      <c r="P62" s="43"/>
      <c r="Q62" s="20" t="s">
        <v>119</v>
      </c>
      <c r="R62" s="46"/>
      <c r="S62" s="46"/>
      <c r="T62" s="41"/>
    </row>
    <row r="63" spans="1:20" ht="15" customHeight="1" x14ac:dyDescent="0.3">
      <c r="A63" s="34" t="s">
        <v>14</v>
      </c>
      <c r="B63" s="34" t="s">
        <v>110</v>
      </c>
      <c r="C63" s="34" t="s">
        <v>115</v>
      </c>
      <c r="D63" s="34" t="s">
        <v>233</v>
      </c>
      <c r="E63" s="35">
        <v>315</v>
      </c>
      <c r="F63" s="35" t="s">
        <v>234</v>
      </c>
      <c r="G63" s="34" t="s">
        <v>235</v>
      </c>
      <c r="H63" s="44">
        <v>0</v>
      </c>
      <c r="I63" s="21">
        <v>0</v>
      </c>
      <c r="J63" s="21">
        <v>2</v>
      </c>
      <c r="K63" s="21">
        <v>0</v>
      </c>
      <c r="L63" s="21">
        <v>7451.9999999999991</v>
      </c>
      <c r="M63" s="37"/>
      <c r="N63" s="37"/>
      <c r="O63" s="37"/>
      <c r="P63" s="37"/>
      <c r="Q63" s="20" t="s">
        <v>119</v>
      </c>
      <c r="R63" s="46"/>
      <c r="S63" s="46"/>
      <c r="T63" s="34"/>
    </row>
    <row r="64" spans="1:20" ht="15" customHeight="1" x14ac:dyDescent="0.3">
      <c r="A64" s="41" t="s">
        <v>14</v>
      </c>
      <c r="B64" s="41" t="s">
        <v>110</v>
      </c>
      <c r="C64" s="41" t="s">
        <v>115</v>
      </c>
      <c r="D64" s="41" t="s">
        <v>233</v>
      </c>
      <c r="E64" s="30">
        <v>339</v>
      </c>
      <c r="F64" s="30" t="s">
        <v>236</v>
      </c>
      <c r="G64" s="41" t="s">
        <v>235</v>
      </c>
      <c r="H64" s="44">
        <v>0</v>
      </c>
      <c r="I64" s="26">
        <v>0</v>
      </c>
      <c r="J64" s="26">
        <v>1</v>
      </c>
      <c r="K64" s="26">
        <v>0</v>
      </c>
      <c r="L64" s="26">
        <v>3726</v>
      </c>
      <c r="M64" s="43"/>
      <c r="N64" s="43"/>
      <c r="O64" s="43"/>
      <c r="P64" s="43"/>
      <c r="Q64" s="20" t="s">
        <v>119</v>
      </c>
      <c r="R64" s="46"/>
      <c r="S64" s="46"/>
      <c r="T64" s="41"/>
    </row>
    <row r="65" spans="1:20" ht="15" customHeight="1" x14ac:dyDescent="0.3">
      <c r="A65" s="34" t="s">
        <v>14</v>
      </c>
      <c r="B65" s="34" t="s">
        <v>110</v>
      </c>
      <c r="C65" s="34" t="s">
        <v>115</v>
      </c>
      <c r="D65" s="34" t="s">
        <v>233</v>
      </c>
      <c r="E65" s="35">
        <v>336</v>
      </c>
      <c r="F65" s="35" t="s">
        <v>237</v>
      </c>
      <c r="G65" s="34" t="s">
        <v>235</v>
      </c>
      <c r="H65" s="44">
        <v>0</v>
      </c>
      <c r="I65" s="21">
        <v>0</v>
      </c>
      <c r="J65" s="21">
        <v>1</v>
      </c>
      <c r="K65" s="21">
        <v>0</v>
      </c>
      <c r="L65" s="21">
        <v>3726</v>
      </c>
      <c r="M65" s="37"/>
      <c r="N65" s="37"/>
      <c r="O65" s="37"/>
      <c r="P65" s="37"/>
      <c r="Q65" s="20" t="s">
        <v>119</v>
      </c>
      <c r="R65" s="46"/>
      <c r="S65" s="46"/>
      <c r="T65" s="34"/>
    </row>
    <row r="66" spans="1:20" ht="15" customHeight="1" x14ac:dyDescent="0.3">
      <c r="A66" s="41" t="s">
        <v>14</v>
      </c>
      <c r="B66" s="41" t="s">
        <v>110</v>
      </c>
      <c r="C66" s="41" t="s">
        <v>115</v>
      </c>
      <c r="D66" s="41" t="s">
        <v>238</v>
      </c>
      <c r="E66" s="30">
        <v>329</v>
      </c>
      <c r="F66" s="30" t="s">
        <v>239</v>
      </c>
      <c r="G66" s="41" t="s">
        <v>240</v>
      </c>
      <c r="H66" s="44">
        <v>0</v>
      </c>
      <c r="I66" s="26">
        <v>0</v>
      </c>
      <c r="J66" s="26">
        <v>3</v>
      </c>
      <c r="K66" s="26">
        <v>0</v>
      </c>
      <c r="L66" s="26">
        <v>26392.5</v>
      </c>
      <c r="M66" s="43"/>
      <c r="N66" s="43"/>
      <c r="O66" s="43"/>
      <c r="P66" s="43"/>
      <c r="Q66" s="20" t="s">
        <v>119</v>
      </c>
      <c r="R66" s="46"/>
      <c r="S66" s="46"/>
      <c r="T66" s="41"/>
    </row>
    <row r="67" spans="1:20" ht="15" customHeight="1" x14ac:dyDescent="0.3">
      <c r="A67" s="34" t="s">
        <v>14</v>
      </c>
      <c r="B67" s="34" t="s">
        <v>110</v>
      </c>
      <c r="C67" s="34" t="s">
        <v>115</v>
      </c>
      <c r="D67" s="34" t="s">
        <v>238</v>
      </c>
      <c r="E67" s="35">
        <v>373</v>
      </c>
      <c r="F67" s="35" t="s">
        <v>241</v>
      </c>
      <c r="G67" s="34" t="s">
        <v>240</v>
      </c>
      <c r="H67" s="44">
        <v>0</v>
      </c>
      <c r="I67" s="21">
        <v>0</v>
      </c>
      <c r="J67" s="21">
        <v>5</v>
      </c>
      <c r="K67" s="21">
        <v>0</v>
      </c>
      <c r="L67" s="21">
        <v>43987.5</v>
      </c>
      <c r="M67" s="37"/>
      <c r="N67" s="37"/>
      <c r="O67" s="37"/>
      <c r="P67" s="37"/>
      <c r="Q67" s="20" t="s">
        <v>119</v>
      </c>
      <c r="R67" s="46"/>
      <c r="S67" s="46"/>
      <c r="T67" s="34"/>
    </row>
    <row r="68" spans="1:20" ht="15" customHeight="1" x14ac:dyDescent="0.3">
      <c r="A68" s="41" t="s">
        <v>14</v>
      </c>
      <c r="B68" s="41" t="s">
        <v>110</v>
      </c>
      <c r="C68" s="41" t="s">
        <v>115</v>
      </c>
      <c r="D68" s="41" t="s">
        <v>238</v>
      </c>
      <c r="E68" s="30">
        <v>318</v>
      </c>
      <c r="F68" s="30" t="s">
        <v>242</v>
      </c>
      <c r="G68" s="41" t="s">
        <v>240</v>
      </c>
      <c r="H68" s="36">
        <v>0.34499999999999997</v>
      </c>
      <c r="I68" s="26">
        <v>2</v>
      </c>
      <c r="J68" s="26">
        <v>6</v>
      </c>
      <c r="K68" s="26">
        <v>18192</v>
      </c>
      <c r="L68" s="26">
        <v>52785</v>
      </c>
      <c r="M68" s="43"/>
      <c r="N68" s="43"/>
      <c r="O68" s="43"/>
      <c r="P68" s="43"/>
      <c r="Q68" s="20" t="s">
        <v>119</v>
      </c>
      <c r="R68" s="46"/>
      <c r="S68" s="46"/>
      <c r="T68" s="41"/>
    </row>
    <row r="69" spans="1:20" ht="15" customHeight="1" x14ac:dyDescent="0.3">
      <c r="A69" s="34" t="s">
        <v>14</v>
      </c>
      <c r="B69" s="34" t="s">
        <v>110</v>
      </c>
      <c r="C69" s="34" t="s">
        <v>115</v>
      </c>
      <c r="D69" s="34" t="s">
        <v>233</v>
      </c>
      <c r="E69" s="35">
        <v>282</v>
      </c>
      <c r="F69" s="35" t="s">
        <v>243</v>
      </c>
      <c r="G69" s="34" t="s">
        <v>235</v>
      </c>
      <c r="H69" s="42">
        <v>0.77600000000000002</v>
      </c>
      <c r="I69" s="21">
        <v>3</v>
      </c>
      <c r="J69" s="21">
        <v>4</v>
      </c>
      <c r="K69" s="21">
        <v>11559</v>
      </c>
      <c r="L69" s="21">
        <v>14904</v>
      </c>
      <c r="M69" s="37"/>
      <c r="N69" s="37"/>
      <c r="O69" s="37"/>
      <c r="P69" s="37"/>
      <c r="Q69" s="20" t="s">
        <v>119</v>
      </c>
      <c r="R69" s="46"/>
      <c r="S69" s="46"/>
      <c r="T69" s="34"/>
    </row>
    <row r="70" spans="1:20" ht="15" customHeight="1" x14ac:dyDescent="0.3">
      <c r="A70" s="41" t="s">
        <v>39</v>
      </c>
      <c r="B70" s="41" t="s">
        <v>76</v>
      </c>
      <c r="C70" s="41" t="s">
        <v>244</v>
      </c>
      <c r="D70" s="41" t="s">
        <v>245</v>
      </c>
      <c r="E70" s="30"/>
      <c r="F70" s="30" t="s">
        <v>246</v>
      </c>
      <c r="G70" s="41" t="s">
        <v>247</v>
      </c>
      <c r="H70" s="44">
        <v>0</v>
      </c>
      <c r="I70" s="26">
        <v>0</v>
      </c>
      <c r="J70" s="26">
        <v>66</v>
      </c>
      <c r="K70" s="26">
        <v>0</v>
      </c>
      <c r="L70" s="26">
        <v>581318.09999999986</v>
      </c>
      <c r="M70" s="43"/>
      <c r="N70" s="43"/>
      <c r="O70" s="43"/>
      <c r="P70" s="43"/>
      <c r="Q70" s="20" t="s">
        <v>119</v>
      </c>
      <c r="R70" s="46"/>
      <c r="S70" s="46"/>
      <c r="T70" s="41"/>
    </row>
    <row r="71" spans="1:20" ht="15" customHeight="1" x14ac:dyDescent="0.3">
      <c r="A71" s="34" t="s">
        <v>39</v>
      </c>
      <c r="B71" s="34" t="s">
        <v>76</v>
      </c>
      <c r="C71" s="34" t="s">
        <v>244</v>
      </c>
      <c r="D71" s="34" t="s">
        <v>245</v>
      </c>
      <c r="E71" s="35"/>
      <c r="F71" s="35" t="s">
        <v>246</v>
      </c>
      <c r="G71" s="34" t="s">
        <v>248</v>
      </c>
      <c r="H71" s="44">
        <v>0</v>
      </c>
      <c r="I71" s="21">
        <v>0</v>
      </c>
      <c r="J71" s="21">
        <v>66</v>
      </c>
      <c r="K71" s="21">
        <v>0</v>
      </c>
      <c r="L71" s="21">
        <v>606592.80000000005</v>
      </c>
      <c r="M71" s="37"/>
      <c r="N71" s="37"/>
      <c r="O71" s="37"/>
      <c r="P71" s="37"/>
      <c r="Q71" s="20" t="s">
        <v>119</v>
      </c>
      <c r="R71" s="46"/>
      <c r="S71" s="46"/>
      <c r="T71" s="34"/>
    </row>
    <row r="72" spans="1:20" ht="15" customHeight="1" x14ac:dyDescent="0.3">
      <c r="A72" s="41" t="s">
        <v>39</v>
      </c>
      <c r="B72" s="41" t="s">
        <v>76</v>
      </c>
      <c r="C72" s="41" t="s">
        <v>244</v>
      </c>
      <c r="D72" s="41" t="s">
        <v>245</v>
      </c>
      <c r="E72" s="30"/>
      <c r="F72" s="30" t="s">
        <v>246</v>
      </c>
      <c r="G72" s="41" t="s">
        <v>249</v>
      </c>
      <c r="H72" s="44">
        <v>0</v>
      </c>
      <c r="I72" s="26">
        <v>0</v>
      </c>
      <c r="J72" s="26">
        <v>66</v>
      </c>
      <c r="K72" s="26">
        <v>0</v>
      </c>
      <c r="L72" s="26">
        <v>530768.69999999995</v>
      </c>
      <c r="M72" s="43"/>
      <c r="N72" s="43"/>
      <c r="O72" s="43"/>
      <c r="P72" s="43"/>
      <c r="Q72" s="20" t="s">
        <v>119</v>
      </c>
      <c r="R72" s="46"/>
      <c r="S72" s="46"/>
      <c r="T72" s="41"/>
    </row>
    <row r="73" spans="1:20" ht="15" customHeight="1" x14ac:dyDescent="0.3">
      <c r="A73" s="34" t="s">
        <v>39</v>
      </c>
      <c r="B73" s="34" t="s">
        <v>76</v>
      </c>
      <c r="C73" s="34" t="s">
        <v>244</v>
      </c>
      <c r="D73" s="34" t="s">
        <v>245</v>
      </c>
      <c r="E73" s="35"/>
      <c r="F73" s="35" t="s">
        <v>246</v>
      </c>
      <c r="G73" s="34" t="s">
        <v>250</v>
      </c>
      <c r="H73" s="44">
        <v>0</v>
      </c>
      <c r="I73" s="21">
        <v>0</v>
      </c>
      <c r="J73" s="21">
        <v>66</v>
      </c>
      <c r="K73" s="21">
        <v>0</v>
      </c>
      <c r="L73" s="21">
        <v>434451.6</v>
      </c>
      <c r="M73" s="37"/>
      <c r="N73" s="37"/>
      <c r="O73" s="37"/>
      <c r="P73" s="37"/>
      <c r="Q73" s="20" t="s">
        <v>119</v>
      </c>
      <c r="R73" s="46"/>
      <c r="S73" s="46"/>
      <c r="T73" s="34"/>
    </row>
    <row r="74" spans="1:20" ht="15" customHeight="1" x14ac:dyDescent="0.3">
      <c r="A74" s="41" t="s">
        <v>39</v>
      </c>
      <c r="B74" s="41" t="s">
        <v>76</v>
      </c>
      <c r="C74" s="41" t="s">
        <v>244</v>
      </c>
      <c r="D74" s="41" t="s">
        <v>245</v>
      </c>
      <c r="E74" s="30"/>
      <c r="F74" s="30" t="s">
        <v>246</v>
      </c>
      <c r="G74" s="41" t="s">
        <v>251</v>
      </c>
      <c r="H74" s="44">
        <v>0</v>
      </c>
      <c r="I74" s="26">
        <v>0</v>
      </c>
      <c r="J74" s="26">
        <v>66</v>
      </c>
      <c r="K74" s="26">
        <v>0</v>
      </c>
      <c r="L74" s="26">
        <v>581318.09999999986</v>
      </c>
      <c r="M74" s="43"/>
      <c r="N74" s="43"/>
      <c r="O74" s="43"/>
      <c r="P74" s="43"/>
      <c r="Q74" s="20" t="s">
        <v>119</v>
      </c>
      <c r="R74" s="46"/>
      <c r="S74" s="46"/>
      <c r="T74" s="41"/>
    </row>
    <row r="75" spans="1:20" ht="15" customHeight="1" x14ac:dyDescent="0.3">
      <c r="A75" s="34" t="s">
        <v>39</v>
      </c>
      <c r="B75" s="34" t="s">
        <v>76</v>
      </c>
      <c r="C75" s="34" t="s">
        <v>244</v>
      </c>
      <c r="D75" s="34" t="s">
        <v>245</v>
      </c>
      <c r="E75" s="35"/>
      <c r="F75" s="35" t="s">
        <v>246</v>
      </c>
      <c r="G75" s="34" t="s">
        <v>252</v>
      </c>
      <c r="H75" s="44">
        <v>0</v>
      </c>
      <c r="I75" s="21">
        <v>0</v>
      </c>
      <c r="J75" s="21">
        <v>66</v>
      </c>
      <c r="K75" s="21">
        <v>0</v>
      </c>
      <c r="L75" s="21">
        <v>493198.2</v>
      </c>
      <c r="M75" s="37"/>
      <c r="N75" s="37"/>
      <c r="O75" s="37"/>
      <c r="P75" s="37"/>
      <c r="Q75" s="20" t="s">
        <v>119</v>
      </c>
      <c r="R75" s="46"/>
      <c r="S75" s="46"/>
      <c r="T75" s="34"/>
    </row>
    <row r="76" spans="1:20" ht="15" customHeight="1" x14ac:dyDescent="0.3">
      <c r="A76" s="41" t="s">
        <v>15</v>
      </c>
      <c r="B76" s="41" t="s">
        <v>66</v>
      </c>
      <c r="C76" s="41" t="s">
        <v>253</v>
      </c>
      <c r="D76" s="41" t="s">
        <v>254</v>
      </c>
      <c r="E76" s="30">
        <v>0</v>
      </c>
      <c r="F76" s="30" t="s">
        <v>255</v>
      </c>
      <c r="G76" s="41" t="s">
        <v>256</v>
      </c>
      <c r="H76" s="44">
        <v>0</v>
      </c>
      <c r="I76" s="26">
        <v>0</v>
      </c>
      <c r="J76" s="26">
        <v>0</v>
      </c>
      <c r="K76" s="26">
        <v>0</v>
      </c>
      <c r="L76" s="26">
        <v>0</v>
      </c>
      <c r="M76" s="43"/>
      <c r="N76" s="43"/>
      <c r="O76" s="38">
        <v>600</v>
      </c>
      <c r="P76" s="43"/>
      <c r="Q76" s="39" t="s">
        <v>71</v>
      </c>
      <c r="R76" s="40"/>
      <c r="S76" s="40"/>
      <c r="T76" s="20" t="s">
        <v>72</v>
      </c>
    </row>
    <row r="77" spans="1:20" ht="15" customHeight="1" x14ac:dyDescent="0.3">
      <c r="A77" s="34" t="s">
        <v>15</v>
      </c>
      <c r="B77" s="34" t="s">
        <v>66</v>
      </c>
      <c r="C77" s="34" t="s">
        <v>253</v>
      </c>
      <c r="D77" s="34" t="s">
        <v>254</v>
      </c>
      <c r="E77" s="35">
        <v>2</v>
      </c>
      <c r="F77" s="35" t="s">
        <v>257</v>
      </c>
      <c r="G77" s="34" t="s">
        <v>258</v>
      </c>
      <c r="H77" s="36">
        <v>0.47599999999999998</v>
      </c>
      <c r="I77" s="21">
        <v>135</v>
      </c>
      <c r="J77" s="21">
        <v>158</v>
      </c>
      <c r="K77" s="21">
        <v>3473550</v>
      </c>
      <c r="L77" s="21">
        <v>4886276.3999999994</v>
      </c>
      <c r="M77" s="37"/>
      <c r="N77" s="38">
        <v>600</v>
      </c>
      <c r="O77" s="37"/>
      <c r="P77" s="38">
        <v>600</v>
      </c>
      <c r="Q77" s="39" t="s">
        <v>81</v>
      </c>
      <c r="R77" s="39" t="s">
        <v>259</v>
      </c>
      <c r="S77" s="39" t="s">
        <v>228</v>
      </c>
      <c r="T77" s="34"/>
    </row>
    <row r="78" spans="1:20" ht="15" customHeight="1" x14ac:dyDescent="0.3">
      <c r="A78" s="41" t="s">
        <v>15</v>
      </c>
      <c r="B78" s="41" t="s">
        <v>66</v>
      </c>
      <c r="C78" s="41" t="s">
        <v>260</v>
      </c>
      <c r="D78" s="41" t="s">
        <v>261</v>
      </c>
      <c r="E78" s="30">
        <v>94</v>
      </c>
      <c r="F78" s="30" t="s">
        <v>262</v>
      </c>
      <c r="G78" s="41" t="s">
        <v>263</v>
      </c>
      <c r="H78" s="42">
        <v>0.57499999999999996</v>
      </c>
      <c r="I78" s="26">
        <v>74</v>
      </c>
      <c r="J78" s="26">
        <v>113</v>
      </c>
      <c r="K78" s="26">
        <v>176144.60409966909</v>
      </c>
      <c r="L78" s="26">
        <v>368408.24999999988</v>
      </c>
      <c r="M78" s="38">
        <v>200</v>
      </c>
      <c r="N78" s="38">
        <v>150</v>
      </c>
      <c r="O78" s="38">
        <v>300</v>
      </c>
      <c r="P78" s="43"/>
      <c r="Q78" s="39" t="s">
        <v>71</v>
      </c>
      <c r="R78" s="39" t="s">
        <v>95</v>
      </c>
      <c r="S78" s="39" t="s">
        <v>96</v>
      </c>
      <c r="T78" s="41"/>
    </row>
    <row r="79" spans="1:20" ht="15" customHeight="1" x14ac:dyDescent="0.3">
      <c r="A79" s="34" t="s">
        <v>15</v>
      </c>
      <c r="B79" s="34" t="s">
        <v>66</v>
      </c>
      <c r="C79" s="34" t="s">
        <v>264</v>
      </c>
      <c r="D79" s="34" t="s">
        <v>265</v>
      </c>
      <c r="E79" s="35">
        <v>35</v>
      </c>
      <c r="F79" s="35" t="s">
        <v>266</v>
      </c>
      <c r="G79" s="34" t="s">
        <v>267</v>
      </c>
      <c r="H79" s="42">
        <v>0.68100000000000005</v>
      </c>
      <c r="I79" s="21">
        <v>214</v>
      </c>
      <c r="J79" s="21">
        <v>300</v>
      </c>
      <c r="K79" s="21">
        <v>1279710.637968852</v>
      </c>
      <c r="L79" s="21">
        <v>1878525</v>
      </c>
      <c r="M79" s="37"/>
      <c r="N79" s="38">
        <v>600</v>
      </c>
      <c r="O79" s="37"/>
      <c r="P79" s="38">
        <v>500</v>
      </c>
      <c r="Q79" s="39" t="s">
        <v>81</v>
      </c>
      <c r="R79" s="39" t="s">
        <v>259</v>
      </c>
      <c r="S79" s="39" t="s">
        <v>228</v>
      </c>
      <c r="T79" s="34"/>
    </row>
    <row r="80" spans="1:20" ht="15" customHeight="1" x14ac:dyDescent="0.3">
      <c r="A80" s="41" t="s">
        <v>15</v>
      </c>
      <c r="B80" s="41" t="s">
        <v>66</v>
      </c>
      <c r="C80" s="41" t="s">
        <v>253</v>
      </c>
      <c r="D80" s="41" t="s">
        <v>268</v>
      </c>
      <c r="E80" s="30">
        <v>60</v>
      </c>
      <c r="F80" s="30" t="s">
        <v>269</v>
      </c>
      <c r="G80" s="41" t="s">
        <v>270</v>
      </c>
      <c r="H80" s="42">
        <v>0.78300000000000003</v>
      </c>
      <c r="I80" s="26">
        <v>50</v>
      </c>
      <c r="J80" s="26">
        <v>95</v>
      </c>
      <c r="K80" s="26">
        <v>639850</v>
      </c>
      <c r="L80" s="26">
        <v>1194648.75</v>
      </c>
      <c r="M80" s="38">
        <v>250</v>
      </c>
      <c r="N80" s="38">
        <v>252</v>
      </c>
      <c r="O80" s="43"/>
      <c r="P80" s="43"/>
      <c r="Q80" s="39" t="s">
        <v>81</v>
      </c>
      <c r="R80" s="39" t="s">
        <v>82</v>
      </c>
      <c r="S80" s="39" t="s">
        <v>83</v>
      </c>
      <c r="T80" s="41"/>
    </row>
    <row r="81" spans="1:20" ht="15" customHeight="1" x14ac:dyDescent="0.3">
      <c r="A81" s="34" t="s">
        <v>15</v>
      </c>
      <c r="B81" s="34" t="s">
        <v>66</v>
      </c>
      <c r="C81" s="34" t="s">
        <v>260</v>
      </c>
      <c r="D81" s="34" t="s">
        <v>261</v>
      </c>
      <c r="E81" s="35">
        <v>31</v>
      </c>
      <c r="F81" s="35" t="s">
        <v>271</v>
      </c>
      <c r="G81" s="34" t="s">
        <v>272</v>
      </c>
      <c r="H81" s="42">
        <v>0.80700000000000005</v>
      </c>
      <c r="I81" s="21">
        <v>99</v>
      </c>
      <c r="J81" s="21">
        <v>120</v>
      </c>
      <c r="K81" s="21">
        <v>309992.79870185471</v>
      </c>
      <c r="L81" s="21">
        <v>459539.99999999988</v>
      </c>
      <c r="M81" s="38">
        <v>300</v>
      </c>
      <c r="N81" s="38">
        <v>200</v>
      </c>
      <c r="O81" s="38">
        <v>300</v>
      </c>
      <c r="P81" s="37"/>
      <c r="Q81" s="39" t="s">
        <v>71</v>
      </c>
      <c r="R81" s="39" t="s">
        <v>95</v>
      </c>
      <c r="S81" s="39" t="s">
        <v>96</v>
      </c>
      <c r="T81" s="34"/>
    </row>
    <row r="82" spans="1:20" ht="15" customHeight="1" x14ac:dyDescent="0.3">
      <c r="A82" s="41" t="s">
        <v>15</v>
      </c>
      <c r="B82" s="41" t="s">
        <v>66</v>
      </c>
      <c r="C82" s="41" t="s">
        <v>264</v>
      </c>
      <c r="D82" s="41" t="s">
        <v>265</v>
      </c>
      <c r="E82" s="30">
        <v>77</v>
      </c>
      <c r="F82" s="30" t="s">
        <v>273</v>
      </c>
      <c r="G82" s="41" t="s">
        <v>274</v>
      </c>
      <c r="H82" s="42">
        <v>0.873</v>
      </c>
      <c r="I82" s="26">
        <v>126</v>
      </c>
      <c r="J82" s="26">
        <v>150</v>
      </c>
      <c r="K82" s="26">
        <v>691110</v>
      </c>
      <c r="L82" s="26">
        <v>791775</v>
      </c>
      <c r="M82" s="38">
        <v>500</v>
      </c>
      <c r="N82" s="38">
        <v>504</v>
      </c>
      <c r="O82" s="38">
        <v>300</v>
      </c>
      <c r="P82" s="43"/>
      <c r="Q82" s="39" t="s">
        <v>81</v>
      </c>
      <c r="R82" s="39" t="s">
        <v>82</v>
      </c>
      <c r="S82" s="39" t="s">
        <v>83</v>
      </c>
      <c r="T82" s="41"/>
    </row>
    <row r="83" spans="1:20" ht="15" customHeight="1" x14ac:dyDescent="0.3">
      <c r="A83" s="34" t="s">
        <v>15</v>
      </c>
      <c r="B83" s="34" t="s">
        <v>76</v>
      </c>
      <c r="C83" s="34" t="s">
        <v>275</v>
      </c>
      <c r="D83" s="34" t="s">
        <v>276</v>
      </c>
      <c r="E83" s="35">
        <v>0</v>
      </c>
      <c r="F83" s="35" t="s">
        <v>277</v>
      </c>
      <c r="G83" s="34" t="s">
        <v>278</v>
      </c>
      <c r="H83" s="44">
        <v>0</v>
      </c>
      <c r="I83" s="21">
        <v>0</v>
      </c>
      <c r="J83" s="21">
        <v>0</v>
      </c>
      <c r="K83" s="21">
        <v>0</v>
      </c>
      <c r="L83" s="21">
        <v>0</v>
      </c>
      <c r="M83" s="37"/>
      <c r="N83" s="38">
        <v>200</v>
      </c>
      <c r="O83" s="38">
        <v>200</v>
      </c>
      <c r="P83" s="37"/>
      <c r="Q83" s="39" t="s">
        <v>71</v>
      </c>
      <c r="R83" s="39" t="s">
        <v>95</v>
      </c>
      <c r="S83" s="39" t="s">
        <v>96</v>
      </c>
      <c r="T83" s="34"/>
    </row>
    <row r="84" spans="1:20" ht="15" customHeight="1" x14ac:dyDescent="0.3">
      <c r="A84" s="41" t="s">
        <v>15</v>
      </c>
      <c r="B84" s="41" t="s">
        <v>76</v>
      </c>
      <c r="C84" s="41" t="s">
        <v>275</v>
      </c>
      <c r="D84" s="41" t="s">
        <v>276</v>
      </c>
      <c r="E84" s="30">
        <v>0</v>
      </c>
      <c r="F84" s="30" t="s">
        <v>279</v>
      </c>
      <c r="G84" s="41" t="s">
        <v>280</v>
      </c>
      <c r="H84" s="44">
        <v>0</v>
      </c>
      <c r="I84" s="26">
        <v>0</v>
      </c>
      <c r="J84" s="26">
        <v>0</v>
      </c>
      <c r="K84" s="26">
        <v>0</v>
      </c>
      <c r="L84" s="26">
        <v>0</v>
      </c>
      <c r="M84" s="43"/>
      <c r="N84" s="38">
        <v>200</v>
      </c>
      <c r="O84" s="38">
        <v>200</v>
      </c>
      <c r="P84" s="43"/>
      <c r="Q84" s="39" t="s">
        <v>71</v>
      </c>
      <c r="R84" s="39" t="s">
        <v>95</v>
      </c>
      <c r="S84" s="39" t="s">
        <v>96</v>
      </c>
      <c r="T84" s="41"/>
    </row>
    <row r="85" spans="1:20" ht="15" customHeight="1" x14ac:dyDescent="0.3">
      <c r="A85" s="34" t="s">
        <v>15</v>
      </c>
      <c r="B85" s="34" t="s">
        <v>76</v>
      </c>
      <c r="C85" s="34" t="s">
        <v>275</v>
      </c>
      <c r="D85" s="34" t="s">
        <v>276</v>
      </c>
      <c r="E85" s="35">
        <v>0</v>
      </c>
      <c r="F85" s="35" t="s">
        <v>281</v>
      </c>
      <c r="G85" s="34" t="s">
        <v>282</v>
      </c>
      <c r="H85" s="44">
        <v>0</v>
      </c>
      <c r="I85" s="21">
        <v>0</v>
      </c>
      <c r="J85" s="21">
        <v>0</v>
      </c>
      <c r="K85" s="21">
        <v>0</v>
      </c>
      <c r="L85" s="21">
        <v>0</v>
      </c>
      <c r="M85" s="37"/>
      <c r="N85" s="38">
        <v>200</v>
      </c>
      <c r="O85" s="38">
        <v>196</v>
      </c>
      <c r="P85" s="37"/>
      <c r="Q85" s="39" t="s">
        <v>71</v>
      </c>
      <c r="R85" s="39" t="s">
        <v>129</v>
      </c>
      <c r="S85" s="39" t="s">
        <v>130</v>
      </c>
      <c r="T85" s="34"/>
    </row>
    <row r="86" spans="1:20" ht="15" customHeight="1" x14ac:dyDescent="0.3">
      <c r="A86" s="41" t="s">
        <v>15</v>
      </c>
      <c r="B86" s="41" t="s">
        <v>76</v>
      </c>
      <c r="C86" s="41" t="s">
        <v>275</v>
      </c>
      <c r="D86" s="41" t="s">
        <v>276</v>
      </c>
      <c r="E86" s="30">
        <v>0</v>
      </c>
      <c r="F86" s="30" t="s">
        <v>283</v>
      </c>
      <c r="G86" s="41" t="s">
        <v>284</v>
      </c>
      <c r="H86" s="44">
        <v>0</v>
      </c>
      <c r="I86" s="26">
        <v>0</v>
      </c>
      <c r="J86" s="26">
        <v>0</v>
      </c>
      <c r="K86" s="26">
        <v>0</v>
      </c>
      <c r="L86" s="26">
        <v>0</v>
      </c>
      <c r="M86" s="43"/>
      <c r="N86" s="38">
        <v>200</v>
      </c>
      <c r="O86" s="38">
        <v>198</v>
      </c>
      <c r="P86" s="43"/>
      <c r="Q86" s="39" t="s">
        <v>71</v>
      </c>
      <c r="R86" s="39" t="s">
        <v>129</v>
      </c>
      <c r="S86" s="39" t="s">
        <v>130</v>
      </c>
      <c r="T86" s="41"/>
    </row>
    <row r="87" spans="1:20" ht="15" customHeight="1" x14ac:dyDescent="0.3">
      <c r="A87" s="34" t="s">
        <v>15</v>
      </c>
      <c r="B87" s="34" t="s">
        <v>76</v>
      </c>
      <c r="C87" s="34" t="s">
        <v>264</v>
      </c>
      <c r="D87" s="34" t="s">
        <v>265</v>
      </c>
      <c r="E87" s="35">
        <v>0</v>
      </c>
      <c r="F87" s="35" t="s">
        <v>285</v>
      </c>
      <c r="G87" s="34" t="s">
        <v>286</v>
      </c>
      <c r="H87" s="44">
        <v>0</v>
      </c>
      <c r="I87" s="21">
        <v>0</v>
      </c>
      <c r="J87" s="21">
        <v>80</v>
      </c>
      <c r="K87" s="21">
        <v>0</v>
      </c>
      <c r="L87" s="21">
        <v>404063.99999999988</v>
      </c>
      <c r="M87" s="38">
        <v>300</v>
      </c>
      <c r="N87" s="38">
        <v>500</v>
      </c>
      <c r="O87" s="37"/>
      <c r="P87" s="37"/>
      <c r="Q87" s="39" t="s">
        <v>81</v>
      </c>
      <c r="R87" s="39" t="s">
        <v>82</v>
      </c>
      <c r="S87" s="39" t="s">
        <v>83</v>
      </c>
      <c r="T87" s="34"/>
    </row>
    <row r="88" spans="1:20" ht="15" customHeight="1" x14ac:dyDescent="0.3">
      <c r="A88" s="41" t="s">
        <v>15</v>
      </c>
      <c r="B88" s="41" t="s">
        <v>76</v>
      </c>
      <c r="C88" s="41" t="s">
        <v>264</v>
      </c>
      <c r="D88" s="41" t="s">
        <v>287</v>
      </c>
      <c r="E88" s="30">
        <v>0</v>
      </c>
      <c r="F88" s="30" t="s">
        <v>288</v>
      </c>
      <c r="G88" s="41" t="s">
        <v>289</v>
      </c>
      <c r="H88" s="44">
        <v>0</v>
      </c>
      <c r="I88" s="26">
        <v>0</v>
      </c>
      <c r="J88" s="26">
        <v>20</v>
      </c>
      <c r="K88" s="26">
        <v>0</v>
      </c>
      <c r="L88" s="26">
        <v>184230</v>
      </c>
      <c r="M88" s="38">
        <v>200</v>
      </c>
      <c r="N88" s="38">
        <v>200</v>
      </c>
      <c r="O88" s="43"/>
      <c r="P88" s="43"/>
      <c r="Q88" s="39" t="s">
        <v>81</v>
      </c>
      <c r="R88" s="39" t="s">
        <v>82</v>
      </c>
      <c r="S88" s="39" t="s">
        <v>83</v>
      </c>
      <c r="T88" s="41"/>
    </row>
    <row r="89" spans="1:20" ht="15" customHeight="1" x14ac:dyDescent="0.3">
      <c r="A89" s="34" t="s">
        <v>15</v>
      </c>
      <c r="B89" s="34" t="s">
        <v>76</v>
      </c>
      <c r="C89" s="34" t="s">
        <v>264</v>
      </c>
      <c r="D89" s="34" t="s">
        <v>287</v>
      </c>
      <c r="E89" s="35">
        <v>0</v>
      </c>
      <c r="F89" s="35" t="s">
        <v>290</v>
      </c>
      <c r="G89" s="34" t="s">
        <v>291</v>
      </c>
      <c r="H89" s="44">
        <v>0</v>
      </c>
      <c r="I89" s="21">
        <v>0</v>
      </c>
      <c r="J89" s="21">
        <v>20</v>
      </c>
      <c r="K89" s="21">
        <v>0</v>
      </c>
      <c r="L89" s="21">
        <v>184230</v>
      </c>
      <c r="M89" s="38">
        <v>200</v>
      </c>
      <c r="N89" s="38">
        <v>200</v>
      </c>
      <c r="O89" s="37"/>
      <c r="P89" s="38">
        <v>200</v>
      </c>
      <c r="Q89" s="39" t="s">
        <v>81</v>
      </c>
      <c r="R89" s="39" t="s">
        <v>82</v>
      </c>
      <c r="S89" s="39" t="s">
        <v>83</v>
      </c>
      <c r="T89" s="34"/>
    </row>
    <row r="90" spans="1:20" ht="15" customHeight="1" x14ac:dyDescent="0.3">
      <c r="A90" s="41" t="s">
        <v>15</v>
      </c>
      <c r="B90" s="41" t="s">
        <v>76</v>
      </c>
      <c r="C90" s="41" t="s">
        <v>253</v>
      </c>
      <c r="D90" s="41" t="s">
        <v>268</v>
      </c>
      <c r="E90" s="30"/>
      <c r="F90" s="30" t="s">
        <v>292</v>
      </c>
      <c r="G90" s="41" t="s">
        <v>293</v>
      </c>
      <c r="H90" s="44">
        <v>0</v>
      </c>
      <c r="I90" s="26">
        <v>0</v>
      </c>
      <c r="J90" s="26">
        <v>0</v>
      </c>
      <c r="K90" s="26">
        <v>0</v>
      </c>
      <c r="L90" s="26">
        <v>0</v>
      </c>
      <c r="M90" s="43"/>
      <c r="N90" s="43"/>
      <c r="O90" s="38">
        <v>500</v>
      </c>
      <c r="P90" s="43"/>
      <c r="Q90" s="39" t="s">
        <v>71</v>
      </c>
      <c r="R90" s="40"/>
      <c r="S90" s="40"/>
      <c r="T90" s="20" t="s">
        <v>294</v>
      </c>
    </row>
    <row r="91" spans="1:20" ht="15" customHeight="1" x14ac:dyDescent="0.3">
      <c r="A91" s="34" t="s">
        <v>15</v>
      </c>
      <c r="B91" s="34" t="s">
        <v>76</v>
      </c>
      <c r="C91" s="34" t="s">
        <v>253</v>
      </c>
      <c r="D91" s="34" t="s">
        <v>268</v>
      </c>
      <c r="E91" s="35">
        <v>0</v>
      </c>
      <c r="F91" s="35" t="s">
        <v>295</v>
      </c>
      <c r="G91" s="34" t="s">
        <v>296</v>
      </c>
      <c r="H91" s="36">
        <v>7.3999999999999996E-2</v>
      </c>
      <c r="I91" s="21">
        <v>2</v>
      </c>
      <c r="J91" s="21">
        <v>8</v>
      </c>
      <c r="K91" s="21">
        <v>19609.8</v>
      </c>
      <c r="L91" s="21">
        <v>81144</v>
      </c>
      <c r="M91" s="38">
        <v>300</v>
      </c>
      <c r="N91" s="38">
        <v>150</v>
      </c>
      <c r="O91" s="38">
        <v>150</v>
      </c>
      <c r="P91" s="37"/>
      <c r="Q91" s="39" t="s">
        <v>71</v>
      </c>
      <c r="R91" s="39" t="s">
        <v>129</v>
      </c>
      <c r="S91" s="39" t="s">
        <v>130</v>
      </c>
      <c r="T91" s="34"/>
    </row>
    <row r="92" spans="1:20" ht="15" customHeight="1" x14ac:dyDescent="0.3">
      <c r="A92" s="41" t="s">
        <v>15</v>
      </c>
      <c r="B92" s="41" t="s">
        <v>76</v>
      </c>
      <c r="C92" s="41" t="s">
        <v>264</v>
      </c>
      <c r="D92" s="41" t="s">
        <v>265</v>
      </c>
      <c r="E92" s="30">
        <v>0</v>
      </c>
      <c r="F92" s="30" t="s">
        <v>297</v>
      </c>
      <c r="G92" s="41" t="s">
        <v>298</v>
      </c>
      <c r="H92" s="44">
        <v>0</v>
      </c>
      <c r="I92" s="26">
        <v>0</v>
      </c>
      <c r="J92" s="26">
        <v>40</v>
      </c>
      <c r="K92" s="26">
        <v>0</v>
      </c>
      <c r="L92" s="26">
        <v>262890.00000000012</v>
      </c>
      <c r="M92" s="38">
        <v>300</v>
      </c>
      <c r="N92" s="43"/>
      <c r="O92" s="43"/>
      <c r="P92" s="43"/>
      <c r="Q92" s="20" t="s">
        <v>119</v>
      </c>
      <c r="R92" s="46"/>
      <c r="S92" s="46"/>
      <c r="T92" s="41"/>
    </row>
    <row r="93" spans="1:20" ht="15" customHeight="1" x14ac:dyDescent="0.3">
      <c r="A93" s="34" t="s">
        <v>15</v>
      </c>
      <c r="B93" s="34" t="s">
        <v>219</v>
      </c>
      <c r="C93" s="34" t="s">
        <v>253</v>
      </c>
      <c r="D93" s="34" t="s">
        <v>268</v>
      </c>
      <c r="E93" s="35">
        <v>195</v>
      </c>
      <c r="F93" s="35" t="s">
        <v>299</v>
      </c>
      <c r="G93" s="34" t="s">
        <v>300</v>
      </c>
      <c r="H93" s="36">
        <v>0.307</v>
      </c>
      <c r="I93" s="21">
        <v>12</v>
      </c>
      <c r="J93" s="21">
        <v>0</v>
      </c>
      <c r="K93" s="21">
        <v>35232</v>
      </c>
      <c r="L93" s="21">
        <v>0</v>
      </c>
      <c r="M93" s="38">
        <v>200</v>
      </c>
      <c r="N93" s="37"/>
      <c r="O93" s="38">
        <v>500</v>
      </c>
      <c r="P93" s="37"/>
      <c r="Q93" s="39" t="s">
        <v>71</v>
      </c>
      <c r="R93" s="39" t="s">
        <v>129</v>
      </c>
      <c r="S93" s="39" t="s">
        <v>130</v>
      </c>
      <c r="T93" s="34"/>
    </row>
    <row r="94" spans="1:20" ht="15" customHeight="1" x14ac:dyDescent="0.3">
      <c r="A94" s="41" t="s">
        <v>15</v>
      </c>
      <c r="B94" s="41" t="s">
        <v>219</v>
      </c>
      <c r="C94" s="41" t="s">
        <v>260</v>
      </c>
      <c r="D94" s="41" t="s">
        <v>301</v>
      </c>
      <c r="E94" s="30">
        <v>108</v>
      </c>
      <c r="F94" s="30" t="s">
        <v>302</v>
      </c>
      <c r="G94" s="41" t="s">
        <v>303</v>
      </c>
      <c r="H94" s="36">
        <v>0.372</v>
      </c>
      <c r="I94" s="26">
        <v>16</v>
      </c>
      <c r="J94" s="26">
        <v>45</v>
      </c>
      <c r="K94" s="26">
        <v>117440</v>
      </c>
      <c r="L94" s="26">
        <v>330216.75</v>
      </c>
      <c r="M94" s="43"/>
      <c r="N94" s="43"/>
      <c r="O94" s="38">
        <v>504</v>
      </c>
      <c r="P94" s="43"/>
      <c r="Q94" s="39" t="s">
        <v>71</v>
      </c>
      <c r="R94" s="40"/>
      <c r="S94" s="40"/>
      <c r="T94" s="20" t="s">
        <v>294</v>
      </c>
    </row>
    <row r="95" spans="1:20" ht="15" customHeight="1" x14ac:dyDescent="0.3">
      <c r="A95" s="34" t="s">
        <v>15</v>
      </c>
      <c r="B95" s="34" t="s">
        <v>219</v>
      </c>
      <c r="C95" s="34" t="s">
        <v>275</v>
      </c>
      <c r="D95" s="34" t="s">
        <v>276</v>
      </c>
      <c r="E95" s="35">
        <v>157</v>
      </c>
      <c r="F95" s="35" t="s">
        <v>304</v>
      </c>
      <c r="G95" s="34" t="s">
        <v>305</v>
      </c>
      <c r="H95" s="36">
        <v>0.39100000000000001</v>
      </c>
      <c r="I95" s="21">
        <v>39</v>
      </c>
      <c r="J95" s="21">
        <v>100</v>
      </c>
      <c r="K95" s="21">
        <v>231223.66100137809</v>
      </c>
      <c r="L95" s="21">
        <v>657224.99999999988</v>
      </c>
      <c r="M95" s="38">
        <v>200</v>
      </c>
      <c r="N95" s="38">
        <v>100</v>
      </c>
      <c r="O95" s="38">
        <v>200</v>
      </c>
      <c r="P95" s="37"/>
      <c r="Q95" s="39" t="s">
        <v>71</v>
      </c>
      <c r="R95" s="39" t="s">
        <v>95</v>
      </c>
      <c r="S95" s="39" t="s">
        <v>96</v>
      </c>
      <c r="T95" s="34"/>
    </row>
    <row r="96" spans="1:20" ht="15" customHeight="1" x14ac:dyDescent="0.3">
      <c r="A96" s="41" t="s">
        <v>15</v>
      </c>
      <c r="B96" s="41" t="s">
        <v>219</v>
      </c>
      <c r="C96" s="41" t="s">
        <v>306</v>
      </c>
      <c r="D96" s="41" t="s">
        <v>307</v>
      </c>
      <c r="E96" s="30">
        <v>87</v>
      </c>
      <c r="F96" s="30" t="s">
        <v>308</v>
      </c>
      <c r="G96" s="41" t="s">
        <v>309</v>
      </c>
      <c r="H96" s="36">
        <v>0.45200000000000001</v>
      </c>
      <c r="I96" s="26">
        <v>43</v>
      </c>
      <c r="J96" s="26">
        <v>100</v>
      </c>
      <c r="K96" s="26">
        <v>457234.54279882892</v>
      </c>
      <c r="L96" s="26">
        <v>1195425</v>
      </c>
      <c r="M96" s="38">
        <v>200</v>
      </c>
      <c r="N96" s="38">
        <v>200</v>
      </c>
      <c r="O96" s="38">
        <v>401</v>
      </c>
      <c r="P96" s="43"/>
      <c r="Q96" s="39" t="s">
        <v>71</v>
      </c>
      <c r="R96" s="39" t="s">
        <v>129</v>
      </c>
      <c r="S96" s="39" t="s">
        <v>130</v>
      </c>
      <c r="T96" s="41"/>
    </row>
    <row r="97" spans="1:20" ht="15" customHeight="1" x14ac:dyDescent="0.3">
      <c r="A97" s="34" t="s">
        <v>15</v>
      </c>
      <c r="B97" s="34" t="s">
        <v>110</v>
      </c>
      <c r="C97" s="34" t="s">
        <v>260</v>
      </c>
      <c r="D97" s="34" t="s">
        <v>261</v>
      </c>
      <c r="E97" s="35">
        <v>419</v>
      </c>
      <c r="F97" s="35" t="s">
        <v>310</v>
      </c>
      <c r="G97" s="34" t="s">
        <v>311</v>
      </c>
      <c r="H97" s="44">
        <v>0</v>
      </c>
      <c r="I97" s="21">
        <v>0</v>
      </c>
      <c r="J97" s="21">
        <v>40</v>
      </c>
      <c r="K97" s="21">
        <v>0</v>
      </c>
      <c r="L97" s="21">
        <v>91080</v>
      </c>
      <c r="M97" s="37"/>
      <c r="N97" s="37"/>
      <c r="O97" s="38">
        <v>100</v>
      </c>
      <c r="P97" s="37"/>
      <c r="Q97" s="39" t="s">
        <v>71</v>
      </c>
      <c r="R97" s="40"/>
      <c r="S97" s="40"/>
      <c r="T97" s="20" t="s">
        <v>294</v>
      </c>
    </row>
    <row r="98" spans="1:20" ht="15" customHeight="1" x14ac:dyDescent="0.3">
      <c r="A98" s="41" t="s">
        <v>15</v>
      </c>
      <c r="B98" s="41" t="s">
        <v>110</v>
      </c>
      <c r="C98" s="41" t="s">
        <v>312</v>
      </c>
      <c r="D98" s="41" t="s">
        <v>312</v>
      </c>
      <c r="E98" s="30">
        <v>170</v>
      </c>
      <c r="F98" s="30" t="s">
        <v>313</v>
      </c>
      <c r="G98" s="41" t="s">
        <v>314</v>
      </c>
      <c r="H98" s="42">
        <v>0.81100000000000005</v>
      </c>
      <c r="I98" s="26">
        <v>28</v>
      </c>
      <c r="J98" s="26">
        <v>64</v>
      </c>
      <c r="K98" s="26">
        <v>125636</v>
      </c>
      <c r="L98" s="26">
        <v>238464</v>
      </c>
      <c r="M98" s="43"/>
      <c r="N98" s="38">
        <v>150</v>
      </c>
      <c r="O98" s="38">
        <v>100</v>
      </c>
      <c r="P98" s="43"/>
      <c r="Q98" s="39" t="s">
        <v>81</v>
      </c>
      <c r="R98" s="39" t="s">
        <v>227</v>
      </c>
      <c r="S98" s="39" t="s">
        <v>228</v>
      </c>
      <c r="T98" s="41"/>
    </row>
    <row r="99" spans="1:20" ht="15" customHeight="1" x14ac:dyDescent="0.3">
      <c r="A99" s="34" t="s">
        <v>15</v>
      </c>
      <c r="B99" s="34" t="s">
        <v>110</v>
      </c>
      <c r="C99" s="34" t="s">
        <v>260</v>
      </c>
      <c r="D99" s="34" t="s">
        <v>261</v>
      </c>
      <c r="E99" s="35">
        <v>276</v>
      </c>
      <c r="F99" s="35" t="s">
        <v>315</v>
      </c>
      <c r="G99" s="34" t="s">
        <v>316</v>
      </c>
      <c r="H99" s="42">
        <v>0.89800000000000002</v>
      </c>
      <c r="I99" s="21">
        <v>39</v>
      </c>
      <c r="J99" s="21">
        <v>150</v>
      </c>
      <c r="K99" s="21">
        <v>103272</v>
      </c>
      <c r="L99" s="21">
        <v>217350</v>
      </c>
      <c r="M99" s="38">
        <v>200</v>
      </c>
      <c r="N99" s="37"/>
      <c r="O99" s="37"/>
      <c r="P99" s="37"/>
      <c r="Q99" s="20" t="s">
        <v>119</v>
      </c>
      <c r="R99" s="46"/>
      <c r="S99" s="46"/>
      <c r="T99" s="34"/>
    </row>
    <row r="100" spans="1:20" ht="15" customHeight="1" x14ac:dyDescent="0.3">
      <c r="A100" s="41" t="s">
        <v>20</v>
      </c>
      <c r="B100" s="41" t="s">
        <v>66</v>
      </c>
      <c r="C100" s="41" t="s">
        <v>317</v>
      </c>
      <c r="D100" s="41" t="s">
        <v>318</v>
      </c>
      <c r="E100" s="30">
        <v>3</v>
      </c>
      <c r="F100" s="30" t="s">
        <v>319</v>
      </c>
      <c r="G100" s="41" t="s">
        <v>320</v>
      </c>
      <c r="H100" s="42">
        <v>0.55200000000000005</v>
      </c>
      <c r="I100" s="26">
        <v>105</v>
      </c>
      <c r="J100" s="26">
        <v>200</v>
      </c>
      <c r="K100" s="26">
        <v>2266425</v>
      </c>
      <c r="L100" s="26">
        <v>4967999.9999999991</v>
      </c>
      <c r="M100" s="43"/>
      <c r="N100" s="43"/>
      <c r="O100" s="38">
        <v>2000</v>
      </c>
      <c r="P100" s="43"/>
      <c r="Q100" s="39" t="s">
        <v>71</v>
      </c>
      <c r="R100" s="40"/>
      <c r="S100" s="40"/>
      <c r="T100" s="20" t="s">
        <v>294</v>
      </c>
    </row>
    <row r="101" spans="1:20" ht="15" customHeight="1" x14ac:dyDescent="0.3">
      <c r="A101" s="34" t="s">
        <v>21</v>
      </c>
      <c r="B101" s="34" t="s">
        <v>76</v>
      </c>
      <c r="C101" s="34" t="s">
        <v>120</v>
      </c>
      <c r="D101" s="34" t="s">
        <v>321</v>
      </c>
      <c r="E101" s="35"/>
      <c r="F101" s="35" t="s">
        <v>322</v>
      </c>
      <c r="G101" s="34" t="s">
        <v>323</v>
      </c>
      <c r="H101" s="44">
        <v>0</v>
      </c>
      <c r="I101" s="21">
        <v>0</v>
      </c>
      <c r="J101" s="21">
        <v>0</v>
      </c>
      <c r="K101" s="21">
        <v>0</v>
      </c>
      <c r="L101" s="21">
        <v>0</v>
      </c>
      <c r="M101" s="37"/>
      <c r="N101" s="37"/>
      <c r="O101" s="37"/>
      <c r="P101" s="38">
        <v>2195</v>
      </c>
      <c r="Q101" s="39" t="s">
        <v>89</v>
      </c>
      <c r="R101" s="39" t="s">
        <v>324</v>
      </c>
      <c r="S101" s="39" t="s">
        <v>325</v>
      </c>
      <c r="T101" s="34"/>
    </row>
    <row r="102" spans="1:20" ht="15" customHeight="1" x14ac:dyDescent="0.3">
      <c r="A102" s="41" t="s">
        <v>21</v>
      </c>
      <c r="B102" s="41" t="s">
        <v>76</v>
      </c>
      <c r="C102" s="41" t="s">
        <v>120</v>
      </c>
      <c r="D102" s="41" t="s">
        <v>321</v>
      </c>
      <c r="E102" s="30"/>
      <c r="F102" s="30" t="s">
        <v>326</v>
      </c>
      <c r="G102" s="41" t="s">
        <v>327</v>
      </c>
      <c r="H102" s="44">
        <v>0</v>
      </c>
      <c r="I102" s="26">
        <v>0</v>
      </c>
      <c r="J102" s="26">
        <v>0</v>
      </c>
      <c r="K102" s="26">
        <v>0</v>
      </c>
      <c r="L102" s="26">
        <v>0</v>
      </c>
      <c r="M102" s="43"/>
      <c r="N102" s="43"/>
      <c r="O102" s="43"/>
      <c r="P102" s="38">
        <v>1243</v>
      </c>
      <c r="Q102" s="39" t="s">
        <v>89</v>
      </c>
      <c r="R102" s="39" t="s">
        <v>324</v>
      </c>
      <c r="S102" s="39" t="s">
        <v>325</v>
      </c>
      <c r="T102" s="41"/>
    </row>
    <row r="103" spans="1:20" ht="15" customHeight="1" x14ac:dyDescent="0.3">
      <c r="A103" s="34" t="s">
        <v>21</v>
      </c>
      <c r="B103" s="34" t="s">
        <v>76</v>
      </c>
      <c r="C103" s="34" t="s">
        <v>120</v>
      </c>
      <c r="D103" s="34" t="s">
        <v>321</v>
      </c>
      <c r="E103" s="35"/>
      <c r="F103" s="35" t="s">
        <v>328</v>
      </c>
      <c r="G103" s="34" t="s">
        <v>329</v>
      </c>
      <c r="H103" s="44">
        <v>0</v>
      </c>
      <c r="I103" s="21">
        <v>0</v>
      </c>
      <c r="J103" s="21">
        <v>0</v>
      </c>
      <c r="K103" s="21">
        <v>0</v>
      </c>
      <c r="L103" s="21">
        <v>0</v>
      </c>
      <c r="M103" s="37"/>
      <c r="N103" s="37"/>
      <c r="O103" s="37"/>
      <c r="P103" s="38">
        <v>1242</v>
      </c>
      <c r="Q103" s="39" t="s">
        <v>89</v>
      </c>
      <c r="R103" s="39" t="s">
        <v>324</v>
      </c>
      <c r="S103" s="39" t="s">
        <v>325</v>
      </c>
      <c r="T103" s="34"/>
    </row>
    <row r="104" spans="1:20" ht="15" customHeight="1" x14ac:dyDescent="0.3">
      <c r="A104" s="41" t="s">
        <v>21</v>
      </c>
      <c r="B104" s="41" t="s">
        <v>76</v>
      </c>
      <c r="C104" s="41" t="s">
        <v>120</v>
      </c>
      <c r="D104" s="41" t="s">
        <v>321</v>
      </c>
      <c r="E104" s="30"/>
      <c r="F104" s="30" t="s">
        <v>330</v>
      </c>
      <c r="G104" s="41" t="s">
        <v>331</v>
      </c>
      <c r="H104" s="44">
        <v>0</v>
      </c>
      <c r="I104" s="26">
        <v>0</v>
      </c>
      <c r="J104" s="26">
        <v>0</v>
      </c>
      <c r="K104" s="26">
        <v>0</v>
      </c>
      <c r="L104" s="26">
        <v>0</v>
      </c>
      <c r="M104" s="43"/>
      <c r="N104" s="43"/>
      <c r="O104" s="43"/>
      <c r="P104" s="38">
        <v>1250</v>
      </c>
      <c r="Q104" s="39" t="s">
        <v>89</v>
      </c>
      <c r="R104" s="39" t="s">
        <v>324</v>
      </c>
      <c r="S104" s="39" t="s">
        <v>325</v>
      </c>
      <c r="T104" s="41"/>
    </row>
    <row r="105" spans="1:20" ht="15" customHeight="1" x14ac:dyDescent="0.3">
      <c r="A105" s="34" t="s">
        <v>21</v>
      </c>
      <c r="B105" s="34" t="s">
        <v>76</v>
      </c>
      <c r="C105" s="34" t="s">
        <v>120</v>
      </c>
      <c r="D105" s="34" t="s">
        <v>321</v>
      </c>
      <c r="E105" s="35"/>
      <c r="F105" s="35" t="s">
        <v>332</v>
      </c>
      <c r="G105" s="34" t="s">
        <v>333</v>
      </c>
      <c r="H105" s="44">
        <v>0</v>
      </c>
      <c r="I105" s="21">
        <v>0</v>
      </c>
      <c r="J105" s="21">
        <v>0</v>
      </c>
      <c r="K105" s="21">
        <v>0</v>
      </c>
      <c r="L105" s="21">
        <v>0</v>
      </c>
      <c r="M105" s="37"/>
      <c r="N105" s="37"/>
      <c r="O105" s="37"/>
      <c r="P105" s="38">
        <v>1250</v>
      </c>
      <c r="Q105" s="39" t="s">
        <v>89</v>
      </c>
      <c r="R105" s="39" t="s">
        <v>324</v>
      </c>
      <c r="S105" s="39" t="s">
        <v>325</v>
      </c>
      <c r="T105" s="34"/>
    </row>
    <row r="106" spans="1:20" ht="15" customHeight="1" x14ac:dyDescent="0.3">
      <c r="A106" s="41" t="s">
        <v>21</v>
      </c>
      <c r="B106" s="41" t="s">
        <v>76</v>
      </c>
      <c r="C106" s="41" t="s">
        <v>120</v>
      </c>
      <c r="D106" s="41" t="s">
        <v>321</v>
      </c>
      <c r="E106" s="30"/>
      <c r="F106" s="30" t="s">
        <v>334</v>
      </c>
      <c r="G106" s="41" t="s">
        <v>335</v>
      </c>
      <c r="H106" s="44">
        <v>0</v>
      </c>
      <c r="I106" s="26">
        <v>0</v>
      </c>
      <c r="J106" s="26">
        <v>0</v>
      </c>
      <c r="K106" s="26">
        <v>0</v>
      </c>
      <c r="L106" s="26">
        <v>0</v>
      </c>
      <c r="M106" s="43"/>
      <c r="N106" s="43"/>
      <c r="O106" s="43"/>
      <c r="P106" s="38">
        <v>1300</v>
      </c>
      <c r="Q106" s="39" t="s">
        <v>89</v>
      </c>
      <c r="R106" s="39" t="s">
        <v>324</v>
      </c>
      <c r="S106" s="39" t="s">
        <v>325</v>
      </c>
      <c r="T106" s="41"/>
    </row>
    <row r="107" spans="1:20" ht="15" customHeight="1" x14ac:dyDescent="0.3">
      <c r="A107" s="34" t="s">
        <v>21</v>
      </c>
      <c r="B107" s="34" t="s">
        <v>76</v>
      </c>
      <c r="C107" s="34" t="s">
        <v>120</v>
      </c>
      <c r="D107" s="34" t="s">
        <v>321</v>
      </c>
      <c r="E107" s="35"/>
      <c r="F107" s="35" t="s">
        <v>336</v>
      </c>
      <c r="G107" s="34" t="s">
        <v>337</v>
      </c>
      <c r="H107" s="44">
        <v>0</v>
      </c>
      <c r="I107" s="21">
        <v>0</v>
      </c>
      <c r="J107" s="21">
        <v>0</v>
      </c>
      <c r="K107" s="21">
        <v>0</v>
      </c>
      <c r="L107" s="21">
        <v>0</v>
      </c>
      <c r="M107" s="37"/>
      <c r="N107" s="37"/>
      <c r="O107" s="37"/>
      <c r="P107" s="38">
        <v>1300</v>
      </c>
      <c r="Q107" s="39" t="s">
        <v>89</v>
      </c>
      <c r="R107" s="39" t="s">
        <v>324</v>
      </c>
      <c r="S107" s="39" t="s">
        <v>325</v>
      </c>
      <c r="T107" s="34"/>
    </row>
    <row r="108" spans="1:20" ht="15" customHeight="1" x14ac:dyDescent="0.3">
      <c r="A108" s="41" t="s">
        <v>21</v>
      </c>
      <c r="B108" s="41" t="s">
        <v>76</v>
      </c>
      <c r="C108" s="41" t="s">
        <v>120</v>
      </c>
      <c r="D108" s="41" t="s">
        <v>321</v>
      </c>
      <c r="E108" s="30"/>
      <c r="F108" s="30" t="s">
        <v>338</v>
      </c>
      <c r="G108" s="41" t="s">
        <v>339</v>
      </c>
      <c r="H108" s="44">
        <v>0</v>
      </c>
      <c r="I108" s="26">
        <v>0</v>
      </c>
      <c r="J108" s="26">
        <v>0</v>
      </c>
      <c r="K108" s="26">
        <v>0</v>
      </c>
      <c r="L108" s="26">
        <v>0</v>
      </c>
      <c r="M108" s="43"/>
      <c r="N108" s="43"/>
      <c r="O108" s="43"/>
      <c r="P108" s="38">
        <v>1250</v>
      </c>
      <c r="Q108" s="39" t="s">
        <v>89</v>
      </c>
      <c r="R108" s="39" t="s">
        <v>324</v>
      </c>
      <c r="S108" s="39" t="s">
        <v>325</v>
      </c>
      <c r="T108" s="41"/>
    </row>
    <row r="109" spans="1:20" ht="15" customHeight="1" x14ac:dyDescent="0.3">
      <c r="A109" s="34" t="s">
        <v>17</v>
      </c>
      <c r="B109" s="34" t="s">
        <v>66</v>
      </c>
      <c r="C109" s="34" t="s">
        <v>340</v>
      </c>
      <c r="D109" s="34" t="s">
        <v>341</v>
      </c>
      <c r="E109" s="35">
        <v>32</v>
      </c>
      <c r="F109" s="35" t="s">
        <v>342</v>
      </c>
      <c r="G109" s="34" t="s">
        <v>343</v>
      </c>
      <c r="H109" s="36">
        <v>0.152</v>
      </c>
      <c r="I109" s="21">
        <v>7</v>
      </c>
      <c r="J109" s="21">
        <v>30</v>
      </c>
      <c r="K109" s="21">
        <v>209475</v>
      </c>
      <c r="L109" s="21">
        <v>776249.99999999988</v>
      </c>
      <c r="M109" s="38">
        <v>250</v>
      </c>
      <c r="N109" s="38">
        <v>250</v>
      </c>
      <c r="O109" s="38">
        <v>250</v>
      </c>
      <c r="P109" s="37"/>
      <c r="Q109" s="39" t="s">
        <v>81</v>
      </c>
      <c r="R109" s="39" t="s">
        <v>259</v>
      </c>
      <c r="S109" s="39" t="s">
        <v>228</v>
      </c>
      <c r="T109" s="34"/>
    </row>
    <row r="110" spans="1:20" ht="15" customHeight="1" x14ac:dyDescent="0.3">
      <c r="A110" s="41" t="s">
        <v>17</v>
      </c>
      <c r="B110" s="41" t="s">
        <v>76</v>
      </c>
      <c r="C110" s="41" t="s">
        <v>344</v>
      </c>
      <c r="D110" s="41" t="s">
        <v>345</v>
      </c>
      <c r="E110" s="30">
        <v>0</v>
      </c>
      <c r="F110" s="30" t="s">
        <v>346</v>
      </c>
      <c r="G110" s="41" t="s">
        <v>347</v>
      </c>
      <c r="H110" s="44">
        <v>0</v>
      </c>
      <c r="I110" s="26">
        <v>0</v>
      </c>
      <c r="J110" s="26">
        <v>0</v>
      </c>
      <c r="K110" s="26">
        <v>0</v>
      </c>
      <c r="L110" s="26">
        <v>0</v>
      </c>
      <c r="M110" s="43"/>
      <c r="N110" s="43"/>
      <c r="O110" s="38">
        <v>10</v>
      </c>
      <c r="P110" s="43"/>
      <c r="Q110" s="39" t="s">
        <v>71</v>
      </c>
      <c r="R110" s="40"/>
      <c r="S110" s="40"/>
      <c r="T110" s="20" t="s">
        <v>294</v>
      </c>
    </row>
    <row r="111" spans="1:20" ht="15" customHeight="1" x14ac:dyDescent="0.3">
      <c r="A111" s="34" t="s">
        <v>17</v>
      </c>
      <c r="B111" s="34" t="s">
        <v>76</v>
      </c>
      <c r="C111" s="34" t="s">
        <v>344</v>
      </c>
      <c r="D111" s="34" t="s">
        <v>348</v>
      </c>
      <c r="E111" s="35">
        <v>0</v>
      </c>
      <c r="F111" s="35" t="s">
        <v>349</v>
      </c>
      <c r="G111" s="34" t="s">
        <v>350</v>
      </c>
      <c r="H111" s="44">
        <v>0</v>
      </c>
      <c r="I111" s="21">
        <v>0</v>
      </c>
      <c r="J111" s="21">
        <v>0</v>
      </c>
      <c r="K111" s="21">
        <v>0</v>
      </c>
      <c r="L111" s="21">
        <v>0</v>
      </c>
      <c r="M111" s="37"/>
      <c r="N111" s="38">
        <v>100</v>
      </c>
      <c r="O111" s="37"/>
      <c r="P111" s="37"/>
      <c r="Q111" s="39" t="s">
        <v>81</v>
      </c>
      <c r="R111" s="39" t="s">
        <v>259</v>
      </c>
      <c r="S111" s="39" t="s">
        <v>228</v>
      </c>
      <c r="T111" s="34"/>
    </row>
    <row r="112" spans="1:20" ht="15" customHeight="1" x14ac:dyDescent="0.3">
      <c r="A112" s="41" t="s">
        <v>17</v>
      </c>
      <c r="B112" s="41" t="s">
        <v>76</v>
      </c>
      <c r="C112" s="41" t="s">
        <v>344</v>
      </c>
      <c r="D112" s="41" t="s">
        <v>348</v>
      </c>
      <c r="E112" s="30">
        <v>0</v>
      </c>
      <c r="F112" s="30" t="s">
        <v>351</v>
      </c>
      <c r="G112" s="41" t="s">
        <v>352</v>
      </c>
      <c r="H112" s="44">
        <v>0</v>
      </c>
      <c r="I112" s="26">
        <v>0</v>
      </c>
      <c r="J112" s="26">
        <v>0</v>
      </c>
      <c r="K112" s="26">
        <v>0</v>
      </c>
      <c r="L112" s="26">
        <v>0</v>
      </c>
      <c r="M112" s="43"/>
      <c r="N112" s="38">
        <v>100</v>
      </c>
      <c r="O112" s="43"/>
      <c r="P112" s="43"/>
      <c r="Q112" s="39" t="s">
        <v>81</v>
      </c>
      <c r="R112" s="39" t="s">
        <v>259</v>
      </c>
      <c r="S112" s="39" t="s">
        <v>228</v>
      </c>
      <c r="T112" s="41"/>
    </row>
    <row r="113" spans="1:20" ht="15" customHeight="1" x14ac:dyDescent="0.3">
      <c r="A113" s="34" t="s">
        <v>17</v>
      </c>
      <c r="B113" s="34" t="s">
        <v>76</v>
      </c>
      <c r="C113" s="34" t="s">
        <v>344</v>
      </c>
      <c r="D113" s="34" t="s">
        <v>348</v>
      </c>
      <c r="E113" s="35">
        <v>0</v>
      </c>
      <c r="F113" s="35" t="s">
        <v>353</v>
      </c>
      <c r="G113" s="34" t="s">
        <v>354</v>
      </c>
      <c r="H113" s="44">
        <v>0</v>
      </c>
      <c r="I113" s="21">
        <v>0</v>
      </c>
      <c r="J113" s="21">
        <v>0</v>
      </c>
      <c r="K113" s="21">
        <v>0</v>
      </c>
      <c r="L113" s="21">
        <v>0</v>
      </c>
      <c r="M113" s="37"/>
      <c r="N113" s="38">
        <v>100</v>
      </c>
      <c r="O113" s="37"/>
      <c r="P113" s="37"/>
      <c r="Q113" s="39" t="s">
        <v>81</v>
      </c>
      <c r="R113" s="39" t="s">
        <v>259</v>
      </c>
      <c r="S113" s="39" t="s">
        <v>228</v>
      </c>
      <c r="T113" s="34"/>
    </row>
    <row r="114" spans="1:20" ht="15" customHeight="1" x14ac:dyDescent="0.3">
      <c r="A114" s="41" t="s">
        <v>17</v>
      </c>
      <c r="B114" s="41" t="s">
        <v>76</v>
      </c>
      <c r="C114" s="41" t="s">
        <v>340</v>
      </c>
      <c r="D114" s="41" t="s">
        <v>341</v>
      </c>
      <c r="E114" s="30">
        <v>0</v>
      </c>
      <c r="F114" s="30" t="s">
        <v>355</v>
      </c>
      <c r="G114" s="41" t="s">
        <v>356</v>
      </c>
      <c r="H114" s="44">
        <v>0</v>
      </c>
      <c r="I114" s="26">
        <v>0</v>
      </c>
      <c r="J114" s="26">
        <v>0</v>
      </c>
      <c r="K114" s="26">
        <v>0</v>
      </c>
      <c r="L114" s="26">
        <v>0</v>
      </c>
      <c r="M114" s="43"/>
      <c r="N114" s="43"/>
      <c r="O114" s="38">
        <v>200</v>
      </c>
      <c r="P114" s="43"/>
      <c r="Q114" s="39" t="s">
        <v>71</v>
      </c>
      <c r="R114" s="40"/>
      <c r="S114" s="40"/>
      <c r="T114" s="20" t="s">
        <v>72</v>
      </c>
    </row>
    <row r="115" spans="1:20" ht="15" customHeight="1" x14ac:dyDescent="0.3">
      <c r="A115" s="34" t="s">
        <v>17</v>
      </c>
      <c r="B115" s="34" t="s">
        <v>76</v>
      </c>
      <c r="C115" s="34" t="s">
        <v>340</v>
      </c>
      <c r="D115" s="34" t="s">
        <v>341</v>
      </c>
      <c r="E115" s="35">
        <v>0</v>
      </c>
      <c r="F115" s="35" t="s">
        <v>357</v>
      </c>
      <c r="G115" s="34" t="s">
        <v>358</v>
      </c>
      <c r="H115" s="44">
        <v>0</v>
      </c>
      <c r="I115" s="21">
        <v>0</v>
      </c>
      <c r="J115" s="21">
        <v>0</v>
      </c>
      <c r="K115" s="21">
        <v>0</v>
      </c>
      <c r="L115" s="21">
        <v>0</v>
      </c>
      <c r="M115" s="37"/>
      <c r="N115" s="37"/>
      <c r="O115" s="38">
        <v>200</v>
      </c>
      <c r="P115" s="37"/>
      <c r="Q115" s="39" t="s">
        <v>71</v>
      </c>
      <c r="R115" s="40"/>
      <c r="S115" s="40"/>
      <c r="T115" s="20" t="s">
        <v>72</v>
      </c>
    </row>
    <row r="116" spans="1:20" ht="15" customHeight="1" x14ac:dyDescent="0.3">
      <c r="A116" s="41" t="s">
        <v>17</v>
      </c>
      <c r="B116" s="41" t="s">
        <v>76</v>
      </c>
      <c r="C116" s="41" t="s">
        <v>340</v>
      </c>
      <c r="D116" s="41" t="s">
        <v>341</v>
      </c>
      <c r="E116" s="30">
        <v>0</v>
      </c>
      <c r="F116" s="30" t="s">
        <v>359</v>
      </c>
      <c r="G116" s="41" t="s">
        <v>360</v>
      </c>
      <c r="H116" s="44">
        <v>0</v>
      </c>
      <c r="I116" s="26">
        <v>0</v>
      </c>
      <c r="J116" s="26">
        <v>0</v>
      </c>
      <c r="K116" s="26">
        <v>0</v>
      </c>
      <c r="L116" s="26">
        <v>0</v>
      </c>
      <c r="M116" s="43"/>
      <c r="N116" s="43"/>
      <c r="O116" s="38">
        <v>100</v>
      </c>
      <c r="P116" s="43"/>
      <c r="Q116" s="39" t="s">
        <v>71</v>
      </c>
      <c r="R116" s="40"/>
      <c r="S116" s="40"/>
      <c r="T116" s="20" t="s">
        <v>72</v>
      </c>
    </row>
    <row r="117" spans="1:20" ht="15" customHeight="1" x14ac:dyDescent="0.3">
      <c r="A117" s="34" t="s">
        <v>17</v>
      </c>
      <c r="B117" s="34" t="s">
        <v>76</v>
      </c>
      <c r="C117" s="34" t="s">
        <v>340</v>
      </c>
      <c r="D117" s="34" t="s">
        <v>341</v>
      </c>
      <c r="E117" s="35">
        <v>0</v>
      </c>
      <c r="F117" s="35" t="s">
        <v>361</v>
      </c>
      <c r="G117" s="34" t="s">
        <v>362</v>
      </c>
      <c r="H117" s="44">
        <v>0</v>
      </c>
      <c r="I117" s="21">
        <v>0</v>
      </c>
      <c r="J117" s="21">
        <v>0</v>
      </c>
      <c r="K117" s="21">
        <v>0</v>
      </c>
      <c r="L117" s="21">
        <v>0</v>
      </c>
      <c r="M117" s="37"/>
      <c r="N117" s="37"/>
      <c r="O117" s="38">
        <v>20</v>
      </c>
      <c r="P117" s="37"/>
      <c r="Q117" s="39" t="s">
        <v>71</v>
      </c>
      <c r="R117" s="40"/>
      <c r="S117" s="40"/>
      <c r="T117" s="20" t="s">
        <v>294</v>
      </c>
    </row>
    <row r="118" spans="1:20" ht="15" customHeight="1" x14ac:dyDescent="0.3">
      <c r="A118" s="41" t="s">
        <v>17</v>
      </c>
      <c r="B118" s="41" t="s">
        <v>76</v>
      </c>
      <c r="C118" s="41" t="s">
        <v>340</v>
      </c>
      <c r="D118" s="41" t="s">
        <v>341</v>
      </c>
      <c r="E118" s="30">
        <v>0</v>
      </c>
      <c r="F118" s="30" t="s">
        <v>363</v>
      </c>
      <c r="G118" s="41" t="s">
        <v>364</v>
      </c>
      <c r="H118" s="44">
        <v>0</v>
      </c>
      <c r="I118" s="26">
        <v>0</v>
      </c>
      <c r="J118" s="26">
        <v>0</v>
      </c>
      <c r="K118" s="26">
        <v>0</v>
      </c>
      <c r="L118" s="26">
        <v>0</v>
      </c>
      <c r="M118" s="43"/>
      <c r="N118" s="43"/>
      <c r="O118" s="38">
        <v>200</v>
      </c>
      <c r="P118" s="43"/>
      <c r="Q118" s="39" t="s">
        <v>71</v>
      </c>
      <c r="R118" s="40"/>
      <c r="S118" s="40"/>
      <c r="T118" s="20" t="s">
        <v>294</v>
      </c>
    </row>
    <row r="119" spans="1:20" ht="15" customHeight="1" x14ac:dyDescent="0.3">
      <c r="A119" s="34" t="s">
        <v>17</v>
      </c>
      <c r="B119" s="34" t="s">
        <v>110</v>
      </c>
      <c r="C119" s="34" t="s">
        <v>365</v>
      </c>
      <c r="D119" s="34" t="s">
        <v>366</v>
      </c>
      <c r="E119" s="35">
        <v>172</v>
      </c>
      <c r="F119" s="35" t="s">
        <v>367</v>
      </c>
      <c r="G119" s="34" t="s">
        <v>368</v>
      </c>
      <c r="H119" s="36">
        <v>0.4</v>
      </c>
      <c r="I119" s="21">
        <v>12</v>
      </c>
      <c r="J119" s="21">
        <v>30</v>
      </c>
      <c r="K119" s="21">
        <v>109417.30948303131</v>
      </c>
      <c r="L119" s="21">
        <v>273240</v>
      </c>
      <c r="M119" s="37"/>
      <c r="N119" s="37"/>
      <c r="O119" s="38">
        <v>200</v>
      </c>
      <c r="P119" s="37"/>
      <c r="Q119" s="39" t="s">
        <v>71</v>
      </c>
      <c r="R119" s="40"/>
      <c r="S119" s="40"/>
      <c r="T119" s="20" t="s">
        <v>294</v>
      </c>
    </row>
  </sheetData>
  <autoFilter ref="A2:T119" xr:uid="{00000000-0009-0000-0000-000002000000}"/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7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8" customWidth="1"/>
    <col min="3" max="4" width="16" customWidth="1"/>
    <col min="5" max="5" width="10" customWidth="1"/>
    <col min="6" max="6" width="16" customWidth="1"/>
    <col min="7" max="7" width="38" customWidth="1"/>
    <col min="8" max="8" width="9" customWidth="1"/>
    <col min="9" max="9" width="11" customWidth="1"/>
    <col min="10" max="10" width="12" customWidth="1"/>
    <col min="11" max="11" width="11" customWidth="1"/>
    <col min="12" max="12" width="12" customWidth="1"/>
    <col min="13" max="16" width="11" customWidth="1"/>
    <col min="17" max="17" width="13" customWidth="1"/>
    <col min="18" max="18" width="15" customWidth="1"/>
    <col min="19" max="19" width="13" customWidth="1"/>
  </cols>
  <sheetData>
    <row r="1" spans="1:19" ht="22.05" customHeight="1" x14ac:dyDescent="0.3">
      <c r="A1" s="141" t="s">
        <v>369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</row>
    <row r="2" spans="1:19" ht="37.950000000000003" customHeight="1" x14ac:dyDescent="0.3">
      <c r="A2" s="2" t="s">
        <v>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64</v>
      </c>
    </row>
    <row r="3" spans="1:19" ht="15" customHeight="1" x14ac:dyDescent="0.3">
      <c r="A3" s="34" t="s">
        <v>19</v>
      </c>
      <c r="B3" s="34" t="s">
        <v>84</v>
      </c>
      <c r="C3" s="34" t="s">
        <v>370</v>
      </c>
      <c r="D3" s="34" t="s">
        <v>371</v>
      </c>
      <c r="E3" s="35">
        <v>263</v>
      </c>
      <c r="F3" s="35" t="s">
        <v>372</v>
      </c>
      <c r="G3" s="34" t="s">
        <v>373</v>
      </c>
      <c r="H3" s="47">
        <v>1.772</v>
      </c>
      <c r="I3" s="21">
        <v>11</v>
      </c>
      <c r="J3" s="21">
        <v>7.1999999999999993</v>
      </c>
      <c r="K3" s="21">
        <v>160886</v>
      </c>
      <c r="L3" s="21">
        <v>96130.799999999974</v>
      </c>
      <c r="M3" s="37"/>
      <c r="N3" s="37"/>
      <c r="O3" s="37"/>
      <c r="P3" s="38">
        <v>30</v>
      </c>
      <c r="Q3" s="39" t="s">
        <v>89</v>
      </c>
      <c r="R3" s="40"/>
      <c r="S3" s="40"/>
    </row>
    <row r="4" spans="1:19" ht="15" customHeight="1" x14ac:dyDescent="0.3">
      <c r="A4" s="41" t="s">
        <v>16</v>
      </c>
      <c r="B4" s="41" t="s">
        <v>84</v>
      </c>
      <c r="C4" s="41" t="s">
        <v>85</v>
      </c>
      <c r="D4" s="41" t="s">
        <v>86</v>
      </c>
      <c r="E4" s="30">
        <v>252</v>
      </c>
      <c r="F4" s="30" t="s">
        <v>87</v>
      </c>
      <c r="G4" s="41" t="s">
        <v>88</v>
      </c>
      <c r="H4" s="36">
        <v>0.14000000000000001</v>
      </c>
      <c r="I4" s="26">
        <v>3</v>
      </c>
      <c r="J4" s="26">
        <v>25</v>
      </c>
      <c r="K4" s="26">
        <v>2520</v>
      </c>
      <c r="L4" s="26">
        <v>20700</v>
      </c>
      <c r="M4" s="43"/>
      <c r="N4" s="43"/>
      <c r="O4" s="43"/>
      <c r="P4" s="38">
        <v>100</v>
      </c>
      <c r="Q4" s="39" t="s">
        <v>89</v>
      </c>
      <c r="R4" s="40"/>
      <c r="S4" s="40"/>
    </row>
    <row r="5" spans="1:19" ht="15" customHeight="1" x14ac:dyDescent="0.3">
      <c r="A5" s="34" t="s">
        <v>16</v>
      </c>
      <c r="B5" s="34" t="s">
        <v>84</v>
      </c>
      <c r="C5" s="34" t="s">
        <v>100</v>
      </c>
      <c r="D5" s="34" t="s">
        <v>101</v>
      </c>
      <c r="E5" s="35">
        <v>153</v>
      </c>
      <c r="F5" s="35" t="s">
        <v>374</v>
      </c>
      <c r="G5" s="34" t="s">
        <v>375</v>
      </c>
      <c r="H5" s="47">
        <v>2.3319999999999999</v>
      </c>
      <c r="I5" s="21">
        <v>75</v>
      </c>
      <c r="J5" s="21">
        <v>30</v>
      </c>
      <c r="K5" s="21">
        <v>1354200</v>
      </c>
      <c r="L5" s="21">
        <v>580635</v>
      </c>
      <c r="M5" s="37"/>
      <c r="N5" s="37"/>
      <c r="O5" s="37"/>
      <c r="P5" s="37"/>
      <c r="Q5" s="20" t="s">
        <v>119</v>
      </c>
      <c r="R5" s="46"/>
      <c r="S5" s="46"/>
    </row>
    <row r="6" spans="1:19" ht="15" customHeight="1" x14ac:dyDescent="0.3">
      <c r="A6" s="41" t="s">
        <v>16</v>
      </c>
      <c r="B6" s="41" t="s">
        <v>66</v>
      </c>
      <c r="C6" s="41" t="s">
        <v>91</v>
      </c>
      <c r="D6" s="41" t="s">
        <v>376</v>
      </c>
      <c r="E6" s="30">
        <v>37</v>
      </c>
      <c r="F6" s="30" t="s">
        <v>377</v>
      </c>
      <c r="G6" s="41" t="s">
        <v>378</v>
      </c>
      <c r="H6" s="48">
        <v>1.387</v>
      </c>
      <c r="I6" s="26">
        <v>175</v>
      </c>
      <c r="J6" s="26">
        <v>250</v>
      </c>
      <c r="K6" s="26">
        <v>2457875</v>
      </c>
      <c r="L6" s="26">
        <v>3415500</v>
      </c>
      <c r="M6" s="43"/>
      <c r="N6" s="43"/>
      <c r="O6" s="43"/>
      <c r="P6" s="38">
        <v>1000</v>
      </c>
      <c r="Q6" s="39" t="s">
        <v>89</v>
      </c>
      <c r="R6" s="40"/>
      <c r="S6" s="40"/>
    </row>
    <row r="7" spans="1:19" ht="15" customHeight="1" x14ac:dyDescent="0.3">
      <c r="A7" s="34" t="s">
        <v>16</v>
      </c>
      <c r="B7" s="34" t="s">
        <v>110</v>
      </c>
      <c r="C7" s="34" t="s">
        <v>106</v>
      </c>
      <c r="D7" s="34" t="s">
        <v>379</v>
      </c>
      <c r="E7" s="35">
        <v>96</v>
      </c>
      <c r="F7" s="35" t="s">
        <v>380</v>
      </c>
      <c r="G7" s="34" t="s">
        <v>381</v>
      </c>
      <c r="H7" s="47">
        <v>2.4710000000000001</v>
      </c>
      <c r="I7" s="21">
        <v>128</v>
      </c>
      <c r="J7" s="21">
        <v>153</v>
      </c>
      <c r="K7" s="21">
        <v>378240</v>
      </c>
      <c r="L7" s="21">
        <v>459229.49999999988</v>
      </c>
      <c r="M7" s="37"/>
      <c r="N7" s="37"/>
      <c r="O7" s="37"/>
      <c r="P7" s="38">
        <v>1000</v>
      </c>
      <c r="Q7" s="39" t="s">
        <v>89</v>
      </c>
      <c r="R7" s="40"/>
      <c r="S7" s="40"/>
    </row>
    <row r="8" spans="1:19" ht="15" customHeight="1" x14ac:dyDescent="0.3">
      <c r="A8" s="41" t="s">
        <v>14</v>
      </c>
      <c r="B8" s="41" t="s">
        <v>84</v>
      </c>
      <c r="C8" s="41" t="s">
        <v>115</v>
      </c>
      <c r="D8" s="41" t="s">
        <v>116</v>
      </c>
      <c r="E8" s="30">
        <v>415</v>
      </c>
      <c r="F8" s="30" t="s">
        <v>117</v>
      </c>
      <c r="G8" s="41" t="s">
        <v>118</v>
      </c>
      <c r="H8" s="36">
        <v>0.25800000000000001</v>
      </c>
      <c r="I8" s="26">
        <v>1</v>
      </c>
      <c r="J8" s="26">
        <v>4</v>
      </c>
      <c r="K8" s="26">
        <v>15945</v>
      </c>
      <c r="L8" s="26">
        <v>61685.999999999993</v>
      </c>
      <c r="M8" s="43"/>
      <c r="N8" s="43"/>
      <c r="O8" s="43"/>
      <c r="P8" s="43"/>
      <c r="Q8" s="20" t="s">
        <v>119</v>
      </c>
      <c r="R8" s="46"/>
      <c r="S8" s="46"/>
    </row>
    <row r="9" spans="1:19" ht="15" customHeight="1" x14ac:dyDescent="0.3">
      <c r="A9" s="34" t="s">
        <v>14</v>
      </c>
      <c r="B9" s="34" t="s">
        <v>84</v>
      </c>
      <c r="C9" s="34" t="s">
        <v>115</v>
      </c>
      <c r="D9" s="34" t="s">
        <v>116</v>
      </c>
      <c r="E9" s="35">
        <v>304</v>
      </c>
      <c r="F9" s="35" t="s">
        <v>382</v>
      </c>
      <c r="G9" s="34" t="s">
        <v>118</v>
      </c>
      <c r="H9" s="48">
        <v>1.329</v>
      </c>
      <c r="I9" s="21">
        <v>9</v>
      </c>
      <c r="J9" s="21">
        <v>7</v>
      </c>
      <c r="K9" s="21">
        <v>143505</v>
      </c>
      <c r="L9" s="21">
        <v>107950.5</v>
      </c>
      <c r="M9" s="37"/>
      <c r="N9" s="37"/>
      <c r="O9" s="37"/>
      <c r="P9" s="37"/>
      <c r="Q9" s="20" t="s">
        <v>119</v>
      </c>
      <c r="R9" s="46"/>
      <c r="S9" s="46"/>
    </row>
    <row r="10" spans="1:19" ht="15" customHeight="1" x14ac:dyDescent="0.3">
      <c r="A10" s="41" t="s">
        <v>14</v>
      </c>
      <c r="B10" s="41" t="s">
        <v>84</v>
      </c>
      <c r="C10" s="41" t="s">
        <v>115</v>
      </c>
      <c r="D10" s="41" t="s">
        <v>116</v>
      </c>
      <c r="E10" s="30">
        <v>369</v>
      </c>
      <c r="F10" s="30" t="s">
        <v>383</v>
      </c>
      <c r="G10" s="41" t="s">
        <v>118</v>
      </c>
      <c r="H10" s="47">
        <v>1.6539999999999999</v>
      </c>
      <c r="I10" s="26">
        <v>8</v>
      </c>
      <c r="J10" s="26">
        <v>5</v>
      </c>
      <c r="K10" s="26">
        <v>127560</v>
      </c>
      <c r="L10" s="26">
        <v>77107.499999999985</v>
      </c>
      <c r="M10" s="43"/>
      <c r="N10" s="43"/>
      <c r="O10" s="43"/>
      <c r="P10" s="43"/>
      <c r="Q10" s="20" t="s">
        <v>119</v>
      </c>
      <c r="R10" s="46"/>
      <c r="S10" s="46"/>
    </row>
    <row r="11" spans="1:19" ht="15" customHeight="1" x14ac:dyDescent="0.3">
      <c r="A11" s="34" t="s">
        <v>14</v>
      </c>
      <c r="B11" s="34" t="s">
        <v>84</v>
      </c>
      <c r="C11" s="34" t="s">
        <v>115</v>
      </c>
      <c r="D11" s="34" t="s">
        <v>116</v>
      </c>
      <c r="E11" s="35">
        <v>323</v>
      </c>
      <c r="F11" s="35" t="s">
        <v>384</v>
      </c>
      <c r="G11" s="34" t="s">
        <v>385</v>
      </c>
      <c r="H11" s="47">
        <v>1.7450000000000001</v>
      </c>
      <c r="I11" s="21">
        <v>5</v>
      </c>
      <c r="J11" s="21">
        <v>3</v>
      </c>
      <c r="K11" s="21">
        <v>30885</v>
      </c>
      <c r="L11" s="21">
        <v>17698.5</v>
      </c>
      <c r="M11" s="37"/>
      <c r="N11" s="37"/>
      <c r="O11" s="37"/>
      <c r="P11" s="37"/>
      <c r="Q11" s="20" t="s">
        <v>119</v>
      </c>
      <c r="R11" s="46"/>
      <c r="S11" s="46"/>
    </row>
    <row r="12" spans="1:19" ht="15" customHeight="1" x14ac:dyDescent="0.3">
      <c r="A12" s="41" t="s">
        <v>14</v>
      </c>
      <c r="B12" s="41" t="s">
        <v>84</v>
      </c>
      <c r="C12" s="41" t="s">
        <v>115</v>
      </c>
      <c r="D12" s="41" t="s">
        <v>116</v>
      </c>
      <c r="E12" s="30">
        <v>365</v>
      </c>
      <c r="F12" s="30" t="s">
        <v>386</v>
      </c>
      <c r="G12" s="41" t="s">
        <v>118</v>
      </c>
      <c r="H12" s="47">
        <v>1.8959999999999999</v>
      </c>
      <c r="I12" s="26">
        <v>11</v>
      </c>
      <c r="J12" s="26">
        <v>6</v>
      </c>
      <c r="K12" s="26">
        <v>175395</v>
      </c>
      <c r="L12" s="26">
        <v>92528.999999999985</v>
      </c>
      <c r="M12" s="43"/>
      <c r="N12" s="43"/>
      <c r="O12" s="43"/>
      <c r="P12" s="43"/>
      <c r="Q12" s="20" t="s">
        <v>119</v>
      </c>
      <c r="R12" s="46"/>
      <c r="S12" s="46"/>
    </row>
    <row r="13" spans="1:19" ht="15" customHeight="1" x14ac:dyDescent="0.3">
      <c r="A13" s="34" t="s">
        <v>14</v>
      </c>
      <c r="B13" s="34" t="s">
        <v>84</v>
      </c>
      <c r="C13" s="34" t="s">
        <v>115</v>
      </c>
      <c r="D13" s="34" t="s">
        <v>238</v>
      </c>
      <c r="E13" s="35">
        <v>333</v>
      </c>
      <c r="F13" s="35" t="s">
        <v>387</v>
      </c>
      <c r="G13" s="34" t="s">
        <v>388</v>
      </c>
      <c r="H13" s="47">
        <v>2.0329999999999999</v>
      </c>
      <c r="I13" s="21">
        <v>21</v>
      </c>
      <c r="J13" s="21">
        <v>11</v>
      </c>
      <c r="K13" s="21">
        <v>173565</v>
      </c>
      <c r="L13" s="21">
        <v>85387.499999999985</v>
      </c>
      <c r="M13" s="37"/>
      <c r="N13" s="37"/>
      <c r="O13" s="37"/>
      <c r="P13" s="37"/>
      <c r="Q13" s="20" t="s">
        <v>119</v>
      </c>
      <c r="R13" s="46"/>
      <c r="S13" s="46"/>
    </row>
    <row r="14" spans="1:19" ht="15" customHeight="1" x14ac:dyDescent="0.3">
      <c r="A14" s="41" t="s">
        <v>14</v>
      </c>
      <c r="B14" s="41" t="s">
        <v>84</v>
      </c>
      <c r="C14" s="41" t="s">
        <v>115</v>
      </c>
      <c r="D14" s="41" t="s">
        <v>389</v>
      </c>
      <c r="E14" s="30">
        <v>346</v>
      </c>
      <c r="F14" s="30" t="s">
        <v>390</v>
      </c>
      <c r="G14" s="41" t="s">
        <v>391</v>
      </c>
      <c r="H14" s="47">
        <v>2.089</v>
      </c>
      <c r="I14" s="26">
        <v>4</v>
      </c>
      <c r="J14" s="26">
        <v>2</v>
      </c>
      <c r="K14" s="26">
        <v>37184</v>
      </c>
      <c r="L14" s="26">
        <v>17802</v>
      </c>
      <c r="M14" s="43"/>
      <c r="N14" s="43"/>
      <c r="O14" s="43"/>
      <c r="P14" s="43"/>
      <c r="Q14" s="20" t="s">
        <v>119</v>
      </c>
      <c r="R14" s="46"/>
      <c r="S14" s="46"/>
    </row>
    <row r="15" spans="1:19" ht="15" customHeight="1" x14ac:dyDescent="0.3">
      <c r="A15" s="34" t="s">
        <v>14</v>
      </c>
      <c r="B15" s="34" t="s">
        <v>84</v>
      </c>
      <c r="C15" s="34" t="s">
        <v>115</v>
      </c>
      <c r="D15" s="34" t="s">
        <v>389</v>
      </c>
      <c r="E15" s="35">
        <v>412</v>
      </c>
      <c r="F15" s="35" t="s">
        <v>392</v>
      </c>
      <c r="G15" s="34" t="s">
        <v>391</v>
      </c>
      <c r="H15" s="47">
        <v>2.2400000000000002</v>
      </c>
      <c r="I15" s="21">
        <v>13</v>
      </c>
      <c r="J15" s="21">
        <v>6</v>
      </c>
      <c r="K15" s="21">
        <v>119639</v>
      </c>
      <c r="L15" s="21">
        <v>53406</v>
      </c>
      <c r="M15" s="37"/>
      <c r="N15" s="37"/>
      <c r="O15" s="37"/>
      <c r="P15" s="37"/>
      <c r="Q15" s="20" t="s">
        <v>119</v>
      </c>
      <c r="R15" s="46"/>
      <c r="S15" s="46"/>
    </row>
    <row r="16" spans="1:19" ht="15" customHeight="1" x14ac:dyDescent="0.3">
      <c r="A16" s="41" t="s">
        <v>14</v>
      </c>
      <c r="B16" s="41" t="s">
        <v>84</v>
      </c>
      <c r="C16" s="41" t="s">
        <v>115</v>
      </c>
      <c r="D16" s="41" t="s">
        <v>389</v>
      </c>
      <c r="E16" s="30">
        <v>391</v>
      </c>
      <c r="F16" s="30" t="s">
        <v>393</v>
      </c>
      <c r="G16" s="41" t="s">
        <v>391</v>
      </c>
      <c r="H16" s="47">
        <v>2.2789999999999999</v>
      </c>
      <c r="I16" s="26">
        <v>15</v>
      </c>
      <c r="J16" s="26">
        <v>7</v>
      </c>
      <c r="K16" s="26">
        <v>141990</v>
      </c>
      <c r="L16" s="26">
        <v>62307</v>
      </c>
      <c r="M16" s="43"/>
      <c r="N16" s="43"/>
      <c r="O16" s="43"/>
      <c r="P16" s="43"/>
      <c r="Q16" s="20" t="s">
        <v>119</v>
      </c>
      <c r="R16" s="46"/>
      <c r="S16" s="46"/>
    </row>
    <row r="17" spans="1:19" ht="15" customHeight="1" x14ac:dyDescent="0.3">
      <c r="A17" s="34" t="s">
        <v>14</v>
      </c>
      <c r="B17" s="34" t="s">
        <v>84</v>
      </c>
      <c r="C17" s="34" t="s">
        <v>115</v>
      </c>
      <c r="D17" s="34" t="s">
        <v>389</v>
      </c>
      <c r="E17" s="35">
        <v>406</v>
      </c>
      <c r="F17" s="35" t="s">
        <v>394</v>
      </c>
      <c r="G17" s="34" t="s">
        <v>395</v>
      </c>
      <c r="H17" s="47">
        <v>2.298</v>
      </c>
      <c r="I17" s="21">
        <v>11</v>
      </c>
      <c r="J17" s="21">
        <v>5</v>
      </c>
      <c r="K17" s="21">
        <v>70158</v>
      </c>
      <c r="L17" s="21">
        <v>30532.5</v>
      </c>
      <c r="M17" s="37"/>
      <c r="N17" s="37"/>
      <c r="O17" s="37"/>
      <c r="P17" s="37"/>
      <c r="Q17" s="20" t="s">
        <v>119</v>
      </c>
      <c r="R17" s="46"/>
      <c r="S17" s="46"/>
    </row>
    <row r="18" spans="1:19" ht="15" customHeight="1" x14ac:dyDescent="0.3">
      <c r="A18" s="41" t="s">
        <v>14</v>
      </c>
      <c r="B18" s="41" t="s">
        <v>84</v>
      </c>
      <c r="C18" s="41" t="s">
        <v>115</v>
      </c>
      <c r="D18" s="41" t="s">
        <v>116</v>
      </c>
      <c r="E18" s="30">
        <v>283</v>
      </c>
      <c r="F18" s="30" t="s">
        <v>396</v>
      </c>
      <c r="G18" s="41" t="s">
        <v>397</v>
      </c>
      <c r="H18" s="47">
        <v>2.3260000000000001</v>
      </c>
      <c r="I18" s="26">
        <v>9</v>
      </c>
      <c r="J18" s="26">
        <v>4</v>
      </c>
      <c r="K18" s="26">
        <v>112689</v>
      </c>
      <c r="L18" s="26">
        <v>48437.999999999993</v>
      </c>
      <c r="M18" s="43"/>
      <c r="N18" s="43"/>
      <c r="O18" s="43"/>
      <c r="P18" s="43"/>
      <c r="Q18" s="20" t="s">
        <v>119</v>
      </c>
      <c r="R18" s="46"/>
      <c r="S18" s="46"/>
    </row>
    <row r="19" spans="1:19" ht="15" customHeight="1" x14ac:dyDescent="0.3">
      <c r="A19" s="34" t="s">
        <v>14</v>
      </c>
      <c r="B19" s="34" t="s">
        <v>66</v>
      </c>
      <c r="C19" s="34" t="s">
        <v>120</v>
      </c>
      <c r="D19" s="34" t="s">
        <v>121</v>
      </c>
      <c r="E19" s="35">
        <v>187</v>
      </c>
      <c r="F19" s="35" t="s">
        <v>131</v>
      </c>
      <c r="G19" s="34" t="s">
        <v>132</v>
      </c>
      <c r="H19" s="36">
        <v>0.28899999999999998</v>
      </c>
      <c r="I19" s="21">
        <v>12</v>
      </c>
      <c r="J19" s="21">
        <v>40</v>
      </c>
      <c r="K19" s="21">
        <v>61524</v>
      </c>
      <c r="L19" s="21">
        <v>213210</v>
      </c>
      <c r="M19" s="37"/>
      <c r="N19" s="37"/>
      <c r="O19" s="37"/>
      <c r="P19" s="38">
        <v>500</v>
      </c>
      <c r="Q19" s="39" t="s">
        <v>89</v>
      </c>
      <c r="R19" s="40"/>
      <c r="S19" s="40"/>
    </row>
    <row r="20" spans="1:19" ht="15" customHeight="1" x14ac:dyDescent="0.3">
      <c r="A20" s="41" t="s">
        <v>14</v>
      </c>
      <c r="B20" s="41" t="s">
        <v>66</v>
      </c>
      <c r="C20" s="41" t="s">
        <v>120</v>
      </c>
      <c r="D20" s="41" t="s">
        <v>121</v>
      </c>
      <c r="E20" s="30">
        <v>148</v>
      </c>
      <c r="F20" s="30" t="s">
        <v>134</v>
      </c>
      <c r="G20" s="41" t="s">
        <v>135</v>
      </c>
      <c r="H20" s="36">
        <v>0.38500000000000001</v>
      </c>
      <c r="I20" s="26">
        <v>16</v>
      </c>
      <c r="J20" s="26">
        <v>40</v>
      </c>
      <c r="K20" s="26">
        <v>82032</v>
      </c>
      <c r="L20" s="26">
        <v>213210</v>
      </c>
      <c r="M20" s="43"/>
      <c r="N20" s="43"/>
      <c r="O20" s="43"/>
      <c r="P20" s="38">
        <v>500</v>
      </c>
      <c r="Q20" s="39" t="s">
        <v>89</v>
      </c>
      <c r="R20" s="40"/>
      <c r="S20" s="40"/>
    </row>
    <row r="21" spans="1:19" ht="15" customHeight="1" x14ac:dyDescent="0.3">
      <c r="A21" s="34" t="s">
        <v>14</v>
      </c>
      <c r="B21" s="34" t="s">
        <v>66</v>
      </c>
      <c r="C21" s="34" t="s">
        <v>229</v>
      </c>
      <c r="D21" s="34" t="s">
        <v>398</v>
      </c>
      <c r="E21" s="35">
        <v>104</v>
      </c>
      <c r="F21" s="35" t="s">
        <v>399</v>
      </c>
      <c r="G21" s="34" t="s">
        <v>400</v>
      </c>
      <c r="H21" s="48">
        <v>1.004</v>
      </c>
      <c r="I21" s="21">
        <v>36</v>
      </c>
      <c r="J21" s="21">
        <v>48</v>
      </c>
      <c r="K21" s="21">
        <v>340812</v>
      </c>
      <c r="L21" s="21">
        <v>407375.99999999988</v>
      </c>
      <c r="M21" s="37"/>
      <c r="N21" s="37"/>
      <c r="O21" s="37"/>
      <c r="P21" s="37"/>
      <c r="Q21" s="20" t="s">
        <v>119</v>
      </c>
      <c r="R21" s="46"/>
      <c r="S21" s="46"/>
    </row>
    <row r="22" spans="1:19" ht="15" customHeight="1" x14ac:dyDescent="0.3">
      <c r="A22" s="41" t="s">
        <v>14</v>
      </c>
      <c r="B22" s="41" t="s">
        <v>66</v>
      </c>
      <c r="C22" s="41" t="s">
        <v>120</v>
      </c>
      <c r="D22" s="41" t="s">
        <v>121</v>
      </c>
      <c r="E22" s="30">
        <v>164</v>
      </c>
      <c r="F22" s="30" t="s">
        <v>401</v>
      </c>
      <c r="G22" s="41" t="s">
        <v>402</v>
      </c>
      <c r="H22" s="48">
        <v>1.1499999999999999</v>
      </c>
      <c r="I22" s="26">
        <v>39</v>
      </c>
      <c r="J22" s="26">
        <v>33</v>
      </c>
      <c r="K22" s="26">
        <v>136851</v>
      </c>
      <c r="L22" s="26">
        <v>126031.95</v>
      </c>
      <c r="M22" s="43"/>
      <c r="N22" s="43"/>
      <c r="O22" s="43"/>
      <c r="P22" s="43"/>
      <c r="Q22" s="20" t="s">
        <v>119</v>
      </c>
      <c r="R22" s="46"/>
      <c r="S22" s="46"/>
    </row>
    <row r="23" spans="1:19" ht="15" customHeight="1" x14ac:dyDescent="0.3">
      <c r="A23" s="34" t="s">
        <v>14</v>
      </c>
      <c r="B23" s="34" t="s">
        <v>66</v>
      </c>
      <c r="C23" s="34" t="s">
        <v>126</v>
      </c>
      <c r="D23" s="34" t="s">
        <v>101</v>
      </c>
      <c r="E23" s="35">
        <v>73</v>
      </c>
      <c r="F23" s="35" t="s">
        <v>403</v>
      </c>
      <c r="G23" s="34" t="s">
        <v>404</v>
      </c>
      <c r="H23" s="47">
        <v>1.83</v>
      </c>
      <c r="I23" s="21">
        <v>79</v>
      </c>
      <c r="J23" s="21">
        <v>42</v>
      </c>
      <c r="K23" s="21">
        <v>994531</v>
      </c>
      <c r="L23" s="21">
        <v>543374.99999999988</v>
      </c>
      <c r="M23" s="37"/>
      <c r="N23" s="37"/>
      <c r="O23" s="37"/>
      <c r="P23" s="37"/>
      <c r="Q23" s="20" t="s">
        <v>119</v>
      </c>
      <c r="R23" s="46"/>
      <c r="S23" s="46"/>
    </row>
    <row r="24" spans="1:19" ht="15" customHeight="1" x14ac:dyDescent="0.3">
      <c r="A24" s="41" t="s">
        <v>14</v>
      </c>
      <c r="B24" s="41" t="s">
        <v>76</v>
      </c>
      <c r="C24" s="41" t="s">
        <v>171</v>
      </c>
      <c r="D24" s="41" t="s">
        <v>172</v>
      </c>
      <c r="E24" s="30">
        <v>0</v>
      </c>
      <c r="F24" s="30" t="s">
        <v>173</v>
      </c>
      <c r="G24" s="41" t="s">
        <v>174</v>
      </c>
      <c r="H24" s="44">
        <v>0</v>
      </c>
      <c r="I24" s="26">
        <v>0</v>
      </c>
      <c r="J24" s="26">
        <v>11</v>
      </c>
      <c r="K24" s="26">
        <v>0</v>
      </c>
      <c r="L24" s="26">
        <v>85387.499999999985</v>
      </c>
      <c r="M24" s="43"/>
      <c r="N24" s="43"/>
      <c r="O24" s="43"/>
      <c r="P24" s="43"/>
      <c r="Q24" s="20" t="s">
        <v>119</v>
      </c>
      <c r="R24" s="46"/>
      <c r="S24" s="46"/>
    </row>
    <row r="25" spans="1:19" ht="15" customHeight="1" x14ac:dyDescent="0.3">
      <c r="A25" s="34" t="s">
        <v>14</v>
      </c>
      <c r="B25" s="34" t="s">
        <v>76</v>
      </c>
      <c r="C25" s="34" t="s">
        <v>171</v>
      </c>
      <c r="D25" s="34" t="s">
        <v>172</v>
      </c>
      <c r="E25" s="35">
        <v>0</v>
      </c>
      <c r="F25" s="35" t="s">
        <v>175</v>
      </c>
      <c r="G25" s="34" t="s">
        <v>176</v>
      </c>
      <c r="H25" s="44">
        <v>0</v>
      </c>
      <c r="I25" s="21">
        <v>0</v>
      </c>
      <c r="J25" s="21">
        <v>25</v>
      </c>
      <c r="K25" s="21">
        <v>0</v>
      </c>
      <c r="L25" s="21">
        <v>194062.5</v>
      </c>
      <c r="M25" s="37"/>
      <c r="N25" s="37"/>
      <c r="O25" s="37"/>
      <c r="P25" s="37"/>
      <c r="Q25" s="20" t="s">
        <v>119</v>
      </c>
      <c r="R25" s="46"/>
      <c r="S25" s="46"/>
    </row>
    <row r="26" spans="1:19" ht="15" customHeight="1" x14ac:dyDescent="0.3">
      <c r="A26" s="41" t="s">
        <v>14</v>
      </c>
      <c r="B26" s="41" t="s">
        <v>76</v>
      </c>
      <c r="C26" s="41" t="s">
        <v>171</v>
      </c>
      <c r="D26" s="41" t="s">
        <v>172</v>
      </c>
      <c r="E26" s="30">
        <v>0</v>
      </c>
      <c r="F26" s="30" t="s">
        <v>177</v>
      </c>
      <c r="G26" s="41" t="s">
        <v>178</v>
      </c>
      <c r="H26" s="44">
        <v>0</v>
      </c>
      <c r="I26" s="26">
        <v>0</v>
      </c>
      <c r="J26" s="26">
        <v>53</v>
      </c>
      <c r="K26" s="26">
        <v>0</v>
      </c>
      <c r="L26" s="26">
        <v>411412.49999999988</v>
      </c>
      <c r="M26" s="43"/>
      <c r="N26" s="43"/>
      <c r="O26" s="43"/>
      <c r="P26" s="43"/>
      <c r="Q26" s="20" t="s">
        <v>119</v>
      </c>
      <c r="R26" s="46"/>
      <c r="S26" s="46"/>
    </row>
    <row r="27" spans="1:19" ht="15" customHeight="1" x14ac:dyDescent="0.3">
      <c r="A27" s="34" t="s">
        <v>14</v>
      </c>
      <c r="B27" s="34" t="s">
        <v>76</v>
      </c>
      <c r="C27" s="34" t="s">
        <v>171</v>
      </c>
      <c r="D27" s="34" t="s">
        <v>172</v>
      </c>
      <c r="E27" s="35">
        <v>0</v>
      </c>
      <c r="F27" s="35" t="s">
        <v>179</v>
      </c>
      <c r="G27" s="34" t="s">
        <v>180</v>
      </c>
      <c r="H27" s="44">
        <v>0</v>
      </c>
      <c r="I27" s="21">
        <v>0</v>
      </c>
      <c r="J27" s="21">
        <v>60</v>
      </c>
      <c r="K27" s="21">
        <v>0</v>
      </c>
      <c r="L27" s="21">
        <v>465749.99999999988</v>
      </c>
      <c r="M27" s="37"/>
      <c r="N27" s="37"/>
      <c r="O27" s="37"/>
      <c r="P27" s="37"/>
      <c r="Q27" s="20" t="s">
        <v>119</v>
      </c>
      <c r="R27" s="46"/>
      <c r="S27" s="46"/>
    </row>
    <row r="28" spans="1:19" ht="15" customHeight="1" x14ac:dyDescent="0.3">
      <c r="A28" s="41" t="s">
        <v>14</v>
      </c>
      <c r="B28" s="41" t="s">
        <v>76</v>
      </c>
      <c r="C28" s="41" t="s">
        <v>171</v>
      </c>
      <c r="D28" s="41" t="s">
        <v>172</v>
      </c>
      <c r="E28" s="30">
        <v>0</v>
      </c>
      <c r="F28" s="30" t="s">
        <v>181</v>
      </c>
      <c r="G28" s="41" t="s">
        <v>182</v>
      </c>
      <c r="H28" s="44">
        <v>0</v>
      </c>
      <c r="I28" s="26">
        <v>0</v>
      </c>
      <c r="J28" s="26">
        <v>28</v>
      </c>
      <c r="K28" s="26">
        <v>0</v>
      </c>
      <c r="L28" s="26">
        <v>217350</v>
      </c>
      <c r="M28" s="43"/>
      <c r="N28" s="43"/>
      <c r="O28" s="43"/>
      <c r="P28" s="43"/>
      <c r="Q28" s="20" t="s">
        <v>119</v>
      </c>
      <c r="R28" s="46"/>
      <c r="S28" s="46"/>
    </row>
    <row r="29" spans="1:19" ht="15" customHeight="1" x14ac:dyDescent="0.3">
      <c r="A29" s="34" t="s">
        <v>14</v>
      </c>
      <c r="B29" s="34" t="s">
        <v>76</v>
      </c>
      <c r="C29" s="34" t="s">
        <v>171</v>
      </c>
      <c r="D29" s="34" t="s">
        <v>172</v>
      </c>
      <c r="E29" s="35">
        <v>0</v>
      </c>
      <c r="F29" s="35" t="s">
        <v>183</v>
      </c>
      <c r="G29" s="34" t="s">
        <v>184</v>
      </c>
      <c r="H29" s="44">
        <v>0</v>
      </c>
      <c r="I29" s="21">
        <v>0</v>
      </c>
      <c r="J29" s="21">
        <v>11</v>
      </c>
      <c r="K29" s="21">
        <v>0</v>
      </c>
      <c r="L29" s="21">
        <v>85387.499999999985</v>
      </c>
      <c r="M29" s="37"/>
      <c r="N29" s="37"/>
      <c r="O29" s="37"/>
      <c r="P29" s="37"/>
      <c r="Q29" s="20" t="s">
        <v>119</v>
      </c>
      <c r="R29" s="46"/>
      <c r="S29" s="46"/>
    </row>
    <row r="30" spans="1:19" ht="15" customHeight="1" x14ac:dyDescent="0.3">
      <c r="A30" s="41" t="s">
        <v>14</v>
      </c>
      <c r="B30" s="41" t="s">
        <v>76</v>
      </c>
      <c r="C30" s="41" t="s">
        <v>171</v>
      </c>
      <c r="D30" s="41" t="s">
        <v>172</v>
      </c>
      <c r="E30" s="30">
        <v>0</v>
      </c>
      <c r="F30" s="30" t="s">
        <v>185</v>
      </c>
      <c r="G30" s="41" t="s">
        <v>186</v>
      </c>
      <c r="H30" s="44">
        <v>0</v>
      </c>
      <c r="I30" s="26">
        <v>0</v>
      </c>
      <c r="J30" s="26">
        <v>25</v>
      </c>
      <c r="K30" s="26">
        <v>0</v>
      </c>
      <c r="L30" s="26">
        <v>194062.5</v>
      </c>
      <c r="M30" s="43"/>
      <c r="N30" s="43"/>
      <c r="O30" s="43"/>
      <c r="P30" s="43"/>
      <c r="Q30" s="20" t="s">
        <v>119</v>
      </c>
      <c r="R30" s="46"/>
      <c r="S30" s="46"/>
    </row>
    <row r="31" spans="1:19" ht="15" customHeight="1" x14ac:dyDescent="0.3">
      <c r="A31" s="34" t="s">
        <v>14</v>
      </c>
      <c r="B31" s="34" t="s">
        <v>76</v>
      </c>
      <c r="C31" s="34" t="s">
        <v>171</v>
      </c>
      <c r="D31" s="34" t="s">
        <v>172</v>
      </c>
      <c r="E31" s="35">
        <v>0</v>
      </c>
      <c r="F31" s="35" t="s">
        <v>187</v>
      </c>
      <c r="G31" s="34" t="s">
        <v>188</v>
      </c>
      <c r="H31" s="44">
        <v>0</v>
      </c>
      <c r="I31" s="21">
        <v>0</v>
      </c>
      <c r="J31" s="21">
        <v>53</v>
      </c>
      <c r="K31" s="21">
        <v>0</v>
      </c>
      <c r="L31" s="21">
        <v>411412.49999999988</v>
      </c>
      <c r="M31" s="37"/>
      <c r="N31" s="37"/>
      <c r="O31" s="37"/>
      <c r="P31" s="37"/>
      <c r="Q31" s="20" t="s">
        <v>119</v>
      </c>
      <c r="R31" s="46"/>
      <c r="S31" s="46"/>
    </row>
    <row r="32" spans="1:19" ht="15" customHeight="1" x14ac:dyDescent="0.3">
      <c r="A32" s="41" t="s">
        <v>14</v>
      </c>
      <c r="B32" s="41" t="s">
        <v>76</v>
      </c>
      <c r="C32" s="41" t="s">
        <v>171</v>
      </c>
      <c r="D32" s="41" t="s">
        <v>172</v>
      </c>
      <c r="E32" s="30">
        <v>0</v>
      </c>
      <c r="F32" s="30" t="s">
        <v>189</v>
      </c>
      <c r="G32" s="41" t="s">
        <v>190</v>
      </c>
      <c r="H32" s="44">
        <v>0</v>
      </c>
      <c r="I32" s="26">
        <v>0</v>
      </c>
      <c r="J32" s="26">
        <v>60</v>
      </c>
      <c r="K32" s="26">
        <v>0</v>
      </c>
      <c r="L32" s="26">
        <v>465749.99999999988</v>
      </c>
      <c r="M32" s="43"/>
      <c r="N32" s="43"/>
      <c r="O32" s="43"/>
      <c r="P32" s="43"/>
      <c r="Q32" s="20" t="s">
        <v>119</v>
      </c>
      <c r="R32" s="46"/>
      <c r="S32" s="46"/>
    </row>
    <row r="33" spans="1:19" ht="15" customHeight="1" x14ac:dyDescent="0.3">
      <c r="A33" s="34" t="s">
        <v>14</v>
      </c>
      <c r="B33" s="34" t="s">
        <v>76</v>
      </c>
      <c r="C33" s="34" t="s">
        <v>171</v>
      </c>
      <c r="D33" s="34" t="s">
        <v>172</v>
      </c>
      <c r="E33" s="35">
        <v>0</v>
      </c>
      <c r="F33" s="35" t="s">
        <v>191</v>
      </c>
      <c r="G33" s="34" t="s">
        <v>192</v>
      </c>
      <c r="H33" s="44">
        <v>0</v>
      </c>
      <c r="I33" s="21">
        <v>0</v>
      </c>
      <c r="J33" s="21">
        <v>28</v>
      </c>
      <c r="K33" s="21">
        <v>0</v>
      </c>
      <c r="L33" s="21">
        <v>217350</v>
      </c>
      <c r="M33" s="37"/>
      <c r="N33" s="37"/>
      <c r="O33" s="37"/>
      <c r="P33" s="37"/>
      <c r="Q33" s="20" t="s">
        <v>119</v>
      </c>
      <c r="R33" s="46"/>
      <c r="S33" s="46"/>
    </row>
    <row r="34" spans="1:19" ht="15" customHeight="1" x14ac:dyDescent="0.3">
      <c r="A34" s="41" t="s">
        <v>14</v>
      </c>
      <c r="B34" s="41" t="s">
        <v>76</v>
      </c>
      <c r="C34" s="41" t="s">
        <v>171</v>
      </c>
      <c r="D34" s="41" t="s">
        <v>172</v>
      </c>
      <c r="E34" s="30">
        <v>0</v>
      </c>
      <c r="F34" s="30" t="s">
        <v>193</v>
      </c>
      <c r="G34" s="41" t="s">
        <v>194</v>
      </c>
      <c r="H34" s="44">
        <v>0</v>
      </c>
      <c r="I34" s="26">
        <v>0</v>
      </c>
      <c r="J34" s="26">
        <v>14</v>
      </c>
      <c r="K34" s="26">
        <v>0</v>
      </c>
      <c r="L34" s="26">
        <v>108675</v>
      </c>
      <c r="M34" s="43"/>
      <c r="N34" s="43"/>
      <c r="O34" s="43"/>
      <c r="P34" s="43"/>
      <c r="Q34" s="20" t="s">
        <v>119</v>
      </c>
      <c r="R34" s="46"/>
      <c r="S34" s="46"/>
    </row>
    <row r="35" spans="1:19" ht="15" customHeight="1" x14ac:dyDescent="0.3">
      <c r="A35" s="34" t="s">
        <v>14</v>
      </c>
      <c r="B35" s="34" t="s">
        <v>76</v>
      </c>
      <c r="C35" s="34" t="s">
        <v>171</v>
      </c>
      <c r="D35" s="34" t="s">
        <v>172</v>
      </c>
      <c r="E35" s="35">
        <v>0</v>
      </c>
      <c r="F35" s="35" t="s">
        <v>195</v>
      </c>
      <c r="G35" s="34" t="s">
        <v>196</v>
      </c>
      <c r="H35" s="44">
        <v>0</v>
      </c>
      <c r="I35" s="21">
        <v>0</v>
      </c>
      <c r="J35" s="21">
        <v>49</v>
      </c>
      <c r="K35" s="21">
        <v>0</v>
      </c>
      <c r="L35" s="21">
        <v>380362.49999999988</v>
      </c>
      <c r="M35" s="37"/>
      <c r="N35" s="37"/>
      <c r="O35" s="37"/>
      <c r="P35" s="37"/>
      <c r="Q35" s="20" t="s">
        <v>119</v>
      </c>
      <c r="R35" s="46"/>
      <c r="S35" s="46"/>
    </row>
    <row r="36" spans="1:19" ht="15" customHeight="1" x14ac:dyDescent="0.3">
      <c r="A36" s="41" t="s">
        <v>14</v>
      </c>
      <c r="B36" s="41" t="s">
        <v>76</v>
      </c>
      <c r="C36" s="41" t="s">
        <v>171</v>
      </c>
      <c r="D36" s="41" t="s">
        <v>172</v>
      </c>
      <c r="E36" s="30">
        <v>0</v>
      </c>
      <c r="F36" s="30" t="s">
        <v>197</v>
      </c>
      <c r="G36" s="41" t="s">
        <v>198</v>
      </c>
      <c r="H36" s="44">
        <v>0</v>
      </c>
      <c r="I36" s="26">
        <v>0</v>
      </c>
      <c r="J36" s="26">
        <v>56</v>
      </c>
      <c r="K36" s="26">
        <v>0</v>
      </c>
      <c r="L36" s="26">
        <v>434699.99999999988</v>
      </c>
      <c r="M36" s="43"/>
      <c r="N36" s="43"/>
      <c r="O36" s="43"/>
      <c r="P36" s="43"/>
      <c r="Q36" s="20" t="s">
        <v>119</v>
      </c>
      <c r="R36" s="46"/>
      <c r="S36" s="46"/>
    </row>
    <row r="37" spans="1:19" ht="15" customHeight="1" x14ac:dyDescent="0.3">
      <c r="A37" s="34" t="s">
        <v>14</v>
      </c>
      <c r="B37" s="34" t="s">
        <v>76</v>
      </c>
      <c r="C37" s="34" t="s">
        <v>171</v>
      </c>
      <c r="D37" s="34" t="s">
        <v>172</v>
      </c>
      <c r="E37" s="35">
        <v>0</v>
      </c>
      <c r="F37" s="35" t="s">
        <v>199</v>
      </c>
      <c r="G37" s="34" t="s">
        <v>200</v>
      </c>
      <c r="H37" s="44">
        <v>0</v>
      </c>
      <c r="I37" s="21">
        <v>0</v>
      </c>
      <c r="J37" s="21">
        <v>21</v>
      </c>
      <c r="K37" s="21">
        <v>0</v>
      </c>
      <c r="L37" s="21">
        <v>163012.5</v>
      </c>
      <c r="M37" s="37"/>
      <c r="N37" s="37"/>
      <c r="O37" s="37"/>
      <c r="P37" s="37"/>
      <c r="Q37" s="20" t="s">
        <v>119</v>
      </c>
      <c r="R37" s="46"/>
      <c r="S37" s="46"/>
    </row>
    <row r="38" spans="1:19" ht="15" customHeight="1" x14ac:dyDescent="0.3">
      <c r="A38" s="41" t="s">
        <v>14</v>
      </c>
      <c r="B38" s="41" t="s">
        <v>76</v>
      </c>
      <c r="C38" s="41" t="s">
        <v>171</v>
      </c>
      <c r="D38" s="41" t="s">
        <v>172</v>
      </c>
      <c r="E38" s="30">
        <v>0</v>
      </c>
      <c r="F38" s="30" t="s">
        <v>201</v>
      </c>
      <c r="G38" s="41" t="s">
        <v>202</v>
      </c>
      <c r="H38" s="44">
        <v>0</v>
      </c>
      <c r="I38" s="26">
        <v>0</v>
      </c>
      <c r="J38" s="26">
        <v>11</v>
      </c>
      <c r="K38" s="26">
        <v>0</v>
      </c>
      <c r="L38" s="26">
        <v>85387.499999999985</v>
      </c>
      <c r="M38" s="43"/>
      <c r="N38" s="43"/>
      <c r="O38" s="43"/>
      <c r="P38" s="43"/>
      <c r="Q38" s="20" t="s">
        <v>119</v>
      </c>
      <c r="R38" s="46"/>
      <c r="S38" s="46"/>
    </row>
    <row r="39" spans="1:19" ht="15" customHeight="1" x14ac:dyDescent="0.3">
      <c r="A39" s="34" t="s">
        <v>14</v>
      </c>
      <c r="B39" s="34" t="s">
        <v>76</v>
      </c>
      <c r="C39" s="34" t="s">
        <v>171</v>
      </c>
      <c r="D39" s="34" t="s">
        <v>172</v>
      </c>
      <c r="E39" s="35">
        <v>0</v>
      </c>
      <c r="F39" s="35" t="s">
        <v>203</v>
      </c>
      <c r="G39" s="34" t="s">
        <v>204</v>
      </c>
      <c r="H39" s="44">
        <v>0</v>
      </c>
      <c r="I39" s="21">
        <v>0</v>
      </c>
      <c r="J39" s="21">
        <v>35</v>
      </c>
      <c r="K39" s="21">
        <v>0</v>
      </c>
      <c r="L39" s="21">
        <v>271687.49999999988</v>
      </c>
      <c r="M39" s="37"/>
      <c r="N39" s="37"/>
      <c r="O39" s="37"/>
      <c r="P39" s="37"/>
      <c r="Q39" s="20" t="s">
        <v>119</v>
      </c>
      <c r="R39" s="46"/>
      <c r="S39" s="46"/>
    </row>
    <row r="40" spans="1:19" ht="15" customHeight="1" x14ac:dyDescent="0.3">
      <c r="A40" s="41" t="s">
        <v>14</v>
      </c>
      <c r="B40" s="41" t="s">
        <v>76</v>
      </c>
      <c r="C40" s="41" t="s">
        <v>171</v>
      </c>
      <c r="D40" s="41" t="s">
        <v>172</v>
      </c>
      <c r="E40" s="30">
        <v>0</v>
      </c>
      <c r="F40" s="30" t="s">
        <v>205</v>
      </c>
      <c r="G40" s="41" t="s">
        <v>206</v>
      </c>
      <c r="H40" s="44">
        <v>0</v>
      </c>
      <c r="I40" s="26">
        <v>0</v>
      </c>
      <c r="J40" s="26">
        <v>42</v>
      </c>
      <c r="K40" s="26">
        <v>0</v>
      </c>
      <c r="L40" s="26">
        <v>326024.99999999988</v>
      </c>
      <c r="M40" s="43"/>
      <c r="N40" s="43"/>
      <c r="O40" s="43"/>
      <c r="P40" s="43"/>
      <c r="Q40" s="20" t="s">
        <v>119</v>
      </c>
      <c r="R40" s="46"/>
      <c r="S40" s="46"/>
    </row>
    <row r="41" spans="1:19" ht="15" customHeight="1" x14ac:dyDescent="0.3">
      <c r="A41" s="34" t="s">
        <v>14</v>
      </c>
      <c r="B41" s="34" t="s">
        <v>76</v>
      </c>
      <c r="C41" s="34" t="s">
        <v>171</v>
      </c>
      <c r="D41" s="34" t="s">
        <v>172</v>
      </c>
      <c r="E41" s="35">
        <v>0</v>
      </c>
      <c r="F41" s="35" t="s">
        <v>207</v>
      </c>
      <c r="G41" s="34" t="s">
        <v>208</v>
      </c>
      <c r="H41" s="44">
        <v>0</v>
      </c>
      <c r="I41" s="21">
        <v>0</v>
      </c>
      <c r="J41" s="21">
        <v>18</v>
      </c>
      <c r="K41" s="21">
        <v>0</v>
      </c>
      <c r="L41" s="21">
        <v>139725</v>
      </c>
      <c r="M41" s="37"/>
      <c r="N41" s="37"/>
      <c r="O41" s="37"/>
      <c r="P41" s="37"/>
      <c r="Q41" s="20" t="s">
        <v>119</v>
      </c>
      <c r="R41" s="46"/>
      <c r="S41" s="46"/>
    </row>
    <row r="42" spans="1:19" ht="15" customHeight="1" x14ac:dyDescent="0.3">
      <c r="A42" s="41" t="s">
        <v>14</v>
      </c>
      <c r="B42" s="41" t="s">
        <v>76</v>
      </c>
      <c r="C42" s="41" t="s">
        <v>171</v>
      </c>
      <c r="D42" s="41" t="s">
        <v>172</v>
      </c>
      <c r="E42" s="30">
        <v>0</v>
      </c>
      <c r="F42" s="30" t="s">
        <v>209</v>
      </c>
      <c r="G42" s="41" t="s">
        <v>210</v>
      </c>
      <c r="H42" s="44">
        <v>0</v>
      </c>
      <c r="I42" s="26">
        <v>0</v>
      </c>
      <c r="J42" s="26">
        <v>7</v>
      </c>
      <c r="K42" s="26">
        <v>0</v>
      </c>
      <c r="L42" s="26">
        <v>54337.499999999993</v>
      </c>
      <c r="M42" s="43"/>
      <c r="N42" s="43"/>
      <c r="O42" s="43"/>
      <c r="P42" s="43"/>
      <c r="Q42" s="20" t="s">
        <v>119</v>
      </c>
      <c r="R42" s="46"/>
      <c r="S42" s="46"/>
    </row>
    <row r="43" spans="1:19" ht="15" customHeight="1" x14ac:dyDescent="0.3">
      <c r="A43" s="34" t="s">
        <v>14</v>
      </c>
      <c r="B43" s="34" t="s">
        <v>76</v>
      </c>
      <c r="C43" s="34" t="s">
        <v>171</v>
      </c>
      <c r="D43" s="34" t="s">
        <v>172</v>
      </c>
      <c r="E43" s="35">
        <v>0</v>
      </c>
      <c r="F43" s="35" t="s">
        <v>211</v>
      </c>
      <c r="G43" s="34" t="s">
        <v>212</v>
      </c>
      <c r="H43" s="44">
        <v>0</v>
      </c>
      <c r="I43" s="21">
        <v>0</v>
      </c>
      <c r="J43" s="21">
        <v>14</v>
      </c>
      <c r="K43" s="21">
        <v>0</v>
      </c>
      <c r="L43" s="21">
        <v>108675</v>
      </c>
      <c r="M43" s="37"/>
      <c r="N43" s="37"/>
      <c r="O43" s="37"/>
      <c r="P43" s="37"/>
      <c r="Q43" s="20" t="s">
        <v>119</v>
      </c>
      <c r="R43" s="46"/>
      <c r="S43" s="46"/>
    </row>
    <row r="44" spans="1:19" ht="15" customHeight="1" x14ac:dyDescent="0.3">
      <c r="A44" s="41" t="s">
        <v>14</v>
      </c>
      <c r="B44" s="41" t="s">
        <v>76</v>
      </c>
      <c r="C44" s="41" t="s">
        <v>171</v>
      </c>
      <c r="D44" s="41" t="s">
        <v>172</v>
      </c>
      <c r="E44" s="30">
        <v>0</v>
      </c>
      <c r="F44" s="30" t="s">
        <v>213</v>
      </c>
      <c r="G44" s="41" t="s">
        <v>214</v>
      </c>
      <c r="H44" s="44">
        <v>0</v>
      </c>
      <c r="I44" s="26">
        <v>0</v>
      </c>
      <c r="J44" s="26">
        <v>32</v>
      </c>
      <c r="K44" s="26">
        <v>0</v>
      </c>
      <c r="L44" s="26">
        <v>248400</v>
      </c>
      <c r="M44" s="43"/>
      <c r="N44" s="43"/>
      <c r="O44" s="43"/>
      <c r="P44" s="43"/>
      <c r="Q44" s="20" t="s">
        <v>119</v>
      </c>
      <c r="R44" s="46"/>
      <c r="S44" s="46"/>
    </row>
    <row r="45" spans="1:19" ht="15" customHeight="1" x14ac:dyDescent="0.3">
      <c r="A45" s="34" t="s">
        <v>14</v>
      </c>
      <c r="B45" s="34" t="s">
        <v>76</v>
      </c>
      <c r="C45" s="34" t="s">
        <v>171</v>
      </c>
      <c r="D45" s="34" t="s">
        <v>172</v>
      </c>
      <c r="E45" s="35">
        <v>0</v>
      </c>
      <c r="F45" s="35" t="s">
        <v>215</v>
      </c>
      <c r="G45" s="34" t="s">
        <v>216</v>
      </c>
      <c r="H45" s="44">
        <v>0</v>
      </c>
      <c r="I45" s="21">
        <v>0</v>
      </c>
      <c r="J45" s="21">
        <v>40</v>
      </c>
      <c r="K45" s="21">
        <v>0</v>
      </c>
      <c r="L45" s="21">
        <v>310499.99999999988</v>
      </c>
      <c r="M45" s="37"/>
      <c r="N45" s="37"/>
      <c r="O45" s="37"/>
      <c r="P45" s="37"/>
      <c r="Q45" s="20" t="s">
        <v>119</v>
      </c>
      <c r="R45" s="46"/>
      <c r="S45" s="46"/>
    </row>
    <row r="46" spans="1:19" ht="15" customHeight="1" x14ac:dyDescent="0.3">
      <c r="A46" s="41" t="s">
        <v>14</v>
      </c>
      <c r="B46" s="41" t="s">
        <v>76</v>
      </c>
      <c r="C46" s="41" t="s">
        <v>171</v>
      </c>
      <c r="D46" s="41" t="s">
        <v>172</v>
      </c>
      <c r="E46" s="30">
        <v>0</v>
      </c>
      <c r="F46" s="30" t="s">
        <v>217</v>
      </c>
      <c r="G46" s="41" t="s">
        <v>218</v>
      </c>
      <c r="H46" s="44">
        <v>0</v>
      </c>
      <c r="I46" s="26">
        <v>0</v>
      </c>
      <c r="J46" s="26">
        <v>14</v>
      </c>
      <c r="K46" s="26">
        <v>0</v>
      </c>
      <c r="L46" s="26">
        <v>108675</v>
      </c>
      <c r="M46" s="43"/>
      <c r="N46" s="43"/>
      <c r="O46" s="43"/>
      <c r="P46" s="43"/>
      <c r="Q46" s="20" t="s">
        <v>119</v>
      </c>
      <c r="R46" s="46"/>
      <c r="S46" s="46"/>
    </row>
    <row r="47" spans="1:19" ht="15" customHeight="1" x14ac:dyDescent="0.3">
      <c r="A47" s="34" t="s">
        <v>14</v>
      </c>
      <c r="B47" s="34" t="s">
        <v>219</v>
      </c>
      <c r="C47" s="34" t="s">
        <v>126</v>
      </c>
      <c r="D47" s="34" t="s">
        <v>220</v>
      </c>
      <c r="E47" s="35">
        <v>219</v>
      </c>
      <c r="F47" s="35" t="s">
        <v>405</v>
      </c>
      <c r="G47" s="34" t="s">
        <v>406</v>
      </c>
      <c r="H47" s="48">
        <v>1.4430000000000001</v>
      </c>
      <c r="I47" s="21">
        <v>87</v>
      </c>
      <c r="J47" s="21">
        <v>60</v>
      </c>
      <c r="K47" s="21">
        <v>369663</v>
      </c>
      <c r="L47" s="21">
        <v>279450</v>
      </c>
      <c r="M47" s="37"/>
      <c r="N47" s="37"/>
      <c r="O47" s="37"/>
      <c r="P47" s="38">
        <v>500</v>
      </c>
      <c r="Q47" s="39" t="s">
        <v>89</v>
      </c>
      <c r="R47" s="40"/>
      <c r="S47" s="40"/>
    </row>
    <row r="48" spans="1:19" ht="15" customHeight="1" x14ac:dyDescent="0.3">
      <c r="A48" s="41" t="s">
        <v>14</v>
      </c>
      <c r="B48" s="41" t="s">
        <v>219</v>
      </c>
      <c r="C48" s="41" t="s">
        <v>229</v>
      </c>
      <c r="D48" s="41" t="s">
        <v>230</v>
      </c>
      <c r="E48" s="30">
        <v>192</v>
      </c>
      <c r="F48" s="30" t="s">
        <v>231</v>
      </c>
      <c r="G48" s="41" t="s">
        <v>232</v>
      </c>
      <c r="H48" s="36">
        <v>0.41</v>
      </c>
      <c r="I48" s="26">
        <v>7</v>
      </c>
      <c r="J48" s="26">
        <v>9.6000000000000014</v>
      </c>
      <c r="K48" s="26">
        <v>76230</v>
      </c>
      <c r="L48" s="26">
        <v>104626.08</v>
      </c>
      <c r="M48" s="43"/>
      <c r="N48" s="43"/>
      <c r="O48" s="43"/>
      <c r="P48" s="43"/>
      <c r="Q48" s="20" t="s">
        <v>119</v>
      </c>
      <c r="R48" s="46"/>
      <c r="S48" s="46"/>
    </row>
    <row r="49" spans="1:19" ht="15" customHeight="1" x14ac:dyDescent="0.3">
      <c r="A49" s="34" t="s">
        <v>14</v>
      </c>
      <c r="B49" s="34" t="s">
        <v>219</v>
      </c>
      <c r="C49" s="34" t="s">
        <v>126</v>
      </c>
      <c r="D49" s="34" t="s">
        <v>407</v>
      </c>
      <c r="E49" s="35">
        <v>79</v>
      </c>
      <c r="F49" s="35" t="s">
        <v>408</v>
      </c>
      <c r="G49" s="34" t="s">
        <v>409</v>
      </c>
      <c r="H49" s="48">
        <v>1.052</v>
      </c>
      <c r="I49" s="21">
        <v>26</v>
      </c>
      <c r="J49" s="21">
        <v>25</v>
      </c>
      <c r="K49" s="21">
        <v>947596</v>
      </c>
      <c r="L49" s="21">
        <v>900449.99999999977</v>
      </c>
      <c r="M49" s="37"/>
      <c r="N49" s="37"/>
      <c r="O49" s="37"/>
      <c r="P49" s="37"/>
      <c r="Q49" s="20" t="s">
        <v>119</v>
      </c>
      <c r="R49" s="46"/>
      <c r="S49" s="46"/>
    </row>
    <row r="50" spans="1:19" ht="15" customHeight="1" x14ac:dyDescent="0.3">
      <c r="A50" s="41" t="s">
        <v>14</v>
      </c>
      <c r="B50" s="41" t="s">
        <v>219</v>
      </c>
      <c r="C50" s="41" t="s">
        <v>120</v>
      </c>
      <c r="D50" s="41" t="s">
        <v>121</v>
      </c>
      <c r="E50" s="30">
        <v>217</v>
      </c>
      <c r="F50" s="30" t="s">
        <v>410</v>
      </c>
      <c r="G50" s="41" t="s">
        <v>411</v>
      </c>
      <c r="H50" s="48">
        <v>1.45</v>
      </c>
      <c r="I50" s="26">
        <v>33</v>
      </c>
      <c r="J50" s="26">
        <v>33</v>
      </c>
      <c r="K50" s="26">
        <v>114873</v>
      </c>
      <c r="L50" s="26">
        <v>95634</v>
      </c>
      <c r="M50" s="43"/>
      <c r="N50" s="43"/>
      <c r="O50" s="43"/>
      <c r="P50" s="43"/>
      <c r="Q50" s="20" t="s">
        <v>119</v>
      </c>
      <c r="R50" s="46"/>
      <c r="S50" s="46"/>
    </row>
    <row r="51" spans="1:19" ht="15" customHeight="1" x14ac:dyDescent="0.3">
      <c r="A51" s="34" t="s">
        <v>14</v>
      </c>
      <c r="B51" s="34" t="s">
        <v>219</v>
      </c>
      <c r="C51" s="34" t="s">
        <v>229</v>
      </c>
      <c r="D51" s="34" t="s">
        <v>230</v>
      </c>
      <c r="E51" s="35">
        <v>197</v>
      </c>
      <c r="F51" s="35" t="s">
        <v>412</v>
      </c>
      <c r="G51" s="34" t="s">
        <v>413</v>
      </c>
      <c r="H51" s="47">
        <v>2.0419999999999998</v>
      </c>
      <c r="I51" s="21">
        <v>28</v>
      </c>
      <c r="J51" s="21">
        <v>12.8</v>
      </c>
      <c r="K51" s="21">
        <v>284872</v>
      </c>
      <c r="L51" s="21">
        <v>139501.44</v>
      </c>
      <c r="M51" s="37"/>
      <c r="N51" s="37"/>
      <c r="O51" s="37"/>
      <c r="P51" s="37"/>
      <c r="Q51" s="20" t="s">
        <v>119</v>
      </c>
      <c r="R51" s="46"/>
      <c r="S51" s="46"/>
    </row>
    <row r="52" spans="1:19" ht="15" customHeight="1" x14ac:dyDescent="0.3">
      <c r="A52" s="41" t="s">
        <v>14</v>
      </c>
      <c r="B52" s="41" t="s">
        <v>110</v>
      </c>
      <c r="C52" s="41" t="s">
        <v>115</v>
      </c>
      <c r="D52" s="41" t="s">
        <v>233</v>
      </c>
      <c r="E52" s="30">
        <v>315</v>
      </c>
      <c r="F52" s="30" t="s">
        <v>234</v>
      </c>
      <c r="G52" s="41" t="s">
        <v>235</v>
      </c>
      <c r="H52" s="44">
        <v>0</v>
      </c>
      <c r="I52" s="26">
        <v>0</v>
      </c>
      <c r="J52" s="26">
        <v>2</v>
      </c>
      <c r="K52" s="26">
        <v>0</v>
      </c>
      <c r="L52" s="26">
        <v>7451.9999999999991</v>
      </c>
      <c r="M52" s="43"/>
      <c r="N52" s="43"/>
      <c r="O52" s="43"/>
      <c r="P52" s="43"/>
      <c r="Q52" s="20" t="s">
        <v>119</v>
      </c>
      <c r="R52" s="46"/>
      <c r="S52" s="46"/>
    </row>
    <row r="53" spans="1:19" ht="15" customHeight="1" x14ac:dyDescent="0.3">
      <c r="A53" s="34" t="s">
        <v>14</v>
      </c>
      <c r="B53" s="34" t="s">
        <v>110</v>
      </c>
      <c r="C53" s="34" t="s">
        <v>115</v>
      </c>
      <c r="D53" s="34" t="s">
        <v>233</v>
      </c>
      <c r="E53" s="35">
        <v>339</v>
      </c>
      <c r="F53" s="35" t="s">
        <v>236</v>
      </c>
      <c r="G53" s="34" t="s">
        <v>235</v>
      </c>
      <c r="H53" s="44">
        <v>0</v>
      </c>
      <c r="I53" s="21">
        <v>0</v>
      </c>
      <c r="J53" s="21">
        <v>1</v>
      </c>
      <c r="K53" s="21">
        <v>0</v>
      </c>
      <c r="L53" s="21">
        <v>3726</v>
      </c>
      <c r="M53" s="37"/>
      <c r="N53" s="37"/>
      <c r="O53" s="37"/>
      <c r="P53" s="37"/>
      <c r="Q53" s="20" t="s">
        <v>119</v>
      </c>
      <c r="R53" s="46"/>
      <c r="S53" s="46"/>
    </row>
    <row r="54" spans="1:19" ht="15" customHeight="1" x14ac:dyDescent="0.3">
      <c r="A54" s="41" t="s">
        <v>14</v>
      </c>
      <c r="B54" s="41" t="s">
        <v>110</v>
      </c>
      <c r="C54" s="41" t="s">
        <v>115</v>
      </c>
      <c r="D54" s="41" t="s">
        <v>233</v>
      </c>
      <c r="E54" s="30">
        <v>336</v>
      </c>
      <c r="F54" s="30" t="s">
        <v>237</v>
      </c>
      <c r="G54" s="41" t="s">
        <v>235</v>
      </c>
      <c r="H54" s="44">
        <v>0</v>
      </c>
      <c r="I54" s="26">
        <v>0</v>
      </c>
      <c r="J54" s="26">
        <v>1</v>
      </c>
      <c r="K54" s="26">
        <v>0</v>
      </c>
      <c r="L54" s="26">
        <v>3726</v>
      </c>
      <c r="M54" s="43"/>
      <c r="N54" s="43"/>
      <c r="O54" s="43"/>
      <c r="P54" s="43"/>
      <c r="Q54" s="20" t="s">
        <v>119</v>
      </c>
      <c r="R54" s="46"/>
      <c r="S54" s="46"/>
    </row>
    <row r="55" spans="1:19" ht="15" customHeight="1" x14ac:dyDescent="0.3">
      <c r="A55" s="34" t="s">
        <v>14</v>
      </c>
      <c r="B55" s="34" t="s">
        <v>110</v>
      </c>
      <c r="C55" s="34" t="s">
        <v>115</v>
      </c>
      <c r="D55" s="34" t="s">
        <v>238</v>
      </c>
      <c r="E55" s="35">
        <v>329</v>
      </c>
      <c r="F55" s="35" t="s">
        <v>239</v>
      </c>
      <c r="G55" s="34" t="s">
        <v>240</v>
      </c>
      <c r="H55" s="44">
        <v>0</v>
      </c>
      <c r="I55" s="21">
        <v>0</v>
      </c>
      <c r="J55" s="21">
        <v>3</v>
      </c>
      <c r="K55" s="21">
        <v>0</v>
      </c>
      <c r="L55" s="21">
        <v>26392.5</v>
      </c>
      <c r="M55" s="37"/>
      <c r="N55" s="37"/>
      <c r="O55" s="37"/>
      <c r="P55" s="37"/>
      <c r="Q55" s="20" t="s">
        <v>119</v>
      </c>
      <c r="R55" s="46"/>
      <c r="S55" s="46"/>
    </row>
    <row r="56" spans="1:19" ht="15" customHeight="1" x14ac:dyDescent="0.3">
      <c r="A56" s="41" t="s">
        <v>14</v>
      </c>
      <c r="B56" s="41" t="s">
        <v>110</v>
      </c>
      <c r="C56" s="41" t="s">
        <v>115</v>
      </c>
      <c r="D56" s="41" t="s">
        <v>238</v>
      </c>
      <c r="E56" s="30">
        <v>373</v>
      </c>
      <c r="F56" s="30" t="s">
        <v>241</v>
      </c>
      <c r="G56" s="41" t="s">
        <v>240</v>
      </c>
      <c r="H56" s="44">
        <v>0</v>
      </c>
      <c r="I56" s="26">
        <v>0</v>
      </c>
      <c r="J56" s="26">
        <v>5</v>
      </c>
      <c r="K56" s="26">
        <v>0</v>
      </c>
      <c r="L56" s="26">
        <v>43987.5</v>
      </c>
      <c r="M56" s="43"/>
      <c r="N56" s="43"/>
      <c r="O56" s="43"/>
      <c r="P56" s="43"/>
      <c r="Q56" s="20" t="s">
        <v>119</v>
      </c>
      <c r="R56" s="46"/>
      <c r="S56" s="46"/>
    </row>
    <row r="57" spans="1:19" ht="15" customHeight="1" x14ac:dyDescent="0.3">
      <c r="A57" s="34" t="s">
        <v>14</v>
      </c>
      <c r="B57" s="34" t="s">
        <v>110</v>
      </c>
      <c r="C57" s="34" t="s">
        <v>115</v>
      </c>
      <c r="D57" s="34" t="s">
        <v>238</v>
      </c>
      <c r="E57" s="35">
        <v>318</v>
      </c>
      <c r="F57" s="35" t="s">
        <v>242</v>
      </c>
      <c r="G57" s="34" t="s">
        <v>240</v>
      </c>
      <c r="H57" s="36">
        <v>0.34499999999999997</v>
      </c>
      <c r="I57" s="21">
        <v>2</v>
      </c>
      <c r="J57" s="21">
        <v>6</v>
      </c>
      <c r="K57" s="21">
        <v>18192</v>
      </c>
      <c r="L57" s="21">
        <v>52785</v>
      </c>
      <c r="M57" s="37"/>
      <c r="N57" s="37"/>
      <c r="O57" s="37"/>
      <c r="P57" s="37"/>
      <c r="Q57" s="20" t="s">
        <v>119</v>
      </c>
      <c r="R57" s="46"/>
      <c r="S57" s="46"/>
    </row>
    <row r="58" spans="1:19" ht="15" customHeight="1" x14ac:dyDescent="0.3">
      <c r="A58" s="41" t="s">
        <v>14</v>
      </c>
      <c r="B58" s="41" t="s">
        <v>110</v>
      </c>
      <c r="C58" s="41" t="s">
        <v>115</v>
      </c>
      <c r="D58" s="41" t="s">
        <v>233</v>
      </c>
      <c r="E58" s="30">
        <v>282</v>
      </c>
      <c r="F58" s="30" t="s">
        <v>243</v>
      </c>
      <c r="G58" s="41" t="s">
        <v>235</v>
      </c>
      <c r="H58" s="42">
        <v>0.77600000000000002</v>
      </c>
      <c r="I58" s="26">
        <v>3</v>
      </c>
      <c r="J58" s="26">
        <v>4</v>
      </c>
      <c r="K58" s="26">
        <v>11559</v>
      </c>
      <c r="L58" s="26">
        <v>14904</v>
      </c>
      <c r="M58" s="43"/>
      <c r="N58" s="43"/>
      <c r="O58" s="43"/>
      <c r="P58" s="43"/>
      <c r="Q58" s="20" t="s">
        <v>119</v>
      </c>
      <c r="R58" s="46"/>
      <c r="S58" s="46"/>
    </row>
    <row r="59" spans="1:19" ht="15" customHeight="1" x14ac:dyDescent="0.3">
      <c r="A59" s="34" t="s">
        <v>14</v>
      </c>
      <c r="B59" s="34" t="s">
        <v>110</v>
      </c>
      <c r="C59" s="34" t="s">
        <v>115</v>
      </c>
      <c r="D59" s="34" t="s">
        <v>233</v>
      </c>
      <c r="E59" s="35">
        <v>361</v>
      </c>
      <c r="F59" s="35" t="s">
        <v>414</v>
      </c>
      <c r="G59" s="34" t="s">
        <v>415</v>
      </c>
      <c r="H59" s="48">
        <v>1.0549999999999999</v>
      </c>
      <c r="I59" s="21">
        <v>1</v>
      </c>
      <c r="J59" s="21">
        <v>1</v>
      </c>
      <c r="K59" s="21">
        <v>5242</v>
      </c>
      <c r="L59" s="21">
        <v>4968</v>
      </c>
      <c r="M59" s="37"/>
      <c r="N59" s="37"/>
      <c r="O59" s="37"/>
      <c r="P59" s="37"/>
      <c r="Q59" s="20" t="s">
        <v>119</v>
      </c>
      <c r="R59" s="46"/>
      <c r="S59" s="46"/>
    </row>
    <row r="60" spans="1:19" ht="15" customHeight="1" x14ac:dyDescent="0.3">
      <c r="A60" s="41" t="s">
        <v>14</v>
      </c>
      <c r="B60" s="41" t="s">
        <v>110</v>
      </c>
      <c r="C60" s="41" t="s">
        <v>115</v>
      </c>
      <c r="D60" s="41" t="s">
        <v>233</v>
      </c>
      <c r="E60" s="30">
        <v>287</v>
      </c>
      <c r="F60" s="30" t="s">
        <v>416</v>
      </c>
      <c r="G60" s="41" t="s">
        <v>417</v>
      </c>
      <c r="H60" s="47">
        <v>1.883</v>
      </c>
      <c r="I60" s="26">
        <v>3</v>
      </c>
      <c r="J60" s="26">
        <v>2</v>
      </c>
      <c r="K60" s="26">
        <v>18714</v>
      </c>
      <c r="L60" s="26">
        <v>9936</v>
      </c>
      <c r="M60" s="43"/>
      <c r="N60" s="43"/>
      <c r="O60" s="43"/>
      <c r="P60" s="43"/>
      <c r="Q60" s="20" t="s">
        <v>119</v>
      </c>
      <c r="R60" s="46"/>
      <c r="S60" s="46"/>
    </row>
    <row r="61" spans="1:19" ht="15" customHeight="1" x14ac:dyDescent="0.3">
      <c r="A61" s="34" t="s">
        <v>14</v>
      </c>
      <c r="B61" s="34" t="s">
        <v>110</v>
      </c>
      <c r="C61" s="34" t="s">
        <v>115</v>
      </c>
      <c r="D61" s="34" t="s">
        <v>233</v>
      </c>
      <c r="E61" s="35">
        <v>310</v>
      </c>
      <c r="F61" s="35" t="s">
        <v>418</v>
      </c>
      <c r="G61" s="34" t="s">
        <v>415</v>
      </c>
      <c r="H61" s="47">
        <v>2.0680000000000001</v>
      </c>
      <c r="I61" s="21">
        <v>2</v>
      </c>
      <c r="J61" s="21">
        <v>1</v>
      </c>
      <c r="K61" s="21">
        <v>10274</v>
      </c>
      <c r="L61" s="21">
        <v>4968</v>
      </c>
      <c r="M61" s="37"/>
      <c r="N61" s="37"/>
      <c r="O61" s="37"/>
      <c r="P61" s="37"/>
      <c r="Q61" s="20" t="s">
        <v>119</v>
      </c>
      <c r="R61" s="46"/>
      <c r="S61" s="46"/>
    </row>
    <row r="62" spans="1:19" ht="15" customHeight="1" x14ac:dyDescent="0.3">
      <c r="A62" s="41" t="s">
        <v>14</v>
      </c>
      <c r="B62" s="41" t="s">
        <v>110</v>
      </c>
      <c r="C62" s="41" t="s">
        <v>115</v>
      </c>
      <c r="D62" s="41" t="s">
        <v>233</v>
      </c>
      <c r="E62" s="30">
        <v>332</v>
      </c>
      <c r="F62" s="30" t="s">
        <v>419</v>
      </c>
      <c r="G62" s="41" t="s">
        <v>235</v>
      </c>
      <c r="H62" s="47">
        <v>2.35</v>
      </c>
      <c r="I62" s="26">
        <v>25</v>
      </c>
      <c r="J62" s="26">
        <v>11</v>
      </c>
      <c r="K62" s="26">
        <v>96325</v>
      </c>
      <c r="L62" s="26">
        <v>40985.999999999993</v>
      </c>
      <c r="M62" s="43"/>
      <c r="N62" s="43"/>
      <c r="O62" s="43"/>
      <c r="P62" s="43"/>
      <c r="Q62" s="20" t="s">
        <v>119</v>
      </c>
      <c r="R62" s="46"/>
      <c r="S62" s="46"/>
    </row>
    <row r="63" spans="1:19" ht="15" customHeight="1" x14ac:dyDescent="0.3">
      <c r="A63" s="34" t="s">
        <v>39</v>
      </c>
      <c r="B63" s="34" t="s">
        <v>76</v>
      </c>
      <c r="C63" s="34" t="s">
        <v>244</v>
      </c>
      <c r="D63" s="34" t="s">
        <v>245</v>
      </c>
      <c r="E63" s="35"/>
      <c r="F63" s="35" t="s">
        <v>246</v>
      </c>
      <c r="G63" s="34" t="s">
        <v>247</v>
      </c>
      <c r="H63" s="44">
        <v>0</v>
      </c>
      <c r="I63" s="21">
        <v>0</v>
      </c>
      <c r="J63" s="21">
        <v>66</v>
      </c>
      <c r="K63" s="21">
        <v>0</v>
      </c>
      <c r="L63" s="21">
        <v>581318.09999999986</v>
      </c>
      <c r="M63" s="37"/>
      <c r="N63" s="37"/>
      <c r="O63" s="37"/>
      <c r="P63" s="37"/>
      <c r="Q63" s="20" t="s">
        <v>119</v>
      </c>
      <c r="R63" s="46"/>
      <c r="S63" s="46"/>
    </row>
    <row r="64" spans="1:19" ht="15" customHeight="1" x14ac:dyDescent="0.3">
      <c r="A64" s="41" t="s">
        <v>39</v>
      </c>
      <c r="B64" s="41" t="s">
        <v>76</v>
      </c>
      <c r="C64" s="41" t="s">
        <v>244</v>
      </c>
      <c r="D64" s="41" t="s">
        <v>245</v>
      </c>
      <c r="E64" s="30"/>
      <c r="F64" s="30" t="s">
        <v>246</v>
      </c>
      <c r="G64" s="41" t="s">
        <v>248</v>
      </c>
      <c r="H64" s="44">
        <v>0</v>
      </c>
      <c r="I64" s="26">
        <v>0</v>
      </c>
      <c r="J64" s="26">
        <v>66</v>
      </c>
      <c r="K64" s="26">
        <v>0</v>
      </c>
      <c r="L64" s="26">
        <v>606592.80000000005</v>
      </c>
      <c r="M64" s="43"/>
      <c r="N64" s="43"/>
      <c r="O64" s="43"/>
      <c r="P64" s="43"/>
      <c r="Q64" s="20" t="s">
        <v>119</v>
      </c>
      <c r="R64" s="46"/>
      <c r="S64" s="46"/>
    </row>
    <row r="65" spans="1:19" ht="15" customHeight="1" x14ac:dyDescent="0.3">
      <c r="A65" s="34" t="s">
        <v>39</v>
      </c>
      <c r="B65" s="34" t="s">
        <v>76</v>
      </c>
      <c r="C65" s="34" t="s">
        <v>244</v>
      </c>
      <c r="D65" s="34" t="s">
        <v>245</v>
      </c>
      <c r="E65" s="35"/>
      <c r="F65" s="35" t="s">
        <v>246</v>
      </c>
      <c r="G65" s="34" t="s">
        <v>249</v>
      </c>
      <c r="H65" s="44">
        <v>0</v>
      </c>
      <c r="I65" s="21">
        <v>0</v>
      </c>
      <c r="J65" s="21">
        <v>66</v>
      </c>
      <c r="K65" s="21">
        <v>0</v>
      </c>
      <c r="L65" s="21">
        <v>530768.69999999995</v>
      </c>
      <c r="M65" s="37"/>
      <c r="N65" s="37"/>
      <c r="O65" s="37"/>
      <c r="P65" s="37"/>
      <c r="Q65" s="20" t="s">
        <v>119</v>
      </c>
      <c r="R65" s="46"/>
      <c r="S65" s="46"/>
    </row>
    <row r="66" spans="1:19" ht="15" customHeight="1" x14ac:dyDescent="0.3">
      <c r="A66" s="41" t="s">
        <v>39</v>
      </c>
      <c r="B66" s="41" t="s">
        <v>76</v>
      </c>
      <c r="C66" s="41" t="s">
        <v>244</v>
      </c>
      <c r="D66" s="41" t="s">
        <v>245</v>
      </c>
      <c r="E66" s="30"/>
      <c r="F66" s="30" t="s">
        <v>246</v>
      </c>
      <c r="G66" s="41" t="s">
        <v>250</v>
      </c>
      <c r="H66" s="44">
        <v>0</v>
      </c>
      <c r="I66" s="26">
        <v>0</v>
      </c>
      <c r="J66" s="26">
        <v>66</v>
      </c>
      <c r="K66" s="26">
        <v>0</v>
      </c>
      <c r="L66" s="26">
        <v>434451.6</v>
      </c>
      <c r="M66" s="43"/>
      <c r="N66" s="43"/>
      <c r="O66" s="43"/>
      <c r="P66" s="43"/>
      <c r="Q66" s="20" t="s">
        <v>119</v>
      </c>
      <c r="R66" s="46"/>
      <c r="S66" s="46"/>
    </row>
    <row r="67" spans="1:19" ht="15" customHeight="1" x14ac:dyDescent="0.3">
      <c r="A67" s="34" t="s">
        <v>39</v>
      </c>
      <c r="B67" s="34" t="s">
        <v>76</v>
      </c>
      <c r="C67" s="34" t="s">
        <v>244</v>
      </c>
      <c r="D67" s="34" t="s">
        <v>245</v>
      </c>
      <c r="E67" s="35"/>
      <c r="F67" s="35" t="s">
        <v>246</v>
      </c>
      <c r="G67" s="34" t="s">
        <v>251</v>
      </c>
      <c r="H67" s="44">
        <v>0</v>
      </c>
      <c r="I67" s="21">
        <v>0</v>
      </c>
      <c r="J67" s="21">
        <v>66</v>
      </c>
      <c r="K67" s="21">
        <v>0</v>
      </c>
      <c r="L67" s="21">
        <v>581318.09999999986</v>
      </c>
      <c r="M67" s="37"/>
      <c r="N67" s="37"/>
      <c r="O67" s="37"/>
      <c r="P67" s="37"/>
      <c r="Q67" s="20" t="s">
        <v>119</v>
      </c>
      <c r="R67" s="46"/>
      <c r="S67" s="46"/>
    </row>
    <row r="68" spans="1:19" ht="15" customHeight="1" x14ac:dyDescent="0.3">
      <c r="A68" s="41" t="s">
        <v>39</v>
      </c>
      <c r="B68" s="41" t="s">
        <v>76</v>
      </c>
      <c r="C68" s="41" t="s">
        <v>244</v>
      </c>
      <c r="D68" s="41" t="s">
        <v>245</v>
      </c>
      <c r="E68" s="30"/>
      <c r="F68" s="30" t="s">
        <v>246</v>
      </c>
      <c r="G68" s="41" t="s">
        <v>252</v>
      </c>
      <c r="H68" s="44">
        <v>0</v>
      </c>
      <c r="I68" s="26">
        <v>0</v>
      </c>
      <c r="J68" s="26">
        <v>66</v>
      </c>
      <c r="K68" s="26">
        <v>0</v>
      </c>
      <c r="L68" s="26">
        <v>493198.2</v>
      </c>
      <c r="M68" s="43"/>
      <c r="N68" s="43"/>
      <c r="O68" s="43"/>
      <c r="P68" s="43"/>
      <c r="Q68" s="20" t="s">
        <v>119</v>
      </c>
      <c r="R68" s="46"/>
      <c r="S68" s="46"/>
    </row>
    <row r="69" spans="1:19" ht="15" customHeight="1" x14ac:dyDescent="0.3">
      <c r="A69" s="34" t="s">
        <v>15</v>
      </c>
      <c r="B69" s="34" t="s">
        <v>110</v>
      </c>
      <c r="C69" s="34" t="s">
        <v>260</v>
      </c>
      <c r="D69" s="34" t="s">
        <v>420</v>
      </c>
      <c r="E69" s="35">
        <v>220</v>
      </c>
      <c r="F69" s="35" t="s">
        <v>421</v>
      </c>
      <c r="G69" s="34" t="s">
        <v>422</v>
      </c>
      <c r="H69" s="47">
        <v>1.903</v>
      </c>
      <c r="I69" s="21">
        <v>190</v>
      </c>
      <c r="J69" s="21">
        <v>102</v>
      </c>
      <c r="K69" s="21">
        <v>131290</v>
      </c>
      <c r="L69" s="21">
        <v>65453.399999999987</v>
      </c>
      <c r="M69" s="37"/>
      <c r="N69" s="37"/>
      <c r="O69" s="37"/>
      <c r="P69" s="38">
        <v>350</v>
      </c>
      <c r="Q69" s="39" t="s">
        <v>89</v>
      </c>
      <c r="R69" s="40"/>
      <c r="S69" s="40"/>
    </row>
    <row r="70" spans="1:19" ht="15" customHeight="1" x14ac:dyDescent="0.3">
      <c r="A70" s="41" t="s">
        <v>21</v>
      </c>
      <c r="B70" s="41" t="s">
        <v>76</v>
      </c>
      <c r="C70" s="41" t="s">
        <v>120</v>
      </c>
      <c r="D70" s="41" t="s">
        <v>321</v>
      </c>
      <c r="E70" s="30"/>
      <c r="F70" s="30" t="s">
        <v>322</v>
      </c>
      <c r="G70" s="41" t="s">
        <v>323</v>
      </c>
      <c r="H70" s="44">
        <v>0</v>
      </c>
      <c r="I70" s="26">
        <v>0</v>
      </c>
      <c r="J70" s="26">
        <v>0</v>
      </c>
      <c r="K70" s="26">
        <v>0</v>
      </c>
      <c r="L70" s="26">
        <v>0</v>
      </c>
      <c r="M70" s="43"/>
      <c r="N70" s="43"/>
      <c r="O70" s="43"/>
      <c r="P70" s="38">
        <v>2195</v>
      </c>
      <c r="Q70" s="39" t="s">
        <v>89</v>
      </c>
      <c r="R70" s="39" t="s">
        <v>324</v>
      </c>
      <c r="S70" s="39" t="s">
        <v>325</v>
      </c>
    </row>
    <row r="71" spans="1:19" ht="15" customHeight="1" x14ac:dyDescent="0.3">
      <c r="A71" s="34" t="s">
        <v>21</v>
      </c>
      <c r="B71" s="34" t="s">
        <v>76</v>
      </c>
      <c r="C71" s="34" t="s">
        <v>120</v>
      </c>
      <c r="D71" s="34" t="s">
        <v>321</v>
      </c>
      <c r="E71" s="35"/>
      <c r="F71" s="35" t="s">
        <v>326</v>
      </c>
      <c r="G71" s="34" t="s">
        <v>327</v>
      </c>
      <c r="H71" s="44">
        <v>0</v>
      </c>
      <c r="I71" s="21">
        <v>0</v>
      </c>
      <c r="J71" s="21">
        <v>0</v>
      </c>
      <c r="K71" s="21">
        <v>0</v>
      </c>
      <c r="L71" s="21">
        <v>0</v>
      </c>
      <c r="M71" s="37"/>
      <c r="N71" s="37"/>
      <c r="O71" s="37"/>
      <c r="P71" s="38">
        <v>1243</v>
      </c>
      <c r="Q71" s="39" t="s">
        <v>89</v>
      </c>
      <c r="R71" s="39" t="s">
        <v>324</v>
      </c>
      <c r="S71" s="39" t="s">
        <v>325</v>
      </c>
    </row>
    <row r="72" spans="1:19" ht="15" customHeight="1" x14ac:dyDescent="0.3">
      <c r="A72" s="41" t="s">
        <v>21</v>
      </c>
      <c r="B72" s="41" t="s">
        <v>76</v>
      </c>
      <c r="C72" s="41" t="s">
        <v>120</v>
      </c>
      <c r="D72" s="41" t="s">
        <v>321</v>
      </c>
      <c r="E72" s="30"/>
      <c r="F72" s="30" t="s">
        <v>328</v>
      </c>
      <c r="G72" s="41" t="s">
        <v>329</v>
      </c>
      <c r="H72" s="44">
        <v>0</v>
      </c>
      <c r="I72" s="26">
        <v>0</v>
      </c>
      <c r="J72" s="26">
        <v>0</v>
      </c>
      <c r="K72" s="26">
        <v>0</v>
      </c>
      <c r="L72" s="26">
        <v>0</v>
      </c>
      <c r="M72" s="43"/>
      <c r="N72" s="43"/>
      <c r="O72" s="43"/>
      <c r="P72" s="38">
        <v>1242</v>
      </c>
      <c r="Q72" s="39" t="s">
        <v>89</v>
      </c>
      <c r="R72" s="39" t="s">
        <v>324</v>
      </c>
      <c r="S72" s="39" t="s">
        <v>325</v>
      </c>
    </row>
    <row r="73" spans="1:19" ht="15" customHeight="1" x14ac:dyDescent="0.3">
      <c r="A73" s="34" t="s">
        <v>21</v>
      </c>
      <c r="B73" s="34" t="s">
        <v>76</v>
      </c>
      <c r="C73" s="34" t="s">
        <v>120</v>
      </c>
      <c r="D73" s="34" t="s">
        <v>321</v>
      </c>
      <c r="E73" s="35"/>
      <c r="F73" s="35" t="s">
        <v>330</v>
      </c>
      <c r="G73" s="34" t="s">
        <v>331</v>
      </c>
      <c r="H73" s="44">
        <v>0</v>
      </c>
      <c r="I73" s="21">
        <v>0</v>
      </c>
      <c r="J73" s="21">
        <v>0</v>
      </c>
      <c r="K73" s="21">
        <v>0</v>
      </c>
      <c r="L73" s="21">
        <v>0</v>
      </c>
      <c r="M73" s="37"/>
      <c r="N73" s="37"/>
      <c r="O73" s="37"/>
      <c r="P73" s="38">
        <v>1250</v>
      </c>
      <c r="Q73" s="39" t="s">
        <v>89</v>
      </c>
      <c r="R73" s="39" t="s">
        <v>324</v>
      </c>
      <c r="S73" s="39" t="s">
        <v>325</v>
      </c>
    </row>
    <row r="74" spans="1:19" ht="15" customHeight="1" x14ac:dyDescent="0.3">
      <c r="A74" s="41" t="s">
        <v>21</v>
      </c>
      <c r="B74" s="41" t="s">
        <v>76</v>
      </c>
      <c r="C74" s="41" t="s">
        <v>120</v>
      </c>
      <c r="D74" s="41" t="s">
        <v>321</v>
      </c>
      <c r="E74" s="30"/>
      <c r="F74" s="30" t="s">
        <v>332</v>
      </c>
      <c r="G74" s="41" t="s">
        <v>333</v>
      </c>
      <c r="H74" s="44">
        <v>0</v>
      </c>
      <c r="I74" s="26">
        <v>0</v>
      </c>
      <c r="J74" s="26">
        <v>0</v>
      </c>
      <c r="K74" s="26">
        <v>0</v>
      </c>
      <c r="L74" s="26">
        <v>0</v>
      </c>
      <c r="M74" s="43"/>
      <c r="N74" s="43"/>
      <c r="O74" s="43"/>
      <c r="P74" s="38">
        <v>1250</v>
      </c>
      <c r="Q74" s="39" t="s">
        <v>89</v>
      </c>
      <c r="R74" s="39" t="s">
        <v>324</v>
      </c>
      <c r="S74" s="39" t="s">
        <v>325</v>
      </c>
    </row>
    <row r="75" spans="1:19" ht="15" customHeight="1" x14ac:dyDescent="0.3">
      <c r="A75" s="34" t="s">
        <v>21</v>
      </c>
      <c r="B75" s="34" t="s">
        <v>76</v>
      </c>
      <c r="C75" s="34" t="s">
        <v>120</v>
      </c>
      <c r="D75" s="34" t="s">
        <v>321</v>
      </c>
      <c r="E75" s="35"/>
      <c r="F75" s="35" t="s">
        <v>334</v>
      </c>
      <c r="G75" s="34" t="s">
        <v>335</v>
      </c>
      <c r="H75" s="44">
        <v>0</v>
      </c>
      <c r="I75" s="21">
        <v>0</v>
      </c>
      <c r="J75" s="21">
        <v>0</v>
      </c>
      <c r="K75" s="21">
        <v>0</v>
      </c>
      <c r="L75" s="21">
        <v>0</v>
      </c>
      <c r="M75" s="37"/>
      <c r="N75" s="37"/>
      <c r="O75" s="37"/>
      <c r="P75" s="38">
        <v>1300</v>
      </c>
      <c r="Q75" s="39" t="s">
        <v>89</v>
      </c>
      <c r="R75" s="39" t="s">
        <v>324</v>
      </c>
      <c r="S75" s="39" t="s">
        <v>325</v>
      </c>
    </row>
    <row r="76" spans="1:19" ht="15" customHeight="1" x14ac:dyDescent="0.3">
      <c r="A76" s="41" t="s">
        <v>21</v>
      </c>
      <c r="B76" s="41" t="s">
        <v>76</v>
      </c>
      <c r="C76" s="41" t="s">
        <v>120</v>
      </c>
      <c r="D76" s="41" t="s">
        <v>321</v>
      </c>
      <c r="E76" s="30"/>
      <c r="F76" s="30" t="s">
        <v>336</v>
      </c>
      <c r="G76" s="41" t="s">
        <v>337</v>
      </c>
      <c r="H76" s="44">
        <v>0</v>
      </c>
      <c r="I76" s="26">
        <v>0</v>
      </c>
      <c r="J76" s="26">
        <v>0</v>
      </c>
      <c r="K76" s="26">
        <v>0</v>
      </c>
      <c r="L76" s="26">
        <v>0</v>
      </c>
      <c r="M76" s="43"/>
      <c r="N76" s="43"/>
      <c r="O76" s="43"/>
      <c r="P76" s="38">
        <v>1300</v>
      </c>
      <c r="Q76" s="39" t="s">
        <v>89</v>
      </c>
      <c r="R76" s="39" t="s">
        <v>324</v>
      </c>
      <c r="S76" s="39" t="s">
        <v>325</v>
      </c>
    </row>
    <row r="77" spans="1:19" ht="15" customHeight="1" x14ac:dyDescent="0.3">
      <c r="A77" s="34" t="s">
        <v>21</v>
      </c>
      <c r="B77" s="34" t="s">
        <v>76</v>
      </c>
      <c r="C77" s="34" t="s">
        <v>120</v>
      </c>
      <c r="D77" s="34" t="s">
        <v>321</v>
      </c>
      <c r="E77" s="35"/>
      <c r="F77" s="35" t="s">
        <v>338</v>
      </c>
      <c r="G77" s="34" t="s">
        <v>339</v>
      </c>
      <c r="H77" s="44">
        <v>0</v>
      </c>
      <c r="I77" s="21">
        <v>0</v>
      </c>
      <c r="J77" s="21">
        <v>0</v>
      </c>
      <c r="K77" s="21">
        <v>0</v>
      </c>
      <c r="L77" s="21">
        <v>0</v>
      </c>
      <c r="M77" s="37"/>
      <c r="N77" s="37"/>
      <c r="O77" s="37"/>
      <c r="P77" s="38">
        <v>1250</v>
      </c>
      <c r="Q77" s="39" t="s">
        <v>89</v>
      </c>
      <c r="R77" s="39" t="s">
        <v>324</v>
      </c>
      <c r="S77" s="39" t="s">
        <v>325</v>
      </c>
    </row>
  </sheetData>
  <autoFilter ref="A2:S77" xr:uid="{00000000-0009-0000-0000-000003000000}"/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209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outlineLevelRow="3" x14ac:dyDescent="0.3"/>
  <cols>
    <col min="1" max="1" width="36" customWidth="1"/>
    <col min="2" max="2" width="32" customWidth="1"/>
    <col min="3" max="3" width="7" customWidth="1"/>
    <col min="4" max="5" width="11" customWidth="1"/>
    <col min="6" max="9" width="18" customWidth="1"/>
    <col min="10" max="10" width="12" customWidth="1"/>
  </cols>
  <sheetData>
    <row r="1" spans="1:10" ht="25.95" customHeight="1" x14ac:dyDescent="0.3">
      <c r="A1" s="142" t="s">
        <v>423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36" customHeight="1" x14ac:dyDescent="0.3">
      <c r="A2" s="2" t="s">
        <v>424</v>
      </c>
      <c r="B2" s="2" t="s">
        <v>425</v>
      </c>
      <c r="C2" s="2" t="s">
        <v>27</v>
      </c>
      <c r="D2" s="2" t="s">
        <v>426</v>
      </c>
      <c r="E2" s="2" t="s">
        <v>427</v>
      </c>
      <c r="F2" s="2" t="s">
        <v>428</v>
      </c>
      <c r="G2" s="2" t="s">
        <v>429</v>
      </c>
      <c r="H2" s="2" t="s">
        <v>430</v>
      </c>
      <c r="I2" s="2" t="s">
        <v>431</v>
      </c>
      <c r="J2" s="2" t="s">
        <v>432</v>
      </c>
    </row>
    <row r="3" spans="1:10" ht="16.95" customHeight="1" x14ac:dyDescent="0.3">
      <c r="A3" s="49" t="s">
        <v>433</v>
      </c>
      <c r="B3" s="50"/>
      <c r="C3" s="51">
        <v>54</v>
      </c>
      <c r="D3" s="50"/>
      <c r="E3" s="50"/>
      <c r="F3" s="52">
        <v>214383494.27471501</v>
      </c>
      <c r="G3" s="53">
        <v>11324285.52</v>
      </c>
      <c r="H3" s="53">
        <v>45297142.079999998</v>
      </c>
      <c r="I3" s="52">
        <v>169086352.19471499</v>
      </c>
      <c r="J3" s="54" t="s">
        <v>434</v>
      </c>
    </row>
    <row r="4" spans="1:10" ht="16.05" hidden="1" customHeight="1" outlineLevel="1" x14ac:dyDescent="0.3">
      <c r="A4" s="55" t="s">
        <v>435</v>
      </c>
      <c r="B4" s="56"/>
      <c r="C4" s="57">
        <v>19</v>
      </c>
      <c r="D4" s="56"/>
      <c r="E4" s="56"/>
      <c r="F4" s="58">
        <v>173706254.27471501</v>
      </c>
      <c r="G4" s="59">
        <v>6427774.3500000006</v>
      </c>
      <c r="H4" s="59">
        <v>25711097.399999999</v>
      </c>
      <c r="I4" s="58">
        <v>147995156.874715</v>
      </c>
      <c r="J4" s="60" t="s">
        <v>436</v>
      </c>
    </row>
    <row r="5" spans="1:10" ht="16.05" hidden="1" customHeight="1" outlineLevel="2" x14ac:dyDescent="0.3">
      <c r="A5" s="61" t="s">
        <v>437</v>
      </c>
      <c r="B5" s="62"/>
      <c r="C5" s="63">
        <v>13</v>
      </c>
      <c r="D5" s="62"/>
      <c r="E5" s="62"/>
      <c r="F5" s="64">
        <v>125882647.9442706</v>
      </c>
      <c r="G5" s="65">
        <v>4368631.5</v>
      </c>
      <c r="H5" s="65">
        <v>17474526</v>
      </c>
      <c r="I5" s="64">
        <v>108408121.9442706</v>
      </c>
      <c r="J5" s="66" t="s">
        <v>438</v>
      </c>
    </row>
    <row r="6" spans="1:10" ht="13.95" hidden="1" customHeight="1" outlineLevel="3" x14ac:dyDescent="0.3">
      <c r="A6" s="67" t="s">
        <v>439</v>
      </c>
      <c r="B6" s="68" t="s">
        <v>440</v>
      </c>
      <c r="C6" s="69"/>
      <c r="D6" s="70">
        <v>147.679</v>
      </c>
      <c r="E6" s="71">
        <v>143.69999999999999</v>
      </c>
      <c r="F6" s="72">
        <v>18036018.028945561</v>
      </c>
      <c r="G6" s="72">
        <v>122130</v>
      </c>
      <c r="H6" s="73">
        <v>488520.00000000012</v>
      </c>
      <c r="I6" s="74">
        <v>17547498.028945561</v>
      </c>
      <c r="J6" s="75" t="s">
        <v>441</v>
      </c>
    </row>
    <row r="7" spans="1:10" ht="13.95" hidden="1" customHeight="1" outlineLevel="3" x14ac:dyDescent="0.3">
      <c r="A7" s="76" t="s">
        <v>442</v>
      </c>
      <c r="B7" s="23" t="s">
        <v>443</v>
      </c>
      <c r="C7" s="34"/>
      <c r="D7" s="70">
        <v>170.999</v>
      </c>
      <c r="E7" s="71">
        <v>167</v>
      </c>
      <c r="F7" s="77">
        <v>16707263.352763509</v>
      </c>
      <c r="G7" s="77">
        <v>97704.000000000015</v>
      </c>
      <c r="H7" s="78">
        <v>390816.00000000012</v>
      </c>
      <c r="I7" s="74">
        <v>16316447.352763509</v>
      </c>
      <c r="J7" s="79" t="s">
        <v>441</v>
      </c>
    </row>
    <row r="8" spans="1:10" ht="13.95" hidden="1" customHeight="1" outlineLevel="3" x14ac:dyDescent="0.3">
      <c r="A8" s="67" t="s">
        <v>444</v>
      </c>
      <c r="B8" s="68" t="s">
        <v>445</v>
      </c>
      <c r="C8" s="69"/>
      <c r="D8" s="70">
        <v>46.387999999999998</v>
      </c>
      <c r="E8" s="71">
        <v>42.4</v>
      </c>
      <c r="F8" s="72">
        <v>15459710</v>
      </c>
      <c r="G8" s="72">
        <v>333270.00000000012</v>
      </c>
      <c r="H8" s="73">
        <v>1333080</v>
      </c>
      <c r="I8" s="74">
        <v>14126630</v>
      </c>
      <c r="J8" s="75" t="s">
        <v>441</v>
      </c>
    </row>
    <row r="9" spans="1:10" ht="13.95" hidden="1" customHeight="1" outlineLevel="3" x14ac:dyDescent="0.3">
      <c r="A9" s="76" t="s">
        <v>446</v>
      </c>
      <c r="B9" s="23" t="s">
        <v>447</v>
      </c>
      <c r="C9" s="34"/>
      <c r="D9" s="70">
        <v>53.216999999999999</v>
      </c>
      <c r="E9" s="71">
        <v>49.2</v>
      </c>
      <c r="F9" s="77">
        <v>14045223.69211196</v>
      </c>
      <c r="G9" s="77">
        <v>263925.00000000012</v>
      </c>
      <c r="H9" s="78">
        <v>1055700</v>
      </c>
      <c r="I9" s="74">
        <v>12989523.69211196</v>
      </c>
      <c r="J9" s="79" t="s">
        <v>441</v>
      </c>
    </row>
    <row r="10" spans="1:10" ht="13.95" hidden="1" customHeight="1" outlineLevel="3" x14ac:dyDescent="0.3">
      <c r="A10" s="67" t="s">
        <v>448</v>
      </c>
      <c r="B10" s="68" t="s">
        <v>449</v>
      </c>
      <c r="C10" s="69"/>
      <c r="D10" s="70">
        <v>73.569999999999993</v>
      </c>
      <c r="E10" s="71">
        <v>69.599999999999994</v>
      </c>
      <c r="F10" s="72">
        <v>12906650.333116241</v>
      </c>
      <c r="G10" s="72">
        <v>175432.5</v>
      </c>
      <c r="H10" s="73">
        <v>701729.99999999988</v>
      </c>
      <c r="I10" s="74">
        <v>12204920.333116241</v>
      </c>
      <c r="J10" s="75" t="s">
        <v>441</v>
      </c>
    </row>
    <row r="11" spans="1:10" ht="13.95" hidden="1" customHeight="1" outlineLevel="3" x14ac:dyDescent="0.3">
      <c r="A11" s="76" t="s">
        <v>450</v>
      </c>
      <c r="B11" s="23" t="s">
        <v>451</v>
      </c>
      <c r="C11" s="34"/>
      <c r="D11" s="70">
        <v>56.734000000000002</v>
      </c>
      <c r="E11" s="71">
        <v>52.7</v>
      </c>
      <c r="F11" s="77">
        <v>11978806.596558319</v>
      </c>
      <c r="G11" s="77">
        <v>211140</v>
      </c>
      <c r="H11" s="78">
        <v>844560.00000000012</v>
      </c>
      <c r="I11" s="74">
        <v>11134246.596558319</v>
      </c>
      <c r="J11" s="79" t="s">
        <v>441</v>
      </c>
    </row>
    <row r="12" spans="1:10" ht="13.95" hidden="1" customHeight="1" outlineLevel="3" x14ac:dyDescent="0.3">
      <c r="A12" s="67" t="s">
        <v>452</v>
      </c>
      <c r="B12" s="68" t="s">
        <v>453</v>
      </c>
      <c r="C12" s="69"/>
      <c r="D12" s="70">
        <v>22.975000000000001</v>
      </c>
      <c r="E12" s="71">
        <v>19</v>
      </c>
      <c r="F12" s="72">
        <v>12127154.41461709</v>
      </c>
      <c r="G12" s="72">
        <v>527850.00000000012</v>
      </c>
      <c r="H12" s="73">
        <v>2111400</v>
      </c>
      <c r="I12" s="74">
        <v>10015754.41461709</v>
      </c>
      <c r="J12" s="75" t="s">
        <v>441</v>
      </c>
    </row>
    <row r="13" spans="1:10" ht="13.95" hidden="1" customHeight="1" outlineLevel="3" x14ac:dyDescent="0.3">
      <c r="A13" s="76" t="s">
        <v>454</v>
      </c>
      <c r="B13" s="23" t="s">
        <v>455</v>
      </c>
      <c r="C13" s="34"/>
      <c r="D13" s="70">
        <v>12.582000000000001</v>
      </c>
      <c r="E13" s="71">
        <v>8.6</v>
      </c>
      <c r="F13" s="77">
        <v>5974528</v>
      </c>
      <c r="G13" s="77">
        <v>474857.99999999988</v>
      </c>
      <c r="H13" s="78">
        <v>1899432</v>
      </c>
      <c r="I13" s="74">
        <v>4075096</v>
      </c>
      <c r="J13" s="79" t="s">
        <v>441</v>
      </c>
    </row>
    <row r="14" spans="1:10" ht="13.95" hidden="1" customHeight="1" outlineLevel="3" x14ac:dyDescent="0.3">
      <c r="A14" s="67" t="s">
        <v>456</v>
      </c>
      <c r="B14" s="68" t="s">
        <v>457</v>
      </c>
      <c r="C14" s="69"/>
      <c r="D14" s="80">
        <v>7.6120000000000001</v>
      </c>
      <c r="E14" s="81">
        <v>3.6</v>
      </c>
      <c r="F14" s="72">
        <v>6891237</v>
      </c>
      <c r="G14" s="72">
        <v>905279.99999999988</v>
      </c>
      <c r="H14" s="73">
        <v>3621120</v>
      </c>
      <c r="I14" s="82">
        <v>3270117</v>
      </c>
      <c r="J14" s="75" t="s">
        <v>441</v>
      </c>
    </row>
    <row r="15" spans="1:10" ht="13.95" hidden="1" customHeight="1" outlineLevel="3" x14ac:dyDescent="0.3">
      <c r="A15" s="76" t="s">
        <v>458</v>
      </c>
      <c r="B15" s="23" t="s">
        <v>459</v>
      </c>
      <c r="C15" s="34"/>
      <c r="D15" s="70">
        <v>15.211</v>
      </c>
      <c r="E15" s="71">
        <v>11.2</v>
      </c>
      <c r="F15" s="77">
        <v>3715486.526157937</v>
      </c>
      <c r="G15" s="77">
        <v>244260</v>
      </c>
      <c r="H15" s="78">
        <v>977040.00000000012</v>
      </c>
      <c r="I15" s="74">
        <v>2738446.526157937</v>
      </c>
      <c r="J15" s="79" t="s">
        <v>441</v>
      </c>
    </row>
    <row r="16" spans="1:10" ht="13.95" hidden="1" customHeight="1" outlineLevel="3" x14ac:dyDescent="0.3">
      <c r="A16" s="67" t="s">
        <v>460</v>
      </c>
      <c r="B16" s="68" t="s">
        <v>461</v>
      </c>
      <c r="C16" s="69"/>
      <c r="D16" s="83">
        <v>9.4930000000000003</v>
      </c>
      <c r="E16" s="84">
        <v>5.5</v>
      </c>
      <c r="F16" s="72">
        <v>3201706</v>
      </c>
      <c r="G16" s="72">
        <v>337272</v>
      </c>
      <c r="H16" s="73">
        <v>1349088</v>
      </c>
      <c r="I16" s="85">
        <v>1852618</v>
      </c>
      <c r="J16" s="86" t="s">
        <v>462</v>
      </c>
    </row>
    <row r="17" spans="1:10" ht="13.95" hidden="1" customHeight="1" outlineLevel="3" x14ac:dyDescent="0.3">
      <c r="A17" s="76" t="s">
        <v>463</v>
      </c>
      <c r="B17" s="23" t="s">
        <v>464</v>
      </c>
      <c r="C17" s="34"/>
      <c r="D17" s="80">
        <v>7.5590000000000002</v>
      </c>
      <c r="E17" s="81">
        <v>3.6</v>
      </c>
      <c r="F17" s="77">
        <v>3505264</v>
      </c>
      <c r="G17" s="77">
        <v>463749.00000000012</v>
      </c>
      <c r="H17" s="78">
        <v>1854996</v>
      </c>
      <c r="I17" s="82">
        <v>1650268</v>
      </c>
      <c r="J17" s="86" t="s">
        <v>462</v>
      </c>
    </row>
    <row r="18" spans="1:10" ht="13.95" hidden="1" customHeight="1" outlineLevel="3" x14ac:dyDescent="0.3">
      <c r="A18" s="67" t="s">
        <v>465</v>
      </c>
      <c r="B18" s="68" t="s">
        <v>466</v>
      </c>
      <c r="C18" s="69"/>
      <c r="D18" s="80">
        <v>6.298</v>
      </c>
      <c r="E18" s="81">
        <v>2.2999999999999998</v>
      </c>
      <c r="F18" s="72">
        <v>1333600</v>
      </c>
      <c r="G18" s="72">
        <v>211761</v>
      </c>
      <c r="H18" s="73">
        <v>847043.99999999988</v>
      </c>
      <c r="I18" s="82">
        <v>486556.00000000012</v>
      </c>
      <c r="J18" s="75" t="s">
        <v>441</v>
      </c>
    </row>
    <row r="19" spans="1:10" ht="16.05" hidden="1" customHeight="1" outlineLevel="2" x14ac:dyDescent="0.3">
      <c r="A19" s="61" t="s">
        <v>467</v>
      </c>
      <c r="B19" s="62"/>
      <c r="C19" s="63">
        <v>6</v>
      </c>
      <c r="D19" s="62"/>
      <c r="E19" s="62"/>
      <c r="F19" s="64">
        <v>47823606.330444403</v>
      </c>
      <c r="G19" s="65">
        <v>2059142.85</v>
      </c>
      <c r="H19" s="65">
        <v>8236571.4000000004</v>
      </c>
      <c r="I19" s="64">
        <v>39587034.93044439</v>
      </c>
      <c r="J19" s="66" t="s">
        <v>468</v>
      </c>
    </row>
    <row r="20" spans="1:10" ht="13.95" hidden="1" customHeight="1" outlineLevel="3" x14ac:dyDescent="0.3">
      <c r="A20" s="67" t="s">
        <v>469</v>
      </c>
      <c r="B20" s="68" t="s">
        <v>470</v>
      </c>
      <c r="C20" s="69"/>
      <c r="D20" s="70">
        <v>37.213000000000001</v>
      </c>
      <c r="E20" s="71">
        <v>33.200000000000003</v>
      </c>
      <c r="F20" s="72">
        <v>12725531</v>
      </c>
      <c r="G20" s="72">
        <v>341964</v>
      </c>
      <c r="H20" s="73">
        <v>1367856</v>
      </c>
      <c r="I20" s="74">
        <v>11357675</v>
      </c>
      <c r="J20" s="86" t="s">
        <v>462</v>
      </c>
    </row>
    <row r="21" spans="1:10" ht="13.95" hidden="1" customHeight="1" outlineLevel="3" x14ac:dyDescent="0.3">
      <c r="A21" s="76" t="s">
        <v>471</v>
      </c>
      <c r="B21" s="23" t="s">
        <v>472</v>
      </c>
      <c r="C21" s="34"/>
      <c r="D21" s="70">
        <v>25.356999999999999</v>
      </c>
      <c r="E21" s="71">
        <v>21.4</v>
      </c>
      <c r="F21" s="77">
        <v>12387408.70814351</v>
      </c>
      <c r="G21" s="77">
        <v>488520</v>
      </c>
      <c r="H21" s="78">
        <v>1954080</v>
      </c>
      <c r="I21" s="74">
        <v>10433328.70814351</v>
      </c>
      <c r="J21" s="86" t="s">
        <v>462</v>
      </c>
    </row>
    <row r="22" spans="1:10" ht="13.95" hidden="1" customHeight="1" outlineLevel="3" x14ac:dyDescent="0.3">
      <c r="A22" s="67" t="s">
        <v>473</v>
      </c>
      <c r="B22" s="68" t="s">
        <v>474</v>
      </c>
      <c r="C22" s="69"/>
      <c r="D22" s="70">
        <v>43.296999999999997</v>
      </c>
      <c r="E22" s="71">
        <v>39.299999999999997</v>
      </c>
      <c r="F22" s="72">
        <v>10575620</v>
      </c>
      <c r="G22" s="72">
        <v>244260</v>
      </c>
      <c r="H22" s="73">
        <v>977040</v>
      </c>
      <c r="I22" s="74">
        <v>9598580</v>
      </c>
      <c r="J22" s="86" t="s">
        <v>462</v>
      </c>
    </row>
    <row r="23" spans="1:10" ht="13.95" hidden="1" customHeight="1" outlineLevel="3" x14ac:dyDescent="0.3">
      <c r="A23" s="76" t="s">
        <v>475</v>
      </c>
      <c r="B23" s="23" t="s">
        <v>476</v>
      </c>
      <c r="C23" s="34"/>
      <c r="D23" s="83">
        <v>11.984999999999999</v>
      </c>
      <c r="E23" s="84">
        <v>8</v>
      </c>
      <c r="F23" s="77">
        <v>8782296.6223008838</v>
      </c>
      <c r="G23" s="77">
        <v>732780</v>
      </c>
      <c r="H23" s="78">
        <v>2931120</v>
      </c>
      <c r="I23" s="85">
        <v>5851176.6223008838</v>
      </c>
      <c r="J23" s="79" t="s">
        <v>441</v>
      </c>
    </row>
    <row r="24" spans="1:10" ht="13.95" hidden="1" customHeight="1" outlineLevel="3" x14ac:dyDescent="0.3">
      <c r="A24" s="67" t="s">
        <v>477</v>
      </c>
      <c r="B24" s="68" t="s">
        <v>478</v>
      </c>
      <c r="C24" s="69"/>
      <c r="D24" s="70">
        <v>12.228999999999999</v>
      </c>
      <c r="E24" s="71">
        <v>8.1999999999999993</v>
      </c>
      <c r="F24" s="72">
        <v>2533391</v>
      </c>
      <c r="G24" s="72">
        <v>207165.6</v>
      </c>
      <c r="H24" s="73">
        <v>828662.4</v>
      </c>
      <c r="I24" s="74">
        <v>1704728.6</v>
      </c>
      <c r="J24" s="75" t="s">
        <v>441</v>
      </c>
    </row>
    <row r="25" spans="1:10" ht="13.95" hidden="1" customHeight="1" outlineLevel="3" x14ac:dyDescent="0.3">
      <c r="A25" s="76" t="s">
        <v>479</v>
      </c>
      <c r="B25" s="23" t="s">
        <v>480</v>
      </c>
      <c r="C25" s="34"/>
      <c r="D25" s="70">
        <v>18.431999999999999</v>
      </c>
      <c r="E25" s="71">
        <v>14.4</v>
      </c>
      <c r="F25" s="77">
        <v>819359</v>
      </c>
      <c r="G25" s="77">
        <v>44453.25</v>
      </c>
      <c r="H25" s="78">
        <v>177813</v>
      </c>
      <c r="I25" s="74">
        <v>641546</v>
      </c>
      <c r="J25" s="79" t="s">
        <v>441</v>
      </c>
    </row>
    <row r="26" spans="1:10" ht="16.05" hidden="1" customHeight="1" outlineLevel="1" x14ac:dyDescent="0.3">
      <c r="A26" s="55" t="s">
        <v>481</v>
      </c>
      <c r="B26" s="56"/>
      <c r="C26" s="57">
        <v>7</v>
      </c>
      <c r="D26" s="56"/>
      <c r="E26" s="56"/>
      <c r="F26" s="58">
        <v>14473468</v>
      </c>
      <c r="G26" s="59">
        <v>1746169.2</v>
      </c>
      <c r="H26" s="59">
        <v>6984676.7999999998</v>
      </c>
      <c r="I26" s="58">
        <v>7488791.2000000002</v>
      </c>
      <c r="J26" s="60" t="s">
        <v>482</v>
      </c>
    </row>
    <row r="27" spans="1:10" ht="16.05" hidden="1" customHeight="1" outlineLevel="2" x14ac:dyDescent="0.3">
      <c r="A27" s="61" t="s">
        <v>483</v>
      </c>
      <c r="B27" s="62"/>
      <c r="C27" s="63">
        <v>3</v>
      </c>
      <c r="D27" s="62"/>
      <c r="E27" s="62"/>
      <c r="F27" s="64">
        <v>7835588</v>
      </c>
      <c r="G27" s="65">
        <v>744744.6</v>
      </c>
      <c r="H27" s="65">
        <v>2978978.4</v>
      </c>
      <c r="I27" s="64">
        <v>4856609.5999999996</v>
      </c>
      <c r="J27" s="66" t="s">
        <v>482</v>
      </c>
    </row>
    <row r="28" spans="1:10" ht="13.95" hidden="1" customHeight="1" outlineLevel="3" x14ac:dyDescent="0.3">
      <c r="A28" s="67" t="s">
        <v>484</v>
      </c>
      <c r="B28" s="68" t="s">
        <v>485</v>
      </c>
      <c r="C28" s="69"/>
      <c r="D28" s="70">
        <v>19.968</v>
      </c>
      <c r="E28" s="71">
        <v>16</v>
      </c>
      <c r="F28" s="72">
        <v>3769720</v>
      </c>
      <c r="G28" s="72">
        <v>188784</v>
      </c>
      <c r="H28" s="73">
        <v>755135.99999999988</v>
      </c>
      <c r="I28" s="74">
        <v>3014584</v>
      </c>
      <c r="J28" s="75" t="s">
        <v>441</v>
      </c>
    </row>
    <row r="29" spans="1:10" ht="13.95" hidden="1" customHeight="1" outlineLevel="3" x14ac:dyDescent="0.3">
      <c r="A29" s="76" t="s">
        <v>486</v>
      </c>
      <c r="B29" s="23" t="s">
        <v>487</v>
      </c>
      <c r="C29" s="34"/>
      <c r="D29" s="80">
        <v>7.343</v>
      </c>
      <c r="E29" s="81">
        <v>3.3</v>
      </c>
      <c r="F29" s="77">
        <v>2093455</v>
      </c>
      <c r="G29" s="77">
        <v>285108</v>
      </c>
      <c r="H29" s="78">
        <v>1140432</v>
      </c>
      <c r="I29" s="82">
        <v>953023</v>
      </c>
      <c r="J29" s="79" t="s">
        <v>441</v>
      </c>
    </row>
    <row r="30" spans="1:10" ht="13.95" hidden="1" customHeight="1" outlineLevel="3" x14ac:dyDescent="0.3">
      <c r="A30" s="67" t="s">
        <v>488</v>
      </c>
      <c r="B30" s="68" t="s">
        <v>489</v>
      </c>
      <c r="C30" s="69"/>
      <c r="D30" s="80">
        <v>7.282</v>
      </c>
      <c r="E30" s="81">
        <v>3.3</v>
      </c>
      <c r="F30" s="72">
        <v>1972413</v>
      </c>
      <c r="G30" s="72">
        <v>270852.59999999998</v>
      </c>
      <c r="H30" s="73">
        <v>1083410.3999999999</v>
      </c>
      <c r="I30" s="82">
        <v>889002.59999999986</v>
      </c>
      <c r="J30" s="75" t="s">
        <v>441</v>
      </c>
    </row>
    <row r="31" spans="1:10" ht="16.05" hidden="1" customHeight="1" outlineLevel="2" x14ac:dyDescent="0.3">
      <c r="A31" s="61" t="s">
        <v>490</v>
      </c>
      <c r="B31" s="62"/>
      <c r="C31" s="63">
        <v>2</v>
      </c>
      <c r="D31" s="62"/>
      <c r="E31" s="62"/>
      <c r="F31" s="64">
        <v>4469929</v>
      </c>
      <c r="G31" s="65">
        <v>706639.35</v>
      </c>
      <c r="H31" s="65">
        <v>2826557.4</v>
      </c>
      <c r="I31" s="64">
        <v>1643371.6</v>
      </c>
      <c r="J31" s="66" t="s">
        <v>482</v>
      </c>
    </row>
    <row r="32" spans="1:10" ht="13.95" hidden="1" customHeight="1" outlineLevel="3" x14ac:dyDescent="0.3">
      <c r="A32" s="67" t="s">
        <v>491</v>
      </c>
      <c r="B32" s="68" t="s">
        <v>492</v>
      </c>
      <c r="C32" s="69"/>
      <c r="D32" s="80">
        <v>6.3</v>
      </c>
      <c r="E32" s="81">
        <v>2.2999999999999998</v>
      </c>
      <c r="F32" s="72">
        <v>4432297</v>
      </c>
      <c r="G32" s="72">
        <v>703551.6</v>
      </c>
      <c r="H32" s="73">
        <v>2814206.4</v>
      </c>
      <c r="I32" s="82">
        <v>1618090.6</v>
      </c>
      <c r="J32" s="75" t="s">
        <v>441</v>
      </c>
    </row>
    <row r="33" spans="1:10" ht="13.95" hidden="1" customHeight="1" outlineLevel="3" x14ac:dyDescent="0.3">
      <c r="A33" s="76" t="s">
        <v>493</v>
      </c>
      <c r="B33" s="23" t="s">
        <v>494</v>
      </c>
      <c r="C33" s="34"/>
      <c r="D33" s="70">
        <v>12.188000000000001</v>
      </c>
      <c r="E33" s="71">
        <v>8.1999999999999993</v>
      </c>
      <c r="F33" s="77">
        <v>37632</v>
      </c>
      <c r="G33" s="77">
        <v>3087.75</v>
      </c>
      <c r="H33" s="78">
        <v>12351</v>
      </c>
      <c r="I33" s="74">
        <v>25281</v>
      </c>
      <c r="J33" s="79" t="s">
        <v>441</v>
      </c>
    </row>
    <row r="34" spans="1:10" ht="16.05" hidden="1" customHeight="1" outlineLevel="2" x14ac:dyDescent="0.3">
      <c r="A34" s="61" t="s">
        <v>495</v>
      </c>
      <c r="B34" s="62"/>
      <c r="C34" s="63">
        <v>2</v>
      </c>
      <c r="D34" s="62"/>
      <c r="E34" s="62"/>
      <c r="F34" s="64">
        <v>2167951</v>
      </c>
      <c r="G34" s="65">
        <v>294785.25</v>
      </c>
      <c r="H34" s="65">
        <v>1179141</v>
      </c>
      <c r="I34" s="64">
        <v>988810</v>
      </c>
      <c r="J34" s="66" t="s">
        <v>482</v>
      </c>
    </row>
    <row r="35" spans="1:10" ht="13.95" hidden="1" customHeight="1" outlineLevel="3" x14ac:dyDescent="0.3">
      <c r="A35" s="67" t="s">
        <v>496</v>
      </c>
      <c r="B35" s="68" t="s">
        <v>497</v>
      </c>
      <c r="C35" s="69"/>
      <c r="D35" s="80">
        <v>7.9480000000000004</v>
      </c>
      <c r="E35" s="81">
        <v>3.9</v>
      </c>
      <c r="F35" s="72">
        <v>1366131</v>
      </c>
      <c r="G35" s="72">
        <v>171879</v>
      </c>
      <c r="H35" s="73">
        <v>687516</v>
      </c>
      <c r="I35" s="82">
        <v>678615</v>
      </c>
      <c r="J35" s="75" t="s">
        <v>441</v>
      </c>
    </row>
    <row r="36" spans="1:10" ht="13.95" hidden="1" customHeight="1" outlineLevel="3" x14ac:dyDescent="0.3">
      <c r="A36" s="76" t="s">
        <v>498</v>
      </c>
      <c r="B36" s="23" t="s">
        <v>499</v>
      </c>
      <c r="C36" s="34"/>
      <c r="D36" s="80">
        <v>6.524</v>
      </c>
      <c r="E36" s="81">
        <v>2.5</v>
      </c>
      <c r="F36" s="77">
        <v>801820</v>
      </c>
      <c r="G36" s="77">
        <v>122906.25</v>
      </c>
      <c r="H36" s="78">
        <v>491624.99999999988</v>
      </c>
      <c r="I36" s="82">
        <v>310195.00000000012</v>
      </c>
      <c r="J36" s="79" t="s">
        <v>441</v>
      </c>
    </row>
    <row r="37" spans="1:10" ht="16.05" hidden="1" customHeight="1" outlineLevel="1" x14ac:dyDescent="0.3">
      <c r="A37" s="55" t="s">
        <v>500</v>
      </c>
      <c r="B37" s="56"/>
      <c r="C37" s="57">
        <v>2</v>
      </c>
      <c r="D37" s="56"/>
      <c r="E37" s="56"/>
      <c r="F37" s="58">
        <v>14469015</v>
      </c>
      <c r="G37" s="59">
        <v>2109571.5</v>
      </c>
      <c r="H37" s="59">
        <v>8438286</v>
      </c>
      <c r="I37" s="58">
        <v>6030729</v>
      </c>
      <c r="J37" s="60" t="s">
        <v>501</v>
      </c>
    </row>
    <row r="38" spans="1:10" ht="16.05" hidden="1" customHeight="1" outlineLevel="2" x14ac:dyDescent="0.3">
      <c r="A38" s="61" t="s">
        <v>502</v>
      </c>
      <c r="B38" s="62"/>
      <c r="C38" s="63">
        <v>2</v>
      </c>
      <c r="D38" s="62"/>
      <c r="E38" s="62"/>
      <c r="F38" s="64">
        <v>14469015</v>
      </c>
      <c r="G38" s="65">
        <v>2109571.5</v>
      </c>
      <c r="H38" s="65">
        <v>8438286</v>
      </c>
      <c r="I38" s="64">
        <v>6030729</v>
      </c>
      <c r="J38" s="66" t="s">
        <v>501</v>
      </c>
    </row>
    <row r="39" spans="1:10" ht="13.95" hidden="1" customHeight="1" outlineLevel="3" x14ac:dyDescent="0.3">
      <c r="A39" s="67" t="s">
        <v>503</v>
      </c>
      <c r="B39" s="68" t="s">
        <v>504</v>
      </c>
      <c r="C39" s="69"/>
      <c r="D39" s="80">
        <v>7.1070000000000002</v>
      </c>
      <c r="E39" s="81">
        <v>3.1</v>
      </c>
      <c r="F39" s="72">
        <v>10133095</v>
      </c>
      <c r="G39" s="72">
        <v>1425712.5</v>
      </c>
      <c r="H39" s="73">
        <v>5702850</v>
      </c>
      <c r="I39" s="82">
        <v>4430245</v>
      </c>
      <c r="J39" s="75" t="s">
        <v>441</v>
      </c>
    </row>
    <row r="40" spans="1:10" ht="13.95" hidden="1" customHeight="1" outlineLevel="3" x14ac:dyDescent="0.3">
      <c r="A40" s="76" t="s">
        <v>505</v>
      </c>
      <c r="B40" s="23" t="s">
        <v>506</v>
      </c>
      <c r="C40" s="34"/>
      <c r="D40" s="80">
        <v>6.34</v>
      </c>
      <c r="E40" s="81">
        <v>2.2999999999999998</v>
      </c>
      <c r="F40" s="77">
        <v>4335920</v>
      </c>
      <c r="G40" s="77">
        <v>683858.99999999988</v>
      </c>
      <c r="H40" s="78">
        <v>2735436</v>
      </c>
      <c r="I40" s="82">
        <v>1600484</v>
      </c>
      <c r="J40" s="86" t="s">
        <v>462</v>
      </c>
    </row>
    <row r="41" spans="1:10" ht="16.05" hidden="1" customHeight="1" outlineLevel="1" x14ac:dyDescent="0.3">
      <c r="A41" s="55" t="s">
        <v>507</v>
      </c>
      <c r="B41" s="56"/>
      <c r="C41" s="57">
        <v>8</v>
      </c>
      <c r="D41" s="56"/>
      <c r="E41" s="56"/>
      <c r="F41" s="58">
        <v>8513388</v>
      </c>
      <c r="G41" s="59">
        <v>861549.86999999988</v>
      </c>
      <c r="H41" s="59">
        <v>3446199.48</v>
      </c>
      <c r="I41" s="58">
        <v>5067188.5199999996</v>
      </c>
      <c r="J41" s="60" t="s">
        <v>508</v>
      </c>
    </row>
    <row r="42" spans="1:10" ht="16.05" hidden="1" customHeight="1" outlineLevel="2" x14ac:dyDescent="0.3">
      <c r="A42" s="61" t="s">
        <v>509</v>
      </c>
      <c r="B42" s="62"/>
      <c r="C42" s="63">
        <v>4</v>
      </c>
      <c r="D42" s="62"/>
      <c r="E42" s="62"/>
      <c r="F42" s="64">
        <v>4108895</v>
      </c>
      <c r="G42" s="65">
        <v>467301.11999999988</v>
      </c>
      <c r="H42" s="65">
        <v>1869204.48</v>
      </c>
      <c r="I42" s="64">
        <v>2239690.52</v>
      </c>
      <c r="J42" s="66" t="s">
        <v>482</v>
      </c>
    </row>
    <row r="43" spans="1:10" ht="13.95" hidden="1" customHeight="1" outlineLevel="3" x14ac:dyDescent="0.3">
      <c r="A43" s="67" t="s">
        <v>510</v>
      </c>
      <c r="B43" s="68" t="s">
        <v>511</v>
      </c>
      <c r="C43" s="69"/>
      <c r="D43" s="83">
        <v>10.648999999999999</v>
      </c>
      <c r="E43" s="84">
        <v>6.6</v>
      </c>
      <c r="F43" s="72">
        <v>1862146</v>
      </c>
      <c r="G43" s="72">
        <v>174873.60000000001</v>
      </c>
      <c r="H43" s="73">
        <v>699494.39999999991</v>
      </c>
      <c r="I43" s="85">
        <v>1162651.6000000001</v>
      </c>
      <c r="J43" s="75" t="s">
        <v>441</v>
      </c>
    </row>
    <row r="44" spans="1:10" ht="13.95" hidden="1" customHeight="1" outlineLevel="3" x14ac:dyDescent="0.3">
      <c r="A44" s="76" t="s">
        <v>512</v>
      </c>
      <c r="B44" s="23" t="s">
        <v>513</v>
      </c>
      <c r="C44" s="34"/>
      <c r="D44" s="83">
        <v>9.6910000000000007</v>
      </c>
      <c r="E44" s="84">
        <v>5.7</v>
      </c>
      <c r="F44" s="77">
        <v>909904</v>
      </c>
      <c r="G44" s="77">
        <v>93895.2</v>
      </c>
      <c r="H44" s="78">
        <v>375580.8</v>
      </c>
      <c r="I44" s="85">
        <v>534323.19999999995</v>
      </c>
      <c r="J44" s="79" t="s">
        <v>441</v>
      </c>
    </row>
    <row r="45" spans="1:10" ht="13.95" hidden="1" customHeight="1" outlineLevel="3" x14ac:dyDescent="0.3">
      <c r="A45" s="67" t="s">
        <v>514</v>
      </c>
      <c r="B45" s="68" t="s">
        <v>515</v>
      </c>
      <c r="C45" s="69"/>
      <c r="D45" s="80">
        <v>6.54</v>
      </c>
      <c r="E45" s="81">
        <v>2.5</v>
      </c>
      <c r="F45" s="72">
        <v>982535</v>
      </c>
      <c r="G45" s="72">
        <v>150232.32000000001</v>
      </c>
      <c r="H45" s="73">
        <v>600929.27999999991</v>
      </c>
      <c r="I45" s="82">
        <v>381605.72000000009</v>
      </c>
      <c r="J45" s="75" t="s">
        <v>441</v>
      </c>
    </row>
    <row r="46" spans="1:10" ht="13.95" hidden="1" customHeight="1" outlineLevel="3" x14ac:dyDescent="0.3">
      <c r="A46" s="76" t="s">
        <v>516</v>
      </c>
      <c r="B46" s="23" t="s">
        <v>517</v>
      </c>
      <c r="C46" s="34"/>
      <c r="D46" s="80">
        <v>7.3360000000000003</v>
      </c>
      <c r="E46" s="81">
        <v>3.3</v>
      </c>
      <c r="F46" s="77">
        <v>354310</v>
      </c>
      <c r="G46" s="77">
        <v>48300</v>
      </c>
      <c r="H46" s="78">
        <v>193200</v>
      </c>
      <c r="I46" s="82">
        <v>161110</v>
      </c>
      <c r="J46" s="79" t="s">
        <v>441</v>
      </c>
    </row>
    <row r="47" spans="1:10" ht="16.05" hidden="1" customHeight="1" outlineLevel="2" x14ac:dyDescent="0.3">
      <c r="A47" s="61" t="s">
        <v>518</v>
      </c>
      <c r="B47" s="62"/>
      <c r="C47" s="63">
        <v>1</v>
      </c>
      <c r="D47" s="62"/>
      <c r="E47" s="62"/>
      <c r="F47" s="64">
        <v>2561064</v>
      </c>
      <c r="G47" s="65">
        <v>228217.5</v>
      </c>
      <c r="H47" s="65">
        <v>912869.99999999988</v>
      </c>
      <c r="I47" s="64">
        <v>1648194</v>
      </c>
      <c r="J47" s="66" t="s">
        <v>482</v>
      </c>
    </row>
    <row r="48" spans="1:10" ht="13.95" hidden="1" customHeight="1" outlineLevel="3" x14ac:dyDescent="0.3">
      <c r="A48" s="67" t="s">
        <v>519</v>
      </c>
      <c r="B48" s="68" t="s">
        <v>520</v>
      </c>
      <c r="C48" s="69"/>
      <c r="D48" s="83">
        <v>11.222</v>
      </c>
      <c r="E48" s="84">
        <v>7.2</v>
      </c>
      <c r="F48" s="72">
        <v>2561064</v>
      </c>
      <c r="G48" s="72">
        <v>228217.5</v>
      </c>
      <c r="H48" s="73">
        <v>912869.99999999988</v>
      </c>
      <c r="I48" s="85">
        <v>1648194</v>
      </c>
      <c r="J48" s="75" t="s">
        <v>441</v>
      </c>
    </row>
    <row r="49" spans="1:10" ht="16.05" hidden="1" customHeight="1" outlineLevel="2" x14ac:dyDescent="0.3">
      <c r="A49" s="61" t="s">
        <v>521</v>
      </c>
      <c r="B49" s="62"/>
      <c r="C49" s="63">
        <v>3</v>
      </c>
      <c r="D49" s="62"/>
      <c r="E49" s="62"/>
      <c r="F49" s="64">
        <v>1843429</v>
      </c>
      <c r="G49" s="65">
        <v>166031.25</v>
      </c>
      <c r="H49" s="65">
        <v>664125</v>
      </c>
      <c r="I49" s="64">
        <v>1179304</v>
      </c>
      <c r="J49" s="66" t="s">
        <v>522</v>
      </c>
    </row>
    <row r="50" spans="1:10" ht="13.95" hidden="1" customHeight="1" outlineLevel="3" x14ac:dyDescent="0.3">
      <c r="A50" s="67" t="s">
        <v>523</v>
      </c>
      <c r="B50" s="68" t="s">
        <v>524</v>
      </c>
      <c r="C50" s="69"/>
      <c r="D50" s="70">
        <v>15.763999999999999</v>
      </c>
      <c r="E50" s="71">
        <v>11.8</v>
      </c>
      <c r="F50" s="72">
        <v>766836</v>
      </c>
      <c r="G50" s="72">
        <v>48645</v>
      </c>
      <c r="H50" s="73">
        <v>194580</v>
      </c>
      <c r="I50" s="74">
        <v>572256</v>
      </c>
      <c r="J50" s="75" t="s">
        <v>441</v>
      </c>
    </row>
    <row r="51" spans="1:10" ht="13.95" hidden="1" customHeight="1" outlineLevel="3" x14ac:dyDescent="0.3">
      <c r="A51" s="76" t="s">
        <v>525</v>
      </c>
      <c r="B51" s="23" t="s">
        <v>526</v>
      </c>
      <c r="C51" s="34"/>
      <c r="D51" s="83">
        <v>11.26</v>
      </c>
      <c r="E51" s="84">
        <v>7.3</v>
      </c>
      <c r="F51" s="77">
        <v>509851</v>
      </c>
      <c r="G51" s="77">
        <v>45281.25</v>
      </c>
      <c r="H51" s="78">
        <v>181125</v>
      </c>
      <c r="I51" s="85">
        <v>328726</v>
      </c>
      <c r="J51" s="86" t="s">
        <v>462</v>
      </c>
    </row>
    <row r="52" spans="1:10" ht="13.95" hidden="1" customHeight="1" outlineLevel="3" x14ac:dyDescent="0.3">
      <c r="A52" s="67" t="s">
        <v>527</v>
      </c>
      <c r="B52" s="68" t="s">
        <v>528</v>
      </c>
      <c r="C52" s="69"/>
      <c r="D52" s="80">
        <v>7.86</v>
      </c>
      <c r="E52" s="81">
        <v>3.9</v>
      </c>
      <c r="F52" s="72">
        <v>566742</v>
      </c>
      <c r="G52" s="72">
        <v>72105</v>
      </c>
      <c r="H52" s="73">
        <v>288420</v>
      </c>
      <c r="I52" s="82">
        <v>278322</v>
      </c>
      <c r="J52" s="75" t="s">
        <v>441</v>
      </c>
    </row>
    <row r="53" spans="1:10" ht="16.05" hidden="1" customHeight="1" outlineLevel="1" x14ac:dyDescent="0.3">
      <c r="A53" s="55" t="s">
        <v>529</v>
      </c>
      <c r="B53" s="56"/>
      <c r="C53" s="57">
        <v>18</v>
      </c>
      <c r="D53" s="56"/>
      <c r="E53" s="56"/>
      <c r="F53" s="58">
        <v>3221369</v>
      </c>
      <c r="G53" s="59">
        <v>179220.6</v>
      </c>
      <c r="H53" s="59">
        <v>716882.39999999991</v>
      </c>
      <c r="I53" s="58">
        <v>2504486.6</v>
      </c>
      <c r="J53" s="60" t="s">
        <v>482</v>
      </c>
    </row>
    <row r="54" spans="1:10" ht="16.05" hidden="1" customHeight="1" outlineLevel="2" x14ac:dyDescent="0.3">
      <c r="A54" s="61" t="s">
        <v>530</v>
      </c>
      <c r="B54" s="62"/>
      <c r="C54" s="63">
        <v>18</v>
      </c>
      <c r="D54" s="62"/>
      <c r="E54" s="62"/>
      <c r="F54" s="64">
        <v>3221369</v>
      </c>
      <c r="G54" s="65">
        <v>179220.6</v>
      </c>
      <c r="H54" s="65">
        <v>716882.39999999991</v>
      </c>
      <c r="I54" s="64">
        <v>2504486.6</v>
      </c>
      <c r="J54" s="66" t="s">
        <v>482</v>
      </c>
    </row>
    <row r="55" spans="1:10" ht="13.95" hidden="1" customHeight="1" outlineLevel="3" x14ac:dyDescent="0.3">
      <c r="A55" s="67" t="s">
        <v>531</v>
      </c>
      <c r="B55" s="68" t="s">
        <v>532</v>
      </c>
      <c r="C55" s="69"/>
      <c r="D55" s="70">
        <v>22.481999999999999</v>
      </c>
      <c r="E55" s="71">
        <v>18.5</v>
      </c>
      <c r="F55" s="72">
        <v>266665</v>
      </c>
      <c r="G55" s="72">
        <v>11861.1</v>
      </c>
      <c r="H55" s="73">
        <v>47444.399999999987</v>
      </c>
      <c r="I55" s="74">
        <v>219220.6</v>
      </c>
      <c r="J55" s="75" t="s">
        <v>441</v>
      </c>
    </row>
    <row r="56" spans="1:10" ht="13.95" hidden="1" customHeight="1" outlineLevel="3" x14ac:dyDescent="0.3">
      <c r="A56" s="76" t="s">
        <v>533</v>
      </c>
      <c r="B56" s="23" t="s">
        <v>534</v>
      </c>
      <c r="C56" s="34"/>
      <c r="D56" s="70">
        <v>21.062000000000001</v>
      </c>
      <c r="E56" s="71">
        <v>17.100000000000001</v>
      </c>
      <c r="F56" s="77">
        <v>249823</v>
      </c>
      <c r="G56" s="77">
        <v>11861.1</v>
      </c>
      <c r="H56" s="78">
        <v>47444.399999999987</v>
      </c>
      <c r="I56" s="74">
        <v>202378.6</v>
      </c>
      <c r="J56" s="79" t="s">
        <v>441</v>
      </c>
    </row>
    <row r="57" spans="1:10" ht="13.95" hidden="1" customHeight="1" outlineLevel="3" x14ac:dyDescent="0.3">
      <c r="A57" s="67" t="s">
        <v>535</v>
      </c>
      <c r="B57" s="68" t="s">
        <v>536</v>
      </c>
      <c r="C57" s="69"/>
      <c r="D57" s="70">
        <v>21.062000000000001</v>
      </c>
      <c r="E57" s="71">
        <v>17.100000000000001</v>
      </c>
      <c r="F57" s="72">
        <v>249823</v>
      </c>
      <c r="G57" s="72">
        <v>11861.1</v>
      </c>
      <c r="H57" s="73">
        <v>47444.399999999987</v>
      </c>
      <c r="I57" s="74">
        <v>202378.6</v>
      </c>
      <c r="J57" s="75" t="s">
        <v>441</v>
      </c>
    </row>
    <row r="58" spans="1:10" ht="13.95" hidden="1" customHeight="1" outlineLevel="3" x14ac:dyDescent="0.3">
      <c r="A58" s="76" t="s">
        <v>537</v>
      </c>
      <c r="B58" s="23" t="s">
        <v>538</v>
      </c>
      <c r="C58" s="34"/>
      <c r="D58" s="70">
        <v>20.116</v>
      </c>
      <c r="E58" s="71">
        <v>16.100000000000001</v>
      </c>
      <c r="F58" s="77">
        <v>238595</v>
      </c>
      <c r="G58" s="77">
        <v>11861.1</v>
      </c>
      <c r="H58" s="78">
        <v>47444.399999999987</v>
      </c>
      <c r="I58" s="74">
        <v>191150.6</v>
      </c>
      <c r="J58" s="79" t="s">
        <v>441</v>
      </c>
    </row>
    <row r="59" spans="1:10" ht="13.95" hidden="1" customHeight="1" outlineLevel="3" x14ac:dyDescent="0.3">
      <c r="A59" s="67" t="s">
        <v>539</v>
      </c>
      <c r="B59" s="68" t="s">
        <v>540</v>
      </c>
      <c r="C59" s="69"/>
      <c r="D59" s="70">
        <v>19.405999999999999</v>
      </c>
      <c r="E59" s="71">
        <v>15.4</v>
      </c>
      <c r="F59" s="72">
        <v>230174</v>
      </c>
      <c r="G59" s="72">
        <v>11861.1</v>
      </c>
      <c r="H59" s="73">
        <v>47444.399999999987</v>
      </c>
      <c r="I59" s="74">
        <v>182729.60000000001</v>
      </c>
      <c r="J59" s="75" t="s">
        <v>441</v>
      </c>
    </row>
    <row r="60" spans="1:10" ht="13.95" hidden="1" customHeight="1" outlineLevel="3" x14ac:dyDescent="0.3">
      <c r="A60" s="76" t="s">
        <v>541</v>
      </c>
      <c r="B60" s="23" t="s">
        <v>542</v>
      </c>
      <c r="C60" s="34"/>
      <c r="D60" s="70">
        <v>22.346</v>
      </c>
      <c r="E60" s="71">
        <v>18.3</v>
      </c>
      <c r="F60" s="77">
        <v>216482</v>
      </c>
      <c r="G60" s="77">
        <v>9687.5999999999985</v>
      </c>
      <c r="H60" s="78">
        <v>38750.399999999987</v>
      </c>
      <c r="I60" s="74">
        <v>177731.6</v>
      </c>
      <c r="J60" s="79" t="s">
        <v>441</v>
      </c>
    </row>
    <row r="61" spans="1:10" ht="13.95" hidden="1" customHeight="1" outlineLevel="3" x14ac:dyDescent="0.3">
      <c r="A61" s="67" t="s">
        <v>543</v>
      </c>
      <c r="B61" s="68" t="s">
        <v>544</v>
      </c>
      <c r="C61" s="69"/>
      <c r="D61" s="70">
        <v>20.92</v>
      </c>
      <c r="E61" s="71">
        <v>16.899999999999999</v>
      </c>
      <c r="F61" s="72">
        <v>202664</v>
      </c>
      <c r="G61" s="72">
        <v>9687.5999999999985</v>
      </c>
      <c r="H61" s="73">
        <v>38750.399999999987</v>
      </c>
      <c r="I61" s="74">
        <v>163913.60000000001</v>
      </c>
      <c r="J61" s="75" t="s">
        <v>441</v>
      </c>
    </row>
    <row r="62" spans="1:10" ht="13.95" hidden="1" customHeight="1" outlineLevel="3" x14ac:dyDescent="0.3">
      <c r="A62" s="76" t="s">
        <v>545</v>
      </c>
      <c r="B62" s="23" t="s">
        <v>546</v>
      </c>
      <c r="C62" s="34"/>
      <c r="D62" s="70">
        <v>20.92</v>
      </c>
      <c r="E62" s="71">
        <v>16.899999999999999</v>
      </c>
      <c r="F62" s="77">
        <v>202664</v>
      </c>
      <c r="G62" s="77">
        <v>9687.5999999999985</v>
      </c>
      <c r="H62" s="78">
        <v>38750.399999999987</v>
      </c>
      <c r="I62" s="74">
        <v>163913.60000000001</v>
      </c>
      <c r="J62" s="79" t="s">
        <v>441</v>
      </c>
    </row>
    <row r="63" spans="1:10" ht="13.95" hidden="1" customHeight="1" outlineLevel="3" x14ac:dyDescent="0.3">
      <c r="A63" s="67" t="s">
        <v>547</v>
      </c>
      <c r="B63" s="68" t="s">
        <v>548</v>
      </c>
      <c r="C63" s="69"/>
      <c r="D63" s="70">
        <v>17.748999999999999</v>
      </c>
      <c r="E63" s="71">
        <v>13.7</v>
      </c>
      <c r="F63" s="72">
        <v>210525</v>
      </c>
      <c r="G63" s="72">
        <v>11861.1</v>
      </c>
      <c r="H63" s="73">
        <v>47444.399999999987</v>
      </c>
      <c r="I63" s="74">
        <v>163080.6</v>
      </c>
      <c r="J63" s="75" t="s">
        <v>441</v>
      </c>
    </row>
    <row r="64" spans="1:10" ht="13.95" hidden="1" customHeight="1" outlineLevel="3" x14ac:dyDescent="0.3">
      <c r="A64" s="76" t="s">
        <v>549</v>
      </c>
      <c r="B64" s="23" t="s">
        <v>550</v>
      </c>
      <c r="C64" s="34"/>
      <c r="D64" s="70">
        <v>19.969000000000001</v>
      </c>
      <c r="E64" s="71">
        <v>16</v>
      </c>
      <c r="F64" s="77">
        <v>193452</v>
      </c>
      <c r="G64" s="77">
        <v>9687.5999999999985</v>
      </c>
      <c r="H64" s="78">
        <v>38750.399999999987</v>
      </c>
      <c r="I64" s="74">
        <v>154701.6</v>
      </c>
      <c r="J64" s="79" t="s">
        <v>441</v>
      </c>
    </row>
    <row r="65" spans="1:10" ht="13.95" hidden="1" customHeight="1" outlineLevel="3" x14ac:dyDescent="0.3">
      <c r="A65" s="67" t="s">
        <v>551</v>
      </c>
      <c r="B65" s="68" t="s">
        <v>552</v>
      </c>
      <c r="C65" s="69"/>
      <c r="D65" s="70">
        <v>18.067</v>
      </c>
      <c r="E65" s="71">
        <v>14.1</v>
      </c>
      <c r="F65" s="72">
        <v>175028</v>
      </c>
      <c r="G65" s="72">
        <v>9687.5999999999985</v>
      </c>
      <c r="H65" s="73">
        <v>38750.399999999987</v>
      </c>
      <c r="I65" s="74">
        <v>136277.6</v>
      </c>
      <c r="J65" s="75" t="s">
        <v>441</v>
      </c>
    </row>
    <row r="66" spans="1:10" ht="13.95" hidden="1" customHeight="1" outlineLevel="3" x14ac:dyDescent="0.3">
      <c r="A66" s="76" t="s">
        <v>553</v>
      </c>
      <c r="B66" s="23" t="s">
        <v>554</v>
      </c>
      <c r="C66" s="34"/>
      <c r="D66" s="70">
        <v>14.500999999999999</v>
      </c>
      <c r="E66" s="71">
        <v>10.5</v>
      </c>
      <c r="F66" s="77">
        <v>140483</v>
      </c>
      <c r="G66" s="77">
        <v>9687.5999999999985</v>
      </c>
      <c r="H66" s="78">
        <v>38750.399999999987</v>
      </c>
      <c r="I66" s="74">
        <v>101732.6</v>
      </c>
      <c r="J66" s="79" t="s">
        <v>441</v>
      </c>
    </row>
    <row r="67" spans="1:10" ht="13.95" hidden="1" customHeight="1" outlineLevel="3" x14ac:dyDescent="0.3">
      <c r="A67" s="67" t="s">
        <v>555</v>
      </c>
      <c r="B67" s="68" t="s">
        <v>556</v>
      </c>
      <c r="C67" s="69"/>
      <c r="D67" s="70">
        <v>14.106999999999999</v>
      </c>
      <c r="E67" s="71">
        <v>10.1</v>
      </c>
      <c r="F67" s="72">
        <v>117391</v>
      </c>
      <c r="G67" s="72">
        <v>8321.4</v>
      </c>
      <c r="H67" s="73">
        <v>33285.599999999999</v>
      </c>
      <c r="I67" s="74">
        <v>84105.4</v>
      </c>
      <c r="J67" s="75" t="s">
        <v>441</v>
      </c>
    </row>
    <row r="68" spans="1:10" ht="13.95" hidden="1" customHeight="1" outlineLevel="3" x14ac:dyDescent="0.3">
      <c r="A68" s="76" t="s">
        <v>557</v>
      </c>
      <c r="B68" s="23" t="s">
        <v>558</v>
      </c>
      <c r="C68" s="34"/>
      <c r="D68" s="70">
        <v>13.79</v>
      </c>
      <c r="E68" s="71">
        <v>9.8000000000000007</v>
      </c>
      <c r="F68" s="77">
        <v>114753</v>
      </c>
      <c r="G68" s="77">
        <v>8321.4</v>
      </c>
      <c r="H68" s="78">
        <v>33285.599999999999</v>
      </c>
      <c r="I68" s="74">
        <v>81467.399999999994</v>
      </c>
      <c r="J68" s="79" t="s">
        <v>441</v>
      </c>
    </row>
    <row r="69" spans="1:10" ht="13.95" hidden="1" customHeight="1" outlineLevel="3" x14ac:dyDescent="0.3">
      <c r="A69" s="67" t="s">
        <v>559</v>
      </c>
      <c r="B69" s="68" t="s">
        <v>560</v>
      </c>
      <c r="C69" s="69"/>
      <c r="D69" s="70">
        <v>13.79</v>
      </c>
      <c r="E69" s="71">
        <v>9.8000000000000007</v>
      </c>
      <c r="F69" s="72">
        <v>114753</v>
      </c>
      <c r="G69" s="72">
        <v>8321.4</v>
      </c>
      <c r="H69" s="73">
        <v>33285.599999999999</v>
      </c>
      <c r="I69" s="74">
        <v>81467.399999999994</v>
      </c>
      <c r="J69" s="75" t="s">
        <v>441</v>
      </c>
    </row>
    <row r="70" spans="1:10" ht="13.95" hidden="1" customHeight="1" outlineLevel="3" x14ac:dyDescent="0.3">
      <c r="A70" s="76" t="s">
        <v>561</v>
      </c>
      <c r="B70" s="23" t="s">
        <v>562</v>
      </c>
      <c r="C70" s="34"/>
      <c r="D70" s="70">
        <v>13.79</v>
      </c>
      <c r="E70" s="71">
        <v>9.8000000000000007</v>
      </c>
      <c r="F70" s="77">
        <v>114753</v>
      </c>
      <c r="G70" s="77">
        <v>8321.4</v>
      </c>
      <c r="H70" s="78">
        <v>33285.599999999999</v>
      </c>
      <c r="I70" s="74">
        <v>81467.399999999994</v>
      </c>
      <c r="J70" s="79" t="s">
        <v>441</v>
      </c>
    </row>
    <row r="71" spans="1:10" ht="13.95" hidden="1" customHeight="1" outlineLevel="3" x14ac:dyDescent="0.3">
      <c r="A71" s="67" t="s">
        <v>563</v>
      </c>
      <c r="B71" s="68" t="s">
        <v>564</v>
      </c>
      <c r="C71" s="69"/>
      <c r="D71" s="70">
        <v>12.364000000000001</v>
      </c>
      <c r="E71" s="71">
        <v>8.4</v>
      </c>
      <c r="F71" s="72">
        <v>102882</v>
      </c>
      <c r="G71" s="72">
        <v>8321.4</v>
      </c>
      <c r="H71" s="73">
        <v>33285.599999999999</v>
      </c>
      <c r="I71" s="74">
        <v>69596.399999999994</v>
      </c>
      <c r="J71" s="75" t="s">
        <v>441</v>
      </c>
    </row>
    <row r="72" spans="1:10" ht="13.95" hidden="1" customHeight="1" outlineLevel="3" x14ac:dyDescent="0.3">
      <c r="A72" s="76" t="s">
        <v>565</v>
      </c>
      <c r="B72" s="23" t="s">
        <v>566</v>
      </c>
      <c r="C72" s="34"/>
      <c r="D72" s="83">
        <v>9.6690000000000005</v>
      </c>
      <c r="E72" s="84">
        <v>5.7</v>
      </c>
      <c r="F72" s="77">
        <v>80459</v>
      </c>
      <c r="G72" s="77">
        <v>8321.4</v>
      </c>
      <c r="H72" s="78">
        <v>33285.599999999999</v>
      </c>
      <c r="I72" s="85">
        <v>47173.4</v>
      </c>
      <c r="J72" s="79" t="s">
        <v>441</v>
      </c>
    </row>
    <row r="73" spans="1:10" ht="16.95" customHeight="1" x14ac:dyDescent="0.3">
      <c r="A73" s="49" t="s">
        <v>567</v>
      </c>
      <c r="B73" s="50"/>
      <c r="C73" s="51">
        <v>34</v>
      </c>
      <c r="D73" s="50"/>
      <c r="E73" s="50"/>
      <c r="F73" s="52">
        <v>102952956.3733927</v>
      </c>
      <c r="G73" s="53">
        <v>11609848.23</v>
      </c>
      <c r="H73" s="53">
        <v>46439392.919999987</v>
      </c>
      <c r="I73" s="52">
        <v>56513563.453392647</v>
      </c>
      <c r="J73" s="54" t="s">
        <v>568</v>
      </c>
    </row>
    <row r="74" spans="1:10" ht="16.05" hidden="1" customHeight="1" outlineLevel="1" x14ac:dyDescent="0.3">
      <c r="A74" s="55" t="s">
        <v>569</v>
      </c>
      <c r="B74" s="56"/>
      <c r="C74" s="57">
        <v>17</v>
      </c>
      <c r="D74" s="56"/>
      <c r="E74" s="56"/>
      <c r="F74" s="58">
        <v>49383484.69374074</v>
      </c>
      <c r="G74" s="59">
        <v>5611476.75</v>
      </c>
      <c r="H74" s="59">
        <v>22445907</v>
      </c>
      <c r="I74" s="58">
        <v>26937577.69374074</v>
      </c>
      <c r="J74" s="60" t="s">
        <v>570</v>
      </c>
    </row>
    <row r="75" spans="1:10" ht="16.05" hidden="1" customHeight="1" outlineLevel="2" x14ac:dyDescent="0.3">
      <c r="A75" s="61" t="s">
        <v>571</v>
      </c>
      <c r="B75" s="62"/>
      <c r="C75" s="63">
        <v>6</v>
      </c>
      <c r="D75" s="62"/>
      <c r="E75" s="62"/>
      <c r="F75" s="64">
        <v>37008155.335250176</v>
      </c>
      <c r="G75" s="65">
        <v>4274895</v>
      </c>
      <c r="H75" s="65">
        <v>17099580</v>
      </c>
      <c r="I75" s="64">
        <v>19908575.33525018</v>
      </c>
      <c r="J75" s="66" t="s">
        <v>482</v>
      </c>
    </row>
    <row r="76" spans="1:10" ht="13.95" hidden="1" customHeight="1" outlineLevel="3" x14ac:dyDescent="0.3">
      <c r="A76" s="67" t="s">
        <v>572</v>
      </c>
      <c r="B76" s="68" t="s">
        <v>573</v>
      </c>
      <c r="C76" s="69"/>
      <c r="D76" s="83">
        <v>8.3279999999999994</v>
      </c>
      <c r="E76" s="84">
        <v>4.3</v>
      </c>
      <c r="F76" s="72">
        <v>12210920.21010842</v>
      </c>
      <c r="G76" s="72">
        <v>1466250</v>
      </c>
      <c r="H76" s="73">
        <v>5865000</v>
      </c>
      <c r="I76" s="85">
        <v>6345920.2101084217</v>
      </c>
      <c r="J76" s="75" t="s">
        <v>441</v>
      </c>
    </row>
    <row r="77" spans="1:10" ht="13.95" hidden="1" customHeight="1" outlineLevel="3" x14ac:dyDescent="0.3">
      <c r="A77" s="76" t="s">
        <v>574</v>
      </c>
      <c r="B77" s="23" t="s">
        <v>575</v>
      </c>
      <c r="C77" s="34"/>
      <c r="D77" s="83">
        <v>9.57</v>
      </c>
      <c r="E77" s="84">
        <v>5.6</v>
      </c>
      <c r="F77" s="77">
        <v>7428460.6397774694</v>
      </c>
      <c r="G77" s="77">
        <v>776250</v>
      </c>
      <c r="H77" s="78">
        <v>3105000</v>
      </c>
      <c r="I77" s="85">
        <v>4323460.6397774694</v>
      </c>
      <c r="J77" s="79" t="s">
        <v>441</v>
      </c>
    </row>
    <row r="78" spans="1:10" ht="13.95" hidden="1" customHeight="1" outlineLevel="3" x14ac:dyDescent="0.3">
      <c r="A78" s="67" t="s">
        <v>576</v>
      </c>
      <c r="B78" s="68" t="s">
        <v>577</v>
      </c>
      <c r="C78" s="69"/>
      <c r="D78" s="83">
        <v>9.1560000000000006</v>
      </c>
      <c r="E78" s="84">
        <v>5.2</v>
      </c>
      <c r="F78" s="72">
        <v>6159853.6879151417</v>
      </c>
      <c r="G78" s="72">
        <v>672750</v>
      </c>
      <c r="H78" s="73">
        <v>2691000</v>
      </c>
      <c r="I78" s="85">
        <v>3468853.6879151422</v>
      </c>
      <c r="J78" s="75" t="s">
        <v>441</v>
      </c>
    </row>
    <row r="79" spans="1:10" ht="13.95" hidden="1" customHeight="1" outlineLevel="3" x14ac:dyDescent="0.3">
      <c r="A79" s="76" t="s">
        <v>578</v>
      </c>
      <c r="B79" s="23" t="s">
        <v>579</v>
      </c>
      <c r="C79" s="34"/>
      <c r="D79" s="83">
        <v>9.7899999999999991</v>
      </c>
      <c r="E79" s="84">
        <v>5.8</v>
      </c>
      <c r="F79" s="77">
        <v>5372400</v>
      </c>
      <c r="G79" s="77">
        <v>548756.99999999988</v>
      </c>
      <c r="H79" s="78">
        <v>2195028</v>
      </c>
      <c r="I79" s="85">
        <v>3177372</v>
      </c>
      <c r="J79" s="79" t="s">
        <v>441</v>
      </c>
    </row>
    <row r="80" spans="1:10" ht="13.95" hidden="1" customHeight="1" outlineLevel="3" x14ac:dyDescent="0.3">
      <c r="A80" s="67" t="s">
        <v>580</v>
      </c>
      <c r="B80" s="68" t="s">
        <v>581</v>
      </c>
      <c r="C80" s="69"/>
      <c r="D80" s="80">
        <v>7.3869999999999996</v>
      </c>
      <c r="E80" s="81">
        <v>3.4</v>
      </c>
      <c r="F80" s="72">
        <v>3776852.7974491431</v>
      </c>
      <c r="G80" s="72">
        <v>511290</v>
      </c>
      <c r="H80" s="73">
        <v>2045160</v>
      </c>
      <c r="I80" s="82">
        <v>1731692.7974491429</v>
      </c>
      <c r="J80" s="75" t="s">
        <v>441</v>
      </c>
    </row>
    <row r="81" spans="1:10" ht="13.95" hidden="1" customHeight="1" outlineLevel="3" x14ac:dyDescent="0.3">
      <c r="A81" s="76" t="s">
        <v>582</v>
      </c>
      <c r="B81" s="23" t="s">
        <v>583</v>
      </c>
      <c r="C81" s="34"/>
      <c r="D81" s="80">
        <v>6.875</v>
      </c>
      <c r="E81" s="81">
        <v>2.9</v>
      </c>
      <c r="F81" s="77">
        <v>2059668</v>
      </c>
      <c r="G81" s="77">
        <v>299598</v>
      </c>
      <c r="H81" s="78">
        <v>1198392</v>
      </c>
      <c r="I81" s="82">
        <v>861276</v>
      </c>
      <c r="J81" s="79" t="s">
        <v>441</v>
      </c>
    </row>
    <row r="82" spans="1:10" ht="16.05" hidden="1" customHeight="1" outlineLevel="2" x14ac:dyDescent="0.3">
      <c r="A82" s="61" t="s">
        <v>584</v>
      </c>
      <c r="B82" s="62"/>
      <c r="C82" s="63">
        <v>9</v>
      </c>
      <c r="D82" s="62"/>
      <c r="E82" s="62"/>
      <c r="F82" s="64">
        <v>6280490.3584905658</v>
      </c>
      <c r="G82" s="65">
        <v>686287.79999999993</v>
      </c>
      <c r="H82" s="65">
        <v>2745151.2</v>
      </c>
      <c r="I82" s="64">
        <v>3535339.158490567</v>
      </c>
      <c r="J82" s="66" t="s">
        <v>482</v>
      </c>
    </row>
    <row r="83" spans="1:10" ht="13.95" hidden="1" customHeight="1" outlineLevel="3" x14ac:dyDescent="0.3">
      <c r="A83" s="67" t="s">
        <v>585</v>
      </c>
      <c r="B83" s="68" t="s">
        <v>586</v>
      </c>
      <c r="C83" s="69"/>
      <c r="D83" s="83">
        <v>10.045999999999999</v>
      </c>
      <c r="E83" s="84">
        <v>6</v>
      </c>
      <c r="F83" s="72">
        <v>1966491</v>
      </c>
      <c r="G83" s="72">
        <v>195739.2</v>
      </c>
      <c r="H83" s="73">
        <v>782956.79999999993</v>
      </c>
      <c r="I83" s="85">
        <v>1183534.2</v>
      </c>
      <c r="J83" s="75" t="s">
        <v>441</v>
      </c>
    </row>
    <row r="84" spans="1:10" ht="13.95" hidden="1" customHeight="1" outlineLevel="3" x14ac:dyDescent="0.3">
      <c r="A84" s="76" t="s">
        <v>587</v>
      </c>
      <c r="B84" s="23" t="s">
        <v>588</v>
      </c>
      <c r="C84" s="34"/>
      <c r="D84" s="80">
        <v>7.2839999999999998</v>
      </c>
      <c r="E84" s="81">
        <v>3.3</v>
      </c>
      <c r="F84" s="77">
        <v>1379593.358490566</v>
      </c>
      <c r="G84" s="77">
        <v>189405</v>
      </c>
      <c r="H84" s="78">
        <v>757619.99999999988</v>
      </c>
      <c r="I84" s="82">
        <v>621973.35849056614</v>
      </c>
      <c r="J84" s="79" t="s">
        <v>441</v>
      </c>
    </row>
    <row r="85" spans="1:10" ht="13.95" hidden="1" customHeight="1" outlineLevel="3" x14ac:dyDescent="0.3">
      <c r="A85" s="67" t="s">
        <v>589</v>
      </c>
      <c r="B85" s="68" t="s">
        <v>590</v>
      </c>
      <c r="C85" s="69"/>
      <c r="D85" s="70">
        <v>13.263</v>
      </c>
      <c r="E85" s="71">
        <v>9.3000000000000007</v>
      </c>
      <c r="F85" s="72">
        <v>840498</v>
      </c>
      <c r="G85" s="72">
        <v>63369.599999999977</v>
      </c>
      <c r="H85" s="73">
        <v>253478.39999999991</v>
      </c>
      <c r="I85" s="74">
        <v>587019.60000000009</v>
      </c>
      <c r="J85" s="75" t="s">
        <v>441</v>
      </c>
    </row>
    <row r="86" spans="1:10" ht="13.95" hidden="1" customHeight="1" outlineLevel="3" x14ac:dyDescent="0.3">
      <c r="A86" s="76" t="s">
        <v>591</v>
      </c>
      <c r="B86" s="23" t="s">
        <v>590</v>
      </c>
      <c r="C86" s="34"/>
      <c r="D86" s="83">
        <v>9.9269999999999996</v>
      </c>
      <c r="E86" s="84">
        <v>5.9</v>
      </c>
      <c r="F86" s="77">
        <v>552380</v>
      </c>
      <c r="G86" s="77">
        <v>55641.599999999977</v>
      </c>
      <c r="H86" s="78">
        <v>222566.39999999991</v>
      </c>
      <c r="I86" s="85">
        <v>329813.60000000009</v>
      </c>
      <c r="J86" s="79" t="s">
        <v>441</v>
      </c>
    </row>
    <row r="87" spans="1:10" ht="13.95" hidden="1" customHeight="1" outlineLevel="3" x14ac:dyDescent="0.3">
      <c r="A87" s="67" t="s">
        <v>592</v>
      </c>
      <c r="B87" s="68" t="s">
        <v>593</v>
      </c>
      <c r="C87" s="69"/>
      <c r="D87" s="83">
        <v>10.962999999999999</v>
      </c>
      <c r="E87" s="84">
        <v>7</v>
      </c>
      <c r="F87" s="72">
        <v>400314</v>
      </c>
      <c r="G87" s="72">
        <v>36514.800000000003</v>
      </c>
      <c r="H87" s="73">
        <v>146059.20000000001</v>
      </c>
      <c r="I87" s="85">
        <v>254254.8</v>
      </c>
      <c r="J87" s="75" t="s">
        <v>441</v>
      </c>
    </row>
    <row r="88" spans="1:10" ht="13.95" hidden="1" customHeight="1" outlineLevel="3" x14ac:dyDescent="0.3">
      <c r="A88" s="76" t="s">
        <v>594</v>
      </c>
      <c r="B88" s="23" t="s">
        <v>593</v>
      </c>
      <c r="C88" s="34"/>
      <c r="D88" s="83">
        <v>10.688000000000001</v>
      </c>
      <c r="E88" s="84">
        <v>6.7</v>
      </c>
      <c r="F88" s="77">
        <v>346905</v>
      </c>
      <c r="G88" s="77">
        <v>32457.599999999991</v>
      </c>
      <c r="H88" s="78">
        <v>129830.39999999999</v>
      </c>
      <c r="I88" s="85">
        <v>217074.6</v>
      </c>
      <c r="J88" s="79" t="s">
        <v>441</v>
      </c>
    </row>
    <row r="89" spans="1:10" ht="13.95" hidden="1" customHeight="1" outlineLevel="3" x14ac:dyDescent="0.3">
      <c r="A89" s="67" t="s">
        <v>595</v>
      </c>
      <c r="B89" s="68" t="s">
        <v>596</v>
      </c>
      <c r="C89" s="69"/>
      <c r="D89" s="83">
        <v>8.7509999999999994</v>
      </c>
      <c r="E89" s="84">
        <v>4.8</v>
      </c>
      <c r="F89" s="72">
        <v>251056</v>
      </c>
      <c r="G89" s="72">
        <v>28690.2</v>
      </c>
      <c r="H89" s="73">
        <v>114760.8</v>
      </c>
      <c r="I89" s="85">
        <v>136295.20000000001</v>
      </c>
      <c r="J89" s="75" t="s">
        <v>441</v>
      </c>
    </row>
    <row r="90" spans="1:10" ht="13.95" hidden="1" customHeight="1" outlineLevel="3" x14ac:dyDescent="0.3">
      <c r="A90" s="76" t="s">
        <v>597</v>
      </c>
      <c r="B90" s="23" t="s">
        <v>598</v>
      </c>
      <c r="C90" s="34"/>
      <c r="D90" s="80">
        <v>6.0339999999999998</v>
      </c>
      <c r="E90" s="81">
        <v>2</v>
      </c>
      <c r="F90" s="77">
        <v>368041</v>
      </c>
      <c r="G90" s="77">
        <v>60996</v>
      </c>
      <c r="H90" s="78">
        <v>243984</v>
      </c>
      <c r="I90" s="82">
        <v>124057</v>
      </c>
      <c r="J90" s="79" t="s">
        <v>441</v>
      </c>
    </row>
    <row r="91" spans="1:10" ht="13.95" hidden="1" customHeight="1" outlineLevel="3" x14ac:dyDescent="0.3">
      <c r="A91" s="67" t="s">
        <v>599</v>
      </c>
      <c r="B91" s="68" t="s">
        <v>596</v>
      </c>
      <c r="C91" s="69"/>
      <c r="D91" s="80">
        <v>7.4640000000000004</v>
      </c>
      <c r="E91" s="81">
        <v>3.5</v>
      </c>
      <c r="F91" s="72">
        <v>175212</v>
      </c>
      <c r="G91" s="72">
        <v>23473.8</v>
      </c>
      <c r="H91" s="73">
        <v>93895.2</v>
      </c>
      <c r="I91" s="82">
        <v>81316.800000000003</v>
      </c>
      <c r="J91" s="75" t="s">
        <v>441</v>
      </c>
    </row>
    <row r="92" spans="1:10" ht="16.05" hidden="1" customHeight="1" outlineLevel="2" x14ac:dyDescent="0.3">
      <c r="A92" s="61" t="s">
        <v>600</v>
      </c>
      <c r="B92" s="62"/>
      <c r="C92" s="63">
        <v>1</v>
      </c>
      <c r="D92" s="62"/>
      <c r="E92" s="62"/>
      <c r="F92" s="64">
        <v>5268894</v>
      </c>
      <c r="G92" s="65">
        <v>633475.19999999995</v>
      </c>
      <c r="H92" s="65">
        <v>2533900.7999999998</v>
      </c>
      <c r="I92" s="64">
        <v>2734993.2</v>
      </c>
      <c r="J92" s="66" t="s">
        <v>601</v>
      </c>
    </row>
    <row r="93" spans="1:10" ht="13.95" hidden="1" customHeight="1" outlineLevel="3" x14ac:dyDescent="0.3">
      <c r="A93" s="67" t="s">
        <v>602</v>
      </c>
      <c r="B93" s="68" t="s">
        <v>603</v>
      </c>
      <c r="C93" s="69"/>
      <c r="D93" s="83">
        <v>8.3170000000000002</v>
      </c>
      <c r="E93" s="84">
        <v>4.3</v>
      </c>
      <c r="F93" s="72">
        <v>5268894</v>
      </c>
      <c r="G93" s="72">
        <v>633475.19999999995</v>
      </c>
      <c r="H93" s="73">
        <v>2533900.7999999998</v>
      </c>
      <c r="I93" s="85">
        <v>2734993.2</v>
      </c>
      <c r="J93" s="86" t="s">
        <v>462</v>
      </c>
    </row>
    <row r="94" spans="1:10" ht="16.05" hidden="1" customHeight="1" outlineLevel="2" x14ac:dyDescent="0.3">
      <c r="A94" s="61" t="s">
        <v>604</v>
      </c>
      <c r="B94" s="62"/>
      <c r="C94" s="63">
        <v>1</v>
      </c>
      <c r="D94" s="62"/>
      <c r="E94" s="62"/>
      <c r="F94" s="64">
        <v>825945</v>
      </c>
      <c r="G94" s="65">
        <v>16818.75</v>
      </c>
      <c r="H94" s="65">
        <v>67275</v>
      </c>
      <c r="I94" s="64">
        <v>758670</v>
      </c>
      <c r="J94" s="66" t="s">
        <v>482</v>
      </c>
    </row>
    <row r="95" spans="1:10" ht="13.95" hidden="1" customHeight="1" outlineLevel="3" x14ac:dyDescent="0.3">
      <c r="A95" s="67" t="s">
        <v>605</v>
      </c>
      <c r="B95" s="68" t="s">
        <v>606</v>
      </c>
      <c r="C95" s="69"/>
      <c r="D95" s="70">
        <v>49.109000000000002</v>
      </c>
      <c r="E95" s="71">
        <v>45.1</v>
      </c>
      <c r="F95" s="72">
        <v>825945</v>
      </c>
      <c r="G95" s="72">
        <v>16818.75</v>
      </c>
      <c r="H95" s="73">
        <v>67275</v>
      </c>
      <c r="I95" s="74">
        <v>758670</v>
      </c>
      <c r="J95" s="75" t="s">
        <v>441</v>
      </c>
    </row>
    <row r="96" spans="1:10" ht="16.05" hidden="1" customHeight="1" outlineLevel="1" x14ac:dyDescent="0.3">
      <c r="A96" s="55" t="s">
        <v>607</v>
      </c>
      <c r="B96" s="56"/>
      <c r="C96" s="57">
        <v>6</v>
      </c>
      <c r="D96" s="56"/>
      <c r="E96" s="56"/>
      <c r="F96" s="58">
        <v>37749412.190782353</v>
      </c>
      <c r="G96" s="59">
        <v>4710267.7499999991</v>
      </c>
      <c r="H96" s="59">
        <v>18841071</v>
      </c>
      <c r="I96" s="58">
        <v>18908341.19078235</v>
      </c>
      <c r="J96" s="60" t="s">
        <v>482</v>
      </c>
    </row>
    <row r="97" spans="1:10" ht="16.05" hidden="1" customHeight="1" outlineLevel="2" x14ac:dyDescent="0.3">
      <c r="A97" s="61" t="s">
        <v>608</v>
      </c>
      <c r="B97" s="62"/>
      <c r="C97" s="63">
        <v>2</v>
      </c>
      <c r="D97" s="62"/>
      <c r="E97" s="62"/>
      <c r="F97" s="64">
        <v>26046475.550000001</v>
      </c>
      <c r="G97" s="65">
        <v>3638025</v>
      </c>
      <c r="H97" s="65">
        <v>14552100</v>
      </c>
      <c r="I97" s="64">
        <v>11494375.550000001</v>
      </c>
      <c r="J97" s="66" t="s">
        <v>482</v>
      </c>
    </row>
    <row r="98" spans="1:10" ht="13.95" hidden="1" customHeight="1" outlineLevel="3" x14ac:dyDescent="0.3">
      <c r="A98" s="67" t="s">
        <v>609</v>
      </c>
      <c r="B98" s="68" t="s">
        <v>610</v>
      </c>
      <c r="C98" s="69"/>
      <c r="D98" s="83">
        <v>8.3079999999999998</v>
      </c>
      <c r="E98" s="84">
        <v>4.3</v>
      </c>
      <c r="F98" s="72">
        <v>13301747.550000001</v>
      </c>
      <c r="G98" s="72">
        <v>1601145</v>
      </c>
      <c r="H98" s="73">
        <v>6404579.9999999991</v>
      </c>
      <c r="I98" s="85">
        <v>6897167.5499999998</v>
      </c>
      <c r="J98" s="75" t="s">
        <v>441</v>
      </c>
    </row>
    <row r="99" spans="1:10" ht="13.95" hidden="1" customHeight="1" outlineLevel="3" x14ac:dyDescent="0.3">
      <c r="A99" s="76" t="s">
        <v>611</v>
      </c>
      <c r="B99" s="23" t="s">
        <v>612</v>
      </c>
      <c r="C99" s="34"/>
      <c r="D99" s="80">
        <v>6.2569999999999997</v>
      </c>
      <c r="E99" s="81">
        <v>2.2999999999999998</v>
      </c>
      <c r="F99" s="77">
        <v>12744728</v>
      </c>
      <c r="G99" s="77">
        <v>2036880</v>
      </c>
      <c r="H99" s="78">
        <v>8147519.9999999991</v>
      </c>
      <c r="I99" s="82">
        <v>4597208.0000000009</v>
      </c>
      <c r="J99" s="79" t="s">
        <v>441</v>
      </c>
    </row>
    <row r="100" spans="1:10" ht="16.05" hidden="1" customHeight="1" outlineLevel="2" x14ac:dyDescent="0.3">
      <c r="A100" s="61" t="s">
        <v>613</v>
      </c>
      <c r="B100" s="62"/>
      <c r="C100" s="63">
        <v>1</v>
      </c>
      <c r="D100" s="62"/>
      <c r="E100" s="62"/>
      <c r="F100" s="64">
        <v>6001849.4249999998</v>
      </c>
      <c r="G100" s="65">
        <v>518017.49999999988</v>
      </c>
      <c r="H100" s="65">
        <v>2072070</v>
      </c>
      <c r="I100" s="64">
        <v>3929779.4249999998</v>
      </c>
      <c r="J100" s="66" t="s">
        <v>482</v>
      </c>
    </row>
    <row r="101" spans="1:10" ht="13.95" hidden="1" customHeight="1" outlineLevel="3" x14ac:dyDescent="0.3">
      <c r="A101" s="67" t="s">
        <v>614</v>
      </c>
      <c r="B101" s="68" t="s">
        <v>615</v>
      </c>
      <c r="C101" s="69"/>
      <c r="D101" s="83">
        <v>11.586</v>
      </c>
      <c r="E101" s="84">
        <v>7.6</v>
      </c>
      <c r="F101" s="72">
        <v>6001849.4249999998</v>
      </c>
      <c r="G101" s="72">
        <v>518017.49999999988</v>
      </c>
      <c r="H101" s="73">
        <v>2072070</v>
      </c>
      <c r="I101" s="85">
        <v>3929779.4249999998</v>
      </c>
      <c r="J101" s="75" t="s">
        <v>441</v>
      </c>
    </row>
    <row r="102" spans="1:10" ht="16.05" hidden="1" customHeight="1" outlineLevel="2" x14ac:dyDescent="0.3">
      <c r="A102" s="61" t="s">
        <v>616</v>
      </c>
      <c r="B102" s="62"/>
      <c r="C102" s="63">
        <v>2</v>
      </c>
      <c r="D102" s="62"/>
      <c r="E102" s="62"/>
      <c r="F102" s="64">
        <v>3972493.2157823439</v>
      </c>
      <c r="G102" s="65">
        <v>504389.99999999988</v>
      </c>
      <c r="H102" s="65">
        <v>2017560</v>
      </c>
      <c r="I102" s="64">
        <v>1954933.2157823441</v>
      </c>
      <c r="J102" s="66" t="s">
        <v>482</v>
      </c>
    </row>
    <row r="103" spans="1:10" ht="13.95" hidden="1" customHeight="1" outlineLevel="3" x14ac:dyDescent="0.3">
      <c r="A103" s="67" t="s">
        <v>617</v>
      </c>
      <c r="B103" s="68" t="s">
        <v>618</v>
      </c>
      <c r="C103" s="69"/>
      <c r="D103" s="80">
        <v>7.8019999999999996</v>
      </c>
      <c r="E103" s="81">
        <v>3.8</v>
      </c>
      <c r="F103" s="72">
        <v>3721256.411764706</v>
      </c>
      <c r="G103" s="72">
        <v>476962.49999999988</v>
      </c>
      <c r="H103" s="73">
        <v>1907850</v>
      </c>
      <c r="I103" s="82">
        <v>1813406.411764706</v>
      </c>
      <c r="J103" s="75" t="s">
        <v>441</v>
      </c>
    </row>
    <row r="104" spans="1:10" ht="13.95" hidden="1" customHeight="1" outlineLevel="3" x14ac:dyDescent="0.3">
      <c r="A104" s="76" t="s">
        <v>619</v>
      </c>
      <c r="B104" s="23" t="s">
        <v>620</v>
      </c>
      <c r="C104" s="34"/>
      <c r="D104" s="83">
        <v>9.16</v>
      </c>
      <c r="E104" s="84">
        <v>5.2</v>
      </c>
      <c r="F104" s="77">
        <v>251236.80401763841</v>
      </c>
      <c r="G104" s="77">
        <v>27427.5</v>
      </c>
      <c r="H104" s="78">
        <v>109710</v>
      </c>
      <c r="I104" s="85">
        <v>141526.80401763841</v>
      </c>
      <c r="J104" s="79" t="s">
        <v>441</v>
      </c>
    </row>
    <row r="105" spans="1:10" ht="16.05" hidden="1" customHeight="1" outlineLevel="2" x14ac:dyDescent="0.3">
      <c r="A105" s="61" t="s">
        <v>621</v>
      </c>
      <c r="B105" s="62"/>
      <c r="C105" s="63">
        <v>1</v>
      </c>
      <c r="D105" s="62"/>
      <c r="E105" s="62"/>
      <c r="F105" s="64">
        <v>1728594</v>
      </c>
      <c r="G105" s="65">
        <v>49835.249999999993</v>
      </c>
      <c r="H105" s="65">
        <v>199341</v>
      </c>
      <c r="I105" s="64">
        <v>1529253</v>
      </c>
      <c r="J105" s="66" t="s">
        <v>482</v>
      </c>
    </row>
    <row r="106" spans="1:10" ht="13.95" hidden="1" customHeight="1" outlineLevel="3" x14ac:dyDescent="0.3">
      <c r="A106" s="67" t="s">
        <v>622</v>
      </c>
      <c r="B106" s="68" t="s">
        <v>623</v>
      </c>
      <c r="C106" s="69"/>
      <c r="D106" s="70">
        <v>34.686</v>
      </c>
      <c r="E106" s="71">
        <v>30.7</v>
      </c>
      <c r="F106" s="72">
        <v>1728594</v>
      </c>
      <c r="G106" s="72">
        <v>49835.249999999993</v>
      </c>
      <c r="H106" s="73">
        <v>199341</v>
      </c>
      <c r="I106" s="74">
        <v>1529253</v>
      </c>
      <c r="J106" s="75" t="s">
        <v>441</v>
      </c>
    </row>
    <row r="107" spans="1:10" ht="16.05" hidden="1" customHeight="1" outlineLevel="1" x14ac:dyDescent="0.3">
      <c r="A107" s="55" t="s">
        <v>624</v>
      </c>
      <c r="B107" s="56"/>
      <c r="C107" s="57">
        <v>9</v>
      </c>
      <c r="D107" s="56"/>
      <c r="E107" s="56"/>
      <c r="F107" s="58">
        <v>15095070.488869561</v>
      </c>
      <c r="G107" s="59">
        <v>1189309.53</v>
      </c>
      <c r="H107" s="59">
        <v>4757238.12</v>
      </c>
      <c r="I107" s="58">
        <v>10337832.368869569</v>
      </c>
      <c r="J107" s="60" t="s">
        <v>482</v>
      </c>
    </row>
    <row r="108" spans="1:10" ht="16.05" hidden="1" customHeight="1" outlineLevel="2" x14ac:dyDescent="0.3">
      <c r="A108" s="61" t="s">
        <v>625</v>
      </c>
      <c r="B108" s="62"/>
      <c r="C108" s="63">
        <v>6</v>
      </c>
      <c r="D108" s="62"/>
      <c r="E108" s="62"/>
      <c r="F108" s="64">
        <v>10935622.488869561</v>
      </c>
      <c r="G108" s="65">
        <v>974780.24999999988</v>
      </c>
      <c r="H108" s="65">
        <v>3899121</v>
      </c>
      <c r="I108" s="64">
        <v>7036501.4888695655</v>
      </c>
      <c r="J108" s="66" t="s">
        <v>482</v>
      </c>
    </row>
    <row r="109" spans="1:10" ht="13.95" hidden="1" customHeight="1" outlineLevel="3" x14ac:dyDescent="0.3">
      <c r="A109" s="67" t="s">
        <v>626</v>
      </c>
      <c r="B109" s="68" t="s">
        <v>627</v>
      </c>
      <c r="C109" s="69"/>
      <c r="D109" s="70">
        <v>33.142000000000003</v>
      </c>
      <c r="E109" s="71">
        <v>29.1</v>
      </c>
      <c r="F109" s="72">
        <v>3358823</v>
      </c>
      <c r="G109" s="72">
        <v>101347.2</v>
      </c>
      <c r="H109" s="73">
        <v>405388.79999999999</v>
      </c>
      <c r="I109" s="74">
        <v>2953434.2</v>
      </c>
      <c r="J109" s="75" t="s">
        <v>441</v>
      </c>
    </row>
    <row r="110" spans="1:10" ht="13.95" hidden="1" customHeight="1" outlineLevel="3" x14ac:dyDescent="0.3">
      <c r="A110" s="76" t="s">
        <v>628</v>
      </c>
      <c r="B110" s="23" t="s">
        <v>629</v>
      </c>
      <c r="C110" s="34"/>
      <c r="D110" s="80">
        <v>7.1829999999999998</v>
      </c>
      <c r="E110" s="81">
        <v>3.2</v>
      </c>
      <c r="F110" s="77">
        <v>2509578</v>
      </c>
      <c r="G110" s="77">
        <v>349364.24999999988</v>
      </c>
      <c r="H110" s="78">
        <v>1397457</v>
      </c>
      <c r="I110" s="82">
        <v>1112121</v>
      </c>
      <c r="J110" s="79" t="s">
        <v>441</v>
      </c>
    </row>
    <row r="111" spans="1:10" ht="13.95" hidden="1" customHeight="1" outlineLevel="3" x14ac:dyDescent="0.3">
      <c r="A111" s="67" t="s">
        <v>630</v>
      </c>
      <c r="B111" s="68" t="s">
        <v>631</v>
      </c>
      <c r="C111" s="69"/>
      <c r="D111" s="80">
        <v>7.9249999999999998</v>
      </c>
      <c r="E111" s="81">
        <v>3.9</v>
      </c>
      <c r="F111" s="72">
        <v>2011656</v>
      </c>
      <c r="G111" s="72">
        <v>253851</v>
      </c>
      <c r="H111" s="73">
        <v>1015404</v>
      </c>
      <c r="I111" s="82">
        <v>996252</v>
      </c>
      <c r="J111" s="75" t="s">
        <v>441</v>
      </c>
    </row>
    <row r="112" spans="1:10" ht="13.95" hidden="1" customHeight="1" outlineLevel="3" x14ac:dyDescent="0.3">
      <c r="A112" s="76" t="s">
        <v>632</v>
      </c>
      <c r="B112" s="23" t="s">
        <v>633</v>
      </c>
      <c r="C112" s="34"/>
      <c r="D112" s="70">
        <v>18.745999999999999</v>
      </c>
      <c r="E112" s="71">
        <v>14.7</v>
      </c>
      <c r="F112" s="77">
        <v>1125350</v>
      </c>
      <c r="G112" s="77">
        <v>60029.999999999993</v>
      </c>
      <c r="H112" s="78">
        <v>240120</v>
      </c>
      <c r="I112" s="74">
        <v>885230</v>
      </c>
      <c r="J112" s="79" t="s">
        <v>441</v>
      </c>
    </row>
    <row r="113" spans="1:10" ht="13.95" hidden="1" customHeight="1" outlineLevel="3" x14ac:dyDescent="0.3">
      <c r="A113" s="67" t="s">
        <v>634</v>
      </c>
      <c r="B113" s="68" t="s">
        <v>635</v>
      </c>
      <c r="C113" s="69"/>
      <c r="D113" s="83">
        <v>10.362</v>
      </c>
      <c r="E113" s="84">
        <v>6.4</v>
      </c>
      <c r="F113" s="72">
        <v>1034745.488869565</v>
      </c>
      <c r="G113" s="72">
        <v>99856.8</v>
      </c>
      <c r="H113" s="73">
        <v>399427.2</v>
      </c>
      <c r="I113" s="85">
        <v>635318.28886956535</v>
      </c>
      <c r="J113" s="75" t="s">
        <v>441</v>
      </c>
    </row>
    <row r="114" spans="1:10" ht="13.95" hidden="1" customHeight="1" outlineLevel="3" x14ac:dyDescent="0.3">
      <c r="A114" s="76" t="s">
        <v>636</v>
      </c>
      <c r="B114" s="23" t="s">
        <v>637</v>
      </c>
      <c r="C114" s="34"/>
      <c r="D114" s="83">
        <v>8.1159999999999997</v>
      </c>
      <c r="E114" s="84">
        <v>4.0999999999999996</v>
      </c>
      <c r="F114" s="77">
        <v>895470</v>
      </c>
      <c r="G114" s="77">
        <v>110331</v>
      </c>
      <c r="H114" s="78">
        <v>441324</v>
      </c>
      <c r="I114" s="85">
        <v>454146</v>
      </c>
      <c r="J114" s="79" t="s">
        <v>441</v>
      </c>
    </row>
    <row r="115" spans="1:10" ht="16.05" hidden="1" customHeight="1" outlineLevel="2" x14ac:dyDescent="0.3">
      <c r="A115" s="61" t="s">
        <v>638</v>
      </c>
      <c r="B115" s="62"/>
      <c r="C115" s="63">
        <v>2</v>
      </c>
      <c r="D115" s="62"/>
      <c r="E115" s="62"/>
      <c r="F115" s="64">
        <v>3541948</v>
      </c>
      <c r="G115" s="65">
        <v>177269.28</v>
      </c>
      <c r="H115" s="65">
        <v>709077.12</v>
      </c>
      <c r="I115" s="64">
        <v>2832870.88</v>
      </c>
      <c r="J115" s="66" t="s">
        <v>482</v>
      </c>
    </row>
    <row r="116" spans="1:10" ht="13.95" hidden="1" customHeight="1" outlineLevel="3" x14ac:dyDescent="0.3">
      <c r="A116" s="67" t="s">
        <v>639</v>
      </c>
      <c r="B116" s="68" t="s">
        <v>640</v>
      </c>
      <c r="C116" s="69"/>
      <c r="D116" s="70">
        <v>25.318999999999999</v>
      </c>
      <c r="E116" s="71">
        <v>21.3</v>
      </c>
      <c r="F116" s="72">
        <v>2496736</v>
      </c>
      <c r="G116" s="72">
        <v>98609.280000000013</v>
      </c>
      <c r="H116" s="73">
        <v>394437.12000000011</v>
      </c>
      <c r="I116" s="74">
        <v>2102298.88</v>
      </c>
      <c r="J116" s="75" t="s">
        <v>441</v>
      </c>
    </row>
    <row r="117" spans="1:10" ht="13.95" hidden="1" customHeight="1" outlineLevel="3" x14ac:dyDescent="0.3">
      <c r="A117" s="76" t="s">
        <v>641</v>
      </c>
      <c r="B117" s="23" t="s">
        <v>642</v>
      </c>
      <c r="C117" s="34"/>
      <c r="D117" s="70">
        <v>13.288</v>
      </c>
      <c r="E117" s="71">
        <v>9.3000000000000007</v>
      </c>
      <c r="F117" s="77">
        <v>1045212</v>
      </c>
      <c r="G117" s="77">
        <v>78659.999999999985</v>
      </c>
      <c r="H117" s="78">
        <v>314639.99999999988</v>
      </c>
      <c r="I117" s="74">
        <v>730572</v>
      </c>
      <c r="J117" s="79" t="s">
        <v>441</v>
      </c>
    </row>
    <row r="118" spans="1:10" ht="16.05" hidden="1" customHeight="1" outlineLevel="2" x14ac:dyDescent="0.3">
      <c r="A118" s="61" t="s">
        <v>643</v>
      </c>
      <c r="B118" s="62"/>
      <c r="C118" s="63">
        <v>1</v>
      </c>
      <c r="D118" s="62"/>
      <c r="E118" s="62"/>
      <c r="F118" s="64">
        <v>617500</v>
      </c>
      <c r="G118" s="65">
        <v>37259.999999999993</v>
      </c>
      <c r="H118" s="65">
        <v>149040</v>
      </c>
      <c r="I118" s="64">
        <v>468460</v>
      </c>
      <c r="J118" s="66" t="s">
        <v>482</v>
      </c>
    </row>
    <row r="119" spans="1:10" ht="13.95" hidden="1" customHeight="1" outlineLevel="3" x14ac:dyDescent="0.3">
      <c r="A119" s="67" t="s">
        <v>644</v>
      </c>
      <c r="B119" s="68" t="s">
        <v>645</v>
      </c>
      <c r="C119" s="69"/>
      <c r="D119" s="70">
        <v>16.573</v>
      </c>
      <c r="E119" s="71">
        <v>12.6</v>
      </c>
      <c r="F119" s="72">
        <v>617500</v>
      </c>
      <c r="G119" s="72">
        <v>37259.999999999993</v>
      </c>
      <c r="H119" s="73">
        <v>149040</v>
      </c>
      <c r="I119" s="74">
        <v>468460</v>
      </c>
      <c r="J119" s="75" t="s">
        <v>441</v>
      </c>
    </row>
    <row r="120" spans="1:10" ht="16.05" hidden="1" customHeight="1" outlineLevel="1" x14ac:dyDescent="0.3">
      <c r="A120" s="55" t="s">
        <v>646</v>
      </c>
      <c r="B120" s="56"/>
      <c r="C120" s="57">
        <v>2</v>
      </c>
      <c r="D120" s="56"/>
      <c r="E120" s="56"/>
      <c r="F120" s="58">
        <v>724989</v>
      </c>
      <c r="G120" s="59">
        <v>98794.2</v>
      </c>
      <c r="H120" s="59">
        <v>395176.8</v>
      </c>
      <c r="I120" s="58">
        <v>329812.2</v>
      </c>
      <c r="J120" s="60" t="s">
        <v>482</v>
      </c>
    </row>
    <row r="121" spans="1:10" ht="16.05" hidden="1" customHeight="1" outlineLevel="2" x14ac:dyDescent="0.3">
      <c r="A121" s="61" t="s">
        <v>647</v>
      </c>
      <c r="B121" s="62"/>
      <c r="C121" s="63">
        <v>2</v>
      </c>
      <c r="D121" s="62"/>
      <c r="E121" s="62"/>
      <c r="F121" s="64">
        <v>724989</v>
      </c>
      <c r="G121" s="65">
        <v>98794.2</v>
      </c>
      <c r="H121" s="65">
        <v>395176.8</v>
      </c>
      <c r="I121" s="64">
        <v>329812.2</v>
      </c>
      <c r="J121" s="66" t="s">
        <v>482</v>
      </c>
    </row>
    <row r="122" spans="1:10" ht="13.95" hidden="1" customHeight="1" outlineLevel="3" x14ac:dyDescent="0.3">
      <c r="A122" s="67" t="s">
        <v>648</v>
      </c>
      <c r="B122" s="68" t="s">
        <v>649</v>
      </c>
      <c r="C122" s="69"/>
      <c r="D122" s="83">
        <v>8.0589999999999993</v>
      </c>
      <c r="E122" s="84">
        <v>4.0999999999999996</v>
      </c>
      <c r="F122" s="72">
        <v>430404</v>
      </c>
      <c r="G122" s="72">
        <v>53405.999999999993</v>
      </c>
      <c r="H122" s="73">
        <v>213624</v>
      </c>
      <c r="I122" s="85">
        <v>216780</v>
      </c>
      <c r="J122" s="75" t="s">
        <v>441</v>
      </c>
    </row>
    <row r="123" spans="1:10" ht="13.95" hidden="1" customHeight="1" outlineLevel="3" x14ac:dyDescent="0.3">
      <c r="A123" s="76" t="s">
        <v>650</v>
      </c>
      <c r="B123" s="23" t="s">
        <v>651</v>
      </c>
      <c r="C123" s="34"/>
      <c r="D123" s="80">
        <v>6.49</v>
      </c>
      <c r="E123" s="81">
        <v>2.5</v>
      </c>
      <c r="F123" s="77">
        <v>294585</v>
      </c>
      <c r="G123" s="77">
        <v>45388.2</v>
      </c>
      <c r="H123" s="78">
        <v>181552.8</v>
      </c>
      <c r="I123" s="82">
        <v>113032.2</v>
      </c>
      <c r="J123" s="79" t="s">
        <v>441</v>
      </c>
    </row>
    <row r="124" spans="1:10" ht="16.95" customHeight="1" x14ac:dyDescent="0.3">
      <c r="A124" s="49" t="s">
        <v>652</v>
      </c>
      <c r="B124" s="50"/>
      <c r="C124" s="51">
        <v>21</v>
      </c>
      <c r="D124" s="50"/>
      <c r="E124" s="50"/>
      <c r="F124" s="52">
        <v>86951434.333374411</v>
      </c>
      <c r="G124" s="53">
        <v>10342479</v>
      </c>
      <c r="H124" s="53">
        <v>41369916</v>
      </c>
      <c r="I124" s="52">
        <v>45581518.333374411</v>
      </c>
      <c r="J124" s="54" t="s">
        <v>653</v>
      </c>
    </row>
    <row r="125" spans="1:10" ht="16.05" hidden="1" customHeight="1" outlineLevel="1" x14ac:dyDescent="0.3">
      <c r="A125" s="55" t="s">
        <v>654</v>
      </c>
      <c r="B125" s="56"/>
      <c r="C125" s="57">
        <v>9</v>
      </c>
      <c r="D125" s="56"/>
      <c r="E125" s="56"/>
      <c r="F125" s="58">
        <v>56597645.02565401</v>
      </c>
      <c r="G125" s="59">
        <v>6987974.9999999991</v>
      </c>
      <c r="H125" s="59">
        <v>27951900</v>
      </c>
      <c r="I125" s="58">
        <v>28645745.02565401</v>
      </c>
      <c r="J125" s="60" t="s">
        <v>655</v>
      </c>
    </row>
    <row r="126" spans="1:10" ht="16.05" hidden="1" customHeight="1" outlineLevel="2" x14ac:dyDescent="0.3">
      <c r="A126" s="61" t="s">
        <v>656</v>
      </c>
      <c r="B126" s="62"/>
      <c r="C126" s="63">
        <v>3</v>
      </c>
      <c r="D126" s="62"/>
      <c r="E126" s="62"/>
      <c r="F126" s="64">
        <v>38872548.977944084</v>
      </c>
      <c r="G126" s="65">
        <v>4583324.9999999991</v>
      </c>
      <c r="H126" s="65">
        <v>18333300</v>
      </c>
      <c r="I126" s="64">
        <v>20539248.97794408</v>
      </c>
      <c r="J126" s="66" t="s">
        <v>482</v>
      </c>
    </row>
    <row r="127" spans="1:10" ht="13.95" hidden="1" customHeight="1" outlineLevel="3" x14ac:dyDescent="0.3">
      <c r="A127" s="67" t="s">
        <v>657</v>
      </c>
      <c r="B127" s="68" t="s">
        <v>658</v>
      </c>
      <c r="C127" s="69"/>
      <c r="D127" s="83">
        <v>10.321999999999999</v>
      </c>
      <c r="E127" s="84">
        <v>6.3</v>
      </c>
      <c r="F127" s="72">
        <v>20565419.97794408</v>
      </c>
      <c r="G127" s="72">
        <v>1992375</v>
      </c>
      <c r="H127" s="73">
        <v>7969500</v>
      </c>
      <c r="I127" s="85">
        <v>12595919.97794408</v>
      </c>
      <c r="J127" s="75" t="s">
        <v>441</v>
      </c>
    </row>
    <row r="128" spans="1:10" ht="13.95" hidden="1" customHeight="1" outlineLevel="3" x14ac:dyDescent="0.3">
      <c r="A128" s="76" t="s">
        <v>659</v>
      </c>
      <c r="B128" s="23" t="s">
        <v>660</v>
      </c>
      <c r="C128" s="34"/>
      <c r="D128" s="80">
        <v>6.4749999999999996</v>
      </c>
      <c r="E128" s="81">
        <v>2.5</v>
      </c>
      <c r="F128" s="77">
        <v>14988183</v>
      </c>
      <c r="G128" s="77">
        <v>2314950</v>
      </c>
      <c r="H128" s="78">
        <v>9259799.9999999981</v>
      </c>
      <c r="I128" s="82">
        <v>5728383.0000000019</v>
      </c>
      <c r="J128" s="79" t="s">
        <v>441</v>
      </c>
    </row>
    <row r="129" spans="1:10" ht="13.95" hidden="1" customHeight="1" outlineLevel="3" x14ac:dyDescent="0.3">
      <c r="A129" s="67" t="s">
        <v>661</v>
      </c>
      <c r="B129" s="68" t="s">
        <v>662</v>
      </c>
      <c r="C129" s="69"/>
      <c r="D129" s="83">
        <v>12.025</v>
      </c>
      <c r="E129" s="84">
        <v>8</v>
      </c>
      <c r="F129" s="72">
        <v>3318946</v>
      </c>
      <c r="G129" s="72">
        <v>275999.99999999988</v>
      </c>
      <c r="H129" s="73">
        <v>1104000</v>
      </c>
      <c r="I129" s="85">
        <v>2214946</v>
      </c>
      <c r="J129" s="75" t="s">
        <v>441</v>
      </c>
    </row>
    <row r="130" spans="1:10" ht="16.05" hidden="1" customHeight="1" outlineLevel="2" x14ac:dyDescent="0.3">
      <c r="A130" s="61" t="s">
        <v>663</v>
      </c>
      <c r="B130" s="62"/>
      <c r="C130" s="63">
        <v>6</v>
      </c>
      <c r="D130" s="62"/>
      <c r="E130" s="62"/>
      <c r="F130" s="64">
        <v>17725096.04770992</v>
      </c>
      <c r="G130" s="65">
        <v>2404650</v>
      </c>
      <c r="H130" s="65">
        <v>9618600</v>
      </c>
      <c r="I130" s="64">
        <v>8106496.0477099242</v>
      </c>
      <c r="J130" s="66" t="s">
        <v>664</v>
      </c>
    </row>
    <row r="131" spans="1:10" ht="13.95" hidden="1" customHeight="1" outlineLevel="3" x14ac:dyDescent="0.3">
      <c r="A131" s="67" t="s">
        <v>665</v>
      </c>
      <c r="B131" s="68" t="s">
        <v>666</v>
      </c>
      <c r="C131" s="69"/>
      <c r="D131" s="80">
        <v>6.234</v>
      </c>
      <c r="E131" s="81">
        <v>2.2000000000000002</v>
      </c>
      <c r="F131" s="72">
        <v>7661712</v>
      </c>
      <c r="G131" s="72">
        <v>1229062.5</v>
      </c>
      <c r="H131" s="73">
        <v>4916250</v>
      </c>
      <c r="I131" s="82">
        <v>2745462</v>
      </c>
      <c r="J131" s="75" t="s">
        <v>441</v>
      </c>
    </row>
    <row r="132" spans="1:10" ht="13.95" hidden="1" customHeight="1" outlineLevel="3" x14ac:dyDescent="0.3">
      <c r="A132" s="76" t="s">
        <v>667</v>
      </c>
      <c r="B132" s="23" t="s">
        <v>668</v>
      </c>
      <c r="C132" s="34"/>
      <c r="D132" s="70">
        <v>16.062000000000001</v>
      </c>
      <c r="E132" s="71">
        <v>12.1</v>
      </c>
      <c r="F132" s="77">
        <v>2194395.5</v>
      </c>
      <c r="G132" s="77">
        <v>136620</v>
      </c>
      <c r="H132" s="78">
        <v>546480</v>
      </c>
      <c r="I132" s="74">
        <v>1647915.5</v>
      </c>
      <c r="J132" s="79" t="s">
        <v>441</v>
      </c>
    </row>
    <row r="133" spans="1:10" ht="13.95" hidden="1" customHeight="1" outlineLevel="3" x14ac:dyDescent="0.3">
      <c r="A133" s="67" t="s">
        <v>669</v>
      </c>
      <c r="B133" s="68" t="s">
        <v>670</v>
      </c>
      <c r="C133" s="69"/>
      <c r="D133" s="70">
        <v>27.923999999999999</v>
      </c>
      <c r="E133" s="71">
        <v>23.9</v>
      </c>
      <c r="F133" s="72">
        <v>1271670</v>
      </c>
      <c r="G133" s="72">
        <v>45540</v>
      </c>
      <c r="H133" s="73">
        <v>182160</v>
      </c>
      <c r="I133" s="74">
        <v>1089510</v>
      </c>
      <c r="J133" s="75" t="s">
        <v>441</v>
      </c>
    </row>
    <row r="134" spans="1:10" ht="13.95" hidden="1" customHeight="1" outlineLevel="3" x14ac:dyDescent="0.3">
      <c r="A134" s="76" t="s">
        <v>671</v>
      </c>
      <c r="B134" s="23" t="s">
        <v>672</v>
      </c>
      <c r="C134" s="34"/>
      <c r="D134" s="80">
        <v>6.3410000000000002</v>
      </c>
      <c r="E134" s="81">
        <v>2.2999999999999998</v>
      </c>
      <c r="F134" s="77">
        <v>2795940</v>
      </c>
      <c r="G134" s="77">
        <v>440909.99999999988</v>
      </c>
      <c r="H134" s="78">
        <v>1763640</v>
      </c>
      <c r="I134" s="82">
        <v>1032300</v>
      </c>
      <c r="J134" s="79" t="s">
        <v>441</v>
      </c>
    </row>
    <row r="135" spans="1:10" ht="13.95" hidden="1" customHeight="1" outlineLevel="3" x14ac:dyDescent="0.3">
      <c r="A135" s="67" t="s">
        <v>673</v>
      </c>
      <c r="B135" s="68" t="s">
        <v>674</v>
      </c>
      <c r="C135" s="69"/>
      <c r="D135" s="80">
        <v>7.6950000000000003</v>
      </c>
      <c r="E135" s="81">
        <v>3.7</v>
      </c>
      <c r="F135" s="72">
        <v>1891445.25</v>
      </c>
      <c r="G135" s="72">
        <v>245812.5</v>
      </c>
      <c r="H135" s="73">
        <v>983250</v>
      </c>
      <c r="I135" s="82">
        <v>908195.25</v>
      </c>
      <c r="J135" s="75" t="s">
        <v>441</v>
      </c>
    </row>
    <row r="136" spans="1:10" ht="13.95" hidden="1" customHeight="1" outlineLevel="3" x14ac:dyDescent="0.3">
      <c r="A136" s="76" t="s">
        <v>675</v>
      </c>
      <c r="B136" s="23" t="s">
        <v>676</v>
      </c>
      <c r="C136" s="34"/>
      <c r="D136" s="80">
        <v>6.2270000000000003</v>
      </c>
      <c r="E136" s="81">
        <v>2.2000000000000002</v>
      </c>
      <c r="F136" s="77">
        <v>1909933.2977099239</v>
      </c>
      <c r="G136" s="77">
        <v>306704.99999999988</v>
      </c>
      <c r="H136" s="78">
        <v>1226820</v>
      </c>
      <c r="I136" s="82">
        <v>683113.29770992394</v>
      </c>
      <c r="J136" s="86" t="s">
        <v>462</v>
      </c>
    </row>
    <row r="137" spans="1:10" ht="16.05" hidden="1" customHeight="1" outlineLevel="1" x14ac:dyDescent="0.3">
      <c r="A137" s="55" t="s">
        <v>677</v>
      </c>
      <c r="B137" s="56"/>
      <c r="C137" s="57">
        <v>3</v>
      </c>
      <c r="D137" s="56"/>
      <c r="E137" s="56"/>
      <c r="F137" s="58">
        <v>25766863.3077204</v>
      </c>
      <c r="G137" s="59">
        <v>2832450</v>
      </c>
      <c r="H137" s="59">
        <v>11329800</v>
      </c>
      <c r="I137" s="58">
        <v>14437063.3077204</v>
      </c>
      <c r="J137" s="60" t="s">
        <v>522</v>
      </c>
    </row>
    <row r="138" spans="1:10" ht="16.05" hidden="1" customHeight="1" outlineLevel="2" x14ac:dyDescent="0.3">
      <c r="A138" s="61" t="s">
        <v>678</v>
      </c>
      <c r="B138" s="62"/>
      <c r="C138" s="63">
        <v>3</v>
      </c>
      <c r="D138" s="62"/>
      <c r="E138" s="62"/>
      <c r="F138" s="64">
        <v>25766863.3077204</v>
      </c>
      <c r="G138" s="65">
        <v>2832450</v>
      </c>
      <c r="H138" s="65">
        <v>11329800</v>
      </c>
      <c r="I138" s="64">
        <v>14437063.3077204</v>
      </c>
      <c r="J138" s="66" t="s">
        <v>522</v>
      </c>
    </row>
    <row r="139" spans="1:10" ht="13.95" hidden="1" customHeight="1" outlineLevel="3" x14ac:dyDescent="0.3">
      <c r="A139" s="67" t="s">
        <v>679</v>
      </c>
      <c r="B139" s="68" t="s">
        <v>680</v>
      </c>
      <c r="C139" s="69"/>
      <c r="D139" s="80">
        <v>7.9530000000000003</v>
      </c>
      <c r="E139" s="81">
        <v>4</v>
      </c>
      <c r="F139" s="72">
        <v>14596874.8077204</v>
      </c>
      <c r="G139" s="72">
        <v>1835400</v>
      </c>
      <c r="H139" s="73">
        <v>7341600</v>
      </c>
      <c r="I139" s="82">
        <v>7255274.8077204041</v>
      </c>
      <c r="J139" s="86" t="s">
        <v>462</v>
      </c>
    </row>
    <row r="140" spans="1:10" ht="13.95" hidden="1" customHeight="1" outlineLevel="3" x14ac:dyDescent="0.3">
      <c r="A140" s="76" t="s">
        <v>681</v>
      </c>
      <c r="B140" s="23" t="s">
        <v>682</v>
      </c>
      <c r="C140" s="34"/>
      <c r="D140" s="83">
        <v>10.811999999999999</v>
      </c>
      <c r="E140" s="84">
        <v>6.8</v>
      </c>
      <c r="F140" s="77">
        <v>8243928</v>
      </c>
      <c r="G140" s="77">
        <v>762450</v>
      </c>
      <c r="H140" s="78">
        <v>3049800</v>
      </c>
      <c r="I140" s="85">
        <v>5194128</v>
      </c>
      <c r="J140" s="79" t="s">
        <v>441</v>
      </c>
    </row>
    <row r="141" spans="1:10" ht="13.95" hidden="1" customHeight="1" outlineLevel="3" x14ac:dyDescent="0.3">
      <c r="A141" s="67" t="s">
        <v>683</v>
      </c>
      <c r="B141" s="68" t="s">
        <v>684</v>
      </c>
      <c r="C141" s="69"/>
      <c r="D141" s="70">
        <v>12.473000000000001</v>
      </c>
      <c r="E141" s="71">
        <v>8.5</v>
      </c>
      <c r="F141" s="72">
        <v>2926060.5</v>
      </c>
      <c r="G141" s="72">
        <v>234600</v>
      </c>
      <c r="H141" s="73">
        <v>938400</v>
      </c>
      <c r="I141" s="74">
        <v>1987660.5</v>
      </c>
      <c r="J141" s="75" t="s">
        <v>441</v>
      </c>
    </row>
    <row r="142" spans="1:10" ht="16.05" hidden="1" customHeight="1" outlineLevel="1" x14ac:dyDescent="0.3">
      <c r="A142" s="55" t="s">
        <v>685</v>
      </c>
      <c r="B142" s="56"/>
      <c r="C142" s="57">
        <v>8</v>
      </c>
      <c r="D142" s="56"/>
      <c r="E142" s="56"/>
      <c r="F142" s="58">
        <v>3524922</v>
      </c>
      <c r="G142" s="59">
        <v>371909.99999999988</v>
      </c>
      <c r="H142" s="59">
        <v>1487640</v>
      </c>
      <c r="I142" s="58">
        <v>2037282</v>
      </c>
      <c r="J142" s="60" t="s">
        <v>508</v>
      </c>
    </row>
    <row r="143" spans="1:10" ht="16.05" hidden="1" customHeight="1" outlineLevel="2" x14ac:dyDescent="0.3">
      <c r="A143" s="61" t="s">
        <v>686</v>
      </c>
      <c r="B143" s="62"/>
      <c r="C143" s="63">
        <v>4</v>
      </c>
      <c r="D143" s="62"/>
      <c r="E143" s="62"/>
      <c r="F143" s="64">
        <v>1562834</v>
      </c>
      <c r="G143" s="65">
        <v>135930</v>
      </c>
      <c r="H143" s="65">
        <v>543720</v>
      </c>
      <c r="I143" s="64">
        <v>1019114</v>
      </c>
      <c r="J143" s="66" t="s">
        <v>482</v>
      </c>
    </row>
    <row r="144" spans="1:10" ht="13.95" hidden="1" customHeight="1" outlineLevel="3" x14ac:dyDescent="0.3">
      <c r="A144" s="67" t="s">
        <v>687</v>
      </c>
      <c r="B144" s="68" t="s">
        <v>688</v>
      </c>
      <c r="C144" s="69"/>
      <c r="D144" s="70">
        <v>16.236999999999998</v>
      </c>
      <c r="E144" s="71">
        <v>12.2</v>
      </c>
      <c r="F144" s="72">
        <v>560160</v>
      </c>
      <c r="G144" s="72">
        <v>34500</v>
      </c>
      <c r="H144" s="73">
        <v>138000</v>
      </c>
      <c r="I144" s="74">
        <v>422160</v>
      </c>
      <c r="J144" s="75" t="s">
        <v>441</v>
      </c>
    </row>
    <row r="145" spans="1:10" ht="13.95" hidden="1" customHeight="1" outlineLevel="3" x14ac:dyDescent="0.3">
      <c r="A145" s="76" t="s">
        <v>689</v>
      </c>
      <c r="B145" s="23" t="s">
        <v>690</v>
      </c>
      <c r="C145" s="34"/>
      <c r="D145" s="70">
        <v>19.742000000000001</v>
      </c>
      <c r="E145" s="71">
        <v>15.7</v>
      </c>
      <c r="F145" s="77">
        <v>367798</v>
      </c>
      <c r="G145" s="77">
        <v>18630</v>
      </c>
      <c r="H145" s="78">
        <v>74519.999999999985</v>
      </c>
      <c r="I145" s="74">
        <v>293278</v>
      </c>
      <c r="J145" s="79" t="s">
        <v>441</v>
      </c>
    </row>
    <row r="146" spans="1:10" ht="13.95" hidden="1" customHeight="1" outlineLevel="3" x14ac:dyDescent="0.3">
      <c r="A146" s="67" t="s">
        <v>691</v>
      </c>
      <c r="B146" s="68" t="s">
        <v>692</v>
      </c>
      <c r="C146" s="69"/>
      <c r="D146" s="83">
        <v>9.7230000000000008</v>
      </c>
      <c r="E146" s="84">
        <v>5.7</v>
      </c>
      <c r="F146" s="72">
        <v>301892</v>
      </c>
      <c r="G146" s="72">
        <v>31050</v>
      </c>
      <c r="H146" s="73">
        <v>124200</v>
      </c>
      <c r="I146" s="85">
        <v>177692</v>
      </c>
      <c r="J146" s="75" t="s">
        <v>441</v>
      </c>
    </row>
    <row r="147" spans="1:10" ht="13.95" hidden="1" customHeight="1" outlineLevel="3" x14ac:dyDescent="0.3">
      <c r="A147" s="76" t="s">
        <v>693</v>
      </c>
      <c r="B147" s="23" t="s">
        <v>694</v>
      </c>
      <c r="C147" s="34"/>
      <c r="D147" s="80">
        <v>6.4340000000000002</v>
      </c>
      <c r="E147" s="81">
        <v>2.4</v>
      </c>
      <c r="F147" s="77">
        <v>332984</v>
      </c>
      <c r="G147" s="77">
        <v>51750</v>
      </c>
      <c r="H147" s="78">
        <v>207000</v>
      </c>
      <c r="I147" s="82">
        <v>125984</v>
      </c>
      <c r="J147" s="79" t="s">
        <v>441</v>
      </c>
    </row>
    <row r="148" spans="1:10" ht="16.05" hidden="1" customHeight="1" outlineLevel="2" x14ac:dyDescent="0.3">
      <c r="A148" s="61" t="s">
        <v>695</v>
      </c>
      <c r="B148" s="62"/>
      <c r="C148" s="63">
        <v>2</v>
      </c>
      <c r="D148" s="62"/>
      <c r="E148" s="62"/>
      <c r="F148" s="64">
        <v>1455772</v>
      </c>
      <c r="G148" s="65">
        <v>182160</v>
      </c>
      <c r="H148" s="65">
        <v>728640</v>
      </c>
      <c r="I148" s="64">
        <v>727132</v>
      </c>
      <c r="J148" s="66" t="s">
        <v>482</v>
      </c>
    </row>
    <row r="149" spans="1:10" ht="13.95" hidden="1" customHeight="1" outlineLevel="3" x14ac:dyDescent="0.3">
      <c r="A149" s="67" t="s">
        <v>696</v>
      </c>
      <c r="B149" s="68" t="s">
        <v>697</v>
      </c>
      <c r="C149" s="69"/>
      <c r="D149" s="80">
        <v>7.8680000000000003</v>
      </c>
      <c r="E149" s="81">
        <v>3.9</v>
      </c>
      <c r="F149" s="72">
        <v>985292</v>
      </c>
      <c r="G149" s="72">
        <v>125235</v>
      </c>
      <c r="H149" s="73">
        <v>500939.99999999988</v>
      </c>
      <c r="I149" s="82">
        <v>484352.00000000012</v>
      </c>
      <c r="J149" s="75" t="s">
        <v>441</v>
      </c>
    </row>
    <row r="150" spans="1:10" ht="13.95" hidden="1" customHeight="1" outlineLevel="3" x14ac:dyDescent="0.3">
      <c r="A150" s="76" t="s">
        <v>698</v>
      </c>
      <c r="B150" s="23" t="s">
        <v>699</v>
      </c>
      <c r="C150" s="34"/>
      <c r="D150" s="83">
        <v>8.2650000000000006</v>
      </c>
      <c r="E150" s="84">
        <v>4.3</v>
      </c>
      <c r="F150" s="77">
        <v>470480</v>
      </c>
      <c r="G150" s="77">
        <v>56925</v>
      </c>
      <c r="H150" s="78">
        <v>227700</v>
      </c>
      <c r="I150" s="85">
        <v>242780</v>
      </c>
      <c r="J150" s="79" t="s">
        <v>441</v>
      </c>
    </row>
    <row r="151" spans="1:10" ht="16.05" hidden="1" customHeight="1" outlineLevel="2" x14ac:dyDescent="0.3">
      <c r="A151" s="61" t="s">
        <v>700</v>
      </c>
      <c r="B151" s="62"/>
      <c r="C151" s="63">
        <v>1</v>
      </c>
      <c r="D151" s="62"/>
      <c r="E151" s="62"/>
      <c r="F151" s="64">
        <v>199650</v>
      </c>
      <c r="G151" s="65">
        <v>12420</v>
      </c>
      <c r="H151" s="65">
        <v>49679.999999999993</v>
      </c>
      <c r="I151" s="64">
        <v>149970</v>
      </c>
      <c r="J151" s="66" t="s">
        <v>482</v>
      </c>
    </row>
    <row r="152" spans="1:10" ht="13.95" hidden="1" customHeight="1" outlineLevel="3" x14ac:dyDescent="0.3">
      <c r="A152" s="67" t="s">
        <v>701</v>
      </c>
      <c r="B152" s="68" t="s">
        <v>702</v>
      </c>
      <c r="C152" s="69"/>
      <c r="D152" s="70">
        <v>16.074999999999999</v>
      </c>
      <c r="E152" s="71">
        <v>12.1</v>
      </c>
      <c r="F152" s="72">
        <v>199650</v>
      </c>
      <c r="G152" s="72">
        <v>12420</v>
      </c>
      <c r="H152" s="73">
        <v>49679.999999999993</v>
      </c>
      <c r="I152" s="74">
        <v>149970</v>
      </c>
      <c r="J152" s="75" t="s">
        <v>441</v>
      </c>
    </row>
    <row r="153" spans="1:10" ht="16.05" hidden="1" customHeight="1" outlineLevel="2" x14ac:dyDescent="0.3">
      <c r="A153" s="61" t="s">
        <v>703</v>
      </c>
      <c r="B153" s="62"/>
      <c r="C153" s="63">
        <v>1</v>
      </c>
      <c r="D153" s="62"/>
      <c r="E153" s="62"/>
      <c r="F153" s="64">
        <v>306666</v>
      </c>
      <c r="G153" s="65">
        <v>41399.999999999993</v>
      </c>
      <c r="H153" s="65">
        <v>165600</v>
      </c>
      <c r="I153" s="64">
        <v>141066</v>
      </c>
      <c r="J153" s="66" t="s">
        <v>601</v>
      </c>
    </row>
    <row r="154" spans="1:10" ht="13.95" hidden="1" customHeight="1" outlineLevel="3" x14ac:dyDescent="0.3">
      <c r="A154" s="67" t="s">
        <v>704</v>
      </c>
      <c r="B154" s="68" t="s">
        <v>705</v>
      </c>
      <c r="C154" s="69"/>
      <c r="D154" s="80">
        <v>7.407</v>
      </c>
      <c r="E154" s="81">
        <v>3.4</v>
      </c>
      <c r="F154" s="72">
        <v>306666</v>
      </c>
      <c r="G154" s="72">
        <v>41399.999999999993</v>
      </c>
      <c r="H154" s="73">
        <v>165600</v>
      </c>
      <c r="I154" s="82">
        <v>141066</v>
      </c>
      <c r="J154" s="86" t="s">
        <v>462</v>
      </c>
    </row>
    <row r="155" spans="1:10" ht="16.05" hidden="1" customHeight="1" outlineLevel="1" x14ac:dyDescent="0.3">
      <c r="A155" s="55" t="s">
        <v>706</v>
      </c>
      <c r="B155" s="56"/>
      <c r="C155" s="57">
        <v>1</v>
      </c>
      <c r="D155" s="56"/>
      <c r="E155" s="56"/>
      <c r="F155" s="58">
        <v>1062004</v>
      </c>
      <c r="G155" s="59">
        <v>150144</v>
      </c>
      <c r="H155" s="59">
        <v>600575.99999999988</v>
      </c>
      <c r="I155" s="58">
        <v>461428.00000000012</v>
      </c>
      <c r="J155" s="60" t="s">
        <v>601</v>
      </c>
    </row>
    <row r="156" spans="1:10" ht="16.05" hidden="1" customHeight="1" outlineLevel="2" x14ac:dyDescent="0.3">
      <c r="A156" s="61" t="s">
        <v>490</v>
      </c>
      <c r="B156" s="62"/>
      <c r="C156" s="63">
        <v>1</v>
      </c>
      <c r="D156" s="62"/>
      <c r="E156" s="62"/>
      <c r="F156" s="64">
        <v>1062004</v>
      </c>
      <c r="G156" s="65">
        <v>150144</v>
      </c>
      <c r="H156" s="65">
        <v>600575.99999999988</v>
      </c>
      <c r="I156" s="64">
        <v>461428.00000000012</v>
      </c>
      <c r="J156" s="66" t="s">
        <v>601</v>
      </c>
    </row>
    <row r="157" spans="1:10" ht="13.95" hidden="1" customHeight="1" outlineLevel="3" x14ac:dyDescent="0.3">
      <c r="A157" s="67" t="s">
        <v>707</v>
      </c>
      <c r="B157" s="68" t="s">
        <v>708</v>
      </c>
      <c r="C157" s="69"/>
      <c r="D157" s="80">
        <v>7.0730000000000004</v>
      </c>
      <c r="E157" s="81">
        <v>3.1</v>
      </c>
      <c r="F157" s="72">
        <v>1062004</v>
      </c>
      <c r="G157" s="72">
        <v>150144</v>
      </c>
      <c r="H157" s="73">
        <v>600575.99999999988</v>
      </c>
      <c r="I157" s="82">
        <v>461428.00000000012</v>
      </c>
      <c r="J157" s="86" t="s">
        <v>462</v>
      </c>
    </row>
    <row r="158" spans="1:10" ht="16.95" customHeight="1" x14ac:dyDescent="0.3">
      <c r="A158" s="49" t="s">
        <v>709</v>
      </c>
      <c r="B158" s="50"/>
      <c r="C158" s="51">
        <v>21</v>
      </c>
      <c r="D158" s="50"/>
      <c r="E158" s="50"/>
      <c r="F158" s="52">
        <v>38357991.825000003</v>
      </c>
      <c r="G158" s="53">
        <v>1092179.1499999999</v>
      </c>
      <c r="H158" s="53">
        <v>4368716.6000000006</v>
      </c>
      <c r="I158" s="52">
        <v>33989275.224999987</v>
      </c>
      <c r="J158" s="54" t="s">
        <v>710</v>
      </c>
    </row>
    <row r="159" spans="1:10" ht="16.05" hidden="1" customHeight="1" outlineLevel="1" x14ac:dyDescent="0.3">
      <c r="A159" s="55" t="s">
        <v>507</v>
      </c>
      <c r="B159" s="56"/>
      <c r="C159" s="57">
        <v>17</v>
      </c>
      <c r="D159" s="56"/>
      <c r="E159" s="56"/>
      <c r="F159" s="58">
        <v>34084503.274999999</v>
      </c>
      <c r="G159" s="59">
        <v>834110.87000000011</v>
      </c>
      <c r="H159" s="59">
        <v>3336443.48</v>
      </c>
      <c r="I159" s="58">
        <v>30748059.795000002</v>
      </c>
      <c r="J159" s="60" t="s">
        <v>482</v>
      </c>
    </row>
    <row r="160" spans="1:10" ht="16.05" hidden="1" customHeight="1" outlineLevel="2" x14ac:dyDescent="0.3">
      <c r="A160" s="61" t="s">
        <v>509</v>
      </c>
      <c r="B160" s="62"/>
      <c r="C160" s="63">
        <v>13</v>
      </c>
      <c r="D160" s="62"/>
      <c r="E160" s="62"/>
      <c r="F160" s="64">
        <v>31129509.274999999</v>
      </c>
      <c r="G160" s="65">
        <v>728172.87000000011</v>
      </c>
      <c r="H160" s="65">
        <v>2912691.48</v>
      </c>
      <c r="I160" s="64">
        <v>28216817.795000002</v>
      </c>
      <c r="J160" s="66" t="s">
        <v>482</v>
      </c>
    </row>
    <row r="161" spans="1:10" ht="13.95" hidden="1" customHeight="1" outlineLevel="3" x14ac:dyDescent="0.3">
      <c r="A161" s="67" t="s">
        <v>711</v>
      </c>
      <c r="B161" s="68" t="s">
        <v>712</v>
      </c>
      <c r="C161" s="69"/>
      <c r="D161" s="70">
        <v>68.082999999999998</v>
      </c>
      <c r="E161" s="71">
        <v>64.099999999999994</v>
      </c>
      <c r="F161" s="72">
        <v>3346207.3250000002</v>
      </c>
      <c r="G161" s="72">
        <v>49148.700000000012</v>
      </c>
      <c r="H161" s="73">
        <v>196594.8</v>
      </c>
      <c r="I161" s="74">
        <v>3149612.524999999</v>
      </c>
      <c r="J161" s="75" t="s">
        <v>441</v>
      </c>
    </row>
    <row r="162" spans="1:10" ht="13.95" hidden="1" customHeight="1" outlineLevel="3" x14ac:dyDescent="0.3">
      <c r="A162" s="76" t="s">
        <v>713</v>
      </c>
      <c r="B162" s="23" t="s">
        <v>714</v>
      </c>
      <c r="C162" s="34"/>
      <c r="D162" s="70">
        <v>65.662000000000006</v>
      </c>
      <c r="E162" s="71">
        <v>61.7</v>
      </c>
      <c r="F162" s="77">
        <v>3262620.15</v>
      </c>
      <c r="G162" s="77">
        <v>49688.28</v>
      </c>
      <c r="H162" s="78">
        <v>198753.12</v>
      </c>
      <c r="I162" s="74">
        <v>3063867.03</v>
      </c>
      <c r="J162" s="79" t="s">
        <v>441</v>
      </c>
    </row>
    <row r="163" spans="1:10" ht="13.95" hidden="1" customHeight="1" outlineLevel="3" x14ac:dyDescent="0.3">
      <c r="A163" s="67" t="s">
        <v>715</v>
      </c>
      <c r="B163" s="68" t="s">
        <v>716</v>
      </c>
      <c r="C163" s="69"/>
      <c r="D163" s="70">
        <v>64.498000000000005</v>
      </c>
      <c r="E163" s="71">
        <v>60.5</v>
      </c>
      <c r="F163" s="72">
        <v>3204772.2749999999</v>
      </c>
      <c r="G163" s="72">
        <v>49688.28</v>
      </c>
      <c r="H163" s="73">
        <v>198753.12</v>
      </c>
      <c r="I163" s="74">
        <v>3006019.1549999998</v>
      </c>
      <c r="J163" s="75" t="s">
        <v>441</v>
      </c>
    </row>
    <row r="164" spans="1:10" ht="13.95" hidden="1" customHeight="1" outlineLevel="3" x14ac:dyDescent="0.3">
      <c r="A164" s="76" t="s">
        <v>717</v>
      </c>
      <c r="B164" s="23" t="s">
        <v>718</v>
      </c>
      <c r="C164" s="34"/>
      <c r="D164" s="70">
        <v>53.887</v>
      </c>
      <c r="E164" s="71">
        <v>49.9</v>
      </c>
      <c r="F164" s="77">
        <v>3123785.25</v>
      </c>
      <c r="G164" s="77">
        <v>57969.66</v>
      </c>
      <c r="H164" s="78">
        <v>231878.64</v>
      </c>
      <c r="I164" s="74">
        <v>2891906.6099999989</v>
      </c>
      <c r="J164" s="79" t="s">
        <v>441</v>
      </c>
    </row>
    <row r="165" spans="1:10" ht="13.95" hidden="1" customHeight="1" outlineLevel="3" x14ac:dyDescent="0.3">
      <c r="A165" s="67" t="s">
        <v>719</v>
      </c>
      <c r="B165" s="68" t="s">
        <v>720</v>
      </c>
      <c r="C165" s="69"/>
      <c r="D165" s="70">
        <v>45.71</v>
      </c>
      <c r="E165" s="71">
        <v>41.7</v>
      </c>
      <c r="F165" s="72">
        <v>3039509.8</v>
      </c>
      <c r="G165" s="72">
        <v>66495.300000000032</v>
      </c>
      <c r="H165" s="73">
        <v>265981.20000000013</v>
      </c>
      <c r="I165" s="74">
        <v>2773528.6</v>
      </c>
      <c r="J165" s="75" t="s">
        <v>441</v>
      </c>
    </row>
    <row r="166" spans="1:10" ht="13.95" hidden="1" customHeight="1" outlineLevel="3" x14ac:dyDescent="0.3">
      <c r="A166" s="76" t="s">
        <v>721</v>
      </c>
      <c r="B166" s="23" t="s">
        <v>722</v>
      </c>
      <c r="C166" s="34"/>
      <c r="D166" s="70">
        <v>38.884999999999998</v>
      </c>
      <c r="E166" s="71">
        <v>34.9</v>
      </c>
      <c r="F166" s="77">
        <v>2512302.0750000002</v>
      </c>
      <c r="G166" s="77">
        <v>64608.84</v>
      </c>
      <c r="H166" s="78">
        <v>258435.36</v>
      </c>
      <c r="I166" s="74">
        <v>2253866.7149999999</v>
      </c>
      <c r="J166" s="79" t="s">
        <v>441</v>
      </c>
    </row>
    <row r="167" spans="1:10" ht="13.95" hidden="1" customHeight="1" outlineLevel="3" x14ac:dyDescent="0.3">
      <c r="A167" s="67" t="s">
        <v>723</v>
      </c>
      <c r="B167" s="68" t="s">
        <v>724</v>
      </c>
      <c r="C167" s="69"/>
      <c r="D167" s="70">
        <v>37.917000000000002</v>
      </c>
      <c r="E167" s="71">
        <v>33.9</v>
      </c>
      <c r="F167" s="72">
        <v>2301689.9249999998</v>
      </c>
      <c r="G167" s="72">
        <v>60702.750000000022</v>
      </c>
      <c r="H167" s="73">
        <v>242811.00000000009</v>
      </c>
      <c r="I167" s="74">
        <v>2058878.925</v>
      </c>
      <c r="J167" s="75" t="s">
        <v>441</v>
      </c>
    </row>
    <row r="168" spans="1:10" ht="13.95" hidden="1" customHeight="1" outlineLevel="3" x14ac:dyDescent="0.3">
      <c r="A168" s="76" t="s">
        <v>725</v>
      </c>
      <c r="B168" s="23" t="s">
        <v>726</v>
      </c>
      <c r="C168" s="34"/>
      <c r="D168" s="70">
        <v>31.873000000000001</v>
      </c>
      <c r="E168" s="71">
        <v>27.9</v>
      </c>
      <c r="F168" s="77">
        <v>2321748.2250000001</v>
      </c>
      <c r="G168" s="77">
        <v>72843.300000000032</v>
      </c>
      <c r="H168" s="78">
        <v>291373.20000000013</v>
      </c>
      <c r="I168" s="74">
        <v>2030375.0249999999</v>
      </c>
      <c r="J168" s="79" t="s">
        <v>441</v>
      </c>
    </row>
    <row r="169" spans="1:10" ht="13.95" hidden="1" customHeight="1" outlineLevel="3" x14ac:dyDescent="0.3">
      <c r="A169" s="67" t="s">
        <v>727</v>
      </c>
      <c r="B169" s="68" t="s">
        <v>728</v>
      </c>
      <c r="C169" s="69"/>
      <c r="D169" s="70">
        <v>34.926000000000002</v>
      </c>
      <c r="E169" s="71">
        <v>30.9</v>
      </c>
      <c r="F169" s="72">
        <v>1782140.625</v>
      </c>
      <c r="G169" s="72">
        <v>51025.499999999993</v>
      </c>
      <c r="H169" s="73">
        <v>204102</v>
      </c>
      <c r="I169" s="74">
        <v>1578038.625</v>
      </c>
      <c r="J169" s="75" t="s">
        <v>441</v>
      </c>
    </row>
    <row r="170" spans="1:10" ht="13.95" hidden="1" customHeight="1" outlineLevel="3" x14ac:dyDescent="0.3">
      <c r="A170" s="76" t="s">
        <v>729</v>
      </c>
      <c r="B170" s="23" t="s">
        <v>730</v>
      </c>
      <c r="C170" s="34"/>
      <c r="D170" s="70">
        <v>34.180999999999997</v>
      </c>
      <c r="E170" s="71">
        <v>30.2</v>
      </c>
      <c r="F170" s="77">
        <v>1744121.625</v>
      </c>
      <c r="G170" s="77">
        <v>51025.499999999993</v>
      </c>
      <c r="H170" s="78">
        <v>204102</v>
      </c>
      <c r="I170" s="74">
        <v>1540019.625</v>
      </c>
      <c r="J170" s="79" t="s">
        <v>441</v>
      </c>
    </row>
    <row r="171" spans="1:10" ht="13.95" hidden="1" customHeight="1" outlineLevel="3" x14ac:dyDescent="0.3">
      <c r="A171" s="67" t="s">
        <v>731</v>
      </c>
      <c r="B171" s="68" t="s">
        <v>732</v>
      </c>
      <c r="C171" s="69"/>
      <c r="D171" s="70">
        <v>36.323999999999998</v>
      </c>
      <c r="E171" s="71">
        <v>32.299999999999997</v>
      </c>
      <c r="F171" s="72">
        <v>1563695.25</v>
      </c>
      <c r="G171" s="72">
        <v>43049.1</v>
      </c>
      <c r="H171" s="73">
        <v>172196.4</v>
      </c>
      <c r="I171" s="74">
        <v>1391498.85</v>
      </c>
      <c r="J171" s="75" t="s">
        <v>441</v>
      </c>
    </row>
    <row r="172" spans="1:10" ht="13.95" hidden="1" customHeight="1" outlineLevel="3" x14ac:dyDescent="0.3">
      <c r="A172" s="76" t="s">
        <v>733</v>
      </c>
      <c r="B172" s="23" t="s">
        <v>734</v>
      </c>
      <c r="C172" s="34"/>
      <c r="D172" s="70">
        <v>29.027999999999999</v>
      </c>
      <c r="E172" s="71">
        <v>25</v>
      </c>
      <c r="F172" s="77">
        <v>1499543.65</v>
      </c>
      <c r="G172" s="77">
        <v>51658.919999999991</v>
      </c>
      <c r="H172" s="78">
        <v>206635.68</v>
      </c>
      <c r="I172" s="74">
        <v>1292907.97</v>
      </c>
      <c r="J172" s="79" t="s">
        <v>441</v>
      </c>
    </row>
    <row r="173" spans="1:10" ht="13.95" hidden="1" customHeight="1" outlineLevel="3" x14ac:dyDescent="0.3">
      <c r="A173" s="67" t="s">
        <v>735</v>
      </c>
      <c r="B173" s="68" t="s">
        <v>736</v>
      </c>
      <c r="C173" s="69"/>
      <c r="D173" s="70">
        <v>23.683</v>
      </c>
      <c r="E173" s="71">
        <v>19.7</v>
      </c>
      <c r="F173" s="72">
        <v>1427373.1</v>
      </c>
      <c r="G173" s="72">
        <v>60268.739999999991</v>
      </c>
      <c r="H173" s="73">
        <v>241074.96</v>
      </c>
      <c r="I173" s="74">
        <v>1186298.1399999999</v>
      </c>
      <c r="J173" s="75" t="s">
        <v>441</v>
      </c>
    </row>
    <row r="174" spans="1:10" ht="16.05" hidden="1" customHeight="1" outlineLevel="2" x14ac:dyDescent="0.3">
      <c r="A174" s="61" t="s">
        <v>737</v>
      </c>
      <c r="B174" s="62"/>
      <c r="C174" s="63">
        <v>4</v>
      </c>
      <c r="D174" s="62"/>
      <c r="E174" s="62"/>
      <c r="F174" s="64">
        <v>2954994</v>
      </c>
      <c r="G174" s="65">
        <v>105938</v>
      </c>
      <c r="H174" s="65">
        <v>423752.00000000012</v>
      </c>
      <c r="I174" s="64">
        <v>2531242</v>
      </c>
      <c r="J174" s="66" t="s">
        <v>482</v>
      </c>
    </row>
    <row r="175" spans="1:10" ht="13.95" hidden="1" customHeight="1" outlineLevel="3" x14ac:dyDescent="0.3">
      <c r="A175" s="67" t="s">
        <v>738</v>
      </c>
      <c r="B175" s="68" t="s">
        <v>739</v>
      </c>
      <c r="C175" s="69"/>
      <c r="D175" s="70">
        <v>36.417000000000002</v>
      </c>
      <c r="E175" s="71">
        <v>32.4</v>
      </c>
      <c r="F175" s="72">
        <v>837248.29999999993</v>
      </c>
      <c r="G175" s="72">
        <v>22990.799999999999</v>
      </c>
      <c r="H175" s="73">
        <v>91963.199999999997</v>
      </c>
      <c r="I175" s="74">
        <v>745285.1</v>
      </c>
      <c r="J175" s="75" t="s">
        <v>441</v>
      </c>
    </row>
    <row r="176" spans="1:10" ht="13.95" hidden="1" customHeight="1" outlineLevel="3" x14ac:dyDescent="0.3">
      <c r="A176" s="76" t="s">
        <v>740</v>
      </c>
      <c r="B176" s="23" t="s">
        <v>741</v>
      </c>
      <c r="C176" s="34"/>
      <c r="D176" s="70">
        <v>28.995999999999999</v>
      </c>
      <c r="E176" s="71">
        <v>25</v>
      </c>
      <c r="F176" s="77">
        <v>751596.29999999993</v>
      </c>
      <c r="G176" s="77">
        <v>25921.000000000011</v>
      </c>
      <c r="H176" s="78">
        <v>103684</v>
      </c>
      <c r="I176" s="74">
        <v>647912.29999999993</v>
      </c>
      <c r="J176" s="79" t="s">
        <v>441</v>
      </c>
    </row>
    <row r="177" spans="1:10" ht="13.95" hidden="1" customHeight="1" outlineLevel="3" x14ac:dyDescent="0.3">
      <c r="A177" s="67" t="s">
        <v>742</v>
      </c>
      <c r="B177" s="68" t="s">
        <v>743</v>
      </c>
      <c r="C177" s="69"/>
      <c r="D177" s="70">
        <v>22.992999999999999</v>
      </c>
      <c r="E177" s="71">
        <v>19</v>
      </c>
      <c r="F177" s="72">
        <v>715194.2</v>
      </c>
      <c r="G177" s="72">
        <v>31105.200000000012</v>
      </c>
      <c r="H177" s="73">
        <v>124420.8</v>
      </c>
      <c r="I177" s="74">
        <v>590773.39999999991</v>
      </c>
      <c r="J177" s="75" t="s">
        <v>441</v>
      </c>
    </row>
    <row r="178" spans="1:10" ht="13.95" hidden="1" customHeight="1" outlineLevel="3" x14ac:dyDescent="0.3">
      <c r="A178" s="76" t="s">
        <v>744</v>
      </c>
      <c r="B178" s="23" t="s">
        <v>745</v>
      </c>
      <c r="C178" s="34"/>
      <c r="D178" s="70">
        <v>25.113</v>
      </c>
      <c r="E178" s="71">
        <v>21.1</v>
      </c>
      <c r="F178" s="77">
        <v>650955.19999999995</v>
      </c>
      <c r="G178" s="77">
        <v>25921.000000000011</v>
      </c>
      <c r="H178" s="78">
        <v>103684</v>
      </c>
      <c r="I178" s="74">
        <v>547271.19999999995</v>
      </c>
      <c r="J178" s="79" t="s">
        <v>441</v>
      </c>
    </row>
    <row r="179" spans="1:10" ht="16.05" hidden="1" customHeight="1" outlineLevel="1" x14ac:dyDescent="0.3">
      <c r="A179" s="55" t="s">
        <v>746</v>
      </c>
      <c r="B179" s="56"/>
      <c r="C179" s="57">
        <v>4</v>
      </c>
      <c r="D179" s="56"/>
      <c r="E179" s="56"/>
      <c r="F179" s="58">
        <v>4273488.55</v>
      </c>
      <c r="G179" s="59">
        <v>258068.28</v>
      </c>
      <c r="H179" s="59">
        <v>1032273.12</v>
      </c>
      <c r="I179" s="58">
        <v>3241215.43</v>
      </c>
      <c r="J179" s="60" t="s">
        <v>482</v>
      </c>
    </row>
    <row r="180" spans="1:10" ht="16.05" hidden="1" customHeight="1" outlineLevel="2" x14ac:dyDescent="0.3">
      <c r="A180" s="61" t="s">
        <v>747</v>
      </c>
      <c r="B180" s="62"/>
      <c r="C180" s="63">
        <v>4</v>
      </c>
      <c r="D180" s="62"/>
      <c r="E180" s="62"/>
      <c r="F180" s="64">
        <v>4273488.55</v>
      </c>
      <c r="G180" s="65">
        <v>258068.28</v>
      </c>
      <c r="H180" s="65">
        <v>1032273.12</v>
      </c>
      <c r="I180" s="64">
        <v>3241215.43</v>
      </c>
      <c r="J180" s="66" t="s">
        <v>482</v>
      </c>
    </row>
    <row r="181" spans="1:10" ht="13.95" hidden="1" customHeight="1" outlineLevel="3" x14ac:dyDescent="0.3">
      <c r="A181" s="67" t="s">
        <v>748</v>
      </c>
      <c r="B181" s="68" t="s">
        <v>749</v>
      </c>
      <c r="C181" s="69"/>
      <c r="D181" s="70">
        <v>18.094999999999999</v>
      </c>
      <c r="E181" s="71">
        <v>14.1</v>
      </c>
      <c r="F181" s="72">
        <v>1219230</v>
      </c>
      <c r="G181" s="72">
        <v>67378.5</v>
      </c>
      <c r="H181" s="73">
        <v>269514</v>
      </c>
      <c r="I181" s="74">
        <v>949716</v>
      </c>
      <c r="J181" s="75" t="s">
        <v>441</v>
      </c>
    </row>
    <row r="182" spans="1:10" ht="13.95" hidden="1" customHeight="1" outlineLevel="3" x14ac:dyDescent="0.3">
      <c r="A182" s="76" t="s">
        <v>750</v>
      </c>
      <c r="B182" s="23" t="s">
        <v>751</v>
      </c>
      <c r="C182" s="34"/>
      <c r="D182" s="70">
        <v>15.833</v>
      </c>
      <c r="E182" s="71">
        <v>11.8</v>
      </c>
      <c r="F182" s="77">
        <v>1066826.25</v>
      </c>
      <c r="G182" s="77">
        <v>67378.5</v>
      </c>
      <c r="H182" s="78">
        <v>269514</v>
      </c>
      <c r="I182" s="74">
        <v>797312.25</v>
      </c>
      <c r="J182" s="79" t="s">
        <v>441</v>
      </c>
    </row>
    <row r="183" spans="1:10" ht="13.95" hidden="1" customHeight="1" outlineLevel="3" x14ac:dyDescent="0.3">
      <c r="A183" s="67" t="s">
        <v>752</v>
      </c>
      <c r="B183" s="68" t="s">
        <v>753</v>
      </c>
      <c r="C183" s="69"/>
      <c r="D183" s="70">
        <v>17.347999999999999</v>
      </c>
      <c r="E183" s="71">
        <v>13.3</v>
      </c>
      <c r="F183" s="72">
        <v>980103.6</v>
      </c>
      <c r="G183" s="72">
        <v>56497.200000000019</v>
      </c>
      <c r="H183" s="73">
        <v>225988.8000000001</v>
      </c>
      <c r="I183" s="74">
        <v>754114.79999999993</v>
      </c>
      <c r="J183" s="75" t="s">
        <v>441</v>
      </c>
    </row>
    <row r="184" spans="1:10" ht="13.95" hidden="1" customHeight="1" outlineLevel="3" x14ac:dyDescent="0.3">
      <c r="A184" s="76" t="s">
        <v>754</v>
      </c>
      <c r="B184" s="23" t="s">
        <v>755</v>
      </c>
      <c r="C184" s="34"/>
      <c r="D184" s="70">
        <v>15.077</v>
      </c>
      <c r="E184" s="71">
        <v>11.1</v>
      </c>
      <c r="F184" s="77">
        <v>1007328.7</v>
      </c>
      <c r="G184" s="77">
        <v>66814.080000000002</v>
      </c>
      <c r="H184" s="78">
        <v>267256.32000000001</v>
      </c>
      <c r="I184" s="74">
        <v>740072.37999999989</v>
      </c>
      <c r="J184" s="79" t="s">
        <v>441</v>
      </c>
    </row>
    <row r="185" spans="1:10" ht="16.95" customHeight="1" x14ac:dyDescent="0.3">
      <c r="A185" s="49" t="s">
        <v>756</v>
      </c>
      <c r="B185" s="50"/>
      <c r="C185" s="51">
        <v>5</v>
      </c>
      <c r="D185" s="50"/>
      <c r="E185" s="50"/>
      <c r="F185" s="52">
        <v>20381872.62699623</v>
      </c>
      <c r="G185" s="53">
        <v>1173301.875</v>
      </c>
      <c r="H185" s="53">
        <v>4693207.5</v>
      </c>
      <c r="I185" s="52">
        <v>15688665.126996219</v>
      </c>
      <c r="J185" s="54" t="s">
        <v>757</v>
      </c>
    </row>
    <row r="186" spans="1:10" ht="16.05" hidden="1" customHeight="1" outlineLevel="1" x14ac:dyDescent="0.3">
      <c r="A186" s="55" t="s">
        <v>758</v>
      </c>
      <c r="B186" s="56"/>
      <c r="C186" s="57">
        <v>2</v>
      </c>
      <c r="D186" s="56"/>
      <c r="E186" s="56"/>
      <c r="F186" s="58">
        <v>12188349.62699623</v>
      </c>
      <c r="G186" s="59">
        <v>576106.875</v>
      </c>
      <c r="H186" s="59">
        <v>2304427.5</v>
      </c>
      <c r="I186" s="58">
        <v>9883922.1269962266</v>
      </c>
      <c r="J186" s="60" t="s">
        <v>501</v>
      </c>
    </row>
    <row r="187" spans="1:10" ht="16.05" hidden="1" customHeight="1" outlineLevel="2" x14ac:dyDescent="0.3">
      <c r="A187" s="61" t="s">
        <v>759</v>
      </c>
      <c r="B187" s="62"/>
      <c r="C187" s="63">
        <v>2</v>
      </c>
      <c r="D187" s="62"/>
      <c r="E187" s="62"/>
      <c r="F187" s="64">
        <v>12188349.62699623</v>
      </c>
      <c r="G187" s="65">
        <v>576106.875</v>
      </c>
      <c r="H187" s="65">
        <v>2304427.5</v>
      </c>
      <c r="I187" s="64">
        <v>9883922.1269962266</v>
      </c>
      <c r="J187" s="66" t="s">
        <v>501</v>
      </c>
    </row>
    <row r="188" spans="1:10" ht="13.95" hidden="1" customHeight="1" outlineLevel="3" x14ac:dyDescent="0.3">
      <c r="A188" s="67" t="s">
        <v>760</v>
      </c>
      <c r="B188" s="68" t="s">
        <v>761</v>
      </c>
      <c r="C188" s="69"/>
      <c r="D188" s="70">
        <v>20.451000000000001</v>
      </c>
      <c r="E188" s="71">
        <v>16.5</v>
      </c>
      <c r="F188" s="72">
        <v>6759989.6269962257</v>
      </c>
      <c r="G188" s="72">
        <v>330553.125</v>
      </c>
      <c r="H188" s="73">
        <v>1322212.5</v>
      </c>
      <c r="I188" s="74">
        <v>5437777.1269962257</v>
      </c>
      <c r="J188" s="75" t="s">
        <v>441</v>
      </c>
    </row>
    <row r="189" spans="1:10" ht="13.95" hidden="1" customHeight="1" outlineLevel="3" x14ac:dyDescent="0.3">
      <c r="A189" s="76" t="s">
        <v>762</v>
      </c>
      <c r="B189" s="23" t="s">
        <v>763</v>
      </c>
      <c r="C189" s="34"/>
      <c r="D189" s="70">
        <v>22.106999999999999</v>
      </c>
      <c r="E189" s="71">
        <v>18.100000000000001</v>
      </c>
      <c r="F189" s="77">
        <v>5428360</v>
      </c>
      <c r="G189" s="77">
        <v>245553.75</v>
      </c>
      <c r="H189" s="78">
        <v>982215</v>
      </c>
      <c r="I189" s="74">
        <v>4446145</v>
      </c>
      <c r="J189" s="86" t="s">
        <v>462</v>
      </c>
    </row>
    <row r="190" spans="1:10" ht="16.05" hidden="1" customHeight="1" outlineLevel="1" x14ac:dyDescent="0.3">
      <c r="A190" s="55" t="s">
        <v>764</v>
      </c>
      <c r="B190" s="56"/>
      <c r="C190" s="57">
        <v>1</v>
      </c>
      <c r="D190" s="56"/>
      <c r="E190" s="56"/>
      <c r="F190" s="58">
        <v>6909150</v>
      </c>
      <c r="G190" s="59">
        <v>476099.99999999988</v>
      </c>
      <c r="H190" s="59">
        <v>1904400</v>
      </c>
      <c r="I190" s="58">
        <v>5004750</v>
      </c>
      <c r="J190" s="60" t="s">
        <v>482</v>
      </c>
    </row>
    <row r="191" spans="1:10" ht="16.05" hidden="1" customHeight="1" outlineLevel="2" x14ac:dyDescent="0.3">
      <c r="A191" s="61" t="s">
        <v>765</v>
      </c>
      <c r="B191" s="62"/>
      <c r="C191" s="63">
        <v>1</v>
      </c>
      <c r="D191" s="62"/>
      <c r="E191" s="62"/>
      <c r="F191" s="64">
        <v>6909150</v>
      </c>
      <c r="G191" s="65">
        <v>476099.99999999988</v>
      </c>
      <c r="H191" s="65">
        <v>1904400</v>
      </c>
      <c r="I191" s="64">
        <v>5004750</v>
      </c>
      <c r="J191" s="66" t="s">
        <v>482</v>
      </c>
    </row>
    <row r="192" spans="1:10" ht="13.95" hidden="1" customHeight="1" outlineLevel="3" x14ac:dyDescent="0.3">
      <c r="A192" s="67" t="s">
        <v>766</v>
      </c>
      <c r="B192" s="68" t="s">
        <v>767</v>
      </c>
      <c r="C192" s="69"/>
      <c r="D192" s="70">
        <v>14.512</v>
      </c>
      <c r="E192" s="71">
        <v>10.5</v>
      </c>
      <c r="F192" s="72">
        <v>6909150</v>
      </c>
      <c r="G192" s="72">
        <v>476099.99999999988</v>
      </c>
      <c r="H192" s="73">
        <v>1904400</v>
      </c>
      <c r="I192" s="74">
        <v>5004750</v>
      </c>
      <c r="J192" s="75" t="s">
        <v>441</v>
      </c>
    </row>
    <row r="193" spans="1:10" ht="16.05" hidden="1" customHeight="1" outlineLevel="1" x14ac:dyDescent="0.3">
      <c r="A193" s="55" t="s">
        <v>768</v>
      </c>
      <c r="B193" s="56"/>
      <c r="C193" s="57">
        <v>2</v>
      </c>
      <c r="D193" s="56"/>
      <c r="E193" s="56"/>
      <c r="F193" s="58">
        <v>1284373</v>
      </c>
      <c r="G193" s="59">
        <v>121095</v>
      </c>
      <c r="H193" s="59">
        <v>484379.99999999988</v>
      </c>
      <c r="I193" s="58">
        <v>799993</v>
      </c>
      <c r="J193" s="60" t="s">
        <v>482</v>
      </c>
    </row>
    <row r="194" spans="1:10" ht="16.05" hidden="1" customHeight="1" outlineLevel="2" x14ac:dyDescent="0.3">
      <c r="A194" s="61" t="s">
        <v>769</v>
      </c>
      <c r="B194" s="62"/>
      <c r="C194" s="63">
        <v>2</v>
      </c>
      <c r="D194" s="62"/>
      <c r="E194" s="62"/>
      <c r="F194" s="64">
        <v>1284373</v>
      </c>
      <c r="G194" s="65">
        <v>121095</v>
      </c>
      <c r="H194" s="65">
        <v>484379.99999999988</v>
      </c>
      <c r="I194" s="64">
        <v>799993</v>
      </c>
      <c r="J194" s="66" t="s">
        <v>482</v>
      </c>
    </row>
    <row r="195" spans="1:10" ht="13.95" hidden="1" customHeight="1" outlineLevel="3" x14ac:dyDescent="0.3">
      <c r="A195" s="67" t="s">
        <v>770</v>
      </c>
      <c r="B195" s="68" t="s">
        <v>771</v>
      </c>
      <c r="C195" s="69"/>
      <c r="D195" s="70">
        <v>12.801</v>
      </c>
      <c r="E195" s="71">
        <v>8.8000000000000007</v>
      </c>
      <c r="F195" s="72">
        <v>622724.99999999988</v>
      </c>
      <c r="G195" s="72">
        <v>48644.999999999993</v>
      </c>
      <c r="H195" s="73">
        <v>194580</v>
      </c>
      <c r="I195" s="74">
        <v>428144.99999999988</v>
      </c>
      <c r="J195" s="75" t="s">
        <v>441</v>
      </c>
    </row>
    <row r="196" spans="1:10" ht="13.95" hidden="1" customHeight="1" outlineLevel="3" x14ac:dyDescent="0.3">
      <c r="A196" s="76" t="s">
        <v>772</v>
      </c>
      <c r="B196" s="23" t="s">
        <v>773</v>
      </c>
      <c r="C196" s="34"/>
      <c r="D196" s="83">
        <v>9.1319999999999997</v>
      </c>
      <c r="E196" s="84">
        <v>5.0999999999999996</v>
      </c>
      <c r="F196" s="77">
        <v>661648</v>
      </c>
      <c r="G196" s="77">
        <v>72449.999999999985</v>
      </c>
      <c r="H196" s="78">
        <v>289799.99999999988</v>
      </c>
      <c r="I196" s="85">
        <v>371848.00000000012</v>
      </c>
      <c r="J196" s="79" t="s">
        <v>441</v>
      </c>
    </row>
    <row r="197" spans="1:10" ht="16.95" customHeight="1" x14ac:dyDescent="0.3">
      <c r="A197" s="49" t="s">
        <v>774</v>
      </c>
      <c r="B197" s="50"/>
      <c r="C197" s="51">
        <v>4</v>
      </c>
      <c r="D197" s="50"/>
      <c r="E197" s="50"/>
      <c r="F197" s="52">
        <v>17666283</v>
      </c>
      <c r="G197" s="53">
        <v>2246916</v>
      </c>
      <c r="H197" s="53">
        <v>8987664</v>
      </c>
      <c r="I197" s="52">
        <v>8678619</v>
      </c>
      <c r="J197" s="54" t="s">
        <v>775</v>
      </c>
    </row>
    <row r="198" spans="1:10" ht="16.05" hidden="1" customHeight="1" outlineLevel="1" x14ac:dyDescent="0.3">
      <c r="A198" s="55" t="s">
        <v>776</v>
      </c>
      <c r="B198" s="56"/>
      <c r="C198" s="57">
        <v>4</v>
      </c>
      <c r="D198" s="56"/>
      <c r="E198" s="56"/>
      <c r="F198" s="58">
        <v>17666283</v>
      </c>
      <c r="G198" s="59">
        <v>2246916</v>
      </c>
      <c r="H198" s="59">
        <v>8987664</v>
      </c>
      <c r="I198" s="58">
        <v>8678619</v>
      </c>
      <c r="J198" s="60" t="s">
        <v>777</v>
      </c>
    </row>
    <row r="199" spans="1:10" ht="16.05" hidden="1" customHeight="1" outlineLevel="2" x14ac:dyDescent="0.3">
      <c r="A199" s="61" t="s">
        <v>778</v>
      </c>
      <c r="B199" s="62"/>
      <c r="C199" s="63">
        <v>4</v>
      </c>
      <c r="D199" s="62"/>
      <c r="E199" s="62"/>
      <c r="F199" s="64">
        <v>17666283</v>
      </c>
      <c r="G199" s="65">
        <v>2246916</v>
      </c>
      <c r="H199" s="65">
        <v>8987664</v>
      </c>
      <c r="I199" s="64">
        <v>8678619</v>
      </c>
      <c r="J199" s="66" t="s">
        <v>777</v>
      </c>
    </row>
    <row r="200" spans="1:10" ht="13.95" hidden="1" customHeight="1" outlineLevel="3" x14ac:dyDescent="0.3">
      <c r="A200" s="67" t="s">
        <v>779</v>
      </c>
      <c r="B200" s="68" t="s">
        <v>780</v>
      </c>
      <c r="C200" s="69"/>
      <c r="D200" s="83">
        <v>9.8339999999999996</v>
      </c>
      <c r="E200" s="84">
        <v>5.8</v>
      </c>
      <c r="F200" s="72">
        <v>6554724</v>
      </c>
      <c r="G200" s="72">
        <v>666539.99999999988</v>
      </c>
      <c r="H200" s="73">
        <v>2666160</v>
      </c>
      <c r="I200" s="85">
        <v>3888564</v>
      </c>
      <c r="J200" s="75" t="s">
        <v>441</v>
      </c>
    </row>
    <row r="201" spans="1:10" ht="13.95" hidden="1" customHeight="1" outlineLevel="3" x14ac:dyDescent="0.3">
      <c r="A201" s="76" t="s">
        <v>781</v>
      </c>
      <c r="B201" s="23" t="s">
        <v>782</v>
      </c>
      <c r="C201" s="34"/>
      <c r="D201" s="80">
        <v>6.6580000000000004</v>
      </c>
      <c r="E201" s="81">
        <v>2.7</v>
      </c>
      <c r="F201" s="77">
        <v>5030089</v>
      </c>
      <c r="G201" s="77">
        <v>755550</v>
      </c>
      <c r="H201" s="78">
        <v>3022200</v>
      </c>
      <c r="I201" s="82">
        <v>2007889</v>
      </c>
      <c r="J201" s="79" t="s">
        <v>441</v>
      </c>
    </row>
    <row r="202" spans="1:10" ht="13.95" hidden="1" customHeight="1" outlineLevel="3" x14ac:dyDescent="0.3">
      <c r="A202" s="67" t="s">
        <v>783</v>
      </c>
      <c r="B202" s="68" t="s">
        <v>784</v>
      </c>
      <c r="C202" s="69"/>
      <c r="D202" s="80">
        <v>7.7329999999999997</v>
      </c>
      <c r="E202" s="81">
        <v>3.7</v>
      </c>
      <c r="F202" s="72">
        <v>3561218</v>
      </c>
      <c r="G202" s="72">
        <v>460505.99999999988</v>
      </c>
      <c r="H202" s="73">
        <v>1842024</v>
      </c>
      <c r="I202" s="82">
        <v>1719194</v>
      </c>
      <c r="J202" s="75" t="s">
        <v>441</v>
      </c>
    </row>
    <row r="203" spans="1:10" ht="13.95" hidden="1" customHeight="1" outlineLevel="3" x14ac:dyDescent="0.3">
      <c r="A203" s="76" t="s">
        <v>785</v>
      </c>
      <c r="B203" s="23" t="s">
        <v>786</v>
      </c>
      <c r="C203" s="34"/>
      <c r="D203" s="80">
        <v>6.9180000000000001</v>
      </c>
      <c r="E203" s="81">
        <v>2.9</v>
      </c>
      <c r="F203" s="77">
        <v>2520252</v>
      </c>
      <c r="G203" s="77">
        <v>364320</v>
      </c>
      <c r="H203" s="78">
        <v>1457280</v>
      </c>
      <c r="I203" s="82">
        <v>1062972</v>
      </c>
      <c r="J203" s="86" t="s">
        <v>462</v>
      </c>
    </row>
    <row r="204" spans="1:10" ht="16.95" customHeight="1" x14ac:dyDescent="0.3">
      <c r="A204" s="49" t="s">
        <v>787</v>
      </c>
      <c r="B204" s="50"/>
      <c r="C204" s="51">
        <v>1</v>
      </c>
      <c r="D204" s="50"/>
      <c r="E204" s="50"/>
      <c r="F204" s="52">
        <v>2579280</v>
      </c>
      <c r="G204" s="53">
        <v>347511.6</v>
      </c>
      <c r="H204" s="53">
        <v>1390046.4</v>
      </c>
      <c r="I204" s="52">
        <v>1189233.6000000001</v>
      </c>
      <c r="J204" s="54" t="s">
        <v>710</v>
      </c>
    </row>
    <row r="205" spans="1:10" ht="16.05" hidden="1" customHeight="1" outlineLevel="1" x14ac:dyDescent="0.3">
      <c r="A205" s="55" t="s">
        <v>788</v>
      </c>
      <c r="B205" s="56"/>
      <c r="C205" s="57">
        <v>1</v>
      </c>
      <c r="D205" s="56"/>
      <c r="E205" s="56"/>
      <c r="F205" s="58">
        <v>2579280</v>
      </c>
      <c r="G205" s="59">
        <v>347511.6</v>
      </c>
      <c r="H205" s="59">
        <v>1390046.4</v>
      </c>
      <c r="I205" s="58">
        <v>1189233.6000000001</v>
      </c>
      <c r="J205" s="60" t="s">
        <v>482</v>
      </c>
    </row>
    <row r="206" spans="1:10" ht="16.05" hidden="1" customHeight="1" outlineLevel="2" x14ac:dyDescent="0.3">
      <c r="A206" s="61" t="s">
        <v>789</v>
      </c>
      <c r="B206" s="62"/>
      <c r="C206" s="63">
        <v>1</v>
      </c>
      <c r="D206" s="62"/>
      <c r="E206" s="62"/>
      <c r="F206" s="64">
        <v>2579280</v>
      </c>
      <c r="G206" s="65">
        <v>347511.6</v>
      </c>
      <c r="H206" s="65">
        <v>1390046.4</v>
      </c>
      <c r="I206" s="64">
        <v>1189233.6000000001</v>
      </c>
      <c r="J206" s="66" t="s">
        <v>482</v>
      </c>
    </row>
    <row r="207" spans="1:10" ht="13.95" hidden="1" customHeight="1" outlineLevel="3" x14ac:dyDescent="0.3">
      <c r="A207" s="67" t="s">
        <v>790</v>
      </c>
      <c r="B207" s="68" t="s">
        <v>791</v>
      </c>
      <c r="C207" s="69"/>
      <c r="D207" s="80">
        <v>7.4219999999999997</v>
      </c>
      <c r="E207" s="81">
        <v>3.4</v>
      </c>
      <c r="F207" s="72">
        <v>2579280</v>
      </c>
      <c r="G207" s="72">
        <v>347511.6</v>
      </c>
      <c r="H207" s="73">
        <v>1390046.4</v>
      </c>
      <c r="I207" s="82">
        <v>1189233.6000000001</v>
      </c>
      <c r="J207" s="75" t="s">
        <v>441</v>
      </c>
    </row>
    <row r="208" spans="1:10" ht="4.05" customHeight="1" x14ac:dyDescent="0.3">
      <c r="A208" s="87"/>
      <c r="B208" s="87"/>
      <c r="C208" s="87"/>
      <c r="D208" s="87"/>
      <c r="E208" s="87"/>
      <c r="F208" s="87"/>
      <c r="G208" s="87"/>
      <c r="H208" s="87"/>
      <c r="I208" s="87"/>
      <c r="J208" s="87"/>
    </row>
    <row r="209" spans="1:10" ht="16.95" customHeight="1" x14ac:dyDescent="0.3">
      <c r="A209" s="88" t="s">
        <v>45</v>
      </c>
      <c r="B209" s="88"/>
      <c r="C209" s="89">
        <v>140</v>
      </c>
      <c r="D209" s="88"/>
      <c r="E209" s="88"/>
      <c r="F209" s="90">
        <v>483273312.4334783</v>
      </c>
      <c r="G209" s="90">
        <v>38136521.375</v>
      </c>
      <c r="H209" s="90">
        <v>152546085.5</v>
      </c>
      <c r="I209" s="90">
        <v>330727226.9334783</v>
      </c>
      <c r="J209" s="88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2" customWidth="1"/>
    <col min="4" max="4" width="35" customWidth="1"/>
    <col min="5" max="5" width="11" customWidth="1"/>
    <col min="6" max="7" width="18" customWidth="1"/>
    <col min="8" max="8" width="12" customWidth="1"/>
    <col min="9" max="9" width="16" customWidth="1"/>
    <col min="10" max="10" width="13" customWidth="1"/>
  </cols>
  <sheetData>
    <row r="1" spans="1:10" ht="25.95" customHeight="1" x14ac:dyDescent="0.3">
      <c r="A1" s="143" t="s">
        <v>792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36" customHeight="1" x14ac:dyDescent="0.3">
      <c r="A2" s="2" t="s">
        <v>6</v>
      </c>
      <c r="B2" s="2" t="s">
        <v>47</v>
      </c>
      <c r="C2" s="2" t="s">
        <v>51</v>
      </c>
      <c r="D2" s="2" t="s">
        <v>425</v>
      </c>
      <c r="E2" s="2" t="s">
        <v>426</v>
      </c>
      <c r="F2" s="2" t="s">
        <v>793</v>
      </c>
      <c r="G2" s="2" t="s">
        <v>794</v>
      </c>
      <c r="H2" s="2" t="s">
        <v>62</v>
      </c>
      <c r="I2" s="2" t="s">
        <v>63</v>
      </c>
      <c r="J2" s="2" t="s">
        <v>64</v>
      </c>
    </row>
    <row r="3" spans="1:10" ht="15" customHeight="1" x14ac:dyDescent="0.3">
      <c r="A3" s="11" t="s">
        <v>14</v>
      </c>
      <c r="B3" s="34" t="s">
        <v>66</v>
      </c>
      <c r="C3" s="35" t="s">
        <v>795</v>
      </c>
      <c r="D3" s="34" t="s">
        <v>474</v>
      </c>
      <c r="E3" s="91">
        <v>43.296999999999997</v>
      </c>
      <c r="F3" s="92">
        <v>10575620</v>
      </c>
      <c r="G3" s="92">
        <v>244260</v>
      </c>
      <c r="H3" s="93" t="s">
        <v>81</v>
      </c>
      <c r="I3" s="94" t="s">
        <v>227</v>
      </c>
      <c r="J3" s="95" t="s">
        <v>228</v>
      </c>
    </row>
    <row r="4" spans="1:10" ht="15" customHeight="1" x14ac:dyDescent="0.3">
      <c r="A4" s="24" t="s">
        <v>14</v>
      </c>
      <c r="B4" s="41" t="s">
        <v>66</v>
      </c>
      <c r="C4" s="30" t="s">
        <v>796</v>
      </c>
      <c r="D4" s="41" t="s">
        <v>470</v>
      </c>
      <c r="E4" s="91">
        <v>37.213000000000001</v>
      </c>
      <c r="F4" s="96">
        <v>12725531</v>
      </c>
      <c r="G4" s="96">
        <v>341964</v>
      </c>
      <c r="H4" s="93" t="s">
        <v>81</v>
      </c>
      <c r="I4" s="97" t="s">
        <v>227</v>
      </c>
      <c r="J4" s="95" t="s">
        <v>228</v>
      </c>
    </row>
    <row r="5" spans="1:10" ht="15" customHeight="1" x14ac:dyDescent="0.3">
      <c r="A5" s="11" t="s">
        <v>14</v>
      </c>
      <c r="B5" s="34" t="s">
        <v>66</v>
      </c>
      <c r="C5" s="35" t="s">
        <v>797</v>
      </c>
      <c r="D5" s="34" t="s">
        <v>472</v>
      </c>
      <c r="E5" s="91">
        <v>25.356999999999999</v>
      </c>
      <c r="F5" s="92">
        <v>12387408.70814351</v>
      </c>
      <c r="G5" s="92">
        <v>488520</v>
      </c>
      <c r="H5" s="93" t="s">
        <v>81</v>
      </c>
      <c r="I5" s="94" t="s">
        <v>227</v>
      </c>
      <c r="J5" s="95" t="s">
        <v>228</v>
      </c>
    </row>
    <row r="6" spans="1:10" ht="15" customHeight="1" x14ac:dyDescent="0.3">
      <c r="A6" s="24" t="s">
        <v>17</v>
      </c>
      <c r="B6" s="41" t="s">
        <v>219</v>
      </c>
      <c r="C6" s="30" t="s">
        <v>798</v>
      </c>
      <c r="D6" s="41" t="s">
        <v>763</v>
      </c>
      <c r="E6" s="91">
        <v>22.106999999999999</v>
      </c>
      <c r="F6" s="96">
        <v>5428360</v>
      </c>
      <c r="G6" s="96">
        <v>245553.75</v>
      </c>
      <c r="H6" s="93" t="s">
        <v>71</v>
      </c>
      <c r="I6" s="97" t="s">
        <v>95</v>
      </c>
      <c r="J6" s="95" t="s">
        <v>96</v>
      </c>
    </row>
    <row r="7" spans="1:10" ht="15" customHeight="1" x14ac:dyDescent="0.3">
      <c r="A7" s="11" t="s">
        <v>14</v>
      </c>
      <c r="B7" s="34" t="s">
        <v>110</v>
      </c>
      <c r="C7" s="35" t="s">
        <v>799</v>
      </c>
      <c r="D7" s="34" t="s">
        <v>526</v>
      </c>
      <c r="E7" s="98">
        <v>11.26</v>
      </c>
      <c r="F7" s="92">
        <v>509851</v>
      </c>
      <c r="G7" s="92">
        <v>45281.25</v>
      </c>
      <c r="H7" s="93" t="s">
        <v>81</v>
      </c>
      <c r="I7" s="94" t="s">
        <v>227</v>
      </c>
      <c r="J7" s="95" t="s">
        <v>228</v>
      </c>
    </row>
    <row r="8" spans="1:10" ht="15" customHeight="1" x14ac:dyDescent="0.3">
      <c r="A8" s="24" t="s">
        <v>14</v>
      </c>
      <c r="B8" s="41" t="s">
        <v>66</v>
      </c>
      <c r="C8" s="30" t="s">
        <v>800</v>
      </c>
      <c r="D8" s="41" t="s">
        <v>461</v>
      </c>
      <c r="E8" s="98">
        <v>9.4930000000000003</v>
      </c>
      <c r="F8" s="96">
        <v>3201706</v>
      </c>
      <c r="G8" s="96">
        <v>337272</v>
      </c>
      <c r="H8" s="93" t="s">
        <v>81</v>
      </c>
      <c r="I8" s="97" t="s">
        <v>227</v>
      </c>
      <c r="J8" s="95" t="s">
        <v>228</v>
      </c>
    </row>
    <row r="9" spans="1:10" ht="15" customHeight="1" x14ac:dyDescent="0.3">
      <c r="A9" s="11" t="s">
        <v>15</v>
      </c>
      <c r="B9" s="34" t="s">
        <v>219</v>
      </c>
      <c r="C9" s="35" t="s">
        <v>801</v>
      </c>
      <c r="D9" s="34" t="s">
        <v>603</v>
      </c>
      <c r="E9" s="99">
        <v>8.3170000000000002</v>
      </c>
      <c r="F9" s="92">
        <v>5268894</v>
      </c>
      <c r="G9" s="92">
        <v>633475.19999999995</v>
      </c>
      <c r="H9" s="93" t="s">
        <v>71</v>
      </c>
      <c r="I9" s="94" t="s">
        <v>95</v>
      </c>
      <c r="J9" s="95" t="s">
        <v>96</v>
      </c>
    </row>
    <row r="10" spans="1:10" ht="15" customHeight="1" x14ac:dyDescent="0.3">
      <c r="A10" s="24" t="s">
        <v>16</v>
      </c>
      <c r="B10" s="41" t="s">
        <v>66</v>
      </c>
      <c r="C10" s="30" t="s">
        <v>802</v>
      </c>
      <c r="D10" s="41" t="s">
        <v>680</v>
      </c>
      <c r="E10" s="99">
        <v>7.9530000000000003</v>
      </c>
      <c r="F10" s="96">
        <v>14596874.8077204</v>
      </c>
      <c r="G10" s="96">
        <v>1835400</v>
      </c>
      <c r="H10" s="93" t="s">
        <v>81</v>
      </c>
      <c r="I10" s="97" t="s">
        <v>227</v>
      </c>
      <c r="J10" s="95" t="s">
        <v>228</v>
      </c>
    </row>
    <row r="11" spans="1:10" ht="15" customHeight="1" x14ac:dyDescent="0.3">
      <c r="A11" s="11" t="s">
        <v>14</v>
      </c>
      <c r="B11" s="34" t="s">
        <v>66</v>
      </c>
      <c r="C11" s="35" t="s">
        <v>803</v>
      </c>
      <c r="D11" s="34" t="s">
        <v>464</v>
      </c>
      <c r="E11" s="99">
        <v>7.5590000000000002</v>
      </c>
      <c r="F11" s="92">
        <v>3505264</v>
      </c>
      <c r="G11" s="92">
        <v>463749.00000000012</v>
      </c>
      <c r="H11" s="93" t="s">
        <v>81</v>
      </c>
      <c r="I11" s="94" t="s">
        <v>227</v>
      </c>
      <c r="J11" s="95" t="s">
        <v>228</v>
      </c>
    </row>
    <row r="12" spans="1:10" ht="15" customHeight="1" x14ac:dyDescent="0.3">
      <c r="A12" s="24" t="s">
        <v>16</v>
      </c>
      <c r="B12" s="41" t="s">
        <v>84</v>
      </c>
      <c r="C12" s="30" t="s">
        <v>804</v>
      </c>
      <c r="D12" s="41" t="s">
        <v>705</v>
      </c>
      <c r="E12" s="99">
        <v>7.407</v>
      </c>
      <c r="F12" s="96">
        <v>306666</v>
      </c>
      <c r="G12" s="96">
        <v>41399.999999999993</v>
      </c>
      <c r="H12" s="93" t="s">
        <v>81</v>
      </c>
      <c r="I12" s="97" t="s">
        <v>227</v>
      </c>
      <c r="J12" s="95" t="s">
        <v>228</v>
      </c>
    </row>
    <row r="13" spans="1:10" ht="15" customHeight="1" x14ac:dyDescent="0.3">
      <c r="A13" s="11" t="s">
        <v>16</v>
      </c>
      <c r="B13" s="34" t="s">
        <v>219</v>
      </c>
      <c r="C13" s="35" t="s">
        <v>805</v>
      </c>
      <c r="D13" s="34" t="s">
        <v>708</v>
      </c>
      <c r="E13" s="99">
        <v>7.0730000000000004</v>
      </c>
      <c r="F13" s="92">
        <v>1062004</v>
      </c>
      <c r="G13" s="92">
        <v>150144</v>
      </c>
      <c r="H13" s="93" t="s">
        <v>71</v>
      </c>
      <c r="I13" s="94" t="s">
        <v>95</v>
      </c>
      <c r="J13" s="95" t="s">
        <v>96</v>
      </c>
    </row>
    <row r="14" spans="1:10" ht="15" customHeight="1" x14ac:dyDescent="0.3">
      <c r="A14" s="24" t="s">
        <v>18</v>
      </c>
      <c r="B14" s="41" t="s">
        <v>66</v>
      </c>
      <c r="C14" s="30" t="s">
        <v>806</v>
      </c>
      <c r="D14" s="41" t="s">
        <v>786</v>
      </c>
      <c r="E14" s="99">
        <v>6.9180000000000001</v>
      </c>
      <c r="F14" s="96">
        <v>2520252</v>
      </c>
      <c r="G14" s="96">
        <v>364320</v>
      </c>
      <c r="H14" s="93" t="s">
        <v>71</v>
      </c>
      <c r="I14" s="97" t="s">
        <v>95</v>
      </c>
      <c r="J14" s="95" t="s">
        <v>96</v>
      </c>
    </row>
    <row r="15" spans="1:10" ht="15" customHeight="1" x14ac:dyDescent="0.3">
      <c r="A15" s="11" t="s">
        <v>14</v>
      </c>
      <c r="B15" s="34" t="s">
        <v>76</v>
      </c>
      <c r="C15" s="35" t="s">
        <v>807</v>
      </c>
      <c r="D15" s="34" t="s">
        <v>506</v>
      </c>
      <c r="E15" s="99">
        <v>6.34</v>
      </c>
      <c r="F15" s="92">
        <v>4335920</v>
      </c>
      <c r="G15" s="92">
        <v>683858.99999999988</v>
      </c>
      <c r="H15" s="93" t="s">
        <v>81</v>
      </c>
      <c r="I15" s="94" t="s">
        <v>227</v>
      </c>
      <c r="J15" s="95" t="s">
        <v>228</v>
      </c>
    </row>
    <row r="16" spans="1:10" ht="15" customHeight="1" x14ac:dyDescent="0.3">
      <c r="A16" s="24" t="s">
        <v>16</v>
      </c>
      <c r="B16" s="41" t="s">
        <v>84</v>
      </c>
      <c r="C16" s="30" t="s">
        <v>808</v>
      </c>
      <c r="D16" s="41" t="s">
        <v>676</v>
      </c>
      <c r="E16" s="99">
        <v>6.2270000000000003</v>
      </c>
      <c r="F16" s="96">
        <v>1909933.2977099239</v>
      </c>
      <c r="G16" s="96">
        <v>306704.99999999988</v>
      </c>
      <c r="H16" s="93" t="s">
        <v>81</v>
      </c>
      <c r="I16" s="97" t="s">
        <v>227</v>
      </c>
      <c r="J16" s="95" t="s">
        <v>228</v>
      </c>
    </row>
  </sheetData>
  <autoFilter ref="A2:J16" xr:uid="{00000000-0009-0000-0000-000005000000}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95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outlineLevelRow="1" x14ac:dyDescent="0.3"/>
  <cols>
    <col min="1" max="1" width="22" customWidth="1"/>
    <col min="2" max="2" width="38" customWidth="1"/>
    <col min="3" max="3" width="14" customWidth="1"/>
    <col min="4" max="4" width="12" customWidth="1"/>
    <col min="5" max="5" width="20" customWidth="1"/>
    <col min="6" max="8" width="11" customWidth="1"/>
    <col min="9" max="10" width="14" customWidth="1"/>
    <col min="11" max="11" width="13" customWidth="1"/>
  </cols>
  <sheetData>
    <row r="1" spans="1:11" ht="24" customHeight="1" x14ac:dyDescent="0.3">
      <c r="A1" s="141" t="s">
        <v>809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1" ht="37.950000000000003" customHeight="1" x14ac:dyDescent="0.3">
      <c r="A2" s="2" t="s">
        <v>810</v>
      </c>
      <c r="B2" s="2" t="s">
        <v>811</v>
      </c>
      <c r="C2" s="2" t="s">
        <v>64</v>
      </c>
      <c r="D2" s="2" t="s">
        <v>812</v>
      </c>
      <c r="E2" s="2" t="s">
        <v>813</v>
      </c>
      <c r="F2" s="2" t="s">
        <v>814</v>
      </c>
      <c r="G2" s="2" t="s">
        <v>815</v>
      </c>
      <c r="H2" s="2" t="s">
        <v>816</v>
      </c>
      <c r="I2" s="2" t="s">
        <v>817</v>
      </c>
      <c r="J2" s="2" t="s">
        <v>818</v>
      </c>
      <c r="K2" s="2" t="s">
        <v>819</v>
      </c>
    </row>
    <row r="3" spans="1:11" ht="16.05" customHeight="1" x14ac:dyDescent="0.3">
      <c r="A3" s="11" t="s">
        <v>82</v>
      </c>
      <c r="B3" s="35" t="s">
        <v>820</v>
      </c>
      <c r="C3" s="20" t="s">
        <v>83</v>
      </c>
      <c r="D3" s="20" t="s">
        <v>81</v>
      </c>
      <c r="E3" s="100" t="s">
        <v>821</v>
      </c>
      <c r="F3" s="35">
        <v>13</v>
      </c>
      <c r="G3" s="20">
        <v>8</v>
      </c>
      <c r="H3" s="40">
        <v>3</v>
      </c>
      <c r="I3" s="21">
        <v>2702</v>
      </c>
      <c r="J3" s="101">
        <v>28280.98</v>
      </c>
      <c r="K3" s="102" t="s">
        <v>822</v>
      </c>
    </row>
    <row r="4" spans="1:11" ht="13.95" hidden="1" customHeight="1" outlineLevel="1" x14ac:dyDescent="0.3">
      <c r="A4" s="103" t="s">
        <v>823</v>
      </c>
      <c r="B4" s="104" t="s">
        <v>80</v>
      </c>
      <c r="C4" s="105" t="s">
        <v>83</v>
      </c>
      <c r="D4" s="105" t="s">
        <v>81</v>
      </c>
      <c r="E4" s="106"/>
      <c r="F4" s="106"/>
      <c r="G4" s="107" t="s">
        <v>824</v>
      </c>
      <c r="H4" s="106"/>
      <c r="I4" s="108">
        <v>30</v>
      </c>
      <c r="J4" s="109">
        <v>600</v>
      </c>
      <c r="K4" s="106"/>
    </row>
    <row r="5" spans="1:11" ht="13.95" hidden="1" customHeight="1" outlineLevel="1" x14ac:dyDescent="0.3">
      <c r="A5" s="103" t="s">
        <v>825</v>
      </c>
      <c r="B5" s="104" t="s">
        <v>289</v>
      </c>
      <c r="C5" s="105" t="s">
        <v>83</v>
      </c>
      <c r="D5" s="105" t="s">
        <v>81</v>
      </c>
      <c r="E5" s="106"/>
      <c r="F5" s="106"/>
      <c r="G5" s="107" t="s">
        <v>824</v>
      </c>
      <c r="H5" s="106"/>
      <c r="I5" s="108">
        <v>199</v>
      </c>
      <c r="J5" s="109">
        <v>1771.1</v>
      </c>
      <c r="K5" s="106"/>
    </row>
    <row r="6" spans="1:11" ht="13.95" hidden="1" customHeight="1" outlineLevel="1" x14ac:dyDescent="0.3">
      <c r="A6" s="103" t="s">
        <v>826</v>
      </c>
      <c r="B6" s="104" t="s">
        <v>291</v>
      </c>
      <c r="C6" s="105" t="s">
        <v>83</v>
      </c>
      <c r="D6" s="105" t="s">
        <v>81</v>
      </c>
      <c r="E6" s="106"/>
      <c r="F6" s="106"/>
      <c r="G6" s="107" t="s">
        <v>824</v>
      </c>
      <c r="H6" s="106"/>
      <c r="I6" s="108">
        <v>199</v>
      </c>
      <c r="J6" s="109">
        <v>1771.1</v>
      </c>
      <c r="K6" s="106"/>
    </row>
    <row r="7" spans="1:11" ht="13.95" hidden="1" customHeight="1" outlineLevel="1" x14ac:dyDescent="0.3">
      <c r="A7" s="103" t="s">
        <v>827</v>
      </c>
      <c r="B7" s="104" t="s">
        <v>274</v>
      </c>
      <c r="C7" s="105" t="s">
        <v>83</v>
      </c>
      <c r="D7" s="105" t="s">
        <v>81</v>
      </c>
      <c r="E7" s="106"/>
      <c r="F7" s="106"/>
      <c r="G7" s="107" t="s">
        <v>828</v>
      </c>
      <c r="H7" s="106"/>
      <c r="I7" s="108">
        <v>504</v>
      </c>
      <c r="J7" s="109">
        <v>2570.4</v>
      </c>
      <c r="K7" s="106"/>
    </row>
    <row r="8" spans="1:11" ht="13.95" hidden="1" customHeight="1" outlineLevel="1" x14ac:dyDescent="0.3">
      <c r="A8" s="103" t="s">
        <v>829</v>
      </c>
      <c r="B8" s="104" t="s">
        <v>286</v>
      </c>
      <c r="C8" s="105" t="s">
        <v>83</v>
      </c>
      <c r="D8" s="105" t="s">
        <v>81</v>
      </c>
      <c r="E8" s="106"/>
      <c r="F8" s="106"/>
      <c r="G8" s="107" t="s">
        <v>824</v>
      </c>
      <c r="H8" s="106"/>
      <c r="I8" s="108">
        <v>300</v>
      </c>
      <c r="J8" s="109">
        <v>1530</v>
      </c>
      <c r="K8" s="106"/>
    </row>
    <row r="9" spans="1:11" ht="13.95" hidden="1" customHeight="1" outlineLevel="1" x14ac:dyDescent="0.3">
      <c r="A9" s="103" t="s">
        <v>830</v>
      </c>
      <c r="B9" s="104" t="s">
        <v>270</v>
      </c>
      <c r="C9" s="105" t="s">
        <v>83</v>
      </c>
      <c r="D9" s="105" t="s">
        <v>81</v>
      </c>
      <c r="E9" s="106"/>
      <c r="F9" s="106"/>
      <c r="G9" s="107" t="s">
        <v>831</v>
      </c>
      <c r="H9" s="106"/>
      <c r="I9" s="108">
        <v>252</v>
      </c>
      <c r="J9" s="109">
        <v>3122.28</v>
      </c>
      <c r="K9" s="106"/>
    </row>
    <row r="10" spans="1:11" ht="13.95" hidden="1" customHeight="1" outlineLevel="1" x14ac:dyDescent="0.3">
      <c r="A10" s="103" t="s">
        <v>832</v>
      </c>
      <c r="B10" s="104" t="s">
        <v>103</v>
      </c>
      <c r="C10" s="105" t="s">
        <v>83</v>
      </c>
      <c r="D10" s="105" t="s">
        <v>81</v>
      </c>
      <c r="E10" s="106"/>
      <c r="F10" s="106"/>
      <c r="G10" s="107" t="s">
        <v>824</v>
      </c>
      <c r="H10" s="106"/>
      <c r="I10" s="108">
        <v>99</v>
      </c>
      <c r="J10" s="109">
        <v>722.69999999999993</v>
      </c>
      <c r="K10" s="106"/>
    </row>
    <row r="11" spans="1:11" ht="13.95" hidden="1" customHeight="1" outlineLevel="1" x14ac:dyDescent="0.3">
      <c r="A11" s="103" t="s">
        <v>833</v>
      </c>
      <c r="B11" s="104" t="s">
        <v>105</v>
      </c>
      <c r="C11" s="105" t="s">
        <v>83</v>
      </c>
      <c r="D11" s="105" t="s">
        <v>81</v>
      </c>
      <c r="E11" s="106"/>
      <c r="F11" s="106"/>
      <c r="G11" s="107" t="s">
        <v>824</v>
      </c>
      <c r="H11" s="106"/>
      <c r="I11" s="108">
        <v>99</v>
      </c>
      <c r="J11" s="109">
        <v>653.4</v>
      </c>
      <c r="K11" s="106"/>
    </row>
    <row r="12" spans="1:11" ht="13.95" hidden="1" customHeight="1" outlineLevel="1" x14ac:dyDescent="0.3">
      <c r="A12" s="110" t="s">
        <v>834</v>
      </c>
      <c r="B12" s="104" t="s">
        <v>835</v>
      </c>
      <c r="C12" s="105" t="s">
        <v>83</v>
      </c>
      <c r="D12" s="105" t="s">
        <v>81</v>
      </c>
      <c r="E12" s="106"/>
      <c r="F12" s="106"/>
      <c r="G12" s="111" t="s">
        <v>836</v>
      </c>
      <c r="H12" s="106"/>
      <c r="I12" s="108">
        <v>300</v>
      </c>
      <c r="J12" s="109">
        <v>750</v>
      </c>
      <c r="K12" s="106"/>
    </row>
    <row r="13" spans="1:11" ht="13.95" hidden="1" customHeight="1" outlineLevel="1" x14ac:dyDescent="0.3">
      <c r="A13" s="110" t="s">
        <v>837</v>
      </c>
      <c r="B13" s="104" t="s">
        <v>838</v>
      </c>
      <c r="C13" s="105" t="s">
        <v>83</v>
      </c>
      <c r="D13" s="105" t="s">
        <v>81</v>
      </c>
      <c r="E13" s="106"/>
      <c r="F13" s="106"/>
      <c r="G13" s="111" t="s">
        <v>839</v>
      </c>
      <c r="H13" s="106"/>
      <c r="I13" s="108">
        <v>10</v>
      </c>
      <c r="J13" s="109">
        <v>3670</v>
      </c>
      <c r="K13" s="106"/>
    </row>
    <row r="14" spans="1:11" ht="13.95" hidden="1" customHeight="1" outlineLevel="1" x14ac:dyDescent="0.3">
      <c r="A14" s="110" t="s">
        <v>840</v>
      </c>
      <c r="B14" s="104" t="s">
        <v>841</v>
      </c>
      <c r="C14" s="105" t="s">
        <v>83</v>
      </c>
      <c r="D14" s="105" t="s">
        <v>81</v>
      </c>
      <c r="E14" s="106"/>
      <c r="F14" s="106"/>
      <c r="G14" s="111" t="s">
        <v>842</v>
      </c>
      <c r="H14" s="106"/>
      <c r="I14" s="108">
        <v>10</v>
      </c>
      <c r="J14" s="109">
        <v>4220</v>
      </c>
      <c r="K14" s="106"/>
    </row>
    <row r="15" spans="1:11" ht="13.95" hidden="1" customHeight="1" outlineLevel="1" x14ac:dyDescent="0.3">
      <c r="A15" s="110" t="s">
        <v>843</v>
      </c>
      <c r="B15" s="104" t="s">
        <v>844</v>
      </c>
      <c r="C15" s="105" t="s">
        <v>83</v>
      </c>
      <c r="D15" s="105" t="s">
        <v>81</v>
      </c>
      <c r="E15" s="106"/>
      <c r="F15" s="106"/>
      <c r="G15" s="112" t="s">
        <v>845</v>
      </c>
      <c r="H15" s="106"/>
      <c r="I15" s="108">
        <v>200</v>
      </c>
      <c r="J15" s="109">
        <v>5200</v>
      </c>
      <c r="K15" s="106"/>
    </row>
    <row r="16" spans="1:11" ht="13.95" hidden="1" customHeight="1" outlineLevel="1" x14ac:dyDescent="0.3">
      <c r="A16" s="110" t="s">
        <v>846</v>
      </c>
      <c r="B16" s="104" t="s">
        <v>847</v>
      </c>
      <c r="C16" s="105" t="s">
        <v>83</v>
      </c>
      <c r="D16" s="105" t="s">
        <v>81</v>
      </c>
      <c r="E16" s="106"/>
      <c r="F16" s="106"/>
      <c r="G16" s="112" t="s">
        <v>848</v>
      </c>
      <c r="H16" s="106"/>
      <c r="I16" s="108">
        <v>500</v>
      </c>
      <c r="J16" s="109">
        <v>1700</v>
      </c>
      <c r="K16" s="106"/>
    </row>
    <row r="17" spans="1:11" ht="16.05" customHeight="1" x14ac:dyDescent="0.3">
      <c r="A17" s="11" t="s">
        <v>227</v>
      </c>
      <c r="B17" s="35" t="s">
        <v>849</v>
      </c>
      <c r="C17" s="20" t="s">
        <v>228</v>
      </c>
      <c r="D17" s="20" t="s">
        <v>81</v>
      </c>
      <c r="E17" s="100" t="s">
        <v>850</v>
      </c>
      <c r="F17" s="35">
        <v>33</v>
      </c>
      <c r="G17" s="20">
        <v>2</v>
      </c>
      <c r="H17" s="40">
        <v>7</v>
      </c>
      <c r="I17" s="21">
        <v>7857</v>
      </c>
      <c r="J17" s="101">
        <v>54527.7</v>
      </c>
      <c r="K17" s="113" t="s">
        <v>851</v>
      </c>
    </row>
    <row r="18" spans="1:11" ht="13.95" hidden="1" customHeight="1" outlineLevel="1" x14ac:dyDescent="0.3">
      <c r="A18" s="103" t="s">
        <v>852</v>
      </c>
      <c r="B18" s="104" t="s">
        <v>314</v>
      </c>
      <c r="C18" s="105" t="s">
        <v>228</v>
      </c>
      <c r="D18" s="105" t="s">
        <v>81</v>
      </c>
      <c r="E18" s="106"/>
      <c r="F18" s="106"/>
      <c r="G18" s="107" t="s">
        <v>853</v>
      </c>
      <c r="H18" s="106"/>
      <c r="I18" s="108">
        <v>150</v>
      </c>
      <c r="J18" s="109">
        <v>682.5</v>
      </c>
      <c r="K18" s="106"/>
    </row>
    <row r="19" spans="1:11" ht="13.95" hidden="1" customHeight="1" outlineLevel="1" x14ac:dyDescent="0.3">
      <c r="A19" s="103" t="s">
        <v>854</v>
      </c>
      <c r="B19" s="104" t="s">
        <v>226</v>
      </c>
      <c r="C19" s="105" t="s">
        <v>228</v>
      </c>
      <c r="D19" s="105" t="s">
        <v>81</v>
      </c>
      <c r="E19" s="106"/>
      <c r="F19" s="106"/>
      <c r="G19" s="107" t="s">
        <v>855</v>
      </c>
      <c r="H19" s="106"/>
      <c r="I19" s="108">
        <v>100</v>
      </c>
      <c r="J19" s="109">
        <v>330</v>
      </c>
      <c r="K19" s="106"/>
    </row>
    <row r="20" spans="1:11" ht="13.95" hidden="1" customHeight="1" outlineLevel="1" x14ac:dyDescent="0.3">
      <c r="A20" s="110" t="s">
        <v>856</v>
      </c>
      <c r="B20" s="104" t="s">
        <v>857</v>
      </c>
      <c r="C20" s="105" t="s">
        <v>228</v>
      </c>
      <c r="D20" s="105" t="s">
        <v>81</v>
      </c>
      <c r="E20" s="106"/>
      <c r="F20" s="106"/>
      <c r="G20" s="111" t="s">
        <v>858</v>
      </c>
      <c r="H20" s="106"/>
      <c r="I20" s="108">
        <v>150</v>
      </c>
      <c r="J20" s="109">
        <v>705</v>
      </c>
      <c r="K20" s="106"/>
    </row>
    <row r="21" spans="1:11" ht="13.95" hidden="1" customHeight="1" outlineLevel="1" x14ac:dyDescent="0.3">
      <c r="A21" s="110" t="s">
        <v>859</v>
      </c>
      <c r="B21" s="104" t="s">
        <v>860</v>
      </c>
      <c r="C21" s="105" t="s">
        <v>228</v>
      </c>
      <c r="D21" s="105" t="s">
        <v>81</v>
      </c>
      <c r="E21" s="106"/>
      <c r="F21" s="106"/>
      <c r="G21" s="111" t="s">
        <v>861</v>
      </c>
      <c r="H21" s="106"/>
      <c r="I21" s="108">
        <v>102</v>
      </c>
      <c r="J21" s="109">
        <v>137.69999999999999</v>
      </c>
      <c r="K21" s="106"/>
    </row>
    <row r="22" spans="1:11" ht="13.95" hidden="1" customHeight="1" outlineLevel="1" x14ac:dyDescent="0.3">
      <c r="A22" s="110" t="s">
        <v>862</v>
      </c>
      <c r="B22" s="104" t="s">
        <v>863</v>
      </c>
      <c r="C22" s="105" t="s">
        <v>228</v>
      </c>
      <c r="D22" s="105" t="s">
        <v>81</v>
      </c>
      <c r="E22" s="106"/>
      <c r="F22" s="106"/>
      <c r="G22" s="111" t="s">
        <v>864</v>
      </c>
      <c r="H22" s="106"/>
      <c r="I22" s="108">
        <v>300</v>
      </c>
      <c r="J22" s="109">
        <v>5895</v>
      </c>
      <c r="K22" s="106"/>
    </row>
    <row r="23" spans="1:11" ht="13.95" hidden="1" customHeight="1" outlineLevel="1" x14ac:dyDescent="0.3">
      <c r="A23" s="110" t="s">
        <v>865</v>
      </c>
      <c r="B23" s="104" t="s">
        <v>866</v>
      </c>
      <c r="C23" s="105" t="s">
        <v>228</v>
      </c>
      <c r="D23" s="105" t="s">
        <v>81</v>
      </c>
      <c r="E23" s="106"/>
      <c r="F23" s="106"/>
      <c r="G23" s="111" t="s">
        <v>867</v>
      </c>
      <c r="H23" s="106"/>
      <c r="I23" s="108">
        <v>200</v>
      </c>
      <c r="J23" s="109">
        <v>620</v>
      </c>
      <c r="K23" s="106"/>
    </row>
    <row r="24" spans="1:11" ht="13.95" hidden="1" customHeight="1" outlineLevel="1" x14ac:dyDescent="0.3">
      <c r="A24" s="110" t="s">
        <v>868</v>
      </c>
      <c r="B24" s="104" t="s">
        <v>869</v>
      </c>
      <c r="C24" s="105" t="s">
        <v>228</v>
      </c>
      <c r="D24" s="105" t="s">
        <v>81</v>
      </c>
      <c r="E24" s="106"/>
      <c r="F24" s="106"/>
      <c r="G24" s="111" t="s">
        <v>870</v>
      </c>
      <c r="H24" s="106"/>
      <c r="I24" s="108">
        <v>300</v>
      </c>
      <c r="J24" s="109">
        <v>2325</v>
      </c>
      <c r="K24" s="106"/>
    </row>
    <row r="25" spans="1:11" ht="13.95" hidden="1" customHeight="1" outlineLevel="1" x14ac:dyDescent="0.3">
      <c r="A25" s="110" t="s">
        <v>871</v>
      </c>
      <c r="B25" s="104" t="s">
        <v>872</v>
      </c>
      <c r="C25" s="105" t="s">
        <v>228</v>
      </c>
      <c r="D25" s="105" t="s">
        <v>81</v>
      </c>
      <c r="E25" s="106"/>
      <c r="F25" s="106"/>
      <c r="G25" s="111" t="s">
        <v>873</v>
      </c>
      <c r="H25" s="106"/>
      <c r="I25" s="108">
        <v>150</v>
      </c>
      <c r="J25" s="109">
        <v>4200</v>
      </c>
      <c r="K25" s="106"/>
    </row>
    <row r="26" spans="1:11" ht="13.95" hidden="1" customHeight="1" outlineLevel="1" x14ac:dyDescent="0.3">
      <c r="A26" s="110" t="s">
        <v>874</v>
      </c>
      <c r="B26" s="104" t="s">
        <v>875</v>
      </c>
      <c r="C26" s="105" t="s">
        <v>228</v>
      </c>
      <c r="D26" s="105" t="s">
        <v>81</v>
      </c>
      <c r="E26" s="106"/>
      <c r="F26" s="106"/>
      <c r="G26" s="111" t="s">
        <v>876</v>
      </c>
      <c r="H26" s="106"/>
      <c r="I26" s="108">
        <v>100</v>
      </c>
      <c r="J26" s="109">
        <v>353</v>
      </c>
      <c r="K26" s="106"/>
    </row>
    <row r="27" spans="1:11" ht="13.95" hidden="1" customHeight="1" outlineLevel="1" x14ac:dyDescent="0.3">
      <c r="A27" s="110" t="s">
        <v>877</v>
      </c>
      <c r="B27" s="104" t="s">
        <v>464</v>
      </c>
      <c r="C27" s="105" t="s">
        <v>228</v>
      </c>
      <c r="D27" s="105" t="s">
        <v>81</v>
      </c>
      <c r="E27" s="106"/>
      <c r="F27" s="106"/>
      <c r="G27" s="114" t="s">
        <v>878</v>
      </c>
      <c r="H27" s="106"/>
      <c r="I27" s="108">
        <v>500</v>
      </c>
      <c r="J27" s="109">
        <v>3000</v>
      </c>
      <c r="K27" s="106"/>
    </row>
    <row r="28" spans="1:11" ht="13.95" hidden="1" customHeight="1" outlineLevel="1" x14ac:dyDescent="0.3">
      <c r="A28" s="110" t="s">
        <v>879</v>
      </c>
      <c r="B28" s="104" t="s">
        <v>461</v>
      </c>
      <c r="C28" s="105" t="s">
        <v>228</v>
      </c>
      <c r="D28" s="105" t="s">
        <v>81</v>
      </c>
      <c r="E28" s="106"/>
      <c r="F28" s="106"/>
      <c r="G28" s="114" t="s">
        <v>880</v>
      </c>
      <c r="H28" s="106"/>
      <c r="I28" s="108">
        <v>500</v>
      </c>
      <c r="J28" s="109">
        <v>2800</v>
      </c>
      <c r="K28" s="106"/>
    </row>
    <row r="29" spans="1:11" ht="13.95" hidden="1" customHeight="1" outlineLevel="1" x14ac:dyDescent="0.3">
      <c r="A29" s="110" t="s">
        <v>881</v>
      </c>
      <c r="B29" s="104" t="s">
        <v>474</v>
      </c>
      <c r="C29" s="105" t="s">
        <v>228</v>
      </c>
      <c r="D29" s="105" t="s">
        <v>81</v>
      </c>
      <c r="E29" s="106"/>
      <c r="F29" s="106"/>
      <c r="G29" s="114" t="s">
        <v>882</v>
      </c>
      <c r="H29" s="106"/>
      <c r="I29" s="108">
        <v>1000</v>
      </c>
      <c r="J29" s="109">
        <v>4570</v>
      </c>
      <c r="K29" s="106"/>
    </row>
    <row r="30" spans="1:11" ht="13.95" hidden="1" customHeight="1" outlineLevel="1" x14ac:dyDescent="0.3">
      <c r="A30" s="110" t="s">
        <v>883</v>
      </c>
      <c r="B30" s="104" t="s">
        <v>472</v>
      </c>
      <c r="C30" s="105" t="s">
        <v>228</v>
      </c>
      <c r="D30" s="105" t="s">
        <v>81</v>
      </c>
      <c r="E30" s="106"/>
      <c r="F30" s="106"/>
      <c r="G30" s="114" t="s">
        <v>884</v>
      </c>
      <c r="H30" s="106"/>
      <c r="I30" s="108">
        <v>1000</v>
      </c>
      <c r="J30" s="109">
        <v>4570</v>
      </c>
      <c r="K30" s="106"/>
    </row>
    <row r="31" spans="1:11" ht="13.95" hidden="1" customHeight="1" outlineLevel="1" x14ac:dyDescent="0.3">
      <c r="A31" s="110" t="s">
        <v>885</v>
      </c>
      <c r="B31" s="104" t="s">
        <v>470</v>
      </c>
      <c r="C31" s="105" t="s">
        <v>228</v>
      </c>
      <c r="D31" s="105" t="s">
        <v>81</v>
      </c>
      <c r="E31" s="106"/>
      <c r="F31" s="106"/>
      <c r="G31" s="114" t="s">
        <v>886</v>
      </c>
      <c r="H31" s="106"/>
      <c r="I31" s="108">
        <v>1000</v>
      </c>
      <c r="J31" s="109">
        <v>4570</v>
      </c>
      <c r="K31" s="106"/>
    </row>
    <row r="32" spans="1:11" ht="13.95" hidden="1" customHeight="1" outlineLevel="1" x14ac:dyDescent="0.3">
      <c r="A32" s="110" t="s">
        <v>887</v>
      </c>
      <c r="B32" s="104" t="s">
        <v>888</v>
      </c>
      <c r="C32" s="105" t="s">
        <v>228</v>
      </c>
      <c r="D32" s="105" t="s">
        <v>81</v>
      </c>
      <c r="E32" s="106"/>
      <c r="F32" s="106"/>
      <c r="G32" s="112" t="s">
        <v>889</v>
      </c>
      <c r="H32" s="106"/>
      <c r="I32" s="108">
        <v>500</v>
      </c>
      <c r="J32" s="109">
        <v>7800</v>
      </c>
      <c r="K32" s="106"/>
    </row>
    <row r="33" spans="1:11" ht="13.95" hidden="1" customHeight="1" outlineLevel="1" x14ac:dyDescent="0.3">
      <c r="A33" s="110" t="s">
        <v>890</v>
      </c>
      <c r="B33" s="104" t="s">
        <v>680</v>
      </c>
      <c r="C33" s="105" t="s">
        <v>228</v>
      </c>
      <c r="D33" s="105" t="s">
        <v>81</v>
      </c>
      <c r="E33" s="106"/>
      <c r="F33" s="106"/>
      <c r="G33" s="114" t="s">
        <v>891</v>
      </c>
      <c r="H33" s="106"/>
      <c r="I33" s="108">
        <v>80</v>
      </c>
      <c r="J33" s="109">
        <v>1520</v>
      </c>
      <c r="K33" s="106"/>
    </row>
    <row r="34" spans="1:11" ht="13.95" hidden="1" customHeight="1" outlineLevel="1" x14ac:dyDescent="0.3">
      <c r="A34" s="110" t="s">
        <v>892</v>
      </c>
      <c r="B34" s="104" t="s">
        <v>893</v>
      </c>
      <c r="C34" s="105" t="s">
        <v>228</v>
      </c>
      <c r="D34" s="105" t="s">
        <v>81</v>
      </c>
      <c r="E34" s="106"/>
      <c r="F34" s="106"/>
      <c r="G34" s="112" t="s">
        <v>894</v>
      </c>
      <c r="H34" s="106"/>
      <c r="I34" s="108">
        <v>20</v>
      </c>
      <c r="J34" s="109">
        <v>380</v>
      </c>
      <c r="K34" s="106"/>
    </row>
    <row r="35" spans="1:11" ht="13.95" hidden="1" customHeight="1" outlineLevel="1" x14ac:dyDescent="0.3">
      <c r="A35" s="110" t="s">
        <v>895</v>
      </c>
      <c r="B35" s="104" t="s">
        <v>896</v>
      </c>
      <c r="C35" s="105" t="s">
        <v>228</v>
      </c>
      <c r="D35" s="105" t="s">
        <v>81</v>
      </c>
      <c r="E35" s="106"/>
      <c r="F35" s="106"/>
      <c r="G35" s="112" t="s">
        <v>897</v>
      </c>
      <c r="H35" s="106"/>
      <c r="I35" s="108">
        <v>35</v>
      </c>
      <c r="J35" s="109">
        <v>647.5</v>
      </c>
      <c r="K35" s="106"/>
    </row>
    <row r="36" spans="1:11" ht="13.95" hidden="1" customHeight="1" outlineLevel="1" x14ac:dyDescent="0.3">
      <c r="A36" s="110" t="s">
        <v>898</v>
      </c>
      <c r="B36" s="104" t="s">
        <v>705</v>
      </c>
      <c r="C36" s="105" t="s">
        <v>228</v>
      </c>
      <c r="D36" s="105" t="s">
        <v>81</v>
      </c>
      <c r="E36" s="106"/>
      <c r="F36" s="106"/>
      <c r="G36" s="114" t="s">
        <v>899</v>
      </c>
      <c r="H36" s="106"/>
      <c r="I36" s="108">
        <v>40</v>
      </c>
      <c r="J36" s="109">
        <v>128</v>
      </c>
      <c r="K36" s="106"/>
    </row>
    <row r="37" spans="1:11" ht="13.95" hidden="1" customHeight="1" outlineLevel="1" x14ac:dyDescent="0.3">
      <c r="A37" s="110" t="s">
        <v>900</v>
      </c>
      <c r="B37" s="104" t="s">
        <v>901</v>
      </c>
      <c r="C37" s="105" t="s">
        <v>228</v>
      </c>
      <c r="D37" s="105" t="s">
        <v>81</v>
      </c>
      <c r="E37" s="106"/>
      <c r="F37" s="106"/>
      <c r="G37" s="112" t="s">
        <v>902</v>
      </c>
      <c r="H37" s="106"/>
      <c r="I37" s="108">
        <v>50</v>
      </c>
      <c r="J37" s="109">
        <v>155</v>
      </c>
      <c r="K37" s="106"/>
    </row>
    <row r="38" spans="1:11" ht="13.95" hidden="1" customHeight="1" outlineLevel="1" x14ac:dyDescent="0.3">
      <c r="A38" s="110" t="s">
        <v>903</v>
      </c>
      <c r="B38" s="104" t="s">
        <v>904</v>
      </c>
      <c r="C38" s="105" t="s">
        <v>228</v>
      </c>
      <c r="D38" s="105" t="s">
        <v>81</v>
      </c>
      <c r="E38" s="106"/>
      <c r="F38" s="106"/>
      <c r="G38" s="114" t="s">
        <v>905</v>
      </c>
      <c r="H38" s="106"/>
      <c r="I38" s="108">
        <v>170</v>
      </c>
      <c r="J38" s="109">
        <v>1173</v>
      </c>
      <c r="K38" s="106"/>
    </row>
    <row r="39" spans="1:11" ht="13.95" hidden="1" customHeight="1" outlineLevel="1" x14ac:dyDescent="0.3">
      <c r="A39" s="110" t="s">
        <v>906</v>
      </c>
      <c r="B39" s="104" t="s">
        <v>526</v>
      </c>
      <c r="C39" s="105" t="s">
        <v>228</v>
      </c>
      <c r="D39" s="105" t="s">
        <v>81</v>
      </c>
      <c r="E39" s="106"/>
      <c r="F39" s="106"/>
      <c r="G39" s="114" t="s">
        <v>907</v>
      </c>
      <c r="H39" s="106"/>
      <c r="I39" s="108">
        <v>100</v>
      </c>
      <c r="J39" s="109">
        <v>290</v>
      </c>
      <c r="K39" s="106"/>
    </row>
    <row r="40" spans="1:11" ht="13.95" hidden="1" customHeight="1" outlineLevel="1" x14ac:dyDescent="0.3">
      <c r="A40" s="110" t="s">
        <v>908</v>
      </c>
      <c r="B40" s="104" t="s">
        <v>909</v>
      </c>
      <c r="C40" s="105" t="s">
        <v>228</v>
      </c>
      <c r="D40" s="105" t="s">
        <v>81</v>
      </c>
      <c r="E40" s="106"/>
      <c r="F40" s="106"/>
      <c r="G40" s="115" t="s">
        <v>910</v>
      </c>
      <c r="H40" s="106"/>
      <c r="I40" s="108">
        <v>100</v>
      </c>
      <c r="J40" s="109">
        <v>330</v>
      </c>
      <c r="K40" s="106"/>
    </row>
    <row r="41" spans="1:11" ht="13.95" hidden="1" customHeight="1" outlineLevel="1" x14ac:dyDescent="0.3">
      <c r="A41" s="110" t="s">
        <v>911</v>
      </c>
      <c r="B41" s="104" t="s">
        <v>912</v>
      </c>
      <c r="C41" s="105" t="s">
        <v>228</v>
      </c>
      <c r="D41" s="105" t="s">
        <v>81</v>
      </c>
      <c r="E41" s="106"/>
      <c r="F41" s="106"/>
      <c r="G41" s="115" t="s">
        <v>913</v>
      </c>
      <c r="H41" s="106"/>
      <c r="I41" s="108">
        <v>100</v>
      </c>
      <c r="J41" s="109">
        <v>330</v>
      </c>
      <c r="K41" s="106"/>
    </row>
    <row r="42" spans="1:11" ht="13.95" hidden="1" customHeight="1" outlineLevel="1" x14ac:dyDescent="0.3">
      <c r="A42" s="110" t="s">
        <v>914</v>
      </c>
      <c r="B42" s="104" t="s">
        <v>915</v>
      </c>
      <c r="C42" s="105" t="s">
        <v>228</v>
      </c>
      <c r="D42" s="105" t="s">
        <v>81</v>
      </c>
      <c r="E42" s="106"/>
      <c r="F42" s="106"/>
      <c r="G42" s="115" t="s">
        <v>916</v>
      </c>
      <c r="H42" s="106"/>
      <c r="I42" s="108">
        <v>100</v>
      </c>
      <c r="J42" s="109">
        <v>330</v>
      </c>
      <c r="K42" s="106"/>
    </row>
    <row r="43" spans="1:11" ht="13.95" hidden="1" customHeight="1" outlineLevel="1" x14ac:dyDescent="0.3">
      <c r="A43" s="110" t="s">
        <v>917</v>
      </c>
      <c r="B43" s="104" t="s">
        <v>918</v>
      </c>
      <c r="C43" s="105" t="s">
        <v>228</v>
      </c>
      <c r="D43" s="105" t="s">
        <v>81</v>
      </c>
      <c r="E43" s="106"/>
      <c r="F43" s="106"/>
      <c r="G43" s="112" t="s">
        <v>919</v>
      </c>
      <c r="H43" s="106"/>
      <c r="I43" s="108">
        <v>120</v>
      </c>
      <c r="J43" s="109">
        <v>366.00000000000011</v>
      </c>
      <c r="K43" s="106"/>
    </row>
    <row r="44" spans="1:11" ht="13.95" hidden="1" customHeight="1" outlineLevel="1" x14ac:dyDescent="0.3">
      <c r="A44" s="110" t="s">
        <v>920</v>
      </c>
      <c r="B44" s="104" t="s">
        <v>921</v>
      </c>
      <c r="C44" s="105" t="s">
        <v>228</v>
      </c>
      <c r="D44" s="105" t="s">
        <v>81</v>
      </c>
      <c r="E44" s="106"/>
      <c r="F44" s="106"/>
      <c r="G44" s="115" t="s">
        <v>922</v>
      </c>
      <c r="H44" s="106"/>
      <c r="I44" s="108">
        <v>150</v>
      </c>
      <c r="J44" s="109">
        <v>457.50000000000011</v>
      </c>
      <c r="K44" s="106"/>
    </row>
    <row r="45" spans="1:11" ht="13.95" hidden="1" customHeight="1" outlineLevel="1" x14ac:dyDescent="0.3">
      <c r="A45" s="110" t="s">
        <v>923</v>
      </c>
      <c r="B45" s="104" t="s">
        <v>924</v>
      </c>
      <c r="C45" s="105" t="s">
        <v>228</v>
      </c>
      <c r="D45" s="105" t="s">
        <v>81</v>
      </c>
      <c r="E45" s="106"/>
      <c r="F45" s="106"/>
      <c r="G45" s="112" t="s">
        <v>925</v>
      </c>
      <c r="H45" s="106"/>
      <c r="I45" s="108">
        <v>100</v>
      </c>
      <c r="J45" s="109">
        <v>305</v>
      </c>
      <c r="K45" s="106"/>
    </row>
    <row r="46" spans="1:11" ht="13.95" hidden="1" customHeight="1" outlineLevel="1" x14ac:dyDescent="0.3">
      <c r="A46" s="110" t="s">
        <v>926</v>
      </c>
      <c r="B46" s="104" t="s">
        <v>927</v>
      </c>
      <c r="C46" s="105" t="s">
        <v>228</v>
      </c>
      <c r="D46" s="105" t="s">
        <v>81</v>
      </c>
      <c r="E46" s="106"/>
      <c r="F46" s="106"/>
      <c r="G46" s="112" t="s">
        <v>928</v>
      </c>
      <c r="H46" s="106"/>
      <c r="I46" s="108">
        <v>150</v>
      </c>
      <c r="J46" s="109">
        <v>457.50000000000011</v>
      </c>
      <c r="K46" s="106"/>
    </row>
    <row r="47" spans="1:11" ht="13.95" hidden="1" customHeight="1" outlineLevel="1" x14ac:dyDescent="0.3">
      <c r="A47" s="110" t="s">
        <v>929</v>
      </c>
      <c r="B47" s="104" t="s">
        <v>930</v>
      </c>
      <c r="C47" s="105" t="s">
        <v>228</v>
      </c>
      <c r="D47" s="105" t="s">
        <v>81</v>
      </c>
      <c r="E47" s="106"/>
      <c r="F47" s="106"/>
      <c r="G47" s="112" t="s">
        <v>931</v>
      </c>
      <c r="H47" s="106"/>
      <c r="I47" s="108">
        <v>40</v>
      </c>
      <c r="J47" s="109">
        <v>122</v>
      </c>
      <c r="K47" s="106"/>
    </row>
    <row r="48" spans="1:11" ht="13.95" hidden="1" customHeight="1" outlineLevel="1" x14ac:dyDescent="0.3">
      <c r="A48" s="110" t="s">
        <v>932</v>
      </c>
      <c r="B48" s="104" t="s">
        <v>933</v>
      </c>
      <c r="C48" s="105" t="s">
        <v>228</v>
      </c>
      <c r="D48" s="105" t="s">
        <v>81</v>
      </c>
      <c r="E48" s="106"/>
      <c r="F48" s="106"/>
      <c r="G48" s="112" t="s">
        <v>897</v>
      </c>
      <c r="H48" s="106"/>
      <c r="I48" s="108">
        <v>300</v>
      </c>
      <c r="J48" s="109">
        <v>1710</v>
      </c>
      <c r="K48" s="106"/>
    </row>
    <row r="49" spans="1:11" ht="13.95" hidden="1" customHeight="1" outlineLevel="1" x14ac:dyDescent="0.3">
      <c r="A49" s="110" t="s">
        <v>934</v>
      </c>
      <c r="B49" s="104" t="s">
        <v>935</v>
      </c>
      <c r="C49" s="105" t="s">
        <v>228</v>
      </c>
      <c r="D49" s="105" t="s">
        <v>81</v>
      </c>
      <c r="E49" s="106"/>
      <c r="F49" s="106"/>
      <c r="G49" s="115" t="s">
        <v>936</v>
      </c>
      <c r="H49" s="106"/>
      <c r="I49" s="108">
        <v>100</v>
      </c>
      <c r="J49" s="109">
        <v>353</v>
      </c>
      <c r="K49" s="106"/>
    </row>
    <row r="50" spans="1:11" ht="13.95" hidden="1" customHeight="1" outlineLevel="1" x14ac:dyDescent="0.3">
      <c r="A50" s="110" t="s">
        <v>937</v>
      </c>
      <c r="B50" s="104" t="s">
        <v>506</v>
      </c>
      <c r="C50" s="105" t="s">
        <v>228</v>
      </c>
      <c r="D50" s="105" t="s">
        <v>81</v>
      </c>
      <c r="E50" s="106"/>
      <c r="F50" s="106"/>
      <c r="G50" s="114" t="s">
        <v>938</v>
      </c>
      <c r="H50" s="106"/>
      <c r="I50" s="108">
        <v>50</v>
      </c>
      <c r="J50" s="109">
        <v>2915</v>
      </c>
      <c r="K50" s="106"/>
    </row>
    <row r="51" spans="1:11" ht="16.05" customHeight="1" x14ac:dyDescent="0.3">
      <c r="A51" s="11" t="s">
        <v>259</v>
      </c>
      <c r="B51" s="35" t="s">
        <v>849</v>
      </c>
      <c r="C51" s="20" t="s">
        <v>228</v>
      </c>
      <c r="D51" s="20" t="s">
        <v>81</v>
      </c>
      <c r="E51" s="100" t="s">
        <v>939</v>
      </c>
      <c r="F51" s="35">
        <v>15</v>
      </c>
      <c r="G51" s="20">
        <v>6</v>
      </c>
      <c r="H51" s="40">
        <v>1</v>
      </c>
      <c r="I51" s="21">
        <v>5070</v>
      </c>
      <c r="J51" s="101">
        <v>41734</v>
      </c>
      <c r="K51" s="102" t="s">
        <v>822</v>
      </c>
    </row>
    <row r="52" spans="1:11" ht="13.95" hidden="1" customHeight="1" outlineLevel="1" x14ac:dyDescent="0.3">
      <c r="A52" s="103" t="s">
        <v>940</v>
      </c>
      <c r="B52" s="104" t="s">
        <v>267</v>
      </c>
      <c r="C52" s="105" t="s">
        <v>228</v>
      </c>
      <c r="D52" s="105" t="s">
        <v>81</v>
      </c>
      <c r="E52" s="106"/>
      <c r="F52" s="106"/>
      <c r="G52" s="107" t="s">
        <v>941</v>
      </c>
      <c r="H52" s="106"/>
      <c r="I52" s="108">
        <v>600</v>
      </c>
      <c r="J52" s="109">
        <v>3510</v>
      </c>
      <c r="K52" s="106"/>
    </row>
    <row r="53" spans="1:11" ht="13.95" hidden="1" customHeight="1" outlineLevel="1" x14ac:dyDescent="0.3">
      <c r="A53" s="103" t="s">
        <v>942</v>
      </c>
      <c r="B53" s="104" t="s">
        <v>350</v>
      </c>
      <c r="C53" s="105" t="s">
        <v>228</v>
      </c>
      <c r="D53" s="105" t="s">
        <v>81</v>
      </c>
      <c r="E53" s="106"/>
      <c r="F53" s="106"/>
      <c r="G53" s="107" t="s">
        <v>824</v>
      </c>
      <c r="H53" s="106"/>
      <c r="I53" s="108">
        <v>100</v>
      </c>
      <c r="J53" s="109">
        <v>2035</v>
      </c>
      <c r="K53" s="106"/>
    </row>
    <row r="54" spans="1:11" ht="13.95" hidden="1" customHeight="1" outlineLevel="1" x14ac:dyDescent="0.3">
      <c r="A54" s="103" t="s">
        <v>943</v>
      </c>
      <c r="B54" s="104" t="s">
        <v>352</v>
      </c>
      <c r="C54" s="105" t="s">
        <v>228</v>
      </c>
      <c r="D54" s="105" t="s">
        <v>81</v>
      </c>
      <c r="E54" s="106"/>
      <c r="F54" s="106"/>
      <c r="G54" s="107" t="s">
        <v>824</v>
      </c>
      <c r="H54" s="106"/>
      <c r="I54" s="108">
        <v>100</v>
      </c>
      <c r="J54" s="109">
        <v>2110</v>
      </c>
      <c r="K54" s="106"/>
    </row>
    <row r="55" spans="1:11" ht="13.95" hidden="1" customHeight="1" outlineLevel="1" x14ac:dyDescent="0.3">
      <c r="A55" s="103" t="s">
        <v>944</v>
      </c>
      <c r="B55" s="104" t="s">
        <v>354</v>
      </c>
      <c r="C55" s="105" t="s">
        <v>228</v>
      </c>
      <c r="D55" s="105" t="s">
        <v>81</v>
      </c>
      <c r="E55" s="106"/>
      <c r="F55" s="106"/>
      <c r="G55" s="107" t="s">
        <v>824</v>
      </c>
      <c r="H55" s="106"/>
      <c r="I55" s="108">
        <v>100</v>
      </c>
      <c r="J55" s="109">
        <v>2195</v>
      </c>
      <c r="K55" s="106"/>
    </row>
    <row r="56" spans="1:11" ht="13.95" hidden="1" customHeight="1" outlineLevel="1" x14ac:dyDescent="0.3">
      <c r="A56" s="103" t="s">
        <v>945</v>
      </c>
      <c r="B56" s="104" t="s">
        <v>258</v>
      </c>
      <c r="C56" s="105" t="s">
        <v>228</v>
      </c>
      <c r="D56" s="105" t="s">
        <v>81</v>
      </c>
      <c r="E56" s="106"/>
      <c r="F56" s="106"/>
      <c r="G56" s="107" t="s">
        <v>946</v>
      </c>
      <c r="H56" s="106"/>
      <c r="I56" s="108">
        <v>300</v>
      </c>
      <c r="J56" s="109">
        <v>8964</v>
      </c>
      <c r="K56" s="106"/>
    </row>
    <row r="57" spans="1:11" ht="13.95" hidden="1" customHeight="1" outlineLevel="1" x14ac:dyDescent="0.3">
      <c r="A57" s="103" t="s">
        <v>947</v>
      </c>
      <c r="B57" s="104" t="s">
        <v>343</v>
      </c>
      <c r="C57" s="105" t="s">
        <v>228</v>
      </c>
      <c r="D57" s="105" t="s">
        <v>81</v>
      </c>
      <c r="E57" s="106"/>
      <c r="F57" s="106"/>
      <c r="G57" s="107" t="s">
        <v>948</v>
      </c>
      <c r="H57" s="106"/>
      <c r="I57" s="108">
        <v>250</v>
      </c>
      <c r="J57" s="109">
        <v>6450</v>
      </c>
      <c r="K57" s="106"/>
    </row>
    <row r="58" spans="1:11" ht="13.95" hidden="1" customHeight="1" outlineLevel="1" x14ac:dyDescent="0.3">
      <c r="A58" s="110" t="s">
        <v>949</v>
      </c>
      <c r="B58" s="104" t="s">
        <v>950</v>
      </c>
      <c r="C58" s="105" t="s">
        <v>228</v>
      </c>
      <c r="D58" s="105" t="s">
        <v>81</v>
      </c>
      <c r="E58" s="106"/>
      <c r="F58" s="106"/>
      <c r="G58" s="111" t="s">
        <v>951</v>
      </c>
      <c r="H58" s="106"/>
      <c r="I58" s="108">
        <v>20</v>
      </c>
      <c r="J58" s="109">
        <v>1300</v>
      </c>
      <c r="K58" s="106"/>
    </row>
    <row r="59" spans="1:11" ht="13.95" hidden="1" customHeight="1" outlineLevel="1" x14ac:dyDescent="0.3">
      <c r="A59" s="110" t="s">
        <v>952</v>
      </c>
      <c r="B59" s="104" t="s">
        <v>953</v>
      </c>
      <c r="C59" s="105" t="s">
        <v>228</v>
      </c>
      <c r="D59" s="105" t="s">
        <v>81</v>
      </c>
      <c r="E59" s="106"/>
      <c r="F59" s="106"/>
      <c r="G59" s="115" t="s">
        <v>954</v>
      </c>
      <c r="H59" s="106"/>
      <c r="I59" s="108">
        <v>100</v>
      </c>
      <c r="J59" s="109">
        <v>2165</v>
      </c>
      <c r="K59" s="106"/>
    </row>
    <row r="60" spans="1:11" ht="13.95" hidden="1" customHeight="1" outlineLevel="1" x14ac:dyDescent="0.3">
      <c r="A60" s="110" t="s">
        <v>955</v>
      </c>
      <c r="B60" s="104" t="s">
        <v>956</v>
      </c>
      <c r="C60" s="105" t="s">
        <v>228</v>
      </c>
      <c r="D60" s="105" t="s">
        <v>81</v>
      </c>
      <c r="E60" s="106"/>
      <c r="F60" s="106"/>
      <c r="G60" s="112" t="s">
        <v>957</v>
      </c>
      <c r="H60" s="106"/>
      <c r="I60" s="108">
        <v>500</v>
      </c>
      <c r="J60" s="109">
        <v>1990</v>
      </c>
      <c r="K60" s="106"/>
    </row>
    <row r="61" spans="1:11" ht="13.95" hidden="1" customHeight="1" outlineLevel="1" x14ac:dyDescent="0.3">
      <c r="A61" s="110" t="s">
        <v>958</v>
      </c>
      <c r="B61" s="104" t="s">
        <v>959</v>
      </c>
      <c r="C61" s="105" t="s">
        <v>228</v>
      </c>
      <c r="D61" s="105" t="s">
        <v>81</v>
      </c>
      <c r="E61" s="106"/>
      <c r="F61" s="106"/>
      <c r="G61" s="112" t="s">
        <v>928</v>
      </c>
      <c r="H61" s="106"/>
      <c r="I61" s="108">
        <v>500</v>
      </c>
      <c r="J61" s="109">
        <v>1990</v>
      </c>
      <c r="K61" s="106"/>
    </row>
    <row r="62" spans="1:11" ht="13.95" hidden="1" customHeight="1" outlineLevel="1" x14ac:dyDescent="0.3">
      <c r="A62" s="110" t="s">
        <v>960</v>
      </c>
      <c r="B62" s="104" t="s">
        <v>155</v>
      </c>
      <c r="C62" s="105" t="s">
        <v>228</v>
      </c>
      <c r="D62" s="105" t="s">
        <v>81</v>
      </c>
      <c r="E62" s="106"/>
      <c r="F62" s="106"/>
      <c r="G62" s="116" t="s">
        <v>482</v>
      </c>
      <c r="H62" s="106"/>
      <c r="I62" s="108">
        <v>500</v>
      </c>
      <c r="J62" s="109">
        <v>1805</v>
      </c>
      <c r="K62" s="106"/>
    </row>
    <row r="63" spans="1:11" ht="13.95" hidden="1" customHeight="1" outlineLevel="1" x14ac:dyDescent="0.3">
      <c r="A63" s="110" t="s">
        <v>961</v>
      </c>
      <c r="B63" s="104" t="s">
        <v>157</v>
      </c>
      <c r="C63" s="105" t="s">
        <v>228</v>
      </c>
      <c r="D63" s="105" t="s">
        <v>81</v>
      </c>
      <c r="E63" s="106"/>
      <c r="F63" s="106"/>
      <c r="G63" s="116" t="s">
        <v>482</v>
      </c>
      <c r="H63" s="106"/>
      <c r="I63" s="108">
        <v>500</v>
      </c>
      <c r="J63" s="109">
        <v>1805</v>
      </c>
      <c r="K63" s="106"/>
    </row>
    <row r="64" spans="1:11" ht="13.95" hidden="1" customHeight="1" outlineLevel="1" x14ac:dyDescent="0.3">
      <c r="A64" s="110" t="s">
        <v>962</v>
      </c>
      <c r="B64" s="104" t="s">
        <v>159</v>
      </c>
      <c r="C64" s="105" t="s">
        <v>228</v>
      </c>
      <c r="D64" s="105" t="s">
        <v>81</v>
      </c>
      <c r="E64" s="106"/>
      <c r="F64" s="106"/>
      <c r="G64" s="116" t="s">
        <v>482</v>
      </c>
      <c r="H64" s="106"/>
      <c r="I64" s="108">
        <v>500</v>
      </c>
      <c r="J64" s="109">
        <v>1805</v>
      </c>
      <c r="K64" s="106"/>
    </row>
    <row r="65" spans="1:11" ht="13.95" hidden="1" customHeight="1" outlineLevel="1" x14ac:dyDescent="0.3">
      <c r="A65" s="110" t="s">
        <v>963</v>
      </c>
      <c r="B65" s="104" t="s">
        <v>161</v>
      </c>
      <c r="C65" s="105" t="s">
        <v>228</v>
      </c>
      <c r="D65" s="105" t="s">
        <v>81</v>
      </c>
      <c r="E65" s="106"/>
      <c r="F65" s="106"/>
      <c r="G65" s="116" t="s">
        <v>482</v>
      </c>
      <c r="H65" s="106"/>
      <c r="I65" s="108">
        <v>500</v>
      </c>
      <c r="J65" s="109">
        <v>1805</v>
      </c>
      <c r="K65" s="106"/>
    </row>
    <row r="66" spans="1:11" ht="13.95" hidden="1" customHeight="1" outlineLevel="1" x14ac:dyDescent="0.3">
      <c r="A66" s="110" t="s">
        <v>964</v>
      </c>
      <c r="B66" s="104" t="s">
        <v>163</v>
      </c>
      <c r="C66" s="105" t="s">
        <v>228</v>
      </c>
      <c r="D66" s="105" t="s">
        <v>81</v>
      </c>
      <c r="E66" s="106"/>
      <c r="F66" s="106"/>
      <c r="G66" s="116" t="s">
        <v>482</v>
      </c>
      <c r="H66" s="106"/>
      <c r="I66" s="108">
        <v>500</v>
      </c>
      <c r="J66" s="109">
        <v>1805</v>
      </c>
      <c r="K66" s="106"/>
    </row>
    <row r="67" spans="1:11" ht="16.05" customHeight="1" x14ac:dyDescent="0.3">
      <c r="A67" s="11" t="s">
        <v>95</v>
      </c>
      <c r="B67" s="35" t="s">
        <v>965</v>
      </c>
      <c r="C67" s="20" t="s">
        <v>96</v>
      </c>
      <c r="D67" s="20" t="s">
        <v>71</v>
      </c>
      <c r="E67" s="100" t="s">
        <v>966</v>
      </c>
      <c r="F67" s="35">
        <v>50</v>
      </c>
      <c r="G67" s="20">
        <v>4</v>
      </c>
      <c r="H67" s="40">
        <v>12</v>
      </c>
      <c r="I67" s="21">
        <v>7329</v>
      </c>
      <c r="J67" s="101">
        <v>61655</v>
      </c>
      <c r="K67" s="113" t="s">
        <v>851</v>
      </c>
    </row>
    <row r="68" spans="1:11" ht="13.95" hidden="1" customHeight="1" outlineLevel="1" x14ac:dyDescent="0.3">
      <c r="A68" s="103" t="s">
        <v>967</v>
      </c>
      <c r="B68" s="104" t="s">
        <v>305</v>
      </c>
      <c r="C68" s="105" t="s">
        <v>96</v>
      </c>
      <c r="D68" s="105" t="s">
        <v>71</v>
      </c>
      <c r="E68" s="106"/>
      <c r="F68" s="106"/>
      <c r="G68" s="107" t="s">
        <v>968</v>
      </c>
      <c r="H68" s="106"/>
      <c r="I68" s="108">
        <v>92</v>
      </c>
      <c r="J68" s="109">
        <v>446.2</v>
      </c>
      <c r="K68" s="106"/>
    </row>
    <row r="69" spans="1:11" ht="13.95" hidden="1" customHeight="1" outlineLevel="1" x14ac:dyDescent="0.3">
      <c r="A69" s="103" t="s">
        <v>969</v>
      </c>
      <c r="B69" s="104" t="s">
        <v>278</v>
      </c>
      <c r="C69" s="105" t="s">
        <v>96</v>
      </c>
      <c r="D69" s="105" t="s">
        <v>71</v>
      </c>
      <c r="E69" s="106"/>
      <c r="F69" s="106"/>
      <c r="G69" s="107" t="s">
        <v>824</v>
      </c>
      <c r="H69" s="106"/>
      <c r="I69" s="108">
        <v>200</v>
      </c>
      <c r="J69" s="109">
        <v>1010</v>
      </c>
      <c r="K69" s="106"/>
    </row>
    <row r="70" spans="1:11" ht="13.95" hidden="1" customHeight="1" outlineLevel="1" x14ac:dyDescent="0.3">
      <c r="A70" s="103" t="s">
        <v>970</v>
      </c>
      <c r="B70" s="104" t="s">
        <v>280</v>
      </c>
      <c r="C70" s="105" t="s">
        <v>96</v>
      </c>
      <c r="D70" s="105" t="s">
        <v>71</v>
      </c>
      <c r="E70" s="106"/>
      <c r="F70" s="106"/>
      <c r="G70" s="107" t="s">
        <v>824</v>
      </c>
      <c r="H70" s="106"/>
      <c r="I70" s="108">
        <v>200</v>
      </c>
      <c r="J70" s="109">
        <v>890</v>
      </c>
      <c r="K70" s="106"/>
    </row>
    <row r="71" spans="1:11" ht="13.95" hidden="1" customHeight="1" outlineLevel="1" x14ac:dyDescent="0.3">
      <c r="A71" s="103" t="s">
        <v>971</v>
      </c>
      <c r="B71" s="104" t="s">
        <v>972</v>
      </c>
      <c r="C71" s="105" t="s">
        <v>96</v>
      </c>
      <c r="D71" s="105" t="s">
        <v>71</v>
      </c>
      <c r="E71" s="106"/>
      <c r="F71" s="106"/>
      <c r="G71" s="107" t="s">
        <v>973</v>
      </c>
      <c r="H71" s="106"/>
      <c r="I71" s="108">
        <v>200</v>
      </c>
      <c r="J71" s="109">
        <v>919.99999999999989</v>
      </c>
      <c r="K71" s="106"/>
    </row>
    <row r="72" spans="1:11" ht="13.95" hidden="1" customHeight="1" outlineLevel="1" x14ac:dyDescent="0.3">
      <c r="A72" s="110" t="s">
        <v>974</v>
      </c>
      <c r="B72" s="104" t="s">
        <v>263</v>
      </c>
      <c r="C72" s="105" t="s">
        <v>96</v>
      </c>
      <c r="D72" s="105" t="s">
        <v>71</v>
      </c>
      <c r="E72" s="106"/>
      <c r="F72" s="106"/>
      <c r="G72" s="111" t="s">
        <v>975</v>
      </c>
      <c r="H72" s="106"/>
      <c r="I72" s="108">
        <v>156</v>
      </c>
      <c r="J72" s="109">
        <v>366.6</v>
      </c>
      <c r="K72" s="106"/>
    </row>
    <row r="73" spans="1:11" ht="13.95" hidden="1" customHeight="1" outlineLevel="1" x14ac:dyDescent="0.3">
      <c r="A73" s="110" t="s">
        <v>976</v>
      </c>
      <c r="B73" s="104" t="s">
        <v>272</v>
      </c>
      <c r="C73" s="105" t="s">
        <v>96</v>
      </c>
      <c r="D73" s="105" t="s">
        <v>71</v>
      </c>
      <c r="E73" s="106"/>
      <c r="F73" s="106"/>
      <c r="G73" s="111" t="s">
        <v>977</v>
      </c>
      <c r="H73" s="106"/>
      <c r="I73" s="108">
        <v>200</v>
      </c>
      <c r="J73" s="109">
        <v>600</v>
      </c>
      <c r="K73" s="106"/>
    </row>
    <row r="74" spans="1:11" ht="13.95" hidden="1" customHeight="1" outlineLevel="1" x14ac:dyDescent="0.3">
      <c r="A74" s="110" t="s">
        <v>978</v>
      </c>
      <c r="B74" s="104" t="s">
        <v>979</v>
      </c>
      <c r="C74" s="105" t="s">
        <v>96</v>
      </c>
      <c r="D74" s="105" t="s">
        <v>71</v>
      </c>
      <c r="E74" s="106"/>
      <c r="F74" s="106"/>
      <c r="G74" s="111" t="s">
        <v>980</v>
      </c>
      <c r="H74" s="106"/>
      <c r="I74" s="108">
        <v>204</v>
      </c>
      <c r="J74" s="109">
        <v>2805</v>
      </c>
      <c r="K74" s="106"/>
    </row>
    <row r="75" spans="1:11" ht="13.95" hidden="1" customHeight="1" outlineLevel="1" x14ac:dyDescent="0.3">
      <c r="A75" s="110" t="s">
        <v>981</v>
      </c>
      <c r="B75" s="104" t="s">
        <v>114</v>
      </c>
      <c r="C75" s="105" t="s">
        <v>96</v>
      </c>
      <c r="D75" s="105" t="s">
        <v>71</v>
      </c>
      <c r="E75" s="106"/>
      <c r="F75" s="106"/>
      <c r="G75" s="111" t="s">
        <v>982</v>
      </c>
      <c r="H75" s="106"/>
      <c r="I75" s="108">
        <v>86</v>
      </c>
      <c r="J75" s="109">
        <v>559</v>
      </c>
      <c r="K75" s="106"/>
    </row>
    <row r="76" spans="1:11" ht="13.95" hidden="1" customHeight="1" outlineLevel="1" x14ac:dyDescent="0.3">
      <c r="A76" s="110" t="s">
        <v>983</v>
      </c>
      <c r="B76" s="104" t="s">
        <v>112</v>
      </c>
      <c r="C76" s="105" t="s">
        <v>96</v>
      </c>
      <c r="D76" s="105" t="s">
        <v>71</v>
      </c>
      <c r="E76" s="106"/>
      <c r="F76" s="106"/>
      <c r="G76" s="111" t="s">
        <v>984</v>
      </c>
      <c r="H76" s="106"/>
      <c r="I76" s="108">
        <v>50</v>
      </c>
      <c r="J76" s="109">
        <v>397.5</v>
      </c>
      <c r="K76" s="106"/>
    </row>
    <row r="77" spans="1:11" ht="13.95" hidden="1" customHeight="1" outlineLevel="1" x14ac:dyDescent="0.3">
      <c r="A77" s="110" t="s">
        <v>985</v>
      </c>
      <c r="B77" s="104" t="s">
        <v>94</v>
      </c>
      <c r="C77" s="105" t="s">
        <v>96</v>
      </c>
      <c r="D77" s="105" t="s">
        <v>71</v>
      </c>
      <c r="E77" s="106"/>
      <c r="F77" s="106"/>
      <c r="G77" s="111" t="s">
        <v>986</v>
      </c>
      <c r="H77" s="106"/>
      <c r="I77" s="108">
        <v>50</v>
      </c>
      <c r="J77" s="109">
        <v>397.5</v>
      </c>
      <c r="K77" s="106"/>
    </row>
    <row r="78" spans="1:11" ht="13.95" hidden="1" customHeight="1" outlineLevel="1" x14ac:dyDescent="0.3">
      <c r="A78" s="110" t="s">
        <v>987</v>
      </c>
      <c r="B78" s="104" t="s">
        <v>988</v>
      </c>
      <c r="C78" s="105" t="s">
        <v>96</v>
      </c>
      <c r="D78" s="105" t="s">
        <v>71</v>
      </c>
      <c r="E78" s="106"/>
      <c r="F78" s="106"/>
      <c r="G78" s="111" t="s">
        <v>989</v>
      </c>
      <c r="H78" s="106"/>
      <c r="I78" s="108">
        <v>100</v>
      </c>
      <c r="J78" s="109">
        <v>3350</v>
      </c>
      <c r="K78" s="106"/>
    </row>
    <row r="79" spans="1:11" ht="13.95" hidden="1" customHeight="1" outlineLevel="1" x14ac:dyDescent="0.3">
      <c r="A79" s="110" t="s">
        <v>990</v>
      </c>
      <c r="B79" s="104" t="s">
        <v>991</v>
      </c>
      <c r="C79" s="105" t="s">
        <v>96</v>
      </c>
      <c r="D79" s="105" t="s">
        <v>71</v>
      </c>
      <c r="E79" s="106"/>
      <c r="F79" s="106"/>
      <c r="G79" s="111" t="s">
        <v>992</v>
      </c>
      <c r="H79" s="106"/>
      <c r="I79" s="108">
        <v>204</v>
      </c>
      <c r="J79" s="109">
        <v>1295.4000000000001</v>
      </c>
      <c r="K79" s="106"/>
    </row>
    <row r="80" spans="1:11" ht="13.95" hidden="1" customHeight="1" outlineLevel="1" x14ac:dyDescent="0.3">
      <c r="A80" s="110" t="s">
        <v>993</v>
      </c>
      <c r="B80" s="104" t="s">
        <v>994</v>
      </c>
      <c r="C80" s="105" t="s">
        <v>96</v>
      </c>
      <c r="D80" s="105" t="s">
        <v>71</v>
      </c>
      <c r="E80" s="106"/>
      <c r="F80" s="106"/>
      <c r="G80" s="111" t="s">
        <v>995</v>
      </c>
      <c r="H80" s="106"/>
      <c r="I80" s="108">
        <v>153</v>
      </c>
      <c r="J80" s="109">
        <v>3044.7</v>
      </c>
      <c r="K80" s="106"/>
    </row>
    <row r="81" spans="1:11" ht="13.95" hidden="1" customHeight="1" outlineLevel="1" x14ac:dyDescent="0.3">
      <c r="A81" s="110" t="s">
        <v>996</v>
      </c>
      <c r="B81" s="104" t="s">
        <v>997</v>
      </c>
      <c r="C81" s="105" t="s">
        <v>96</v>
      </c>
      <c r="D81" s="105" t="s">
        <v>71</v>
      </c>
      <c r="E81" s="106"/>
      <c r="F81" s="106"/>
      <c r="G81" s="111" t="s">
        <v>998</v>
      </c>
      <c r="H81" s="106"/>
      <c r="I81" s="108">
        <v>51</v>
      </c>
      <c r="J81" s="109">
        <v>234.6</v>
      </c>
      <c r="K81" s="106"/>
    </row>
    <row r="82" spans="1:11" ht="13.95" hidden="1" customHeight="1" outlineLevel="1" x14ac:dyDescent="0.3">
      <c r="A82" s="110" t="s">
        <v>999</v>
      </c>
      <c r="B82" s="104" t="s">
        <v>1000</v>
      </c>
      <c r="C82" s="105" t="s">
        <v>96</v>
      </c>
      <c r="D82" s="105" t="s">
        <v>71</v>
      </c>
      <c r="E82" s="106"/>
      <c r="F82" s="106"/>
      <c r="G82" s="111" t="s">
        <v>1001</v>
      </c>
      <c r="H82" s="106"/>
      <c r="I82" s="108">
        <v>200</v>
      </c>
      <c r="J82" s="109">
        <v>5990</v>
      </c>
      <c r="K82" s="106"/>
    </row>
    <row r="83" spans="1:11" ht="13.95" hidden="1" customHeight="1" outlineLevel="1" x14ac:dyDescent="0.3">
      <c r="A83" s="110" t="s">
        <v>1002</v>
      </c>
      <c r="B83" s="104" t="s">
        <v>1003</v>
      </c>
      <c r="C83" s="105" t="s">
        <v>96</v>
      </c>
      <c r="D83" s="105" t="s">
        <v>71</v>
      </c>
      <c r="E83" s="106"/>
      <c r="F83" s="106"/>
      <c r="G83" s="111" t="s">
        <v>992</v>
      </c>
      <c r="H83" s="106"/>
      <c r="I83" s="108">
        <v>75</v>
      </c>
      <c r="J83" s="109">
        <v>420</v>
      </c>
      <c r="K83" s="106"/>
    </row>
    <row r="84" spans="1:11" ht="13.95" hidden="1" customHeight="1" outlineLevel="1" x14ac:dyDescent="0.3">
      <c r="A84" s="110" t="s">
        <v>929</v>
      </c>
      <c r="B84" s="104" t="s">
        <v>930</v>
      </c>
      <c r="C84" s="105" t="s">
        <v>96</v>
      </c>
      <c r="D84" s="105" t="s">
        <v>71</v>
      </c>
      <c r="E84" s="106"/>
      <c r="F84" s="106"/>
      <c r="G84" s="114" t="s">
        <v>1004</v>
      </c>
      <c r="H84" s="106"/>
      <c r="I84" s="108">
        <v>60</v>
      </c>
      <c r="J84" s="109">
        <v>183</v>
      </c>
      <c r="K84" s="106"/>
    </row>
    <row r="85" spans="1:11" ht="13.95" hidden="1" customHeight="1" outlineLevel="1" x14ac:dyDescent="0.3">
      <c r="A85" s="110" t="s">
        <v>917</v>
      </c>
      <c r="B85" s="104" t="s">
        <v>918</v>
      </c>
      <c r="C85" s="105" t="s">
        <v>96</v>
      </c>
      <c r="D85" s="105" t="s">
        <v>71</v>
      </c>
      <c r="E85" s="106"/>
      <c r="F85" s="106"/>
      <c r="G85" s="114" t="s">
        <v>1005</v>
      </c>
      <c r="H85" s="106"/>
      <c r="I85" s="108">
        <v>30</v>
      </c>
      <c r="J85" s="109">
        <v>91.500000000000014</v>
      </c>
      <c r="K85" s="106"/>
    </row>
    <row r="86" spans="1:11" ht="13.95" hidden="1" customHeight="1" outlineLevel="1" x14ac:dyDescent="0.3">
      <c r="A86" s="110" t="s">
        <v>1006</v>
      </c>
      <c r="B86" s="104" t="s">
        <v>224</v>
      </c>
      <c r="C86" s="105" t="s">
        <v>96</v>
      </c>
      <c r="D86" s="105" t="s">
        <v>71</v>
      </c>
      <c r="E86" s="106"/>
      <c r="F86" s="106"/>
      <c r="G86" s="112" t="s">
        <v>1007</v>
      </c>
      <c r="H86" s="106"/>
      <c r="I86" s="108">
        <v>100</v>
      </c>
      <c r="J86" s="109">
        <v>330</v>
      </c>
      <c r="K86" s="106"/>
    </row>
    <row r="87" spans="1:11" ht="13.95" hidden="1" customHeight="1" outlineLevel="1" x14ac:dyDescent="0.3">
      <c r="A87" s="110" t="s">
        <v>1008</v>
      </c>
      <c r="B87" s="104" t="s">
        <v>1009</v>
      </c>
      <c r="C87" s="105" t="s">
        <v>96</v>
      </c>
      <c r="D87" s="105" t="s">
        <v>71</v>
      </c>
      <c r="E87" s="106"/>
      <c r="F87" s="106"/>
      <c r="G87" s="112" t="s">
        <v>1010</v>
      </c>
      <c r="H87" s="106"/>
      <c r="I87" s="108">
        <v>100</v>
      </c>
      <c r="J87" s="109">
        <v>330</v>
      </c>
      <c r="K87" s="106"/>
    </row>
    <row r="88" spans="1:11" ht="13.95" hidden="1" customHeight="1" outlineLevel="1" x14ac:dyDescent="0.3">
      <c r="A88" s="110" t="s">
        <v>1011</v>
      </c>
      <c r="B88" s="104" t="s">
        <v>1012</v>
      </c>
      <c r="C88" s="105" t="s">
        <v>96</v>
      </c>
      <c r="D88" s="105" t="s">
        <v>71</v>
      </c>
      <c r="E88" s="106"/>
      <c r="F88" s="106"/>
      <c r="G88" s="112" t="s">
        <v>1013</v>
      </c>
      <c r="H88" s="106"/>
      <c r="I88" s="108">
        <v>100</v>
      </c>
      <c r="J88" s="109">
        <v>330</v>
      </c>
      <c r="K88" s="106"/>
    </row>
    <row r="89" spans="1:11" ht="13.95" hidden="1" customHeight="1" outlineLevel="1" x14ac:dyDescent="0.3">
      <c r="A89" s="110" t="s">
        <v>1014</v>
      </c>
      <c r="B89" s="104" t="s">
        <v>1015</v>
      </c>
      <c r="C89" s="105" t="s">
        <v>96</v>
      </c>
      <c r="D89" s="105" t="s">
        <v>71</v>
      </c>
      <c r="E89" s="106"/>
      <c r="F89" s="106"/>
      <c r="G89" s="112" t="s">
        <v>1016</v>
      </c>
      <c r="H89" s="106"/>
      <c r="I89" s="108">
        <v>601</v>
      </c>
      <c r="J89" s="109">
        <v>3125.2</v>
      </c>
      <c r="K89" s="106"/>
    </row>
    <row r="90" spans="1:11" ht="13.95" hidden="1" customHeight="1" outlineLevel="1" x14ac:dyDescent="0.3">
      <c r="A90" s="110" t="s">
        <v>1017</v>
      </c>
      <c r="B90" s="104" t="s">
        <v>1018</v>
      </c>
      <c r="C90" s="105" t="s">
        <v>96</v>
      </c>
      <c r="D90" s="105" t="s">
        <v>71</v>
      </c>
      <c r="E90" s="106"/>
      <c r="F90" s="106"/>
      <c r="G90" s="112" t="s">
        <v>1019</v>
      </c>
      <c r="H90" s="106"/>
      <c r="I90" s="108">
        <v>150</v>
      </c>
      <c r="J90" s="109">
        <v>262.5</v>
      </c>
      <c r="K90" s="106"/>
    </row>
    <row r="91" spans="1:11" ht="13.95" hidden="1" customHeight="1" outlineLevel="1" x14ac:dyDescent="0.3">
      <c r="A91" s="110" t="s">
        <v>1020</v>
      </c>
      <c r="B91" s="104" t="s">
        <v>1021</v>
      </c>
      <c r="C91" s="105" t="s">
        <v>96</v>
      </c>
      <c r="D91" s="105" t="s">
        <v>71</v>
      </c>
      <c r="E91" s="106"/>
      <c r="F91" s="106"/>
      <c r="G91" s="112" t="s">
        <v>1022</v>
      </c>
      <c r="H91" s="106"/>
      <c r="I91" s="108">
        <v>301</v>
      </c>
      <c r="J91" s="109">
        <v>421.4</v>
      </c>
      <c r="K91" s="106"/>
    </row>
    <row r="92" spans="1:11" ht="13.95" hidden="1" customHeight="1" outlineLevel="1" x14ac:dyDescent="0.3">
      <c r="A92" s="110" t="s">
        <v>1023</v>
      </c>
      <c r="B92" s="104" t="s">
        <v>1024</v>
      </c>
      <c r="C92" s="105" t="s">
        <v>96</v>
      </c>
      <c r="D92" s="105" t="s">
        <v>71</v>
      </c>
      <c r="E92" s="106"/>
      <c r="F92" s="106"/>
      <c r="G92" s="112" t="s">
        <v>1025</v>
      </c>
      <c r="H92" s="106"/>
      <c r="I92" s="108">
        <v>144</v>
      </c>
      <c r="J92" s="109">
        <v>280.8</v>
      </c>
      <c r="K92" s="106"/>
    </row>
    <row r="93" spans="1:11" ht="13.95" hidden="1" customHeight="1" outlineLevel="1" x14ac:dyDescent="0.3">
      <c r="A93" s="110" t="s">
        <v>1026</v>
      </c>
      <c r="B93" s="104" t="s">
        <v>708</v>
      </c>
      <c r="C93" s="105" t="s">
        <v>96</v>
      </c>
      <c r="D93" s="105" t="s">
        <v>71</v>
      </c>
      <c r="E93" s="106"/>
      <c r="F93" s="106"/>
      <c r="G93" s="112" t="s">
        <v>1027</v>
      </c>
      <c r="H93" s="106"/>
      <c r="I93" s="108">
        <v>110</v>
      </c>
      <c r="J93" s="109">
        <v>374</v>
      </c>
      <c r="K93" s="106"/>
    </row>
    <row r="94" spans="1:11" ht="13.95" hidden="1" customHeight="1" outlineLevel="1" x14ac:dyDescent="0.3">
      <c r="A94" s="110" t="s">
        <v>1028</v>
      </c>
      <c r="B94" s="104" t="s">
        <v>1029</v>
      </c>
      <c r="C94" s="105" t="s">
        <v>96</v>
      </c>
      <c r="D94" s="105" t="s">
        <v>71</v>
      </c>
      <c r="E94" s="106"/>
      <c r="F94" s="106"/>
      <c r="G94" s="112" t="s">
        <v>928</v>
      </c>
      <c r="H94" s="106"/>
      <c r="I94" s="108">
        <v>150</v>
      </c>
      <c r="J94" s="109">
        <v>1605</v>
      </c>
      <c r="K94" s="106"/>
    </row>
    <row r="95" spans="1:11" ht="13.95" hidden="1" customHeight="1" outlineLevel="1" x14ac:dyDescent="0.3">
      <c r="A95" s="110" t="s">
        <v>1030</v>
      </c>
      <c r="B95" s="104" t="s">
        <v>1031</v>
      </c>
      <c r="C95" s="105" t="s">
        <v>96</v>
      </c>
      <c r="D95" s="105" t="s">
        <v>71</v>
      </c>
      <c r="E95" s="106"/>
      <c r="F95" s="106"/>
      <c r="G95" s="112" t="s">
        <v>1032</v>
      </c>
      <c r="H95" s="106"/>
      <c r="I95" s="108">
        <v>100</v>
      </c>
      <c r="J95" s="109">
        <v>1070</v>
      </c>
      <c r="K95" s="106"/>
    </row>
    <row r="96" spans="1:11" ht="13.95" hidden="1" customHeight="1" outlineLevel="1" x14ac:dyDescent="0.3">
      <c r="A96" s="110" t="s">
        <v>1033</v>
      </c>
      <c r="B96" s="104" t="s">
        <v>1034</v>
      </c>
      <c r="C96" s="105" t="s">
        <v>96</v>
      </c>
      <c r="D96" s="105" t="s">
        <v>71</v>
      </c>
      <c r="E96" s="106"/>
      <c r="F96" s="106"/>
      <c r="G96" s="112" t="s">
        <v>1035</v>
      </c>
      <c r="H96" s="106"/>
      <c r="I96" s="108">
        <v>169</v>
      </c>
      <c r="J96" s="109">
        <v>490.1</v>
      </c>
      <c r="K96" s="106"/>
    </row>
    <row r="97" spans="1:11" ht="13.95" hidden="1" customHeight="1" outlineLevel="1" x14ac:dyDescent="0.3">
      <c r="A97" s="110" t="s">
        <v>1036</v>
      </c>
      <c r="B97" s="104" t="s">
        <v>1037</v>
      </c>
      <c r="C97" s="105" t="s">
        <v>96</v>
      </c>
      <c r="D97" s="105" t="s">
        <v>71</v>
      </c>
      <c r="E97" s="106"/>
      <c r="F97" s="106"/>
      <c r="G97" s="112" t="s">
        <v>1038</v>
      </c>
      <c r="H97" s="106"/>
      <c r="I97" s="108">
        <v>241</v>
      </c>
      <c r="J97" s="109">
        <v>795.3</v>
      </c>
      <c r="K97" s="106"/>
    </row>
    <row r="98" spans="1:11" ht="13.95" hidden="1" customHeight="1" outlineLevel="1" x14ac:dyDescent="0.3">
      <c r="A98" s="110" t="s">
        <v>1039</v>
      </c>
      <c r="B98" s="104" t="s">
        <v>1040</v>
      </c>
      <c r="C98" s="105" t="s">
        <v>96</v>
      </c>
      <c r="D98" s="105" t="s">
        <v>71</v>
      </c>
      <c r="E98" s="106"/>
      <c r="F98" s="106"/>
      <c r="G98" s="112" t="s">
        <v>1041</v>
      </c>
      <c r="H98" s="106"/>
      <c r="I98" s="108">
        <v>97</v>
      </c>
      <c r="J98" s="109">
        <v>339.5</v>
      </c>
      <c r="K98" s="106"/>
    </row>
    <row r="99" spans="1:11" ht="13.95" hidden="1" customHeight="1" outlineLevel="1" x14ac:dyDescent="0.3">
      <c r="A99" s="110" t="s">
        <v>1042</v>
      </c>
      <c r="B99" s="104" t="s">
        <v>1043</v>
      </c>
      <c r="C99" s="105" t="s">
        <v>96</v>
      </c>
      <c r="D99" s="105" t="s">
        <v>71</v>
      </c>
      <c r="E99" s="106"/>
      <c r="F99" s="106"/>
      <c r="G99" s="112" t="s">
        <v>1016</v>
      </c>
      <c r="H99" s="106"/>
      <c r="I99" s="108">
        <v>101</v>
      </c>
      <c r="J99" s="109">
        <v>792.85</v>
      </c>
      <c r="K99" s="106"/>
    </row>
    <row r="100" spans="1:11" ht="13.95" hidden="1" customHeight="1" outlineLevel="1" x14ac:dyDescent="0.3">
      <c r="A100" s="110" t="s">
        <v>1044</v>
      </c>
      <c r="B100" s="104" t="s">
        <v>1045</v>
      </c>
      <c r="C100" s="105" t="s">
        <v>96</v>
      </c>
      <c r="D100" s="105" t="s">
        <v>71</v>
      </c>
      <c r="E100" s="106"/>
      <c r="F100" s="106"/>
      <c r="G100" s="112" t="s">
        <v>1046</v>
      </c>
      <c r="H100" s="106"/>
      <c r="I100" s="108">
        <v>100</v>
      </c>
      <c r="J100" s="109">
        <v>220</v>
      </c>
      <c r="K100" s="106"/>
    </row>
    <row r="101" spans="1:11" ht="13.95" hidden="1" customHeight="1" outlineLevel="1" x14ac:dyDescent="0.3">
      <c r="A101" s="110" t="s">
        <v>1047</v>
      </c>
      <c r="B101" s="104" t="s">
        <v>1048</v>
      </c>
      <c r="C101" s="105" t="s">
        <v>96</v>
      </c>
      <c r="D101" s="105" t="s">
        <v>71</v>
      </c>
      <c r="E101" s="106"/>
      <c r="F101" s="106"/>
      <c r="G101" s="112" t="s">
        <v>1049</v>
      </c>
      <c r="H101" s="106"/>
      <c r="I101" s="108">
        <v>200</v>
      </c>
      <c r="J101" s="109">
        <v>640</v>
      </c>
      <c r="K101" s="106"/>
    </row>
    <row r="102" spans="1:11" ht="13.95" hidden="1" customHeight="1" outlineLevel="1" x14ac:dyDescent="0.3">
      <c r="A102" s="110" t="s">
        <v>1050</v>
      </c>
      <c r="B102" s="104" t="s">
        <v>1051</v>
      </c>
      <c r="C102" s="105" t="s">
        <v>96</v>
      </c>
      <c r="D102" s="105" t="s">
        <v>71</v>
      </c>
      <c r="E102" s="106"/>
      <c r="F102" s="106"/>
      <c r="G102" s="112" t="s">
        <v>1052</v>
      </c>
      <c r="H102" s="106"/>
      <c r="I102" s="108">
        <v>304</v>
      </c>
      <c r="J102" s="109">
        <v>881.6</v>
      </c>
      <c r="K102" s="106"/>
    </row>
    <row r="103" spans="1:11" ht="13.95" hidden="1" customHeight="1" outlineLevel="1" x14ac:dyDescent="0.3">
      <c r="A103" s="110" t="s">
        <v>1053</v>
      </c>
      <c r="B103" s="104" t="s">
        <v>763</v>
      </c>
      <c r="C103" s="105" t="s">
        <v>96</v>
      </c>
      <c r="D103" s="105" t="s">
        <v>71</v>
      </c>
      <c r="E103" s="106"/>
      <c r="F103" s="106"/>
      <c r="G103" s="112" t="s">
        <v>1054</v>
      </c>
      <c r="H103" s="106"/>
      <c r="I103" s="108">
        <v>51</v>
      </c>
      <c r="J103" s="109">
        <v>1912.5</v>
      </c>
      <c r="K103" s="106"/>
    </row>
    <row r="104" spans="1:11" ht="13.95" hidden="1" customHeight="1" outlineLevel="1" x14ac:dyDescent="0.3">
      <c r="A104" s="110" t="s">
        <v>1055</v>
      </c>
      <c r="B104" s="104" t="s">
        <v>1056</v>
      </c>
      <c r="C104" s="105" t="s">
        <v>96</v>
      </c>
      <c r="D104" s="105" t="s">
        <v>71</v>
      </c>
      <c r="E104" s="106"/>
      <c r="F104" s="106"/>
      <c r="G104" s="112" t="s">
        <v>1057</v>
      </c>
      <c r="H104" s="106"/>
      <c r="I104" s="108">
        <v>150</v>
      </c>
      <c r="J104" s="109">
        <v>3105</v>
      </c>
      <c r="K104" s="106"/>
    </row>
    <row r="105" spans="1:11" ht="13.95" hidden="1" customHeight="1" outlineLevel="1" x14ac:dyDescent="0.3">
      <c r="A105" s="110" t="s">
        <v>1058</v>
      </c>
      <c r="B105" s="104" t="s">
        <v>1059</v>
      </c>
      <c r="C105" s="105" t="s">
        <v>96</v>
      </c>
      <c r="D105" s="105" t="s">
        <v>71</v>
      </c>
      <c r="E105" s="106"/>
      <c r="F105" s="106"/>
      <c r="G105" s="112" t="s">
        <v>1060</v>
      </c>
      <c r="H105" s="106"/>
      <c r="I105" s="108">
        <v>80</v>
      </c>
      <c r="J105" s="109">
        <v>216</v>
      </c>
      <c r="K105" s="106"/>
    </row>
    <row r="106" spans="1:11" ht="13.95" hidden="1" customHeight="1" outlineLevel="1" x14ac:dyDescent="0.3">
      <c r="A106" s="110" t="s">
        <v>1061</v>
      </c>
      <c r="B106" s="104" t="s">
        <v>1062</v>
      </c>
      <c r="C106" s="105" t="s">
        <v>96</v>
      </c>
      <c r="D106" s="105" t="s">
        <v>71</v>
      </c>
      <c r="E106" s="106"/>
      <c r="F106" s="106"/>
      <c r="G106" s="112" t="s">
        <v>1063</v>
      </c>
      <c r="H106" s="106"/>
      <c r="I106" s="108">
        <v>151</v>
      </c>
      <c r="J106" s="109">
        <v>566.25</v>
      </c>
      <c r="K106" s="106"/>
    </row>
    <row r="107" spans="1:11" ht="13.95" hidden="1" customHeight="1" outlineLevel="1" x14ac:dyDescent="0.3">
      <c r="A107" s="110" t="s">
        <v>1064</v>
      </c>
      <c r="B107" s="104" t="s">
        <v>1065</v>
      </c>
      <c r="C107" s="105" t="s">
        <v>96</v>
      </c>
      <c r="D107" s="105" t="s">
        <v>71</v>
      </c>
      <c r="E107" s="106"/>
      <c r="F107" s="106"/>
      <c r="G107" s="112" t="s">
        <v>1066</v>
      </c>
      <c r="H107" s="106"/>
      <c r="I107" s="108">
        <v>111</v>
      </c>
      <c r="J107" s="109">
        <v>1320.9</v>
      </c>
      <c r="K107" s="106"/>
    </row>
    <row r="108" spans="1:11" ht="13.95" hidden="1" customHeight="1" outlineLevel="1" x14ac:dyDescent="0.3">
      <c r="A108" s="110" t="s">
        <v>1067</v>
      </c>
      <c r="B108" s="104" t="s">
        <v>1068</v>
      </c>
      <c r="C108" s="105" t="s">
        <v>96</v>
      </c>
      <c r="D108" s="105" t="s">
        <v>71</v>
      </c>
      <c r="E108" s="106"/>
      <c r="F108" s="106"/>
      <c r="G108" s="112" t="s">
        <v>1069</v>
      </c>
      <c r="H108" s="106"/>
      <c r="I108" s="108">
        <v>104</v>
      </c>
      <c r="J108" s="109">
        <v>1508</v>
      </c>
      <c r="K108" s="106"/>
    </row>
    <row r="109" spans="1:11" ht="13.95" hidden="1" customHeight="1" outlineLevel="1" x14ac:dyDescent="0.3">
      <c r="A109" s="110" t="s">
        <v>1070</v>
      </c>
      <c r="B109" s="104" t="s">
        <v>1071</v>
      </c>
      <c r="C109" s="105" t="s">
        <v>96</v>
      </c>
      <c r="D109" s="105" t="s">
        <v>71</v>
      </c>
      <c r="E109" s="106"/>
      <c r="F109" s="106"/>
      <c r="G109" s="112" t="s">
        <v>1072</v>
      </c>
      <c r="H109" s="106"/>
      <c r="I109" s="108">
        <v>300</v>
      </c>
      <c r="J109" s="109">
        <v>1290</v>
      </c>
      <c r="K109" s="106"/>
    </row>
    <row r="110" spans="1:11" ht="13.95" hidden="1" customHeight="1" outlineLevel="1" x14ac:dyDescent="0.3">
      <c r="A110" s="110" t="s">
        <v>1073</v>
      </c>
      <c r="B110" s="104" t="s">
        <v>109</v>
      </c>
      <c r="C110" s="105" t="s">
        <v>96</v>
      </c>
      <c r="D110" s="105" t="s">
        <v>71</v>
      </c>
      <c r="E110" s="106"/>
      <c r="F110" s="106"/>
      <c r="G110" s="112" t="s">
        <v>1074</v>
      </c>
      <c r="H110" s="106"/>
      <c r="I110" s="108">
        <v>300</v>
      </c>
      <c r="J110" s="109">
        <v>2640</v>
      </c>
      <c r="K110" s="106"/>
    </row>
    <row r="111" spans="1:11" ht="13.95" hidden="1" customHeight="1" outlineLevel="1" x14ac:dyDescent="0.3">
      <c r="A111" s="110" t="s">
        <v>1075</v>
      </c>
      <c r="B111" s="104" t="s">
        <v>603</v>
      </c>
      <c r="C111" s="105" t="s">
        <v>96</v>
      </c>
      <c r="D111" s="105" t="s">
        <v>71</v>
      </c>
      <c r="E111" s="106"/>
      <c r="F111" s="106"/>
      <c r="G111" s="112" t="s">
        <v>845</v>
      </c>
      <c r="H111" s="106"/>
      <c r="I111" s="108">
        <v>56</v>
      </c>
      <c r="J111" s="109">
        <v>851.19999999999993</v>
      </c>
      <c r="K111" s="106"/>
    </row>
    <row r="112" spans="1:11" ht="13.95" hidden="1" customHeight="1" outlineLevel="1" x14ac:dyDescent="0.3">
      <c r="A112" s="110" t="s">
        <v>1076</v>
      </c>
      <c r="B112" s="104" t="s">
        <v>786</v>
      </c>
      <c r="C112" s="105" t="s">
        <v>96</v>
      </c>
      <c r="D112" s="105" t="s">
        <v>71</v>
      </c>
      <c r="E112" s="106"/>
      <c r="F112" s="106"/>
      <c r="G112" s="112" t="s">
        <v>1077</v>
      </c>
      <c r="H112" s="106"/>
      <c r="I112" s="108">
        <v>100</v>
      </c>
      <c r="J112" s="109">
        <v>900</v>
      </c>
      <c r="K112" s="106"/>
    </row>
    <row r="113" spans="1:11" ht="13.95" hidden="1" customHeight="1" outlineLevel="1" x14ac:dyDescent="0.3">
      <c r="A113" s="110" t="s">
        <v>1078</v>
      </c>
      <c r="B113" s="104" t="s">
        <v>1079</v>
      </c>
      <c r="C113" s="105" t="s">
        <v>96</v>
      </c>
      <c r="D113" s="105" t="s">
        <v>71</v>
      </c>
      <c r="E113" s="106"/>
      <c r="F113" s="106"/>
      <c r="G113" s="112" t="s">
        <v>1080</v>
      </c>
      <c r="H113" s="106"/>
      <c r="I113" s="108">
        <v>150</v>
      </c>
      <c r="J113" s="109">
        <v>1725</v>
      </c>
      <c r="K113" s="106"/>
    </row>
    <row r="114" spans="1:11" ht="13.95" hidden="1" customHeight="1" outlineLevel="1" x14ac:dyDescent="0.3">
      <c r="A114" s="110" t="s">
        <v>1081</v>
      </c>
      <c r="B114" s="104" t="s">
        <v>1082</v>
      </c>
      <c r="C114" s="105" t="s">
        <v>96</v>
      </c>
      <c r="D114" s="105" t="s">
        <v>71</v>
      </c>
      <c r="E114" s="106"/>
      <c r="F114" s="106"/>
      <c r="G114" s="112" t="s">
        <v>1083</v>
      </c>
      <c r="H114" s="106"/>
      <c r="I114" s="108">
        <v>100</v>
      </c>
      <c r="J114" s="109">
        <v>2995</v>
      </c>
      <c r="K114" s="106"/>
    </row>
    <row r="115" spans="1:11" ht="13.95" hidden="1" customHeight="1" outlineLevel="1" x14ac:dyDescent="0.3">
      <c r="A115" s="110" t="s">
        <v>1084</v>
      </c>
      <c r="B115" s="104" t="s">
        <v>166</v>
      </c>
      <c r="C115" s="105" t="s">
        <v>96</v>
      </c>
      <c r="D115" s="105" t="s">
        <v>71</v>
      </c>
      <c r="E115" s="106"/>
      <c r="F115" s="106"/>
      <c r="G115" s="116" t="s">
        <v>482</v>
      </c>
      <c r="H115" s="106"/>
      <c r="I115" s="108">
        <v>99</v>
      </c>
      <c r="J115" s="109">
        <v>2445.3000000000002</v>
      </c>
      <c r="K115" s="106"/>
    </row>
    <row r="116" spans="1:11" ht="13.95" hidden="1" customHeight="1" outlineLevel="1" x14ac:dyDescent="0.3">
      <c r="A116" s="110" t="s">
        <v>1085</v>
      </c>
      <c r="B116" s="104" t="s">
        <v>168</v>
      </c>
      <c r="C116" s="105" t="s">
        <v>96</v>
      </c>
      <c r="D116" s="105" t="s">
        <v>71</v>
      </c>
      <c r="E116" s="106"/>
      <c r="F116" s="106"/>
      <c r="G116" s="116" t="s">
        <v>482</v>
      </c>
      <c r="H116" s="106"/>
      <c r="I116" s="108">
        <v>99</v>
      </c>
      <c r="J116" s="109">
        <v>2445.3000000000002</v>
      </c>
      <c r="K116" s="106"/>
    </row>
    <row r="117" spans="1:11" ht="13.95" hidden="1" customHeight="1" outlineLevel="1" x14ac:dyDescent="0.3">
      <c r="A117" s="110" t="s">
        <v>1086</v>
      </c>
      <c r="B117" s="104" t="s">
        <v>170</v>
      </c>
      <c r="C117" s="105" t="s">
        <v>96</v>
      </c>
      <c r="D117" s="105" t="s">
        <v>71</v>
      </c>
      <c r="E117" s="106"/>
      <c r="F117" s="106"/>
      <c r="G117" s="116" t="s">
        <v>482</v>
      </c>
      <c r="H117" s="106"/>
      <c r="I117" s="108">
        <v>99</v>
      </c>
      <c r="J117" s="109">
        <v>2445.3000000000002</v>
      </c>
      <c r="K117" s="106"/>
    </row>
    <row r="118" spans="1:11" ht="16.05" customHeight="1" x14ac:dyDescent="0.3">
      <c r="A118" s="24" t="s">
        <v>129</v>
      </c>
      <c r="B118" s="30" t="s">
        <v>1087</v>
      </c>
      <c r="C118" s="20" t="s">
        <v>130</v>
      </c>
      <c r="D118" s="20" t="s">
        <v>71</v>
      </c>
      <c r="E118" s="117" t="s">
        <v>1088</v>
      </c>
      <c r="F118" s="30">
        <v>33</v>
      </c>
      <c r="G118" s="20">
        <v>16</v>
      </c>
      <c r="H118" s="40">
        <v>7</v>
      </c>
      <c r="I118" s="26">
        <v>6970</v>
      </c>
      <c r="J118" s="118">
        <v>85726.26</v>
      </c>
      <c r="K118" s="102" t="s">
        <v>822</v>
      </c>
    </row>
    <row r="119" spans="1:11" ht="13.95" hidden="1" customHeight="1" outlineLevel="1" x14ac:dyDescent="0.3">
      <c r="A119" s="103" t="s">
        <v>1089</v>
      </c>
      <c r="B119" s="104" t="s">
        <v>282</v>
      </c>
      <c r="C119" s="105" t="s">
        <v>130</v>
      </c>
      <c r="D119" s="105" t="s">
        <v>71</v>
      </c>
      <c r="E119" s="106"/>
      <c r="F119" s="106"/>
      <c r="G119" s="107" t="s">
        <v>824</v>
      </c>
      <c r="H119" s="106"/>
      <c r="I119" s="108">
        <v>196</v>
      </c>
      <c r="J119" s="109">
        <v>1340.64</v>
      </c>
      <c r="K119" s="106"/>
    </row>
    <row r="120" spans="1:11" ht="13.95" hidden="1" customHeight="1" outlineLevel="1" x14ac:dyDescent="0.3">
      <c r="A120" s="103" t="s">
        <v>1090</v>
      </c>
      <c r="B120" s="104" t="s">
        <v>284</v>
      </c>
      <c r="C120" s="105" t="s">
        <v>130</v>
      </c>
      <c r="D120" s="105" t="s">
        <v>71</v>
      </c>
      <c r="E120" s="106"/>
      <c r="F120" s="106"/>
      <c r="G120" s="107" t="s">
        <v>824</v>
      </c>
      <c r="H120" s="106"/>
      <c r="I120" s="108">
        <v>198</v>
      </c>
      <c r="J120" s="109">
        <v>1290.96</v>
      </c>
      <c r="K120" s="106"/>
    </row>
    <row r="121" spans="1:11" ht="13.95" hidden="1" customHeight="1" outlineLevel="1" x14ac:dyDescent="0.3">
      <c r="A121" s="103" t="s">
        <v>967</v>
      </c>
      <c r="B121" s="104" t="s">
        <v>305</v>
      </c>
      <c r="C121" s="105" t="s">
        <v>130</v>
      </c>
      <c r="D121" s="105" t="s">
        <v>71</v>
      </c>
      <c r="E121" s="106"/>
      <c r="F121" s="106"/>
      <c r="G121" s="107" t="s">
        <v>968</v>
      </c>
      <c r="H121" s="106"/>
      <c r="I121" s="108">
        <v>108</v>
      </c>
      <c r="J121" s="109">
        <v>527.04000000000008</v>
      </c>
      <c r="K121" s="106"/>
    </row>
    <row r="122" spans="1:11" ht="13.95" hidden="1" customHeight="1" outlineLevel="1" x14ac:dyDescent="0.3">
      <c r="A122" s="103" t="s">
        <v>1091</v>
      </c>
      <c r="B122" s="104" t="s">
        <v>1092</v>
      </c>
      <c r="C122" s="105" t="s">
        <v>130</v>
      </c>
      <c r="D122" s="105" t="s">
        <v>71</v>
      </c>
      <c r="E122" s="106"/>
      <c r="F122" s="106"/>
      <c r="G122" s="107" t="s">
        <v>1093</v>
      </c>
      <c r="H122" s="106"/>
      <c r="I122" s="108">
        <v>301</v>
      </c>
      <c r="J122" s="109">
        <v>1821.05</v>
      </c>
      <c r="K122" s="106"/>
    </row>
    <row r="123" spans="1:11" ht="13.95" hidden="1" customHeight="1" outlineLevel="1" x14ac:dyDescent="0.3">
      <c r="A123" s="103" t="s">
        <v>1094</v>
      </c>
      <c r="B123" s="104" t="s">
        <v>1095</v>
      </c>
      <c r="C123" s="105" t="s">
        <v>130</v>
      </c>
      <c r="D123" s="105" t="s">
        <v>71</v>
      </c>
      <c r="E123" s="106"/>
      <c r="F123" s="106"/>
      <c r="G123" s="107" t="s">
        <v>1096</v>
      </c>
      <c r="H123" s="106"/>
      <c r="I123" s="108">
        <v>301</v>
      </c>
      <c r="J123" s="109">
        <v>1821.05</v>
      </c>
      <c r="K123" s="106"/>
    </row>
    <row r="124" spans="1:11" ht="13.95" hidden="1" customHeight="1" outlineLevel="1" x14ac:dyDescent="0.3">
      <c r="A124" s="103" t="s">
        <v>1097</v>
      </c>
      <c r="B124" s="104" t="s">
        <v>128</v>
      </c>
      <c r="C124" s="105" t="s">
        <v>130</v>
      </c>
      <c r="D124" s="105" t="s">
        <v>71</v>
      </c>
      <c r="E124" s="106"/>
      <c r="F124" s="106"/>
      <c r="G124" s="107" t="s">
        <v>824</v>
      </c>
      <c r="H124" s="106"/>
      <c r="I124" s="108">
        <v>303</v>
      </c>
      <c r="J124" s="109">
        <v>3636</v>
      </c>
      <c r="K124" s="106"/>
    </row>
    <row r="125" spans="1:11" ht="13.95" hidden="1" customHeight="1" outlineLevel="1" x14ac:dyDescent="0.3">
      <c r="A125" s="103" t="s">
        <v>1098</v>
      </c>
      <c r="B125" s="104" t="s">
        <v>137</v>
      </c>
      <c r="C125" s="105" t="s">
        <v>130</v>
      </c>
      <c r="D125" s="105" t="s">
        <v>71</v>
      </c>
      <c r="E125" s="106"/>
      <c r="F125" s="106"/>
      <c r="G125" s="107" t="s">
        <v>824</v>
      </c>
      <c r="H125" s="106"/>
      <c r="I125" s="108">
        <v>303</v>
      </c>
      <c r="J125" s="109">
        <v>3787.5</v>
      </c>
      <c r="K125" s="106"/>
    </row>
    <row r="126" spans="1:11" ht="13.95" hidden="1" customHeight="1" outlineLevel="1" x14ac:dyDescent="0.3">
      <c r="A126" s="103" t="s">
        <v>1099</v>
      </c>
      <c r="B126" s="104" t="s">
        <v>139</v>
      </c>
      <c r="C126" s="105" t="s">
        <v>130</v>
      </c>
      <c r="D126" s="105" t="s">
        <v>71</v>
      </c>
      <c r="E126" s="106"/>
      <c r="F126" s="106"/>
      <c r="G126" s="107" t="s">
        <v>1100</v>
      </c>
      <c r="H126" s="106"/>
      <c r="I126" s="108">
        <v>303</v>
      </c>
      <c r="J126" s="109">
        <v>6060</v>
      </c>
      <c r="K126" s="106"/>
    </row>
    <row r="127" spans="1:11" ht="13.95" hidden="1" customHeight="1" outlineLevel="1" x14ac:dyDescent="0.3">
      <c r="A127" s="103" t="s">
        <v>1101</v>
      </c>
      <c r="B127" s="104" t="s">
        <v>1102</v>
      </c>
      <c r="C127" s="105" t="s">
        <v>130</v>
      </c>
      <c r="D127" s="105" t="s">
        <v>71</v>
      </c>
      <c r="E127" s="106"/>
      <c r="F127" s="106"/>
      <c r="G127" s="107" t="s">
        <v>1103</v>
      </c>
      <c r="H127" s="106"/>
      <c r="I127" s="108">
        <v>303</v>
      </c>
      <c r="J127" s="109">
        <v>3129.99</v>
      </c>
      <c r="K127" s="106"/>
    </row>
    <row r="128" spans="1:11" ht="13.95" hidden="1" customHeight="1" outlineLevel="1" x14ac:dyDescent="0.3">
      <c r="A128" s="103" t="s">
        <v>1104</v>
      </c>
      <c r="B128" s="104" t="s">
        <v>142</v>
      </c>
      <c r="C128" s="105" t="s">
        <v>130</v>
      </c>
      <c r="D128" s="105" t="s">
        <v>71</v>
      </c>
      <c r="E128" s="106"/>
      <c r="F128" s="106"/>
      <c r="G128" s="107" t="s">
        <v>824</v>
      </c>
      <c r="H128" s="106"/>
      <c r="I128" s="108">
        <v>303</v>
      </c>
      <c r="J128" s="109">
        <v>3636</v>
      </c>
      <c r="K128" s="106"/>
    </row>
    <row r="129" spans="1:11" ht="13.95" hidden="1" customHeight="1" outlineLevel="1" x14ac:dyDescent="0.3">
      <c r="A129" s="103" t="s">
        <v>1105</v>
      </c>
      <c r="B129" s="104" t="s">
        <v>1106</v>
      </c>
      <c r="C129" s="105" t="s">
        <v>130</v>
      </c>
      <c r="D129" s="105" t="s">
        <v>71</v>
      </c>
      <c r="E129" s="106"/>
      <c r="F129" s="106"/>
      <c r="G129" s="107" t="s">
        <v>1107</v>
      </c>
      <c r="H129" s="106"/>
      <c r="I129" s="108">
        <v>202</v>
      </c>
      <c r="J129" s="109">
        <v>8231.5</v>
      </c>
      <c r="K129" s="106"/>
    </row>
    <row r="130" spans="1:11" ht="13.95" hidden="1" customHeight="1" outlineLevel="1" x14ac:dyDescent="0.3">
      <c r="A130" s="103" t="s">
        <v>1108</v>
      </c>
      <c r="B130" s="104" t="s">
        <v>300</v>
      </c>
      <c r="C130" s="105" t="s">
        <v>130</v>
      </c>
      <c r="D130" s="105" t="s">
        <v>71</v>
      </c>
      <c r="E130" s="106"/>
      <c r="F130" s="106"/>
      <c r="G130" s="107" t="s">
        <v>1109</v>
      </c>
      <c r="H130" s="106"/>
      <c r="I130" s="108">
        <v>204</v>
      </c>
      <c r="J130" s="109">
        <v>565.08000000000004</v>
      </c>
      <c r="K130" s="106"/>
    </row>
    <row r="131" spans="1:11" ht="13.95" hidden="1" customHeight="1" outlineLevel="1" x14ac:dyDescent="0.3">
      <c r="A131" s="103" t="s">
        <v>1110</v>
      </c>
      <c r="B131" s="104" t="s">
        <v>1111</v>
      </c>
      <c r="C131" s="105" t="s">
        <v>130</v>
      </c>
      <c r="D131" s="105" t="s">
        <v>71</v>
      </c>
      <c r="E131" s="106"/>
      <c r="F131" s="106"/>
      <c r="G131" s="107" t="s">
        <v>1112</v>
      </c>
      <c r="H131" s="106"/>
      <c r="I131" s="108">
        <v>300</v>
      </c>
      <c r="J131" s="109">
        <v>5640</v>
      </c>
      <c r="K131" s="106"/>
    </row>
    <row r="132" spans="1:11" ht="13.95" hidden="1" customHeight="1" outlineLevel="1" x14ac:dyDescent="0.3">
      <c r="A132" s="103" t="s">
        <v>1113</v>
      </c>
      <c r="B132" s="104" t="s">
        <v>1114</v>
      </c>
      <c r="C132" s="105" t="s">
        <v>130</v>
      </c>
      <c r="D132" s="105" t="s">
        <v>71</v>
      </c>
      <c r="E132" s="106"/>
      <c r="F132" s="106"/>
      <c r="G132" s="107" t="s">
        <v>1115</v>
      </c>
      <c r="H132" s="106"/>
      <c r="I132" s="108">
        <v>108</v>
      </c>
      <c r="J132" s="109">
        <v>567</v>
      </c>
      <c r="K132" s="106"/>
    </row>
    <row r="133" spans="1:11" ht="13.95" hidden="1" customHeight="1" outlineLevel="1" x14ac:dyDescent="0.3">
      <c r="A133" s="103" t="s">
        <v>1116</v>
      </c>
      <c r="B133" s="104" t="s">
        <v>1117</v>
      </c>
      <c r="C133" s="105" t="s">
        <v>130</v>
      </c>
      <c r="D133" s="105" t="s">
        <v>71</v>
      </c>
      <c r="E133" s="106"/>
      <c r="F133" s="106"/>
      <c r="G133" s="107" t="s">
        <v>1118</v>
      </c>
      <c r="H133" s="106"/>
      <c r="I133" s="108">
        <v>205</v>
      </c>
      <c r="J133" s="109">
        <v>563.75</v>
      </c>
      <c r="K133" s="106"/>
    </row>
    <row r="134" spans="1:11" ht="13.95" hidden="1" customHeight="1" outlineLevel="1" x14ac:dyDescent="0.3">
      <c r="A134" s="103" t="s">
        <v>1119</v>
      </c>
      <c r="B134" s="104" t="s">
        <v>1120</v>
      </c>
      <c r="C134" s="105" t="s">
        <v>130</v>
      </c>
      <c r="D134" s="105" t="s">
        <v>71</v>
      </c>
      <c r="E134" s="106"/>
      <c r="F134" s="106"/>
      <c r="G134" s="107" t="s">
        <v>1100</v>
      </c>
      <c r="H134" s="106"/>
      <c r="I134" s="108">
        <v>510</v>
      </c>
      <c r="J134" s="109">
        <v>21777</v>
      </c>
      <c r="K134" s="106"/>
    </row>
    <row r="135" spans="1:11" ht="13.95" hidden="1" customHeight="1" outlineLevel="1" x14ac:dyDescent="0.3">
      <c r="A135" s="110" t="s">
        <v>1121</v>
      </c>
      <c r="B135" s="104" t="s">
        <v>309</v>
      </c>
      <c r="C135" s="105" t="s">
        <v>130</v>
      </c>
      <c r="D135" s="105" t="s">
        <v>71</v>
      </c>
      <c r="E135" s="106"/>
      <c r="F135" s="106"/>
      <c r="G135" s="111" t="s">
        <v>1122</v>
      </c>
      <c r="H135" s="106"/>
      <c r="I135" s="108">
        <v>401</v>
      </c>
      <c r="J135" s="109">
        <v>4230.55</v>
      </c>
      <c r="K135" s="106"/>
    </row>
    <row r="136" spans="1:11" ht="13.95" hidden="1" customHeight="1" outlineLevel="1" x14ac:dyDescent="0.3">
      <c r="A136" s="110" t="s">
        <v>1123</v>
      </c>
      <c r="B136" s="104" t="s">
        <v>1124</v>
      </c>
      <c r="C136" s="105" t="s">
        <v>130</v>
      </c>
      <c r="D136" s="105" t="s">
        <v>71</v>
      </c>
      <c r="E136" s="106"/>
      <c r="F136" s="106"/>
      <c r="G136" s="111" t="s">
        <v>1125</v>
      </c>
      <c r="H136" s="106"/>
      <c r="I136" s="108">
        <v>303</v>
      </c>
      <c r="J136" s="109">
        <v>3636</v>
      </c>
      <c r="K136" s="106"/>
    </row>
    <row r="137" spans="1:11" ht="13.95" hidden="1" customHeight="1" outlineLevel="1" x14ac:dyDescent="0.3">
      <c r="A137" s="110" t="s">
        <v>1126</v>
      </c>
      <c r="B137" s="104" t="s">
        <v>296</v>
      </c>
      <c r="C137" s="105" t="s">
        <v>130</v>
      </c>
      <c r="D137" s="105" t="s">
        <v>71</v>
      </c>
      <c r="E137" s="106"/>
      <c r="F137" s="106"/>
      <c r="G137" s="111" t="s">
        <v>1127</v>
      </c>
      <c r="H137" s="106"/>
      <c r="I137" s="108">
        <v>450</v>
      </c>
      <c r="J137" s="109">
        <v>4410</v>
      </c>
      <c r="K137" s="106"/>
    </row>
    <row r="138" spans="1:11" ht="13.95" hidden="1" customHeight="1" outlineLevel="1" x14ac:dyDescent="0.3">
      <c r="A138" s="110" t="s">
        <v>1128</v>
      </c>
      <c r="B138" s="104" t="s">
        <v>1129</v>
      </c>
      <c r="C138" s="105" t="s">
        <v>130</v>
      </c>
      <c r="D138" s="105" t="s">
        <v>71</v>
      </c>
      <c r="E138" s="106"/>
      <c r="F138" s="106"/>
      <c r="G138" s="111" t="s">
        <v>1130</v>
      </c>
      <c r="H138" s="106"/>
      <c r="I138" s="108">
        <v>101</v>
      </c>
      <c r="J138" s="109">
        <v>414.1</v>
      </c>
      <c r="K138" s="106"/>
    </row>
    <row r="139" spans="1:11" ht="13.95" hidden="1" customHeight="1" outlineLevel="1" x14ac:dyDescent="0.3">
      <c r="A139" s="110" t="s">
        <v>974</v>
      </c>
      <c r="B139" s="104" t="s">
        <v>263</v>
      </c>
      <c r="C139" s="105" t="s">
        <v>130</v>
      </c>
      <c r="D139" s="105" t="s">
        <v>71</v>
      </c>
      <c r="E139" s="106"/>
      <c r="F139" s="106"/>
      <c r="G139" s="111" t="s">
        <v>975</v>
      </c>
      <c r="H139" s="106"/>
      <c r="I139" s="108">
        <v>298</v>
      </c>
      <c r="J139" s="109">
        <v>700.30000000000007</v>
      </c>
      <c r="K139" s="106"/>
    </row>
    <row r="140" spans="1:11" ht="13.95" hidden="1" customHeight="1" outlineLevel="1" x14ac:dyDescent="0.3">
      <c r="A140" s="110" t="s">
        <v>976</v>
      </c>
      <c r="B140" s="104" t="s">
        <v>272</v>
      </c>
      <c r="C140" s="105" t="s">
        <v>130</v>
      </c>
      <c r="D140" s="105" t="s">
        <v>71</v>
      </c>
      <c r="E140" s="106"/>
      <c r="F140" s="106"/>
      <c r="G140" s="111" t="s">
        <v>977</v>
      </c>
      <c r="H140" s="106"/>
      <c r="I140" s="108">
        <v>303</v>
      </c>
      <c r="J140" s="109">
        <v>909</v>
      </c>
      <c r="K140" s="106"/>
    </row>
    <row r="141" spans="1:11" ht="13.95" hidden="1" customHeight="1" outlineLevel="1" x14ac:dyDescent="0.3">
      <c r="A141" s="110" t="s">
        <v>1131</v>
      </c>
      <c r="B141" s="104" t="s">
        <v>1132</v>
      </c>
      <c r="C141" s="105" t="s">
        <v>130</v>
      </c>
      <c r="D141" s="105" t="s">
        <v>71</v>
      </c>
      <c r="E141" s="106"/>
      <c r="F141" s="106"/>
      <c r="G141" s="111" t="s">
        <v>1133</v>
      </c>
      <c r="H141" s="106"/>
      <c r="I141" s="108">
        <v>200</v>
      </c>
      <c r="J141" s="109">
        <v>750</v>
      </c>
      <c r="K141" s="106"/>
    </row>
    <row r="142" spans="1:11" ht="13.95" hidden="1" customHeight="1" outlineLevel="1" x14ac:dyDescent="0.3">
      <c r="A142" s="110" t="s">
        <v>1134</v>
      </c>
      <c r="B142" s="104" t="s">
        <v>1135</v>
      </c>
      <c r="C142" s="105" t="s">
        <v>130</v>
      </c>
      <c r="D142" s="105" t="s">
        <v>71</v>
      </c>
      <c r="E142" s="106"/>
      <c r="F142" s="106"/>
      <c r="G142" s="112" t="s">
        <v>1136</v>
      </c>
      <c r="H142" s="106"/>
      <c r="I142" s="108">
        <v>200</v>
      </c>
      <c r="J142" s="109">
        <v>1360</v>
      </c>
      <c r="K142" s="106"/>
    </row>
    <row r="143" spans="1:11" ht="13.95" hidden="1" customHeight="1" outlineLevel="1" x14ac:dyDescent="0.3">
      <c r="A143" s="110" t="s">
        <v>1137</v>
      </c>
      <c r="B143" s="104" t="s">
        <v>1138</v>
      </c>
      <c r="C143" s="105" t="s">
        <v>130</v>
      </c>
      <c r="D143" s="105" t="s">
        <v>71</v>
      </c>
      <c r="E143" s="106"/>
      <c r="F143" s="106"/>
      <c r="G143" s="112" t="s">
        <v>1139</v>
      </c>
      <c r="H143" s="106"/>
      <c r="I143" s="108">
        <v>100</v>
      </c>
      <c r="J143" s="109">
        <v>680</v>
      </c>
      <c r="K143" s="106"/>
    </row>
    <row r="144" spans="1:11" ht="13.95" hidden="1" customHeight="1" outlineLevel="1" x14ac:dyDescent="0.3">
      <c r="A144" s="110" t="s">
        <v>1140</v>
      </c>
      <c r="B144" s="104" t="s">
        <v>1141</v>
      </c>
      <c r="C144" s="105" t="s">
        <v>130</v>
      </c>
      <c r="D144" s="105" t="s">
        <v>71</v>
      </c>
      <c r="E144" s="106"/>
      <c r="F144" s="106"/>
      <c r="G144" s="112" t="s">
        <v>1142</v>
      </c>
      <c r="H144" s="106"/>
      <c r="I144" s="108">
        <v>100</v>
      </c>
      <c r="J144" s="109">
        <v>680</v>
      </c>
      <c r="K144" s="106"/>
    </row>
    <row r="145" spans="1:11" ht="13.95" hidden="1" customHeight="1" outlineLevel="1" x14ac:dyDescent="0.3">
      <c r="A145" s="110" t="s">
        <v>1143</v>
      </c>
      <c r="B145" s="104" t="s">
        <v>1144</v>
      </c>
      <c r="C145" s="105" t="s">
        <v>130</v>
      </c>
      <c r="D145" s="105" t="s">
        <v>71</v>
      </c>
      <c r="E145" s="106"/>
      <c r="F145" s="106"/>
      <c r="G145" s="112" t="s">
        <v>1145</v>
      </c>
      <c r="H145" s="106"/>
      <c r="I145" s="108">
        <v>100</v>
      </c>
      <c r="J145" s="109">
        <v>881</v>
      </c>
      <c r="K145" s="106"/>
    </row>
    <row r="146" spans="1:11" ht="13.95" hidden="1" customHeight="1" outlineLevel="1" x14ac:dyDescent="0.3">
      <c r="A146" s="110" t="s">
        <v>1146</v>
      </c>
      <c r="B146" s="104" t="s">
        <v>1147</v>
      </c>
      <c r="C146" s="105" t="s">
        <v>130</v>
      </c>
      <c r="D146" s="105" t="s">
        <v>71</v>
      </c>
      <c r="E146" s="106"/>
      <c r="F146" s="106"/>
      <c r="G146" s="112" t="s">
        <v>1148</v>
      </c>
      <c r="H146" s="106"/>
      <c r="I146" s="108">
        <v>140</v>
      </c>
      <c r="J146" s="109">
        <v>1428</v>
      </c>
      <c r="K146" s="106"/>
    </row>
    <row r="147" spans="1:11" ht="13.95" hidden="1" customHeight="1" outlineLevel="1" x14ac:dyDescent="0.3">
      <c r="A147" s="110" t="s">
        <v>1149</v>
      </c>
      <c r="B147" s="104" t="s">
        <v>1150</v>
      </c>
      <c r="C147" s="105" t="s">
        <v>130</v>
      </c>
      <c r="D147" s="105" t="s">
        <v>71</v>
      </c>
      <c r="E147" s="106"/>
      <c r="F147" s="106"/>
      <c r="G147" s="112" t="s">
        <v>1151</v>
      </c>
      <c r="H147" s="106"/>
      <c r="I147" s="108">
        <v>1</v>
      </c>
      <c r="J147" s="109">
        <v>6.05</v>
      </c>
      <c r="K147" s="106"/>
    </row>
    <row r="148" spans="1:11" ht="13.95" hidden="1" customHeight="1" outlineLevel="1" x14ac:dyDescent="0.3">
      <c r="A148" s="110" t="s">
        <v>1152</v>
      </c>
      <c r="B148" s="104" t="s">
        <v>1153</v>
      </c>
      <c r="C148" s="105" t="s">
        <v>130</v>
      </c>
      <c r="D148" s="105" t="s">
        <v>71</v>
      </c>
      <c r="E148" s="106"/>
      <c r="F148" s="106"/>
      <c r="G148" s="112" t="s">
        <v>1154</v>
      </c>
      <c r="H148" s="106"/>
      <c r="I148" s="108">
        <v>20</v>
      </c>
      <c r="J148" s="109">
        <v>626</v>
      </c>
      <c r="K148" s="106"/>
    </row>
    <row r="149" spans="1:11" ht="13.95" hidden="1" customHeight="1" outlineLevel="1" x14ac:dyDescent="0.3">
      <c r="A149" s="110" t="s">
        <v>1155</v>
      </c>
      <c r="B149" s="104" t="s">
        <v>1156</v>
      </c>
      <c r="C149" s="105" t="s">
        <v>130</v>
      </c>
      <c r="D149" s="105" t="s">
        <v>71</v>
      </c>
      <c r="E149" s="106"/>
      <c r="F149" s="106"/>
      <c r="G149" s="112" t="s">
        <v>1157</v>
      </c>
      <c r="H149" s="106"/>
      <c r="I149" s="108">
        <v>102</v>
      </c>
      <c r="J149" s="109">
        <v>418.2</v>
      </c>
      <c r="K149" s="106"/>
    </row>
    <row r="150" spans="1:11" ht="13.95" hidden="1" customHeight="1" outlineLevel="1" x14ac:dyDescent="0.3">
      <c r="A150" s="110" t="s">
        <v>1158</v>
      </c>
      <c r="B150" s="104" t="s">
        <v>1159</v>
      </c>
      <c r="C150" s="105" t="s">
        <v>130</v>
      </c>
      <c r="D150" s="105" t="s">
        <v>71</v>
      </c>
      <c r="E150" s="106"/>
      <c r="F150" s="106"/>
      <c r="G150" s="116" t="s">
        <v>482</v>
      </c>
      <c r="H150" s="106"/>
      <c r="I150" s="108">
        <v>1</v>
      </c>
      <c r="J150" s="109">
        <v>39.5</v>
      </c>
      <c r="K150" s="106"/>
    </row>
    <row r="151" spans="1:11" ht="13.95" hidden="1" customHeight="1" outlineLevel="1" x14ac:dyDescent="0.3">
      <c r="A151" s="110" t="s">
        <v>1160</v>
      </c>
      <c r="B151" s="104" t="s">
        <v>1161</v>
      </c>
      <c r="C151" s="105" t="s">
        <v>130</v>
      </c>
      <c r="D151" s="105" t="s">
        <v>71</v>
      </c>
      <c r="E151" s="106"/>
      <c r="F151" s="106"/>
      <c r="G151" s="116" t="s">
        <v>482</v>
      </c>
      <c r="H151" s="106"/>
      <c r="I151" s="108">
        <v>2</v>
      </c>
      <c r="J151" s="109">
        <v>163</v>
      </c>
      <c r="K151" s="106"/>
    </row>
    <row r="152" spans="1:11" ht="16.05" customHeight="1" x14ac:dyDescent="0.3">
      <c r="A152" s="24" t="s">
        <v>324</v>
      </c>
      <c r="B152" s="30" t="s">
        <v>1162</v>
      </c>
      <c r="C152" s="119" t="s">
        <v>325</v>
      </c>
      <c r="D152" s="119" t="s">
        <v>89</v>
      </c>
      <c r="E152" s="117" t="s">
        <v>1163</v>
      </c>
      <c r="F152" s="30">
        <v>16</v>
      </c>
      <c r="G152" s="20">
        <v>9</v>
      </c>
      <c r="H152" s="40">
        <v>2</v>
      </c>
      <c r="I152" s="26">
        <v>14670</v>
      </c>
      <c r="J152" s="118">
        <v>87064.7</v>
      </c>
      <c r="K152" s="102" t="s">
        <v>822</v>
      </c>
    </row>
    <row r="153" spans="1:11" ht="13.95" hidden="1" customHeight="1" outlineLevel="1" x14ac:dyDescent="0.3">
      <c r="A153" s="103" t="s">
        <v>945</v>
      </c>
      <c r="B153" s="104" t="s">
        <v>1164</v>
      </c>
      <c r="C153" s="114" t="s">
        <v>325</v>
      </c>
      <c r="D153" s="114" t="s">
        <v>89</v>
      </c>
      <c r="E153" s="106"/>
      <c r="F153" s="106"/>
      <c r="G153" s="107" t="s">
        <v>946</v>
      </c>
      <c r="H153" s="106"/>
      <c r="I153" s="108">
        <v>300</v>
      </c>
      <c r="J153" s="109">
        <v>8964</v>
      </c>
      <c r="K153" s="106"/>
    </row>
    <row r="154" spans="1:11" ht="13.95" hidden="1" customHeight="1" outlineLevel="1" x14ac:dyDescent="0.3">
      <c r="A154" s="103" t="s">
        <v>1165</v>
      </c>
      <c r="B154" s="104" t="s">
        <v>1166</v>
      </c>
      <c r="C154" s="114" t="s">
        <v>325</v>
      </c>
      <c r="D154" s="114" t="s">
        <v>89</v>
      </c>
      <c r="E154" s="106"/>
      <c r="F154" s="106"/>
      <c r="G154" s="107" t="s">
        <v>824</v>
      </c>
      <c r="H154" s="106"/>
      <c r="I154" s="108">
        <v>2195</v>
      </c>
      <c r="J154" s="109">
        <v>9636.0499999999993</v>
      </c>
      <c r="K154" s="106"/>
    </row>
    <row r="155" spans="1:11" ht="13.95" hidden="1" customHeight="1" outlineLevel="1" x14ac:dyDescent="0.3">
      <c r="A155" s="103" t="s">
        <v>1167</v>
      </c>
      <c r="B155" s="104" t="s">
        <v>1168</v>
      </c>
      <c r="C155" s="114" t="s">
        <v>325</v>
      </c>
      <c r="D155" s="114" t="s">
        <v>89</v>
      </c>
      <c r="E155" s="106"/>
      <c r="F155" s="106"/>
      <c r="G155" s="107" t="s">
        <v>824</v>
      </c>
      <c r="H155" s="106"/>
      <c r="I155" s="108">
        <v>1243</v>
      </c>
      <c r="J155" s="109">
        <v>5456.77</v>
      </c>
      <c r="K155" s="106"/>
    </row>
    <row r="156" spans="1:11" ht="13.95" hidden="1" customHeight="1" outlineLevel="1" x14ac:dyDescent="0.3">
      <c r="A156" s="103" t="s">
        <v>1169</v>
      </c>
      <c r="B156" s="104" t="s">
        <v>1170</v>
      </c>
      <c r="C156" s="114" t="s">
        <v>325</v>
      </c>
      <c r="D156" s="114" t="s">
        <v>89</v>
      </c>
      <c r="E156" s="106"/>
      <c r="F156" s="106"/>
      <c r="G156" s="107" t="s">
        <v>824</v>
      </c>
      <c r="H156" s="106"/>
      <c r="I156" s="108">
        <v>1242</v>
      </c>
      <c r="J156" s="109">
        <v>5452.3799999999992</v>
      </c>
      <c r="K156" s="106"/>
    </row>
    <row r="157" spans="1:11" ht="13.95" hidden="1" customHeight="1" outlineLevel="1" x14ac:dyDescent="0.3">
      <c r="A157" s="103" t="s">
        <v>1171</v>
      </c>
      <c r="B157" s="104" t="s">
        <v>1172</v>
      </c>
      <c r="C157" s="114" t="s">
        <v>325</v>
      </c>
      <c r="D157" s="114" t="s">
        <v>89</v>
      </c>
      <c r="E157" s="106"/>
      <c r="F157" s="106"/>
      <c r="G157" s="107" t="s">
        <v>824</v>
      </c>
      <c r="H157" s="106"/>
      <c r="I157" s="108">
        <v>1250</v>
      </c>
      <c r="J157" s="109">
        <v>5437.5</v>
      </c>
      <c r="K157" s="106"/>
    </row>
    <row r="158" spans="1:11" ht="13.95" hidden="1" customHeight="1" outlineLevel="1" x14ac:dyDescent="0.3">
      <c r="A158" s="103" t="s">
        <v>1173</v>
      </c>
      <c r="B158" s="104" t="s">
        <v>1174</v>
      </c>
      <c r="C158" s="114" t="s">
        <v>325</v>
      </c>
      <c r="D158" s="114" t="s">
        <v>89</v>
      </c>
      <c r="E158" s="106"/>
      <c r="F158" s="106"/>
      <c r="G158" s="107" t="s">
        <v>824</v>
      </c>
      <c r="H158" s="106"/>
      <c r="I158" s="108">
        <v>1250</v>
      </c>
      <c r="J158" s="109">
        <v>5437.5</v>
      </c>
      <c r="K158" s="106"/>
    </row>
    <row r="159" spans="1:11" ht="13.95" hidden="1" customHeight="1" outlineLevel="1" x14ac:dyDescent="0.3">
      <c r="A159" s="103" t="s">
        <v>1175</v>
      </c>
      <c r="B159" s="104" t="s">
        <v>1176</v>
      </c>
      <c r="C159" s="114" t="s">
        <v>325</v>
      </c>
      <c r="D159" s="114" t="s">
        <v>89</v>
      </c>
      <c r="E159" s="106"/>
      <c r="F159" s="106"/>
      <c r="G159" s="107" t="s">
        <v>824</v>
      </c>
      <c r="H159" s="106"/>
      <c r="I159" s="108">
        <v>1300</v>
      </c>
      <c r="J159" s="109">
        <v>5654.9999999999991</v>
      </c>
      <c r="K159" s="106"/>
    </row>
    <row r="160" spans="1:11" ht="13.95" hidden="1" customHeight="1" outlineLevel="1" x14ac:dyDescent="0.3">
      <c r="A160" s="103" t="s">
        <v>1177</v>
      </c>
      <c r="B160" s="104" t="s">
        <v>1178</v>
      </c>
      <c r="C160" s="114" t="s">
        <v>325</v>
      </c>
      <c r="D160" s="114" t="s">
        <v>89</v>
      </c>
      <c r="E160" s="106"/>
      <c r="F160" s="106"/>
      <c r="G160" s="107" t="s">
        <v>824</v>
      </c>
      <c r="H160" s="106"/>
      <c r="I160" s="108">
        <v>1300</v>
      </c>
      <c r="J160" s="109">
        <v>5654.9999999999991</v>
      </c>
      <c r="K160" s="106"/>
    </row>
    <row r="161" spans="1:11" ht="13.95" hidden="1" customHeight="1" outlineLevel="1" x14ac:dyDescent="0.3">
      <c r="A161" s="103" t="s">
        <v>1179</v>
      </c>
      <c r="B161" s="104" t="s">
        <v>1180</v>
      </c>
      <c r="C161" s="114" t="s">
        <v>325</v>
      </c>
      <c r="D161" s="114" t="s">
        <v>89</v>
      </c>
      <c r="E161" s="106"/>
      <c r="F161" s="106"/>
      <c r="G161" s="107" t="s">
        <v>824</v>
      </c>
      <c r="H161" s="106"/>
      <c r="I161" s="108">
        <v>1250</v>
      </c>
      <c r="J161" s="109">
        <v>5437.5</v>
      </c>
      <c r="K161" s="106"/>
    </row>
    <row r="162" spans="1:11" ht="13.95" hidden="1" customHeight="1" outlineLevel="1" x14ac:dyDescent="0.3">
      <c r="A162" s="110" t="s">
        <v>1181</v>
      </c>
      <c r="B162" s="104" t="s">
        <v>1182</v>
      </c>
      <c r="C162" s="114" t="s">
        <v>325</v>
      </c>
      <c r="D162" s="114" t="s">
        <v>89</v>
      </c>
      <c r="E162" s="106"/>
      <c r="F162" s="106"/>
      <c r="G162" s="111" t="s">
        <v>1183</v>
      </c>
      <c r="H162" s="106"/>
      <c r="I162" s="108">
        <v>540</v>
      </c>
      <c r="J162" s="109">
        <v>17442</v>
      </c>
      <c r="K162" s="106"/>
    </row>
    <row r="163" spans="1:11" ht="13.95" hidden="1" customHeight="1" outlineLevel="1" x14ac:dyDescent="0.3">
      <c r="A163" s="110" t="s">
        <v>1184</v>
      </c>
      <c r="B163" s="104" t="s">
        <v>1185</v>
      </c>
      <c r="C163" s="114" t="s">
        <v>325</v>
      </c>
      <c r="D163" s="114" t="s">
        <v>89</v>
      </c>
      <c r="E163" s="106"/>
      <c r="F163" s="106"/>
      <c r="G163" s="111" t="s">
        <v>873</v>
      </c>
      <c r="H163" s="106"/>
      <c r="I163" s="108">
        <v>300</v>
      </c>
      <c r="J163" s="109">
        <v>2091</v>
      </c>
      <c r="K163" s="106"/>
    </row>
    <row r="164" spans="1:11" ht="13.95" hidden="1" customHeight="1" outlineLevel="1" x14ac:dyDescent="0.3">
      <c r="A164" s="110" t="s">
        <v>1186</v>
      </c>
      <c r="B164" s="104" t="s">
        <v>1187</v>
      </c>
      <c r="C164" s="114" t="s">
        <v>325</v>
      </c>
      <c r="D164" s="114" t="s">
        <v>89</v>
      </c>
      <c r="E164" s="106"/>
      <c r="F164" s="106"/>
      <c r="G164" s="116" t="s">
        <v>482</v>
      </c>
      <c r="H164" s="106"/>
      <c r="I164" s="108">
        <v>500</v>
      </c>
      <c r="J164" s="109">
        <v>2080</v>
      </c>
      <c r="K164" s="106"/>
    </row>
    <row r="165" spans="1:11" ht="13.95" hidden="1" customHeight="1" outlineLevel="1" x14ac:dyDescent="0.3">
      <c r="A165" s="110" t="s">
        <v>1188</v>
      </c>
      <c r="B165" s="104" t="s">
        <v>1189</v>
      </c>
      <c r="C165" s="114" t="s">
        <v>325</v>
      </c>
      <c r="D165" s="114" t="s">
        <v>89</v>
      </c>
      <c r="E165" s="106"/>
      <c r="F165" s="106"/>
      <c r="G165" s="116" t="s">
        <v>482</v>
      </c>
      <c r="H165" s="106"/>
      <c r="I165" s="108">
        <v>500</v>
      </c>
      <c r="J165" s="109">
        <v>2080</v>
      </c>
      <c r="K165" s="106"/>
    </row>
    <row r="166" spans="1:11" ht="13.95" hidden="1" customHeight="1" outlineLevel="1" x14ac:dyDescent="0.3">
      <c r="A166" s="110" t="s">
        <v>1190</v>
      </c>
      <c r="B166" s="104" t="s">
        <v>1191</v>
      </c>
      <c r="C166" s="114" t="s">
        <v>325</v>
      </c>
      <c r="D166" s="114" t="s">
        <v>89</v>
      </c>
      <c r="E166" s="106"/>
      <c r="F166" s="106"/>
      <c r="G166" s="116" t="s">
        <v>482</v>
      </c>
      <c r="H166" s="106"/>
      <c r="I166" s="108">
        <v>500</v>
      </c>
      <c r="J166" s="109">
        <v>2080</v>
      </c>
      <c r="K166" s="106"/>
    </row>
    <row r="167" spans="1:11" ht="13.95" hidden="1" customHeight="1" outlineLevel="1" x14ac:dyDescent="0.3">
      <c r="A167" s="110" t="s">
        <v>1192</v>
      </c>
      <c r="B167" s="104" t="s">
        <v>1193</v>
      </c>
      <c r="C167" s="114" t="s">
        <v>325</v>
      </c>
      <c r="D167" s="114" t="s">
        <v>89</v>
      </c>
      <c r="E167" s="106"/>
      <c r="F167" s="106"/>
      <c r="G167" s="116" t="s">
        <v>482</v>
      </c>
      <c r="H167" s="106"/>
      <c r="I167" s="108">
        <v>500</v>
      </c>
      <c r="J167" s="109">
        <v>2080</v>
      </c>
      <c r="K167" s="106"/>
    </row>
    <row r="168" spans="1:11" ht="13.95" hidden="1" customHeight="1" outlineLevel="1" x14ac:dyDescent="0.3">
      <c r="A168" s="110" t="s">
        <v>1194</v>
      </c>
      <c r="B168" s="104" t="s">
        <v>1195</v>
      </c>
      <c r="C168" s="114" t="s">
        <v>325</v>
      </c>
      <c r="D168" s="114" t="s">
        <v>89</v>
      </c>
      <c r="E168" s="106"/>
      <c r="F168" s="106"/>
      <c r="G168" s="116" t="s">
        <v>482</v>
      </c>
      <c r="H168" s="106"/>
      <c r="I168" s="108">
        <v>500</v>
      </c>
      <c r="J168" s="109">
        <v>2080</v>
      </c>
      <c r="K168" s="106"/>
    </row>
    <row r="169" spans="1:11" ht="16.05" customHeight="1" x14ac:dyDescent="0.3">
      <c r="A169" s="11" t="s">
        <v>1196</v>
      </c>
      <c r="B169" s="35"/>
      <c r="C169" s="18"/>
      <c r="D169" s="18"/>
      <c r="E169" s="100" t="s">
        <v>1197</v>
      </c>
      <c r="F169" s="35">
        <v>25</v>
      </c>
      <c r="G169" s="35">
        <v>0</v>
      </c>
      <c r="H169" s="35">
        <v>0</v>
      </c>
      <c r="I169" s="21">
        <v>25</v>
      </c>
      <c r="J169" s="101">
        <v>160.75</v>
      </c>
      <c r="K169" s="45" t="s">
        <v>1198</v>
      </c>
    </row>
    <row r="170" spans="1:11" ht="13.95" hidden="1" customHeight="1" outlineLevel="1" x14ac:dyDescent="0.3">
      <c r="A170" s="110" t="s">
        <v>1199</v>
      </c>
      <c r="B170" s="104" t="s">
        <v>1200</v>
      </c>
      <c r="C170" s="120"/>
      <c r="D170" s="120"/>
      <c r="E170" s="106"/>
      <c r="F170" s="106"/>
      <c r="G170" s="116" t="s">
        <v>482</v>
      </c>
      <c r="H170" s="106"/>
      <c r="I170" s="108">
        <v>1</v>
      </c>
      <c r="J170" s="109">
        <v>8</v>
      </c>
      <c r="K170" s="106"/>
    </row>
    <row r="171" spans="1:11" ht="13.95" hidden="1" customHeight="1" outlineLevel="1" x14ac:dyDescent="0.3">
      <c r="A171" s="110" t="s">
        <v>1201</v>
      </c>
      <c r="B171" s="104" t="s">
        <v>1202</v>
      </c>
      <c r="C171" s="120"/>
      <c r="D171" s="120"/>
      <c r="E171" s="106"/>
      <c r="F171" s="106"/>
      <c r="G171" s="116" t="s">
        <v>482</v>
      </c>
      <c r="H171" s="106"/>
      <c r="I171" s="108">
        <v>1</v>
      </c>
      <c r="J171" s="109">
        <v>7</v>
      </c>
      <c r="K171" s="106"/>
    </row>
    <row r="172" spans="1:11" ht="13.95" hidden="1" customHeight="1" outlineLevel="1" x14ac:dyDescent="0.3">
      <c r="A172" s="110" t="s">
        <v>1203</v>
      </c>
      <c r="B172" s="104" t="s">
        <v>1204</v>
      </c>
      <c r="C172" s="120"/>
      <c r="D172" s="120"/>
      <c r="E172" s="106"/>
      <c r="F172" s="106"/>
      <c r="G172" s="116" t="s">
        <v>482</v>
      </c>
      <c r="H172" s="106"/>
      <c r="I172" s="108">
        <v>1</v>
      </c>
      <c r="J172" s="109">
        <v>8</v>
      </c>
      <c r="K172" s="106"/>
    </row>
    <row r="173" spans="1:11" ht="13.95" hidden="1" customHeight="1" outlineLevel="1" x14ac:dyDescent="0.3">
      <c r="A173" s="110" t="s">
        <v>1205</v>
      </c>
      <c r="B173" s="104" t="s">
        <v>1206</v>
      </c>
      <c r="C173" s="120"/>
      <c r="D173" s="120"/>
      <c r="E173" s="106"/>
      <c r="F173" s="106"/>
      <c r="G173" s="116" t="s">
        <v>482</v>
      </c>
      <c r="H173" s="106"/>
      <c r="I173" s="108">
        <v>1</v>
      </c>
      <c r="J173" s="109">
        <v>7</v>
      </c>
      <c r="K173" s="106"/>
    </row>
    <row r="174" spans="1:11" ht="13.95" hidden="1" customHeight="1" outlineLevel="1" x14ac:dyDescent="0.3">
      <c r="A174" s="110" t="s">
        <v>1207</v>
      </c>
      <c r="B174" s="104" t="s">
        <v>1208</v>
      </c>
      <c r="C174" s="120"/>
      <c r="D174" s="120"/>
      <c r="E174" s="106"/>
      <c r="F174" s="106"/>
      <c r="G174" s="116" t="s">
        <v>482</v>
      </c>
      <c r="H174" s="106"/>
      <c r="I174" s="108">
        <v>1</v>
      </c>
      <c r="J174" s="109">
        <v>23</v>
      </c>
      <c r="K174" s="106"/>
    </row>
    <row r="175" spans="1:11" ht="13.95" hidden="1" customHeight="1" outlineLevel="1" x14ac:dyDescent="0.3">
      <c r="A175" s="110" t="s">
        <v>1209</v>
      </c>
      <c r="B175" s="104" t="s">
        <v>1210</v>
      </c>
      <c r="C175" s="120"/>
      <c r="D175" s="120"/>
      <c r="E175" s="106"/>
      <c r="F175" s="106"/>
      <c r="G175" s="116" t="s">
        <v>482</v>
      </c>
      <c r="H175" s="106"/>
      <c r="I175" s="108">
        <v>1</v>
      </c>
      <c r="J175" s="109">
        <v>15</v>
      </c>
      <c r="K175" s="106"/>
    </row>
    <row r="176" spans="1:11" ht="13.95" hidden="1" customHeight="1" outlineLevel="1" x14ac:dyDescent="0.3">
      <c r="A176" s="110" t="s">
        <v>1211</v>
      </c>
      <c r="B176" s="104" t="s">
        <v>1212</v>
      </c>
      <c r="C176" s="120"/>
      <c r="D176" s="120"/>
      <c r="E176" s="106"/>
      <c r="F176" s="106"/>
      <c r="G176" s="116" t="s">
        <v>482</v>
      </c>
      <c r="H176" s="106"/>
      <c r="I176" s="108">
        <v>1</v>
      </c>
      <c r="J176" s="109">
        <v>8.15</v>
      </c>
      <c r="K176" s="106"/>
    </row>
    <row r="177" spans="1:11" ht="13.95" hidden="1" customHeight="1" outlineLevel="1" x14ac:dyDescent="0.3">
      <c r="A177" s="110" t="s">
        <v>1213</v>
      </c>
      <c r="B177" s="104" t="s">
        <v>1214</v>
      </c>
      <c r="C177" s="120"/>
      <c r="D177" s="120"/>
      <c r="E177" s="106"/>
      <c r="F177" s="106"/>
      <c r="G177" s="116" t="s">
        <v>482</v>
      </c>
      <c r="H177" s="106"/>
      <c r="I177" s="108">
        <v>1</v>
      </c>
      <c r="J177" s="109">
        <v>4.7</v>
      </c>
      <c r="K177" s="106"/>
    </row>
    <row r="178" spans="1:11" ht="13.95" hidden="1" customHeight="1" outlineLevel="1" x14ac:dyDescent="0.3">
      <c r="A178" s="110" t="s">
        <v>1215</v>
      </c>
      <c r="B178" s="104" t="s">
        <v>1216</v>
      </c>
      <c r="C178" s="120"/>
      <c r="D178" s="120"/>
      <c r="E178" s="106"/>
      <c r="F178" s="106"/>
      <c r="G178" s="116" t="s">
        <v>482</v>
      </c>
      <c r="H178" s="106"/>
      <c r="I178" s="108">
        <v>1</v>
      </c>
      <c r="J178" s="109">
        <v>4.7</v>
      </c>
      <c r="K178" s="106"/>
    </row>
    <row r="179" spans="1:11" ht="13.95" hidden="1" customHeight="1" outlineLevel="1" x14ac:dyDescent="0.3">
      <c r="A179" s="110" t="s">
        <v>1217</v>
      </c>
      <c r="B179" s="104" t="s">
        <v>1218</v>
      </c>
      <c r="C179" s="120"/>
      <c r="D179" s="120"/>
      <c r="E179" s="106"/>
      <c r="F179" s="106"/>
      <c r="G179" s="116" t="s">
        <v>482</v>
      </c>
      <c r="H179" s="106"/>
      <c r="I179" s="108">
        <v>1</v>
      </c>
      <c r="J179" s="109">
        <v>4.7</v>
      </c>
      <c r="K179" s="106"/>
    </row>
    <row r="180" spans="1:11" ht="13.95" hidden="1" customHeight="1" outlineLevel="1" x14ac:dyDescent="0.3">
      <c r="A180" s="110" t="s">
        <v>1219</v>
      </c>
      <c r="B180" s="104" t="s">
        <v>1220</v>
      </c>
      <c r="C180" s="120"/>
      <c r="D180" s="120"/>
      <c r="E180" s="106"/>
      <c r="F180" s="106"/>
      <c r="G180" s="116" t="s">
        <v>482</v>
      </c>
      <c r="H180" s="106"/>
      <c r="I180" s="108">
        <v>1</v>
      </c>
      <c r="J180" s="109">
        <v>4.7</v>
      </c>
      <c r="K180" s="106"/>
    </row>
    <row r="181" spans="1:11" ht="13.95" hidden="1" customHeight="1" outlineLevel="1" x14ac:dyDescent="0.3">
      <c r="A181" s="110" t="s">
        <v>1221</v>
      </c>
      <c r="B181" s="104" t="s">
        <v>1222</v>
      </c>
      <c r="C181" s="120"/>
      <c r="D181" s="120"/>
      <c r="E181" s="106"/>
      <c r="F181" s="106"/>
      <c r="G181" s="116" t="s">
        <v>482</v>
      </c>
      <c r="H181" s="106"/>
      <c r="I181" s="108">
        <v>1</v>
      </c>
      <c r="J181" s="109">
        <v>4.7</v>
      </c>
      <c r="K181" s="106"/>
    </row>
    <row r="182" spans="1:11" ht="13.95" hidden="1" customHeight="1" outlineLevel="1" x14ac:dyDescent="0.3">
      <c r="A182" s="110" t="s">
        <v>1223</v>
      </c>
      <c r="B182" s="104" t="s">
        <v>1224</v>
      </c>
      <c r="C182" s="120"/>
      <c r="D182" s="120"/>
      <c r="E182" s="106"/>
      <c r="F182" s="106"/>
      <c r="G182" s="116" t="s">
        <v>482</v>
      </c>
      <c r="H182" s="106"/>
      <c r="I182" s="108">
        <v>1</v>
      </c>
      <c r="J182" s="109">
        <v>4.7</v>
      </c>
      <c r="K182" s="106"/>
    </row>
    <row r="183" spans="1:11" ht="13.95" hidden="1" customHeight="1" outlineLevel="1" x14ac:dyDescent="0.3">
      <c r="A183" s="110" t="s">
        <v>1225</v>
      </c>
      <c r="B183" s="104" t="s">
        <v>1226</v>
      </c>
      <c r="C183" s="120"/>
      <c r="D183" s="120"/>
      <c r="E183" s="106"/>
      <c r="F183" s="106"/>
      <c r="G183" s="116" t="s">
        <v>482</v>
      </c>
      <c r="H183" s="106"/>
      <c r="I183" s="108">
        <v>1</v>
      </c>
      <c r="J183" s="109">
        <v>4.7</v>
      </c>
      <c r="K183" s="106"/>
    </row>
    <row r="184" spans="1:11" ht="13.95" hidden="1" customHeight="1" outlineLevel="1" x14ac:dyDescent="0.3">
      <c r="A184" s="110" t="s">
        <v>1227</v>
      </c>
      <c r="B184" s="104" t="s">
        <v>1228</v>
      </c>
      <c r="C184" s="120"/>
      <c r="D184" s="120"/>
      <c r="E184" s="106"/>
      <c r="F184" s="106"/>
      <c r="G184" s="116" t="s">
        <v>482</v>
      </c>
      <c r="H184" s="106"/>
      <c r="I184" s="108">
        <v>1</v>
      </c>
      <c r="J184" s="109">
        <v>4.7</v>
      </c>
      <c r="K184" s="106"/>
    </row>
    <row r="185" spans="1:11" ht="13.95" hidden="1" customHeight="1" outlineLevel="1" x14ac:dyDescent="0.3">
      <c r="A185" s="110" t="s">
        <v>1229</v>
      </c>
      <c r="B185" s="104" t="s">
        <v>1230</v>
      </c>
      <c r="C185" s="120"/>
      <c r="D185" s="120"/>
      <c r="E185" s="106"/>
      <c r="F185" s="106"/>
      <c r="G185" s="116" t="s">
        <v>482</v>
      </c>
      <c r="H185" s="106"/>
      <c r="I185" s="108">
        <v>1</v>
      </c>
      <c r="J185" s="109">
        <v>4.7</v>
      </c>
      <c r="K185" s="106"/>
    </row>
    <row r="186" spans="1:11" ht="13.95" hidden="1" customHeight="1" outlineLevel="1" x14ac:dyDescent="0.3">
      <c r="A186" s="110" t="s">
        <v>1231</v>
      </c>
      <c r="B186" s="104" t="s">
        <v>1232</v>
      </c>
      <c r="C186" s="120"/>
      <c r="D186" s="120"/>
      <c r="E186" s="106"/>
      <c r="F186" s="106"/>
      <c r="G186" s="116" t="s">
        <v>482</v>
      </c>
      <c r="H186" s="106"/>
      <c r="I186" s="108">
        <v>1</v>
      </c>
      <c r="J186" s="109">
        <v>4.7</v>
      </c>
      <c r="K186" s="106"/>
    </row>
    <row r="187" spans="1:11" ht="13.95" hidden="1" customHeight="1" outlineLevel="1" x14ac:dyDescent="0.3">
      <c r="A187" s="110" t="s">
        <v>1233</v>
      </c>
      <c r="B187" s="104" t="s">
        <v>1234</v>
      </c>
      <c r="C187" s="120"/>
      <c r="D187" s="120"/>
      <c r="E187" s="106"/>
      <c r="F187" s="106"/>
      <c r="G187" s="116" t="s">
        <v>482</v>
      </c>
      <c r="H187" s="106"/>
      <c r="I187" s="108">
        <v>1</v>
      </c>
      <c r="J187" s="109">
        <v>4.7</v>
      </c>
      <c r="K187" s="106"/>
    </row>
    <row r="188" spans="1:11" ht="13.95" hidden="1" customHeight="1" outlineLevel="1" x14ac:dyDescent="0.3">
      <c r="A188" s="110" t="s">
        <v>1235</v>
      </c>
      <c r="B188" s="104" t="s">
        <v>1236</v>
      </c>
      <c r="C188" s="120"/>
      <c r="D188" s="120"/>
      <c r="E188" s="106"/>
      <c r="F188" s="106"/>
      <c r="G188" s="116" t="s">
        <v>482</v>
      </c>
      <c r="H188" s="106"/>
      <c r="I188" s="108">
        <v>1</v>
      </c>
      <c r="J188" s="109">
        <v>4.7</v>
      </c>
      <c r="K188" s="106"/>
    </row>
    <row r="189" spans="1:11" ht="13.95" hidden="1" customHeight="1" outlineLevel="1" x14ac:dyDescent="0.3">
      <c r="A189" s="110" t="s">
        <v>1237</v>
      </c>
      <c r="B189" s="104" t="s">
        <v>1238</v>
      </c>
      <c r="C189" s="120"/>
      <c r="D189" s="120"/>
      <c r="E189" s="106"/>
      <c r="F189" s="106"/>
      <c r="G189" s="116" t="s">
        <v>482</v>
      </c>
      <c r="H189" s="106"/>
      <c r="I189" s="108">
        <v>1</v>
      </c>
      <c r="J189" s="109">
        <v>4.7</v>
      </c>
      <c r="K189" s="106"/>
    </row>
    <row r="190" spans="1:11" ht="13.95" hidden="1" customHeight="1" outlineLevel="1" x14ac:dyDescent="0.3">
      <c r="A190" s="110" t="s">
        <v>1239</v>
      </c>
      <c r="B190" s="104" t="s">
        <v>1240</v>
      </c>
      <c r="C190" s="120"/>
      <c r="D190" s="120"/>
      <c r="E190" s="106"/>
      <c r="F190" s="106"/>
      <c r="G190" s="116" t="s">
        <v>482</v>
      </c>
      <c r="H190" s="106"/>
      <c r="I190" s="108">
        <v>1</v>
      </c>
      <c r="J190" s="109">
        <v>4.7</v>
      </c>
      <c r="K190" s="106"/>
    </row>
    <row r="191" spans="1:11" ht="13.95" hidden="1" customHeight="1" outlineLevel="1" x14ac:dyDescent="0.3">
      <c r="A191" s="110" t="s">
        <v>1241</v>
      </c>
      <c r="B191" s="104" t="s">
        <v>1242</v>
      </c>
      <c r="C191" s="120"/>
      <c r="D191" s="120"/>
      <c r="E191" s="106"/>
      <c r="F191" s="106"/>
      <c r="G191" s="116" t="s">
        <v>482</v>
      </c>
      <c r="H191" s="106"/>
      <c r="I191" s="108">
        <v>1</v>
      </c>
      <c r="J191" s="109">
        <v>4.7</v>
      </c>
      <c r="K191" s="106"/>
    </row>
    <row r="192" spans="1:11" ht="13.95" hidden="1" customHeight="1" outlineLevel="1" x14ac:dyDescent="0.3">
      <c r="A192" s="110" t="s">
        <v>1243</v>
      </c>
      <c r="B192" s="104" t="s">
        <v>1244</v>
      </c>
      <c r="C192" s="120"/>
      <c r="D192" s="120"/>
      <c r="E192" s="106"/>
      <c r="F192" s="106"/>
      <c r="G192" s="116" t="s">
        <v>482</v>
      </c>
      <c r="H192" s="106"/>
      <c r="I192" s="108">
        <v>1</v>
      </c>
      <c r="J192" s="109">
        <v>4.7</v>
      </c>
      <c r="K192" s="106"/>
    </row>
    <row r="193" spans="1:11" ht="13.95" hidden="1" customHeight="1" outlineLevel="1" x14ac:dyDescent="0.3">
      <c r="A193" s="110" t="s">
        <v>1245</v>
      </c>
      <c r="B193" s="104" t="s">
        <v>1246</v>
      </c>
      <c r="C193" s="120"/>
      <c r="D193" s="120"/>
      <c r="E193" s="106"/>
      <c r="F193" s="106"/>
      <c r="G193" s="116" t="s">
        <v>482</v>
      </c>
      <c r="H193" s="106"/>
      <c r="I193" s="108">
        <v>1</v>
      </c>
      <c r="J193" s="109">
        <v>4.7</v>
      </c>
      <c r="K193" s="106"/>
    </row>
    <row r="194" spans="1:11" ht="13.95" hidden="1" customHeight="1" outlineLevel="1" x14ac:dyDescent="0.3">
      <c r="A194" s="110" t="s">
        <v>1247</v>
      </c>
      <c r="B194" s="104" t="s">
        <v>1248</v>
      </c>
      <c r="C194" s="120"/>
      <c r="D194" s="120"/>
      <c r="E194" s="106"/>
      <c r="F194" s="106"/>
      <c r="G194" s="116" t="s">
        <v>482</v>
      </c>
      <c r="H194" s="106"/>
      <c r="I194" s="108">
        <v>1</v>
      </c>
      <c r="J194" s="109">
        <v>4.7</v>
      </c>
      <c r="K194" s="106"/>
    </row>
    <row r="195" spans="1:11" ht="18" customHeight="1" x14ac:dyDescent="0.3">
      <c r="A195" s="31" t="s">
        <v>45</v>
      </c>
      <c r="B195" s="31"/>
      <c r="C195" s="31"/>
      <c r="D195" s="31"/>
      <c r="E195" s="31" t="s">
        <v>1249</v>
      </c>
      <c r="F195" s="31"/>
      <c r="G195" s="31"/>
      <c r="H195" s="31"/>
      <c r="I195" s="33">
        <v>44623</v>
      </c>
      <c r="J195" s="121">
        <v>359149.39</v>
      </c>
      <c r="K195" s="31"/>
    </row>
  </sheetData>
  <autoFilter ref="A2:K194" xr:uid="{00000000-0009-0000-0000-000006000000}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7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44" customWidth="1"/>
    <col min="3" max="3" width="18" customWidth="1"/>
    <col min="4" max="4" width="11" customWidth="1"/>
    <col min="5" max="5" width="14" customWidth="1"/>
    <col min="6" max="6" width="12" customWidth="1"/>
  </cols>
  <sheetData>
    <row r="1" spans="1:6" ht="24" customHeight="1" x14ac:dyDescent="0.3">
      <c r="A1" s="145" t="s">
        <v>1250</v>
      </c>
      <c r="B1" s="130"/>
      <c r="C1" s="130"/>
      <c r="D1" s="130"/>
      <c r="E1" s="130"/>
      <c r="F1" s="130"/>
    </row>
    <row r="2" spans="1:6" ht="37.950000000000003" customHeight="1" x14ac:dyDescent="0.3">
      <c r="A2" s="2" t="s">
        <v>51</v>
      </c>
      <c r="B2" s="2" t="s">
        <v>425</v>
      </c>
      <c r="C2" s="2" t="s">
        <v>6</v>
      </c>
      <c r="D2" s="2" t="s">
        <v>812</v>
      </c>
      <c r="E2" s="2" t="s">
        <v>1251</v>
      </c>
      <c r="F2" s="2" t="s">
        <v>1252</v>
      </c>
    </row>
    <row r="3" spans="1:6" ht="16.95" customHeight="1" x14ac:dyDescent="0.3">
      <c r="A3" s="144" t="s">
        <v>1253</v>
      </c>
      <c r="B3" s="130"/>
      <c r="C3" s="130"/>
      <c r="D3" s="130"/>
      <c r="E3" s="130"/>
      <c r="F3" s="130"/>
    </row>
    <row r="4" spans="1:6" ht="15" customHeight="1" x14ac:dyDescent="0.3">
      <c r="A4" s="30" t="s">
        <v>79</v>
      </c>
      <c r="B4" s="41" t="s">
        <v>80</v>
      </c>
      <c r="C4" s="41" t="s">
        <v>19</v>
      </c>
      <c r="D4" s="45" t="s">
        <v>81</v>
      </c>
      <c r="E4" s="30" t="s">
        <v>83</v>
      </c>
      <c r="F4" s="122">
        <v>30</v>
      </c>
    </row>
    <row r="5" spans="1:6" ht="15" customHeight="1" x14ac:dyDescent="0.3">
      <c r="A5" s="35" t="s">
        <v>102</v>
      </c>
      <c r="B5" s="34" t="s">
        <v>103</v>
      </c>
      <c r="C5" s="34" t="s">
        <v>16</v>
      </c>
      <c r="D5" s="45" t="s">
        <v>81</v>
      </c>
      <c r="E5" s="35" t="s">
        <v>83</v>
      </c>
      <c r="F5" s="122">
        <v>99</v>
      </c>
    </row>
    <row r="6" spans="1:6" ht="15" customHeight="1" x14ac:dyDescent="0.3">
      <c r="A6" s="30" t="s">
        <v>104</v>
      </c>
      <c r="B6" s="41" t="s">
        <v>105</v>
      </c>
      <c r="C6" s="41" t="s">
        <v>16</v>
      </c>
      <c r="D6" s="45" t="s">
        <v>81</v>
      </c>
      <c r="E6" s="30" t="s">
        <v>83</v>
      </c>
      <c r="F6" s="122">
        <v>99</v>
      </c>
    </row>
    <row r="7" spans="1:6" ht="15" customHeight="1" x14ac:dyDescent="0.3">
      <c r="A7" s="35" t="s">
        <v>290</v>
      </c>
      <c r="B7" s="34" t="s">
        <v>291</v>
      </c>
      <c r="C7" s="34" t="s">
        <v>15</v>
      </c>
      <c r="D7" s="45" t="s">
        <v>81</v>
      </c>
      <c r="E7" s="35" t="s">
        <v>83</v>
      </c>
      <c r="F7" s="122">
        <v>199</v>
      </c>
    </row>
    <row r="8" spans="1:6" ht="15" customHeight="1" x14ac:dyDescent="0.3">
      <c r="A8" s="30" t="s">
        <v>288</v>
      </c>
      <c r="B8" s="41" t="s">
        <v>289</v>
      </c>
      <c r="C8" s="41" t="s">
        <v>15</v>
      </c>
      <c r="D8" s="45" t="s">
        <v>81</v>
      </c>
      <c r="E8" s="30" t="s">
        <v>83</v>
      </c>
      <c r="F8" s="122">
        <v>199</v>
      </c>
    </row>
    <row r="9" spans="1:6" ht="15" customHeight="1" x14ac:dyDescent="0.3">
      <c r="A9" s="35" t="s">
        <v>285</v>
      </c>
      <c r="B9" s="34" t="s">
        <v>286</v>
      </c>
      <c r="C9" s="34" t="s">
        <v>15</v>
      </c>
      <c r="D9" s="45" t="s">
        <v>81</v>
      </c>
      <c r="E9" s="35" t="s">
        <v>83</v>
      </c>
      <c r="F9" s="122">
        <v>300</v>
      </c>
    </row>
    <row r="10" spans="1:6" ht="15" customHeight="1" x14ac:dyDescent="0.3">
      <c r="A10" s="30" t="s">
        <v>807</v>
      </c>
      <c r="B10" s="41" t="s">
        <v>506</v>
      </c>
      <c r="C10" s="41" t="s">
        <v>14</v>
      </c>
      <c r="D10" s="45" t="s">
        <v>81</v>
      </c>
      <c r="E10" s="30" t="s">
        <v>228</v>
      </c>
      <c r="F10" s="122">
        <v>50</v>
      </c>
    </row>
    <row r="11" spans="1:6" ht="15" customHeight="1" x14ac:dyDescent="0.3">
      <c r="A11" s="35" t="s">
        <v>1254</v>
      </c>
      <c r="B11" s="34" t="s">
        <v>157</v>
      </c>
      <c r="C11" s="34" t="s">
        <v>1197</v>
      </c>
      <c r="D11" s="45" t="s">
        <v>81</v>
      </c>
      <c r="E11" s="35" t="s">
        <v>228</v>
      </c>
      <c r="F11" s="122">
        <v>500</v>
      </c>
    </row>
    <row r="12" spans="1:6" ht="15" customHeight="1" x14ac:dyDescent="0.3">
      <c r="A12" s="30" t="s">
        <v>1255</v>
      </c>
      <c r="B12" s="41" t="s">
        <v>155</v>
      </c>
      <c r="C12" s="41" t="s">
        <v>1197</v>
      </c>
      <c r="D12" s="45" t="s">
        <v>81</v>
      </c>
      <c r="E12" s="30" t="s">
        <v>228</v>
      </c>
      <c r="F12" s="122">
        <v>500</v>
      </c>
    </row>
    <row r="13" spans="1:6" ht="15" customHeight="1" x14ac:dyDescent="0.3">
      <c r="A13" s="35" t="s">
        <v>1256</v>
      </c>
      <c r="B13" s="34" t="s">
        <v>163</v>
      </c>
      <c r="C13" s="34" t="s">
        <v>1197</v>
      </c>
      <c r="D13" s="45" t="s">
        <v>81</v>
      </c>
      <c r="E13" s="35" t="s">
        <v>228</v>
      </c>
      <c r="F13" s="122">
        <v>500</v>
      </c>
    </row>
    <row r="14" spans="1:6" ht="15" customHeight="1" x14ac:dyDescent="0.3">
      <c r="A14" s="30" t="s">
        <v>1257</v>
      </c>
      <c r="B14" s="41" t="s">
        <v>161</v>
      </c>
      <c r="C14" s="41" t="s">
        <v>1197</v>
      </c>
      <c r="D14" s="45" t="s">
        <v>81</v>
      </c>
      <c r="E14" s="30" t="s">
        <v>228</v>
      </c>
      <c r="F14" s="122">
        <v>500</v>
      </c>
    </row>
    <row r="15" spans="1:6" ht="15" customHeight="1" x14ac:dyDescent="0.3">
      <c r="A15" s="35" t="s">
        <v>1258</v>
      </c>
      <c r="B15" s="34" t="s">
        <v>159</v>
      </c>
      <c r="C15" s="34" t="s">
        <v>1197</v>
      </c>
      <c r="D15" s="45" t="s">
        <v>81</v>
      </c>
      <c r="E15" s="35" t="s">
        <v>228</v>
      </c>
      <c r="F15" s="122">
        <v>500</v>
      </c>
    </row>
    <row r="16" spans="1:6" ht="15" customHeight="1" x14ac:dyDescent="0.3">
      <c r="A16" s="30" t="s">
        <v>349</v>
      </c>
      <c r="B16" s="41" t="s">
        <v>350</v>
      </c>
      <c r="C16" s="41" t="s">
        <v>17</v>
      </c>
      <c r="D16" s="45" t="s">
        <v>81</v>
      </c>
      <c r="E16" s="30" t="s">
        <v>228</v>
      </c>
      <c r="F16" s="122">
        <v>100</v>
      </c>
    </row>
    <row r="17" spans="1:6" ht="15" customHeight="1" x14ac:dyDescent="0.3">
      <c r="A17" s="35" t="s">
        <v>351</v>
      </c>
      <c r="B17" s="34" t="s">
        <v>352</v>
      </c>
      <c r="C17" s="34" t="s">
        <v>17</v>
      </c>
      <c r="D17" s="45" t="s">
        <v>81</v>
      </c>
      <c r="E17" s="35" t="s">
        <v>228</v>
      </c>
      <c r="F17" s="122">
        <v>100</v>
      </c>
    </row>
    <row r="18" spans="1:6" ht="15" customHeight="1" x14ac:dyDescent="0.3">
      <c r="A18" s="30" t="s">
        <v>353</v>
      </c>
      <c r="B18" s="41" t="s">
        <v>354</v>
      </c>
      <c r="C18" s="41" t="s">
        <v>17</v>
      </c>
      <c r="D18" s="45" t="s">
        <v>81</v>
      </c>
      <c r="E18" s="30" t="s">
        <v>228</v>
      </c>
      <c r="F18" s="122">
        <v>100</v>
      </c>
    </row>
    <row r="19" spans="1:6" ht="15" customHeight="1" x14ac:dyDescent="0.3">
      <c r="A19" s="35" t="s">
        <v>1259</v>
      </c>
      <c r="B19" s="34" t="s">
        <v>953</v>
      </c>
      <c r="C19" s="34" t="s">
        <v>17</v>
      </c>
      <c r="D19" s="45" t="s">
        <v>81</v>
      </c>
      <c r="E19" s="35" t="s">
        <v>228</v>
      </c>
      <c r="F19" s="122">
        <v>100</v>
      </c>
    </row>
    <row r="20" spans="1:6" ht="16.95" customHeight="1" x14ac:dyDescent="0.3">
      <c r="A20" s="144" t="s">
        <v>1260</v>
      </c>
      <c r="B20" s="130"/>
      <c r="C20" s="130"/>
      <c r="D20" s="130"/>
      <c r="E20" s="130"/>
      <c r="F20" s="130"/>
    </row>
    <row r="21" spans="1:6" ht="15" customHeight="1" x14ac:dyDescent="0.3">
      <c r="A21" s="35" t="s">
        <v>1261</v>
      </c>
      <c r="B21" s="34" t="s">
        <v>166</v>
      </c>
      <c r="C21" s="34" t="s">
        <v>1197</v>
      </c>
      <c r="D21" s="45" t="s">
        <v>71</v>
      </c>
      <c r="E21" s="35" t="s">
        <v>96</v>
      </c>
      <c r="F21" s="122">
        <v>99</v>
      </c>
    </row>
    <row r="22" spans="1:6" ht="15" customHeight="1" x14ac:dyDescent="0.3">
      <c r="A22" s="30" t="s">
        <v>1262</v>
      </c>
      <c r="B22" s="41" t="s">
        <v>170</v>
      </c>
      <c r="C22" s="41" t="s">
        <v>1197</v>
      </c>
      <c r="D22" s="45" t="s">
        <v>71</v>
      </c>
      <c r="E22" s="30" t="s">
        <v>96</v>
      </c>
      <c r="F22" s="122">
        <v>99</v>
      </c>
    </row>
    <row r="23" spans="1:6" ht="15" customHeight="1" x14ac:dyDescent="0.3">
      <c r="A23" s="35" t="s">
        <v>1263</v>
      </c>
      <c r="B23" s="34" t="s">
        <v>168</v>
      </c>
      <c r="C23" s="34" t="s">
        <v>1197</v>
      </c>
      <c r="D23" s="45" t="s">
        <v>71</v>
      </c>
      <c r="E23" s="35" t="s">
        <v>96</v>
      </c>
      <c r="F23" s="122">
        <v>99</v>
      </c>
    </row>
    <row r="24" spans="1:6" ht="15" customHeight="1" x14ac:dyDescent="0.3">
      <c r="A24" s="30" t="s">
        <v>1264</v>
      </c>
      <c r="B24" s="41" t="s">
        <v>1071</v>
      </c>
      <c r="C24" s="41" t="s">
        <v>16</v>
      </c>
      <c r="D24" s="45" t="s">
        <v>71</v>
      </c>
      <c r="E24" s="30" t="s">
        <v>96</v>
      </c>
      <c r="F24" s="122">
        <v>300</v>
      </c>
    </row>
    <row r="25" spans="1:6" ht="15" customHeight="1" x14ac:dyDescent="0.3">
      <c r="A25" s="35" t="s">
        <v>108</v>
      </c>
      <c r="B25" s="34" t="s">
        <v>109</v>
      </c>
      <c r="C25" s="34" t="s">
        <v>16</v>
      </c>
      <c r="D25" s="45" t="s">
        <v>71</v>
      </c>
      <c r="E25" s="35" t="s">
        <v>96</v>
      </c>
      <c r="F25" s="122">
        <v>300</v>
      </c>
    </row>
    <row r="26" spans="1:6" ht="15" customHeight="1" x14ac:dyDescent="0.3">
      <c r="A26" s="30" t="s">
        <v>277</v>
      </c>
      <c r="B26" s="41" t="s">
        <v>278</v>
      </c>
      <c r="C26" s="41" t="s">
        <v>15</v>
      </c>
      <c r="D26" s="45" t="s">
        <v>71</v>
      </c>
      <c r="E26" s="30" t="s">
        <v>96</v>
      </c>
      <c r="F26" s="122">
        <v>200</v>
      </c>
    </row>
    <row r="27" spans="1:6" ht="15" customHeight="1" x14ac:dyDescent="0.3">
      <c r="A27" s="35" t="s">
        <v>279</v>
      </c>
      <c r="B27" s="34" t="s">
        <v>280</v>
      </c>
      <c r="C27" s="34" t="s">
        <v>15</v>
      </c>
      <c r="D27" s="45" t="s">
        <v>71</v>
      </c>
      <c r="E27" s="35" t="s">
        <v>96</v>
      </c>
      <c r="F27" s="122">
        <v>200</v>
      </c>
    </row>
    <row r="28" spans="1:6" ht="15" customHeight="1" x14ac:dyDescent="0.3">
      <c r="A28" s="30" t="s">
        <v>1265</v>
      </c>
      <c r="B28" s="41" t="s">
        <v>997</v>
      </c>
      <c r="C28" s="41" t="s">
        <v>17</v>
      </c>
      <c r="D28" s="45" t="s">
        <v>71</v>
      </c>
      <c r="E28" s="30" t="s">
        <v>96</v>
      </c>
      <c r="F28" s="122">
        <v>51</v>
      </c>
    </row>
    <row r="29" spans="1:6" ht="15" customHeight="1" x14ac:dyDescent="0.3">
      <c r="A29" s="35" t="s">
        <v>1266</v>
      </c>
      <c r="B29" s="34" t="s">
        <v>1003</v>
      </c>
      <c r="C29" s="34" t="s">
        <v>17</v>
      </c>
      <c r="D29" s="45" t="s">
        <v>71</v>
      </c>
      <c r="E29" s="35" t="s">
        <v>96</v>
      </c>
      <c r="F29" s="122">
        <v>75</v>
      </c>
    </row>
    <row r="30" spans="1:6" ht="15" customHeight="1" x14ac:dyDescent="0.3">
      <c r="A30" s="30" t="s">
        <v>1267</v>
      </c>
      <c r="B30" s="41" t="s">
        <v>1161</v>
      </c>
      <c r="C30" s="41" t="s">
        <v>1197</v>
      </c>
      <c r="D30" s="45" t="s">
        <v>71</v>
      </c>
      <c r="E30" s="30" t="s">
        <v>130</v>
      </c>
      <c r="F30" s="122">
        <v>2</v>
      </c>
    </row>
    <row r="31" spans="1:6" ht="15" customHeight="1" x14ac:dyDescent="0.3">
      <c r="A31" s="35" t="s">
        <v>1268</v>
      </c>
      <c r="B31" s="34" t="s">
        <v>1159</v>
      </c>
      <c r="C31" s="34" t="s">
        <v>1197</v>
      </c>
      <c r="D31" s="45" t="s">
        <v>71</v>
      </c>
      <c r="E31" s="35" t="s">
        <v>130</v>
      </c>
      <c r="F31" s="122">
        <v>1</v>
      </c>
    </row>
    <row r="32" spans="1:6" ht="15" customHeight="1" x14ac:dyDescent="0.3">
      <c r="A32" s="30" t="s">
        <v>295</v>
      </c>
      <c r="B32" s="41" t="s">
        <v>296</v>
      </c>
      <c r="C32" s="41" t="s">
        <v>15</v>
      </c>
      <c r="D32" s="45" t="s">
        <v>71</v>
      </c>
      <c r="E32" s="30" t="s">
        <v>130</v>
      </c>
      <c r="F32" s="122">
        <v>300</v>
      </c>
    </row>
    <row r="33" spans="1:6" ht="15" customHeight="1" x14ac:dyDescent="0.3">
      <c r="A33" s="35" t="s">
        <v>295</v>
      </c>
      <c r="B33" s="34" t="s">
        <v>296</v>
      </c>
      <c r="C33" s="34" t="s">
        <v>15</v>
      </c>
      <c r="D33" s="45" t="s">
        <v>71</v>
      </c>
      <c r="E33" s="35" t="s">
        <v>130</v>
      </c>
      <c r="F33" s="122">
        <v>150</v>
      </c>
    </row>
    <row r="34" spans="1:6" ht="15" customHeight="1" x14ac:dyDescent="0.3">
      <c r="A34" s="30" t="s">
        <v>281</v>
      </c>
      <c r="B34" s="41" t="s">
        <v>282</v>
      </c>
      <c r="C34" s="41" t="s">
        <v>15</v>
      </c>
      <c r="D34" s="45" t="s">
        <v>71</v>
      </c>
      <c r="E34" s="30" t="s">
        <v>130</v>
      </c>
      <c r="F34" s="122">
        <v>196</v>
      </c>
    </row>
    <row r="35" spans="1:6" ht="15" customHeight="1" x14ac:dyDescent="0.3">
      <c r="A35" s="35" t="s">
        <v>283</v>
      </c>
      <c r="B35" s="34" t="s">
        <v>284</v>
      </c>
      <c r="C35" s="34" t="s">
        <v>15</v>
      </c>
      <c r="D35" s="45" t="s">
        <v>71</v>
      </c>
      <c r="E35" s="35" t="s">
        <v>130</v>
      </c>
      <c r="F35" s="122">
        <v>198</v>
      </c>
    </row>
    <row r="36" spans="1:6" ht="16.95" customHeight="1" x14ac:dyDescent="0.3">
      <c r="A36" s="144" t="s">
        <v>1269</v>
      </c>
      <c r="B36" s="130"/>
      <c r="C36" s="130"/>
      <c r="D36" s="130"/>
      <c r="E36" s="130"/>
      <c r="F36" s="130"/>
    </row>
    <row r="37" spans="1:6" ht="15" customHeight="1" x14ac:dyDescent="0.3">
      <c r="A37" s="35" t="s">
        <v>1270</v>
      </c>
      <c r="B37" s="34" t="s">
        <v>1189</v>
      </c>
      <c r="C37" s="34" t="s">
        <v>1197</v>
      </c>
      <c r="D37" s="45" t="s">
        <v>89</v>
      </c>
      <c r="E37" s="35" t="s">
        <v>325</v>
      </c>
      <c r="F37" s="122">
        <v>500</v>
      </c>
    </row>
    <row r="38" spans="1:6" ht="15" customHeight="1" x14ac:dyDescent="0.3">
      <c r="A38" s="30" t="s">
        <v>1271</v>
      </c>
      <c r="B38" s="41" t="s">
        <v>1187</v>
      </c>
      <c r="C38" s="41" t="s">
        <v>1197</v>
      </c>
      <c r="D38" s="45" t="s">
        <v>89</v>
      </c>
      <c r="E38" s="30" t="s">
        <v>325</v>
      </c>
      <c r="F38" s="122">
        <v>500</v>
      </c>
    </row>
    <row r="39" spans="1:6" ht="15" customHeight="1" x14ac:dyDescent="0.3">
      <c r="A39" s="35" t="s">
        <v>1272</v>
      </c>
      <c r="B39" s="34" t="s">
        <v>1195</v>
      </c>
      <c r="C39" s="34" t="s">
        <v>1197</v>
      </c>
      <c r="D39" s="45" t="s">
        <v>89</v>
      </c>
      <c r="E39" s="35" t="s">
        <v>325</v>
      </c>
      <c r="F39" s="122">
        <v>500</v>
      </c>
    </row>
    <row r="40" spans="1:6" ht="15" customHeight="1" x14ac:dyDescent="0.3">
      <c r="A40" s="30" t="s">
        <v>1273</v>
      </c>
      <c r="B40" s="41" t="s">
        <v>1193</v>
      </c>
      <c r="C40" s="41" t="s">
        <v>1197</v>
      </c>
      <c r="D40" s="45" t="s">
        <v>89</v>
      </c>
      <c r="E40" s="30" t="s">
        <v>325</v>
      </c>
      <c r="F40" s="122">
        <v>500</v>
      </c>
    </row>
    <row r="41" spans="1:6" ht="15" customHeight="1" x14ac:dyDescent="0.3">
      <c r="A41" s="35" t="s">
        <v>1274</v>
      </c>
      <c r="B41" s="34" t="s">
        <v>1191</v>
      </c>
      <c r="C41" s="34" t="s">
        <v>1197</v>
      </c>
      <c r="D41" s="45" t="s">
        <v>89</v>
      </c>
      <c r="E41" s="35" t="s">
        <v>325</v>
      </c>
      <c r="F41" s="122">
        <v>500</v>
      </c>
    </row>
    <row r="42" spans="1:6" ht="15" customHeight="1" x14ac:dyDescent="0.3">
      <c r="A42" s="30" t="s">
        <v>338</v>
      </c>
      <c r="B42" s="41" t="s">
        <v>1180</v>
      </c>
      <c r="C42" s="41" t="s">
        <v>21</v>
      </c>
      <c r="D42" s="45" t="s">
        <v>89</v>
      </c>
      <c r="E42" s="30" t="s">
        <v>325</v>
      </c>
      <c r="F42" s="122">
        <v>1250</v>
      </c>
    </row>
    <row r="43" spans="1:6" ht="15" customHeight="1" x14ac:dyDescent="0.3">
      <c r="A43" s="35" t="s">
        <v>336</v>
      </c>
      <c r="B43" s="34" t="s">
        <v>1178</v>
      </c>
      <c r="C43" s="34" t="s">
        <v>21</v>
      </c>
      <c r="D43" s="45" t="s">
        <v>89</v>
      </c>
      <c r="E43" s="35" t="s">
        <v>325</v>
      </c>
      <c r="F43" s="122">
        <v>1300</v>
      </c>
    </row>
    <row r="44" spans="1:6" ht="15" customHeight="1" x14ac:dyDescent="0.3">
      <c r="A44" s="30" t="s">
        <v>322</v>
      </c>
      <c r="B44" s="41" t="s">
        <v>1166</v>
      </c>
      <c r="C44" s="41" t="s">
        <v>21</v>
      </c>
      <c r="D44" s="45" t="s">
        <v>89</v>
      </c>
      <c r="E44" s="30" t="s">
        <v>325</v>
      </c>
      <c r="F44" s="122">
        <v>2195</v>
      </c>
    </row>
    <row r="45" spans="1:6" ht="15" customHeight="1" x14ac:dyDescent="0.3">
      <c r="A45" s="35" t="s">
        <v>328</v>
      </c>
      <c r="B45" s="34" t="s">
        <v>1170</v>
      </c>
      <c r="C45" s="34" t="s">
        <v>21</v>
      </c>
      <c r="D45" s="45" t="s">
        <v>89</v>
      </c>
      <c r="E45" s="35" t="s">
        <v>325</v>
      </c>
      <c r="F45" s="122">
        <v>1242</v>
      </c>
    </row>
    <row r="46" spans="1:6" ht="15" customHeight="1" x14ac:dyDescent="0.3">
      <c r="A46" s="30" t="s">
        <v>326</v>
      </c>
      <c r="B46" s="41" t="s">
        <v>1168</v>
      </c>
      <c r="C46" s="41" t="s">
        <v>21</v>
      </c>
      <c r="D46" s="45" t="s">
        <v>89</v>
      </c>
      <c r="E46" s="30" t="s">
        <v>325</v>
      </c>
      <c r="F46" s="122">
        <v>1243</v>
      </c>
    </row>
    <row r="47" spans="1:6" ht="15" customHeight="1" x14ac:dyDescent="0.3">
      <c r="A47" s="35" t="s">
        <v>332</v>
      </c>
      <c r="B47" s="34" t="s">
        <v>1174</v>
      </c>
      <c r="C47" s="34" t="s">
        <v>21</v>
      </c>
      <c r="D47" s="45" t="s">
        <v>89</v>
      </c>
      <c r="E47" s="35" t="s">
        <v>325</v>
      </c>
      <c r="F47" s="122">
        <v>1250</v>
      </c>
    </row>
    <row r="48" spans="1:6" ht="15" customHeight="1" x14ac:dyDescent="0.3">
      <c r="A48" s="30" t="s">
        <v>334</v>
      </c>
      <c r="B48" s="41" t="s">
        <v>1176</v>
      </c>
      <c r="C48" s="41" t="s">
        <v>21</v>
      </c>
      <c r="D48" s="45" t="s">
        <v>89</v>
      </c>
      <c r="E48" s="30" t="s">
        <v>325</v>
      </c>
      <c r="F48" s="122">
        <v>1300</v>
      </c>
    </row>
    <row r="49" spans="1:6" ht="15" customHeight="1" x14ac:dyDescent="0.3">
      <c r="A49" s="35" t="s">
        <v>330</v>
      </c>
      <c r="B49" s="34" t="s">
        <v>1172</v>
      </c>
      <c r="C49" s="34" t="s">
        <v>21</v>
      </c>
      <c r="D49" s="45" t="s">
        <v>89</v>
      </c>
      <c r="E49" s="35" t="s">
        <v>325</v>
      </c>
      <c r="F49" s="122">
        <v>1250</v>
      </c>
    </row>
    <row r="50" spans="1:6" ht="15" customHeight="1" x14ac:dyDescent="0.3">
      <c r="A50" s="30" t="s">
        <v>1275</v>
      </c>
      <c r="B50" s="41" t="s">
        <v>1185</v>
      </c>
      <c r="C50" s="41" t="s">
        <v>17</v>
      </c>
      <c r="D50" s="45" t="s">
        <v>89</v>
      </c>
      <c r="E50" s="30" t="s">
        <v>325</v>
      </c>
      <c r="F50" s="122">
        <v>300</v>
      </c>
    </row>
    <row r="51" spans="1:6" ht="16.95" customHeight="1" x14ac:dyDescent="0.3">
      <c r="A51" s="144" t="s">
        <v>1276</v>
      </c>
      <c r="B51" s="130"/>
      <c r="C51" s="130"/>
      <c r="D51" s="130"/>
      <c r="E51" s="130"/>
      <c r="F51" s="130"/>
    </row>
    <row r="52" spans="1:6" ht="15" customHeight="1" x14ac:dyDescent="0.3">
      <c r="A52" s="30" t="s">
        <v>1277</v>
      </c>
      <c r="B52" s="41" t="s">
        <v>1232</v>
      </c>
      <c r="C52" s="41" t="s">
        <v>1197</v>
      </c>
      <c r="D52" s="45"/>
      <c r="E52" s="30"/>
      <c r="F52" s="122">
        <v>1</v>
      </c>
    </row>
    <row r="53" spans="1:6" ht="15" customHeight="1" x14ac:dyDescent="0.3">
      <c r="A53" s="35" t="s">
        <v>1278</v>
      </c>
      <c r="B53" s="34" t="s">
        <v>1224</v>
      </c>
      <c r="C53" s="34" t="s">
        <v>1197</v>
      </c>
      <c r="D53" s="45"/>
      <c r="E53" s="35"/>
      <c r="F53" s="122">
        <v>1</v>
      </c>
    </row>
    <row r="54" spans="1:6" ht="15" customHeight="1" x14ac:dyDescent="0.3">
      <c r="A54" s="30" t="s">
        <v>1279</v>
      </c>
      <c r="B54" s="41" t="s">
        <v>1228</v>
      </c>
      <c r="C54" s="41" t="s">
        <v>1197</v>
      </c>
      <c r="D54" s="45"/>
      <c r="E54" s="30"/>
      <c r="F54" s="122">
        <v>1</v>
      </c>
    </row>
    <row r="55" spans="1:6" ht="15" customHeight="1" x14ac:dyDescent="0.3">
      <c r="A55" s="35" t="s">
        <v>1280</v>
      </c>
      <c r="B55" s="34" t="s">
        <v>1230</v>
      </c>
      <c r="C55" s="34" t="s">
        <v>1197</v>
      </c>
      <c r="D55" s="45"/>
      <c r="E55" s="35"/>
      <c r="F55" s="122">
        <v>1</v>
      </c>
    </row>
    <row r="56" spans="1:6" ht="15" customHeight="1" x14ac:dyDescent="0.3">
      <c r="A56" s="30" t="s">
        <v>1281</v>
      </c>
      <c r="B56" s="41" t="s">
        <v>1226</v>
      </c>
      <c r="C56" s="41" t="s">
        <v>1197</v>
      </c>
      <c r="D56" s="45"/>
      <c r="E56" s="30"/>
      <c r="F56" s="122">
        <v>1</v>
      </c>
    </row>
    <row r="57" spans="1:6" ht="15" customHeight="1" x14ac:dyDescent="0.3">
      <c r="A57" s="35" t="s">
        <v>1282</v>
      </c>
      <c r="B57" s="34" t="s">
        <v>1206</v>
      </c>
      <c r="C57" s="34" t="s">
        <v>1197</v>
      </c>
      <c r="D57" s="45"/>
      <c r="E57" s="35"/>
      <c r="F57" s="122">
        <v>1</v>
      </c>
    </row>
    <row r="58" spans="1:6" ht="15" customHeight="1" x14ac:dyDescent="0.3">
      <c r="A58" s="30" t="s">
        <v>1283</v>
      </c>
      <c r="B58" s="41" t="s">
        <v>1210</v>
      </c>
      <c r="C58" s="41" t="s">
        <v>1197</v>
      </c>
      <c r="D58" s="45"/>
      <c r="E58" s="30"/>
      <c r="F58" s="122">
        <v>1</v>
      </c>
    </row>
    <row r="59" spans="1:6" ht="15" customHeight="1" x14ac:dyDescent="0.3">
      <c r="A59" s="35" t="s">
        <v>1284</v>
      </c>
      <c r="B59" s="34" t="s">
        <v>1208</v>
      </c>
      <c r="C59" s="34" t="s">
        <v>1197</v>
      </c>
      <c r="D59" s="45"/>
      <c r="E59" s="35"/>
      <c r="F59" s="122">
        <v>1</v>
      </c>
    </row>
    <row r="60" spans="1:6" ht="15" customHeight="1" x14ac:dyDescent="0.3">
      <c r="A60" s="30" t="s">
        <v>1285</v>
      </c>
      <c r="B60" s="41" t="s">
        <v>1202</v>
      </c>
      <c r="C60" s="41" t="s">
        <v>1197</v>
      </c>
      <c r="D60" s="45"/>
      <c r="E60" s="30"/>
      <c r="F60" s="122">
        <v>1</v>
      </c>
    </row>
    <row r="61" spans="1:6" ht="15" customHeight="1" x14ac:dyDescent="0.3">
      <c r="A61" s="35" t="s">
        <v>1286</v>
      </c>
      <c r="B61" s="34" t="s">
        <v>1200</v>
      </c>
      <c r="C61" s="34" t="s">
        <v>1197</v>
      </c>
      <c r="D61" s="45"/>
      <c r="E61" s="35"/>
      <c r="F61" s="122">
        <v>1</v>
      </c>
    </row>
    <row r="62" spans="1:6" ht="15" customHeight="1" x14ac:dyDescent="0.3">
      <c r="A62" s="30" t="s">
        <v>1287</v>
      </c>
      <c r="B62" s="41" t="s">
        <v>1204</v>
      </c>
      <c r="C62" s="41" t="s">
        <v>1197</v>
      </c>
      <c r="D62" s="45"/>
      <c r="E62" s="30"/>
      <c r="F62" s="122">
        <v>1</v>
      </c>
    </row>
    <row r="63" spans="1:6" ht="15" customHeight="1" x14ac:dyDescent="0.3">
      <c r="A63" s="35" t="s">
        <v>1288</v>
      </c>
      <c r="B63" s="34" t="s">
        <v>1220</v>
      </c>
      <c r="C63" s="34" t="s">
        <v>1197</v>
      </c>
      <c r="D63" s="45"/>
      <c r="E63" s="35"/>
      <c r="F63" s="122">
        <v>1</v>
      </c>
    </row>
    <row r="64" spans="1:6" ht="15" customHeight="1" x14ac:dyDescent="0.3">
      <c r="A64" s="30" t="s">
        <v>1289</v>
      </c>
      <c r="B64" s="41" t="s">
        <v>1214</v>
      </c>
      <c r="C64" s="41" t="s">
        <v>1197</v>
      </c>
      <c r="D64" s="45"/>
      <c r="E64" s="30"/>
      <c r="F64" s="122">
        <v>1</v>
      </c>
    </row>
    <row r="65" spans="1:6" ht="15" customHeight="1" x14ac:dyDescent="0.3">
      <c r="A65" s="35" t="s">
        <v>1290</v>
      </c>
      <c r="B65" s="34" t="s">
        <v>1218</v>
      </c>
      <c r="C65" s="34" t="s">
        <v>1197</v>
      </c>
      <c r="D65" s="45"/>
      <c r="E65" s="35"/>
      <c r="F65" s="122">
        <v>1</v>
      </c>
    </row>
    <row r="66" spans="1:6" ht="15" customHeight="1" x14ac:dyDescent="0.3">
      <c r="A66" s="30" t="s">
        <v>1291</v>
      </c>
      <c r="B66" s="41" t="s">
        <v>1222</v>
      </c>
      <c r="C66" s="41" t="s">
        <v>1197</v>
      </c>
      <c r="D66" s="45"/>
      <c r="E66" s="30"/>
      <c r="F66" s="122">
        <v>1</v>
      </c>
    </row>
    <row r="67" spans="1:6" ht="15" customHeight="1" x14ac:dyDescent="0.3">
      <c r="A67" s="35" t="s">
        <v>1292</v>
      </c>
      <c r="B67" s="34" t="s">
        <v>1216</v>
      </c>
      <c r="C67" s="34" t="s">
        <v>1197</v>
      </c>
      <c r="D67" s="45"/>
      <c r="E67" s="35"/>
      <c r="F67" s="122">
        <v>1</v>
      </c>
    </row>
    <row r="68" spans="1:6" ht="15" customHeight="1" x14ac:dyDescent="0.3">
      <c r="A68" s="30" t="s">
        <v>1293</v>
      </c>
      <c r="B68" s="41" t="s">
        <v>1212</v>
      </c>
      <c r="C68" s="41" t="s">
        <v>1197</v>
      </c>
      <c r="D68" s="45"/>
      <c r="E68" s="30"/>
      <c r="F68" s="122">
        <v>1</v>
      </c>
    </row>
    <row r="69" spans="1:6" ht="15" customHeight="1" x14ac:dyDescent="0.3">
      <c r="A69" s="35" t="s">
        <v>1294</v>
      </c>
      <c r="B69" s="34" t="s">
        <v>1246</v>
      </c>
      <c r="C69" s="34" t="s">
        <v>1197</v>
      </c>
      <c r="D69" s="45"/>
      <c r="E69" s="35"/>
      <c r="F69" s="122">
        <v>1</v>
      </c>
    </row>
    <row r="70" spans="1:6" ht="15" customHeight="1" x14ac:dyDescent="0.3">
      <c r="A70" s="30" t="s">
        <v>1295</v>
      </c>
      <c r="B70" s="41" t="s">
        <v>1248</v>
      </c>
      <c r="C70" s="41" t="s">
        <v>1197</v>
      </c>
      <c r="D70" s="45"/>
      <c r="E70" s="30"/>
      <c r="F70" s="122">
        <v>1</v>
      </c>
    </row>
    <row r="71" spans="1:6" ht="15" customHeight="1" x14ac:dyDescent="0.3">
      <c r="A71" s="35" t="s">
        <v>1296</v>
      </c>
      <c r="B71" s="34" t="s">
        <v>1234</v>
      </c>
      <c r="C71" s="34" t="s">
        <v>1197</v>
      </c>
      <c r="D71" s="45"/>
      <c r="E71" s="35"/>
      <c r="F71" s="122">
        <v>1</v>
      </c>
    </row>
    <row r="72" spans="1:6" ht="15" customHeight="1" x14ac:dyDescent="0.3">
      <c r="A72" s="30" t="s">
        <v>1297</v>
      </c>
      <c r="B72" s="41" t="s">
        <v>1238</v>
      </c>
      <c r="C72" s="41" t="s">
        <v>1197</v>
      </c>
      <c r="D72" s="45"/>
      <c r="E72" s="30"/>
      <c r="F72" s="122">
        <v>1</v>
      </c>
    </row>
    <row r="73" spans="1:6" ht="15" customHeight="1" x14ac:dyDescent="0.3">
      <c r="A73" s="35" t="s">
        <v>1298</v>
      </c>
      <c r="B73" s="34" t="s">
        <v>1236</v>
      </c>
      <c r="C73" s="34" t="s">
        <v>1197</v>
      </c>
      <c r="D73" s="45"/>
      <c r="E73" s="35"/>
      <c r="F73" s="122">
        <v>1</v>
      </c>
    </row>
    <row r="74" spans="1:6" ht="15" customHeight="1" x14ac:dyDescent="0.3">
      <c r="A74" s="30" t="s">
        <v>1299</v>
      </c>
      <c r="B74" s="41" t="s">
        <v>1242</v>
      </c>
      <c r="C74" s="41" t="s">
        <v>1197</v>
      </c>
      <c r="D74" s="45"/>
      <c r="E74" s="30"/>
      <c r="F74" s="122">
        <v>1</v>
      </c>
    </row>
    <row r="75" spans="1:6" ht="15" customHeight="1" x14ac:dyDescent="0.3">
      <c r="A75" s="35" t="s">
        <v>1300</v>
      </c>
      <c r="B75" s="34" t="s">
        <v>1244</v>
      </c>
      <c r="C75" s="34" t="s">
        <v>1197</v>
      </c>
      <c r="D75" s="45"/>
      <c r="E75" s="35"/>
      <c r="F75" s="122">
        <v>1</v>
      </c>
    </row>
    <row r="76" spans="1:6" ht="15" customHeight="1" x14ac:dyDescent="0.3">
      <c r="A76" s="30" t="s">
        <v>1301</v>
      </c>
      <c r="B76" s="41" t="s">
        <v>1240</v>
      </c>
      <c r="C76" s="41" t="s">
        <v>1197</v>
      </c>
      <c r="D76" s="45"/>
      <c r="E76" s="30"/>
      <c r="F76" s="122">
        <v>1</v>
      </c>
    </row>
    <row r="77" spans="1:6" ht="18" customHeight="1" x14ac:dyDescent="0.3">
      <c r="A77" s="31" t="s">
        <v>45</v>
      </c>
      <c r="B77" s="31"/>
      <c r="C77" s="31" t="s">
        <v>1302</v>
      </c>
      <c r="D77" s="31"/>
      <c r="E77" s="31"/>
      <c r="F77" s="33">
        <v>20001</v>
      </c>
    </row>
  </sheetData>
  <autoFilter ref="A2:F76" xr:uid="{00000000-0009-0000-0000-000007000000}"/>
  <mergeCells count="5">
    <mergeCell ref="A51:F51"/>
    <mergeCell ref="A36:F36"/>
    <mergeCell ref="A1:F1"/>
    <mergeCell ref="A3:F3"/>
    <mergeCell ref="A20:F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8434-AB6E-4060-9540-7E7D0D5B1730}">
  <sheetPr>
    <tabColor rgb="FF92D050"/>
  </sheetPr>
  <dimension ref="A1:X452"/>
  <sheetViews>
    <sheetView topLeftCell="A2" zoomScaleNormal="100" workbookViewId="0">
      <pane xSplit="5" ySplit="5" topLeftCell="P7" activePane="bottomRight" state="frozen"/>
      <selection activeCell="A2" sqref="A2"/>
      <selection pane="topRight" activeCell="F2" sqref="F2"/>
      <selection pane="bottomLeft" activeCell="A7" sqref="A7"/>
      <selection pane="bottomRight" activeCell="G19" sqref="G19"/>
    </sheetView>
  </sheetViews>
  <sheetFormatPr baseColWidth="10" defaultRowHeight="14.4" x14ac:dyDescent="0.3"/>
  <cols>
    <col min="1" max="1" width="17.77734375" style="123" bestFit="1" customWidth="1"/>
    <col min="2" max="2" width="19.5546875" style="123" bestFit="1" customWidth="1"/>
    <col min="3" max="3" width="20.21875" style="124" customWidth="1"/>
    <col min="4" max="4" width="18.109375" style="124" bestFit="1" customWidth="1"/>
    <col min="5" max="5" width="13.21875" style="123" bestFit="1" customWidth="1"/>
    <col min="6" max="6" width="10.109375" style="123" bestFit="1" customWidth="1"/>
    <col min="7" max="7" width="13.44140625" style="123" bestFit="1" customWidth="1"/>
    <col min="8" max="8" width="23.21875" style="123" bestFit="1" customWidth="1"/>
    <col min="9" max="9" width="16.44140625" style="123" bestFit="1" customWidth="1"/>
    <col min="10" max="10" width="17.33203125" style="123" bestFit="1" customWidth="1"/>
    <col min="11" max="11" width="17.88671875" style="123" bestFit="1" customWidth="1"/>
    <col min="12" max="12" width="14.44140625" style="123" bestFit="1" customWidth="1"/>
    <col min="13" max="13" width="24.21875" style="123" bestFit="1" customWidth="1"/>
    <col min="14" max="14" width="17.44140625" style="123" bestFit="1" customWidth="1"/>
    <col min="15" max="15" width="18.33203125" style="123" bestFit="1" customWidth="1"/>
    <col min="16" max="16" width="17.33203125" style="123" bestFit="1" customWidth="1"/>
    <col min="17" max="17" width="13.88671875" style="123" bestFit="1" customWidth="1"/>
    <col min="18" max="18" width="23.6640625" style="123" bestFit="1" customWidth="1"/>
    <col min="19" max="19" width="16.88671875" style="123" bestFit="1" customWidth="1"/>
    <col min="20" max="34" width="17.77734375" style="123" bestFit="1" customWidth="1"/>
    <col min="35" max="43" width="17.5546875" style="123" bestFit="1" customWidth="1"/>
    <col min="44" max="16384" width="11.5546875" style="123"/>
  </cols>
  <sheetData>
    <row r="1" spans="1:24" x14ac:dyDescent="0.3">
      <c r="A1" s="123" t="s">
        <v>45</v>
      </c>
      <c r="B1" s="123" t="s">
        <v>1303</v>
      </c>
    </row>
    <row r="2" spans="1:24" x14ac:dyDescent="0.3">
      <c r="A2" s="123" t="s">
        <v>1304</v>
      </c>
      <c r="B2" s="123" t="s">
        <v>1305</v>
      </c>
    </row>
    <row r="3" spans="1:24" x14ac:dyDescent="0.3">
      <c r="A3" s="123" t="s">
        <v>1306</v>
      </c>
      <c r="B3" s="123" t="s">
        <v>1305</v>
      </c>
      <c r="D3" s="125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</row>
    <row r="4" spans="1:24" x14ac:dyDescent="0.3">
      <c r="C4" s="123"/>
    </row>
    <row r="5" spans="1:24" ht="16.2" customHeight="1" x14ac:dyDescent="0.3">
      <c r="C5" s="123"/>
      <c r="D5" s="123"/>
      <c r="F5" s="123" t="s">
        <v>1307</v>
      </c>
    </row>
    <row r="6" spans="1:24" x14ac:dyDescent="0.3">
      <c r="A6" s="123" t="s">
        <v>6</v>
      </c>
      <c r="B6" s="123" t="s">
        <v>1308</v>
      </c>
      <c r="C6" s="123" t="s">
        <v>1309</v>
      </c>
      <c r="D6" s="123" t="s">
        <v>1310</v>
      </c>
      <c r="E6" s="123" t="s">
        <v>52</v>
      </c>
      <c r="F6" s="123" t="s">
        <v>1311</v>
      </c>
      <c r="G6" s="123" t="s">
        <v>1312</v>
      </c>
      <c r="H6" s="123" t="s">
        <v>1313</v>
      </c>
      <c r="I6" s="123" t="s">
        <v>1314</v>
      </c>
      <c r="J6" s="123" t="s">
        <v>1315</v>
      </c>
      <c r="K6" s="123" t="s">
        <v>1316</v>
      </c>
      <c r="L6" s="123" t="s">
        <v>1317</v>
      </c>
      <c r="M6" s="123" t="s">
        <v>1318</v>
      </c>
      <c r="N6" s="123" t="s">
        <v>1319</v>
      </c>
      <c r="O6" s="123" t="s">
        <v>1320</v>
      </c>
      <c r="P6" s="123" t="s">
        <v>1321</v>
      </c>
      <c r="Q6" s="123" t="s">
        <v>1322</v>
      </c>
      <c r="R6" s="123" t="s">
        <v>1323</v>
      </c>
      <c r="S6" s="123" t="s">
        <v>1324</v>
      </c>
      <c r="T6" s="123" t="s">
        <v>1325</v>
      </c>
    </row>
    <row r="7" spans="1:24" x14ac:dyDescent="0.3">
      <c r="A7" s="123" t="s">
        <v>14</v>
      </c>
      <c r="C7" s="123"/>
      <c r="D7" s="123"/>
      <c r="F7" s="127">
        <v>64413</v>
      </c>
      <c r="G7" s="127">
        <v>14250</v>
      </c>
      <c r="H7" s="127">
        <v>67467</v>
      </c>
      <c r="I7" s="127">
        <v>8230.3499999999985</v>
      </c>
      <c r="J7" s="128">
        <v>9.1355979634577906</v>
      </c>
      <c r="K7" s="127">
        <v>60235.149999999994</v>
      </c>
      <c r="L7" s="127">
        <v>16354.986206896552</v>
      </c>
      <c r="M7" s="127">
        <v>76590.136206896568</v>
      </c>
      <c r="N7" s="127">
        <v>7357.42</v>
      </c>
      <c r="O7" s="128">
        <v>10.624950977926099</v>
      </c>
      <c r="P7" s="127">
        <v>60907.289999999979</v>
      </c>
      <c r="Q7" s="127">
        <v>2700</v>
      </c>
      <c r="R7" s="127">
        <v>78012.276206896524</v>
      </c>
      <c r="S7" s="127">
        <v>6567.4299999999976</v>
      </c>
      <c r="T7" s="128">
        <v>11.044510803781234</v>
      </c>
    </row>
    <row r="8" spans="1:24" x14ac:dyDescent="0.3">
      <c r="A8" s="123" t="s">
        <v>15</v>
      </c>
      <c r="C8" s="123"/>
      <c r="D8" s="123"/>
      <c r="F8" s="127">
        <v>36465</v>
      </c>
      <c r="G8" s="127">
        <v>18274</v>
      </c>
      <c r="H8" s="127">
        <v>39489</v>
      </c>
      <c r="I8" s="127">
        <v>10590.3</v>
      </c>
      <c r="J8" s="128">
        <v>3.9111056820920505</v>
      </c>
      <c r="K8" s="127">
        <v>29431.7</v>
      </c>
      <c r="L8" s="127">
        <v>9055</v>
      </c>
      <c r="M8" s="127">
        <v>38486.699999999997</v>
      </c>
      <c r="N8" s="127">
        <v>10485</v>
      </c>
      <c r="O8" s="128">
        <v>3.5343485980164071</v>
      </c>
      <c r="P8" s="127">
        <v>23945.700000000004</v>
      </c>
      <c r="Q8" s="127">
        <v>9146</v>
      </c>
      <c r="R8" s="127">
        <v>34272.700000000004</v>
      </c>
      <c r="S8" s="127">
        <v>9214.5999999999985</v>
      </c>
      <c r="T8" s="128">
        <v>3.2152660727185172</v>
      </c>
    </row>
    <row r="9" spans="1:24" ht="16.2" customHeight="1" x14ac:dyDescent="0.3">
      <c r="A9" s="123" t="s">
        <v>16</v>
      </c>
      <c r="C9" s="123"/>
      <c r="D9" s="123"/>
      <c r="F9" s="127">
        <v>13194</v>
      </c>
      <c r="G9" s="127">
        <v>4031</v>
      </c>
      <c r="H9" s="127">
        <v>14733</v>
      </c>
      <c r="I9" s="127">
        <v>3685</v>
      </c>
      <c r="J9" s="128">
        <v>4.6495897328003366</v>
      </c>
      <c r="K9" s="127">
        <v>11111</v>
      </c>
      <c r="L9" s="127">
        <v>5044.7241379310344</v>
      </c>
      <c r="M9" s="127">
        <v>16155.724137931034</v>
      </c>
      <c r="N9" s="127">
        <v>3280</v>
      </c>
      <c r="O9" s="128">
        <v>4.8030098517285804</v>
      </c>
      <c r="P9" s="127">
        <v>10047</v>
      </c>
      <c r="Q9" s="127">
        <v>458</v>
      </c>
      <c r="R9" s="127">
        <v>14075.724137931034</v>
      </c>
      <c r="S9" s="127">
        <v>2541</v>
      </c>
      <c r="T9" s="128">
        <v>3.6110118363086285</v>
      </c>
    </row>
    <row r="10" spans="1:24" x14ac:dyDescent="0.3">
      <c r="A10" s="123" t="s">
        <v>17</v>
      </c>
      <c r="C10" s="123"/>
      <c r="D10" s="123"/>
      <c r="F10" s="127">
        <v>1851</v>
      </c>
      <c r="G10" s="127">
        <v>1440</v>
      </c>
      <c r="H10" s="127">
        <v>2063</v>
      </c>
      <c r="I10" s="127">
        <v>680.5</v>
      </c>
      <c r="J10" s="128">
        <v>2.4988392046028061</v>
      </c>
      <c r="K10" s="127">
        <v>1421.5</v>
      </c>
      <c r="L10" s="127">
        <v>1290</v>
      </c>
      <c r="M10" s="127">
        <v>2711.5</v>
      </c>
      <c r="N10" s="127">
        <v>818.5</v>
      </c>
      <c r="O10" s="128">
        <v>2.558219985847944</v>
      </c>
      <c r="P10" s="127">
        <v>1642</v>
      </c>
      <c r="Q10" s="127">
        <v>2200</v>
      </c>
      <c r="R10" s="127">
        <v>2612</v>
      </c>
      <c r="S10" s="127">
        <v>977.75</v>
      </c>
      <c r="T10" s="128">
        <v>2.0916916916916919</v>
      </c>
    </row>
    <row r="11" spans="1:24" x14ac:dyDescent="0.3">
      <c r="A11" s="123" t="s">
        <v>18</v>
      </c>
      <c r="C11" s="123"/>
      <c r="D11" s="123"/>
      <c r="F11" s="127">
        <v>1241</v>
      </c>
      <c r="G11" s="127">
        <v>1110</v>
      </c>
      <c r="H11" s="127">
        <v>1472</v>
      </c>
      <c r="I11" s="127">
        <v>400.5</v>
      </c>
      <c r="J11" s="128">
        <v>3.8845883180858549</v>
      </c>
      <c r="K11" s="127">
        <v>1071.5</v>
      </c>
      <c r="L11" s="127">
        <v>250</v>
      </c>
      <c r="M11" s="127">
        <v>1321.5</v>
      </c>
      <c r="N11" s="127">
        <v>395.5</v>
      </c>
      <c r="O11" s="128">
        <v>3.760314900882102</v>
      </c>
      <c r="P11" s="127">
        <v>721</v>
      </c>
      <c r="Q11" s="127">
        <v>0</v>
      </c>
      <c r="R11" s="127">
        <v>971</v>
      </c>
      <c r="S11" s="127">
        <v>340.8</v>
      </c>
      <c r="T11" s="128">
        <v>2.5094762232942798</v>
      </c>
    </row>
    <row r="12" spans="1:24" x14ac:dyDescent="0.3">
      <c r="A12" s="123" t="s">
        <v>20</v>
      </c>
      <c r="C12" s="123"/>
      <c r="D12" s="123"/>
      <c r="F12" s="127">
        <v>928</v>
      </c>
      <c r="G12" s="127">
        <v>200</v>
      </c>
      <c r="H12" s="127">
        <v>1195</v>
      </c>
      <c r="I12" s="127">
        <v>330</v>
      </c>
      <c r="J12" s="128">
        <v>3.7736842105263158</v>
      </c>
      <c r="K12" s="127">
        <v>865</v>
      </c>
      <c r="L12" s="127">
        <v>0</v>
      </c>
      <c r="M12" s="127">
        <v>865</v>
      </c>
      <c r="N12" s="127">
        <v>310</v>
      </c>
      <c r="O12" s="128">
        <v>1.8535714285714284</v>
      </c>
      <c r="P12" s="127">
        <v>589</v>
      </c>
      <c r="Q12" s="127">
        <v>3200</v>
      </c>
      <c r="R12" s="127">
        <v>789</v>
      </c>
      <c r="S12" s="127">
        <v>310</v>
      </c>
      <c r="T12" s="128">
        <v>1.3448863636363637</v>
      </c>
    </row>
    <row r="13" spans="1:24" x14ac:dyDescent="0.3">
      <c r="A13" s="123" t="s">
        <v>19</v>
      </c>
      <c r="C13" s="123"/>
      <c r="D13" s="123"/>
      <c r="F13" s="127">
        <v>2077</v>
      </c>
      <c r="G13" s="127">
        <v>1075</v>
      </c>
      <c r="H13" s="127">
        <v>2265</v>
      </c>
      <c r="I13" s="127">
        <v>602.09999999999991</v>
      </c>
      <c r="J13" s="128">
        <v>3.7177873830497346</v>
      </c>
      <c r="K13" s="127">
        <v>1738.9</v>
      </c>
      <c r="L13" s="127">
        <v>0</v>
      </c>
      <c r="M13" s="127">
        <v>1738.9</v>
      </c>
      <c r="N13" s="127">
        <v>882.40000000000009</v>
      </c>
      <c r="O13" s="128">
        <v>2.8540868804026696</v>
      </c>
      <c r="P13" s="127">
        <v>1155.7</v>
      </c>
      <c r="Q13" s="127">
        <v>380</v>
      </c>
      <c r="R13" s="127">
        <v>1155.7</v>
      </c>
      <c r="S13" s="127">
        <v>343.2</v>
      </c>
      <c r="T13" s="128">
        <v>1.8297007757665313</v>
      </c>
    </row>
    <row r="14" spans="1:24" x14ac:dyDescent="0.3">
      <c r="A14" s="123" t="s">
        <v>21</v>
      </c>
      <c r="C14" s="123"/>
      <c r="D14" s="123"/>
      <c r="F14" s="127">
        <v>9694</v>
      </c>
      <c r="G14" s="127">
        <v>0</v>
      </c>
      <c r="H14" s="127">
        <v>9876</v>
      </c>
      <c r="I14" s="127">
        <v>389.5</v>
      </c>
      <c r="J14" s="128">
        <v>27.037780616900893</v>
      </c>
      <c r="K14" s="127">
        <v>9486.5</v>
      </c>
      <c r="L14" s="127">
        <v>0</v>
      </c>
      <c r="M14" s="127">
        <v>9486.5</v>
      </c>
      <c r="N14" s="127">
        <v>319.5</v>
      </c>
      <c r="O14" s="128">
        <v>22.125087460157037</v>
      </c>
      <c r="P14" s="127">
        <v>9167</v>
      </c>
      <c r="Q14" s="127">
        <v>0</v>
      </c>
      <c r="R14" s="127">
        <v>9167</v>
      </c>
      <c r="S14" s="127">
        <v>386.80000000000018</v>
      </c>
      <c r="T14" s="128">
        <v>17.309290030211478</v>
      </c>
    </row>
    <row r="15" spans="1:24" x14ac:dyDescent="0.3">
      <c r="A15" s="123" t="s">
        <v>1326</v>
      </c>
      <c r="C15" s="123"/>
      <c r="D15" s="123"/>
      <c r="F15" s="127">
        <v>129863</v>
      </c>
      <c r="G15" s="127">
        <v>40380</v>
      </c>
      <c r="H15" s="127">
        <v>138560</v>
      </c>
      <c r="I15" s="127">
        <v>24908.249999999996</v>
      </c>
      <c r="J15" s="128">
        <v>5.9863346013682701</v>
      </c>
      <c r="K15" s="127">
        <v>115361.24999999999</v>
      </c>
      <c r="L15" s="127">
        <v>31994.710344827588</v>
      </c>
      <c r="M15" s="127">
        <v>147355.96034482759</v>
      </c>
      <c r="N15" s="127">
        <v>23848.32</v>
      </c>
      <c r="O15" s="128">
        <v>6.044736226537279</v>
      </c>
      <c r="P15" s="127">
        <v>108174.68999999999</v>
      </c>
      <c r="Q15" s="127">
        <v>18084</v>
      </c>
      <c r="R15" s="127">
        <v>141055.40034482756</v>
      </c>
      <c r="S15" s="127">
        <v>20681.579999999994</v>
      </c>
      <c r="T15" s="128">
        <v>5.6412246625790639</v>
      </c>
    </row>
    <row r="16" spans="1:24" x14ac:dyDescent="0.3">
      <c r="C16" s="123"/>
      <c r="D16" s="123"/>
    </row>
    <row r="17" s="123" customFormat="1" x14ac:dyDescent="0.3"/>
    <row r="18" s="123" customFormat="1" x14ac:dyDescent="0.3"/>
    <row r="19" s="123" customFormat="1" x14ac:dyDescent="0.3"/>
    <row r="20" s="123" customFormat="1" x14ac:dyDescent="0.3"/>
    <row r="21" s="123" customFormat="1" x14ac:dyDescent="0.3"/>
    <row r="22" s="123" customFormat="1" x14ac:dyDescent="0.3"/>
    <row r="23" s="123" customFormat="1" x14ac:dyDescent="0.3"/>
    <row r="24" s="123" customFormat="1" x14ac:dyDescent="0.3"/>
    <row r="25" s="123" customFormat="1" x14ac:dyDescent="0.3"/>
    <row r="26" s="123" customFormat="1" x14ac:dyDescent="0.3"/>
    <row r="27" s="123" customFormat="1" x14ac:dyDescent="0.3"/>
    <row r="28" s="123" customFormat="1" x14ac:dyDescent="0.3"/>
    <row r="29" s="123" customFormat="1" x14ac:dyDescent="0.3"/>
    <row r="30" s="123" customFormat="1" x14ac:dyDescent="0.3"/>
    <row r="31" s="123" customFormat="1" x14ac:dyDescent="0.3"/>
    <row r="32" s="123" customFormat="1" x14ac:dyDescent="0.3"/>
    <row r="33" s="123" customFormat="1" x14ac:dyDescent="0.3"/>
    <row r="34" s="123" customFormat="1" x14ac:dyDescent="0.3"/>
    <row r="35" s="123" customFormat="1" x14ac:dyDescent="0.3"/>
    <row r="36" s="123" customFormat="1" x14ac:dyDescent="0.3"/>
    <row r="37" s="123" customFormat="1" x14ac:dyDescent="0.3"/>
    <row r="38" s="123" customFormat="1" x14ac:dyDescent="0.3"/>
    <row r="39" s="123" customFormat="1" x14ac:dyDescent="0.3"/>
    <row r="40" s="123" customFormat="1" x14ac:dyDescent="0.3"/>
    <row r="41" s="123" customFormat="1" x14ac:dyDescent="0.3"/>
    <row r="42" s="123" customFormat="1" x14ac:dyDescent="0.3"/>
    <row r="43" s="123" customFormat="1" x14ac:dyDescent="0.3"/>
    <row r="44" s="123" customFormat="1" x14ac:dyDescent="0.3"/>
    <row r="45" s="123" customFormat="1" x14ac:dyDescent="0.3"/>
    <row r="46" s="123" customFormat="1" x14ac:dyDescent="0.3"/>
    <row r="47" s="123" customFormat="1" x14ac:dyDescent="0.3"/>
    <row r="48" s="123" customFormat="1" x14ac:dyDescent="0.3"/>
    <row r="49" s="123" customFormat="1" x14ac:dyDescent="0.3"/>
    <row r="50" s="123" customFormat="1" x14ac:dyDescent="0.3"/>
    <row r="51" s="123" customFormat="1" x14ac:dyDescent="0.3"/>
    <row r="52" s="123" customFormat="1" x14ac:dyDescent="0.3"/>
    <row r="53" s="123" customFormat="1" x14ac:dyDescent="0.3"/>
    <row r="54" s="123" customFormat="1" x14ac:dyDescent="0.3"/>
    <row r="55" s="123" customFormat="1" x14ac:dyDescent="0.3"/>
    <row r="56" s="123" customFormat="1" x14ac:dyDescent="0.3"/>
    <row r="57" s="123" customFormat="1" x14ac:dyDescent="0.3"/>
    <row r="58" s="123" customFormat="1" x14ac:dyDescent="0.3"/>
    <row r="59" s="123" customFormat="1" x14ac:dyDescent="0.3"/>
    <row r="60" s="123" customFormat="1" x14ac:dyDescent="0.3"/>
    <row r="61" s="123" customFormat="1" x14ac:dyDescent="0.3"/>
    <row r="62" s="123" customFormat="1" x14ac:dyDescent="0.3"/>
    <row r="63" s="123" customFormat="1" x14ac:dyDescent="0.3"/>
    <row r="64" s="123" customFormat="1" x14ac:dyDescent="0.3"/>
    <row r="65" s="123" customFormat="1" x14ac:dyDescent="0.3"/>
    <row r="66" s="123" customFormat="1" x14ac:dyDescent="0.3"/>
    <row r="67" s="123" customFormat="1" x14ac:dyDescent="0.3"/>
    <row r="68" s="123" customFormat="1" x14ac:dyDescent="0.3"/>
    <row r="69" s="123" customFormat="1" x14ac:dyDescent="0.3"/>
    <row r="70" s="123" customFormat="1" x14ac:dyDescent="0.3"/>
    <row r="71" s="123" customFormat="1" x14ac:dyDescent="0.3"/>
    <row r="72" s="123" customFormat="1" x14ac:dyDescent="0.3"/>
    <row r="73" s="123" customFormat="1" x14ac:dyDescent="0.3"/>
    <row r="74" s="123" customFormat="1" x14ac:dyDescent="0.3"/>
    <row r="75" s="123" customFormat="1" x14ac:dyDescent="0.3"/>
    <row r="76" s="123" customFormat="1" x14ac:dyDescent="0.3"/>
    <row r="77" s="123" customFormat="1" x14ac:dyDescent="0.3"/>
    <row r="78" s="123" customFormat="1" x14ac:dyDescent="0.3"/>
    <row r="79" s="123" customFormat="1" x14ac:dyDescent="0.3"/>
    <row r="80" s="123" customFormat="1" x14ac:dyDescent="0.3"/>
    <row r="81" spans="3:4" x14ac:dyDescent="0.3">
      <c r="C81" s="123"/>
      <c r="D81" s="123"/>
    </row>
    <row r="82" spans="3:4" x14ac:dyDescent="0.3">
      <c r="C82" s="123"/>
      <c r="D82" s="123"/>
    </row>
    <row r="83" spans="3:4" x14ac:dyDescent="0.3">
      <c r="C83" s="123"/>
      <c r="D83" s="123"/>
    </row>
    <row r="84" spans="3:4" x14ac:dyDescent="0.3">
      <c r="C84" s="123"/>
      <c r="D84" s="123"/>
    </row>
    <row r="85" spans="3:4" x14ac:dyDescent="0.3">
      <c r="C85" s="123"/>
      <c r="D85" s="123"/>
    </row>
    <row r="86" spans="3:4" x14ac:dyDescent="0.3">
      <c r="C86" s="123"/>
    </row>
    <row r="87" spans="3:4" x14ac:dyDescent="0.3">
      <c r="C87" s="123"/>
    </row>
    <row r="88" spans="3:4" x14ac:dyDescent="0.3">
      <c r="C88" s="123"/>
    </row>
    <row r="89" spans="3:4" x14ac:dyDescent="0.3">
      <c r="C89" s="123"/>
    </row>
    <row r="90" spans="3:4" x14ac:dyDescent="0.3">
      <c r="C90" s="123"/>
    </row>
    <row r="91" spans="3:4" x14ac:dyDescent="0.3">
      <c r="C91" s="123"/>
    </row>
    <row r="92" spans="3:4" x14ac:dyDescent="0.3">
      <c r="C92" s="123"/>
    </row>
    <row r="93" spans="3:4" x14ac:dyDescent="0.3">
      <c r="C93" s="123"/>
    </row>
    <row r="94" spans="3:4" x14ac:dyDescent="0.3">
      <c r="C94" s="123"/>
    </row>
    <row r="95" spans="3:4" x14ac:dyDescent="0.3">
      <c r="C95" s="123"/>
    </row>
    <row r="96" spans="3:4" x14ac:dyDescent="0.3">
      <c r="C96" s="123"/>
    </row>
    <row r="97" spans="3:3" x14ac:dyDescent="0.3">
      <c r="C97" s="123"/>
    </row>
    <row r="98" spans="3:3" x14ac:dyDescent="0.3">
      <c r="C98" s="123"/>
    </row>
    <row r="99" spans="3:3" x14ac:dyDescent="0.3">
      <c r="C99" s="123"/>
    </row>
    <row r="100" spans="3:3" x14ac:dyDescent="0.3">
      <c r="C100" s="123"/>
    </row>
    <row r="101" spans="3:3" x14ac:dyDescent="0.3">
      <c r="C101" s="123"/>
    </row>
    <row r="102" spans="3:3" x14ac:dyDescent="0.3">
      <c r="C102" s="123"/>
    </row>
    <row r="103" spans="3:3" x14ac:dyDescent="0.3">
      <c r="C103" s="123"/>
    </row>
    <row r="104" spans="3:3" x14ac:dyDescent="0.3">
      <c r="C104" s="123"/>
    </row>
    <row r="105" spans="3:3" x14ac:dyDescent="0.3">
      <c r="C105" s="123"/>
    </row>
    <row r="106" spans="3:3" x14ac:dyDescent="0.3">
      <c r="C106" s="123"/>
    </row>
    <row r="107" spans="3:3" x14ac:dyDescent="0.3">
      <c r="C107" s="123"/>
    </row>
    <row r="108" spans="3:3" x14ac:dyDescent="0.3">
      <c r="C108" s="123"/>
    </row>
    <row r="109" spans="3:3" x14ac:dyDescent="0.3">
      <c r="C109" s="123"/>
    </row>
    <row r="110" spans="3:3" x14ac:dyDescent="0.3">
      <c r="C110" s="123"/>
    </row>
    <row r="111" spans="3:3" x14ac:dyDescent="0.3">
      <c r="C111" s="123"/>
    </row>
    <row r="112" spans="3:3" x14ac:dyDescent="0.3">
      <c r="C112" s="123"/>
    </row>
    <row r="113" spans="3:3" x14ac:dyDescent="0.3">
      <c r="C113" s="123"/>
    </row>
    <row r="114" spans="3:3" x14ac:dyDescent="0.3">
      <c r="C114" s="123"/>
    </row>
    <row r="115" spans="3:3" x14ac:dyDescent="0.3">
      <c r="C115" s="123"/>
    </row>
    <row r="116" spans="3:3" x14ac:dyDescent="0.3">
      <c r="C116" s="123"/>
    </row>
    <row r="117" spans="3:3" x14ac:dyDescent="0.3">
      <c r="C117" s="123"/>
    </row>
    <row r="118" spans="3:3" x14ac:dyDescent="0.3">
      <c r="C118" s="123"/>
    </row>
    <row r="119" spans="3:3" x14ac:dyDescent="0.3">
      <c r="C119" s="123"/>
    </row>
    <row r="120" spans="3:3" x14ac:dyDescent="0.3">
      <c r="C120" s="123"/>
    </row>
    <row r="121" spans="3:3" x14ac:dyDescent="0.3">
      <c r="C121" s="123"/>
    </row>
    <row r="122" spans="3:3" x14ac:dyDescent="0.3">
      <c r="C122" s="123"/>
    </row>
    <row r="123" spans="3:3" x14ac:dyDescent="0.3">
      <c r="C123" s="123"/>
    </row>
    <row r="124" spans="3:3" x14ac:dyDescent="0.3">
      <c r="C124" s="123"/>
    </row>
    <row r="125" spans="3:3" x14ac:dyDescent="0.3">
      <c r="C125" s="123"/>
    </row>
    <row r="126" spans="3:3" x14ac:dyDescent="0.3">
      <c r="C126" s="123"/>
    </row>
    <row r="127" spans="3:3" x14ac:dyDescent="0.3">
      <c r="C127" s="123"/>
    </row>
    <row r="128" spans="3:3" x14ac:dyDescent="0.3">
      <c r="C128" s="123"/>
    </row>
    <row r="129" spans="3:3" x14ac:dyDescent="0.3">
      <c r="C129" s="123"/>
    </row>
    <row r="130" spans="3:3" x14ac:dyDescent="0.3">
      <c r="C130" s="123"/>
    </row>
    <row r="131" spans="3:3" x14ac:dyDescent="0.3">
      <c r="C131" s="123"/>
    </row>
    <row r="132" spans="3:3" x14ac:dyDescent="0.3">
      <c r="C132" s="123"/>
    </row>
    <row r="133" spans="3:3" x14ac:dyDescent="0.3">
      <c r="C133" s="123"/>
    </row>
    <row r="134" spans="3:3" x14ac:dyDescent="0.3">
      <c r="C134" s="123"/>
    </row>
    <row r="135" spans="3:3" x14ac:dyDescent="0.3">
      <c r="C135" s="123"/>
    </row>
    <row r="136" spans="3:3" x14ac:dyDescent="0.3">
      <c r="C136" s="123"/>
    </row>
    <row r="137" spans="3:3" x14ac:dyDescent="0.3">
      <c r="C137" s="123"/>
    </row>
    <row r="138" spans="3:3" x14ac:dyDescent="0.3">
      <c r="C138" s="123"/>
    </row>
    <row r="139" spans="3:3" x14ac:dyDescent="0.3">
      <c r="C139" s="123"/>
    </row>
    <row r="140" spans="3:3" x14ac:dyDescent="0.3">
      <c r="C140" s="123"/>
    </row>
    <row r="141" spans="3:3" x14ac:dyDescent="0.3">
      <c r="C141" s="123"/>
    </row>
    <row r="142" spans="3:3" x14ac:dyDescent="0.3">
      <c r="C142" s="123"/>
    </row>
    <row r="143" spans="3:3" x14ac:dyDescent="0.3">
      <c r="C143" s="123"/>
    </row>
    <row r="144" spans="3:3" x14ac:dyDescent="0.3">
      <c r="C144" s="123"/>
    </row>
    <row r="145" spans="3:3" x14ac:dyDescent="0.3">
      <c r="C145" s="123"/>
    </row>
    <row r="146" spans="3:3" x14ac:dyDescent="0.3">
      <c r="C146" s="123"/>
    </row>
    <row r="147" spans="3:3" x14ac:dyDescent="0.3">
      <c r="C147" s="123"/>
    </row>
    <row r="148" spans="3:3" x14ac:dyDescent="0.3">
      <c r="C148" s="123"/>
    </row>
    <row r="149" spans="3:3" x14ac:dyDescent="0.3">
      <c r="C149" s="123"/>
    </row>
    <row r="150" spans="3:3" x14ac:dyDescent="0.3">
      <c r="C150" s="123"/>
    </row>
    <row r="151" spans="3:3" x14ac:dyDescent="0.3">
      <c r="C151" s="123"/>
    </row>
    <row r="152" spans="3:3" x14ac:dyDescent="0.3">
      <c r="C152" s="123"/>
    </row>
    <row r="153" spans="3:3" x14ac:dyDescent="0.3">
      <c r="C153" s="123"/>
    </row>
    <row r="154" spans="3:3" x14ac:dyDescent="0.3">
      <c r="C154" s="123"/>
    </row>
    <row r="155" spans="3:3" x14ac:dyDescent="0.3">
      <c r="C155" s="123"/>
    </row>
    <row r="156" spans="3:3" x14ac:dyDescent="0.3">
      <c r="C156" s="123"/>
    </row>
    <row r="157" spans="3:3" x14ac:dyDescent="0.3">
      <c r="C157" s="123"/>
    </row>
    <row r="158" spans="3:3" x14ac:dyDescent="0.3">
      <c r="C158" s="123"/>
    </row>
    <row r="159" spans="3:3" x14ac:dyDescent="0.3">
      <c r="C159" s="123"/>
    </row>
    <row r="160" spans="3:3" x14ac:dyDescent="0.3">
      <c r="C160" s="123"/>
    </row>
    <row r="161" spans="3:3" x14ac:dyDescent="0.3">
      <c r="C161" s="123"/>
    </row>
    <row r="162" spans="3:3" x14ac:dyDescent="0.3">
      <c r="C162" s="123"/>
    </row>
    <row r="163" spans="3:3" x14ac:dyDescent="0.3">
      <c r="C163" s="123"/>
    </row>
    <row r="164" spans="3:3" x14ac:dyDescent="0.3">
      <c r="C164" s="123"/>
    </row>
    <row r="165" spans="3:3" x14ac:dyDescent="0.3">
      <c r="C165" s="123"/>
    </row>
    <row r="166" spans="3:3" x14ac:dyDescent="0.3">
      <c r="C166" s="123"/>
    </row>
    <row r="167" spans="3:3" x14ac:dyDescent="0.3">
      <c r="C167" s="123"/>
    </row>
    <row r="168" spans="3:3" x14ac:dyDescent="0.3">
      <c r="C168" s="123"/>
    </row>
    <row r="169" spans="3:3" x14ac:dyDescent="0.3">
      <c r="C169" s="123"/>
    </row>
    <row r="170" spans="3:3" x14ac:dyDescent="0.3">
      <c r="C170" s="123"/>
    </row>
    <row r="171" spans="3:3" x14ac:dyDescent="0.3">
      <c r="C171" s="123"/>
    </row>
    <row r="172" spans="3:3" x14ac:dyDescent="0.3">
      <c r="C172" s="123"/>
    </row>
    <row r="173" spans="3:3" x14ac:dyDescent="0.3">
      <c r="C173" s="123"/>
    </row>
    <row r="174" spans="3:3" x14ac:dyDescent="0.3">
      <c r="C174" s="123"/>
    </row>
    <row r="175" spans="3:3" x14ac:dyDescent="0.3">
      <c r="C175" s="123"/>
    </row>
    <row r="176" spans="3:3" x14ac:dyDescent="0.3">
      <c r="C176" s="123"/>
    </row>
    <row r="177" spans="3:3" x14ac:dyDescent="0.3">
      <c r="C177" s="123"/>
    </row>
    <row r="178" spans="3:3" x14ac:dyDescent="0.3">
      <c r="C178" s="123"/>
    </row>
    <row r="179" spans="3:3" x14ac:dyDescent="0.3">
      <c r="C179" s="123"/>
    </row>
    <row r="180" spans="3:3" x14ac:dyDescent="0.3">
      <c r="C180" s="123"/>
    </row>
    <row r="181" spans="3:3" x14ac:dyDescent="0.3">
      <c r="C181" s="123"/>
    </row>
    <row r="182" spans="3:3" x14ac:dyDescent="0.3">
      <c r="C182" s="123"/>
    </row>
    <row r="183" spans="3:3" x14ac:dyDescent="0.3">
      <c r="C183" s="123"/>
    </row>
    <row r="184" spans="3:3" x14ac:dyDescent="0.3">
      <c r="C184" s="123"/>
    </row>
    <row r="185" spans="3:3" x14ac:dyDescent="0.3">
      <c r="C185" s="123"/>
    </row>
    <row r="186" spans="3:3" x14ac:dyDescent="0.3">
      <c r="C186" s="123"/>
    </row>
    <row r="187" spans="3:3" x14ac:dyDescent="0.3">
      <c r="C187" s="123"/>
    </row>
    <row r="188" spans="3:3" x14ac:dyDescent="0.3">
      <c r="C188" s="123"/>
    </row>
    <row r="189" spans="3:3" x14ac:dyDescent="0.3">
      <c r="C189" s="123"/>
    </row>
    <row r="190" spans="3:3" x14ac:dyDescent="0.3">
      <c r="C190" s="123"/>
    </row>
    <row r="191" spans="3:3" x14ac:dyDescent="0.3">
      <c r="C191" s="123"/>
    </row>
    <row r="192" spans="3:3" x14ac:dyDescent="0.3">
      <c r="C192" s="123"/>
    </row>
    <row r="193" spans="3:3" x14ac:dyDescent="0.3">
      <c r="C193" s="123"/>
    </row>
    <row r="194" spans="3:3" x14ac:dyDescent="0.3">
      <c r="C194" s="123"/>
    </row>
    <row r="195" spans="3:3" x14ac:dyDescent="0.3">
      <c r="C195" s="123"/>
    </row>
    <row r="196" spans="3:3" x14ac:dyDescent="0.3">
      <c r="C196" s="123"/>
    </row>
    <row r="197" spans="3:3" x14ac:dyDescent="0.3">
      <c r="C197" s="123"/>
    </row>
    <row r="198" spans="3:3" x14ac:dyDescent="0.3">
      <c r="C198" s="123"/>
    </row>
    <row r="199" spans="3:3" x14ac:dyDescent="0.3">
      <c r="C199" s="123"/>
    </row>
    <row r="200" spans="3:3" x14ac:dyDescent="0.3">
      <c r="C200" s="123"/>
    </row>
    <row r="201" spans="3:3" x14ac:dyDescent="0.3">
      <c r="C201" s="123"/>
    </row>
    <row r="202" spans="3:3" x14ac:dyDescent="0.3">
      <c r="C202" s="123"/>
    </row>
    <row r="203" spans="3:3" x14ac:dyDescent="0.3">
      <c r="C203" s="123"/>
    </row>
    <row r="204" spans="3:3" x14ac:dyDescent="0.3">
      <c r="C204" s="123"/>
    </row>
    <row r="205" spans="3:3" x14ac:dyDescent="0.3">
      <c r="C205" s="123"/>
    </row>
    <row r="206" spans="3:3" x14ac:dyDescent="0.3">
      <c r="C206" s="123"/>
    </row>
    <row r="207" spans="3:3" x14ac:dyDescent="0.3">
      <c r="C207" s="123"/>
    </row>
    <row r="208" spans="3:3" x14ac:dyDescent="0.3">
      <c r="C208" s="123"/>
    </row>
    <row r="209" spans="3:3" x14ac:dyDescent="0.3">
      <c r="C209" s="123"/>
    </row>
    <row r="210" spans="3:3" x14ac:dyDescent="0.3">
      <c r="C210" s="123"/>
    </row>
    <row r="211" spans="3:3" x14ac:dyDescent="0.3">
      <c r="C211" s="123"/>
    </row>
    <row r="212" spans="3:3" x14ac:dyDescent="0.3">
      <c r="C212" s="123"/>
    </row>
    <row r="213" spans="3:3" x14ac:dyDescent="0.3">
      <c r="C213" s="123"/>
    </row>
    <row r="214" spans="3:3" x14ac:dyDescent="0.3">
      <c r="C214" s="123"/>
    </row>
    <row r="215" spans="3:3" x14ac:dyDescent="0.3">
      <c r="C215" s="123"/>
    </row>
    <row r="216" spans="3:3" x14ac:dyDescent="0.3">
      <c r="C216" s="123"/>
    </row>
    <row r="217" spans="3:3" x14ac:dyDescent="0.3">
      <c r="C217" s="123"/>
    </row>
    <row r="218" spans="3:3" x14ac:dyDescent="0.3">
      <c r="C218" s="123"/>
    </row>
    <row r="219" spans="3:3" x14ac:dyDescent="0.3">
      <c r="C219" s="123"/>
    </row>
    <row r="220" spans="3:3" x14ac:dyDescent="0.3">
      <c r="C220" s="123"/>
    </row>
    <row r="221" spans="3:3" x14ac:dyDescent="0.3">
      <c r="C221" s="123"/>
    </row>
    <row r="222" spans="3:3" x14ac:dyDescent="0.3">
      <c r="C222" s="123"/>
    </row>
    <row r="223" spans="3:3" x14ac:dyDescent="0.3">
      <c r="C223" s="123"/>
    </row>
    <row r="224" spans="3:3" x14ac:dyDescent="0.3">
      <c r="C224" s="123"/>
    </row>
    <row r="225" spans="3:3" x14ac:dyDescent="0.3">
      <c r="C225" s="123"/>
    </row>
    <row r="226" spans="3:3" x14ac:dyDescent="0.3">
      <c r="C226" s="123"/>
    </row>
    <row r="227" spans="3:3" x14ac:dyDescent="0.3">
      <c r="C227" s="123"/>
    </row>
    <row r="228" spans="3:3" x14ac:dyDescent="0.3">
      <c r="C228" s="123"/>
    </row>
    <row r="229" spans="3:3" x14ac:dyDescent="0.3">
      <c r="C229" s="123"/>
    </row>
    <row r="230" spans="3:3" x14ac:dyDescent="0.3">
      <c r="C230" s="123"/>
    </row>
    <row r="231" spans="3:3" x14ac:dyDescent="0.3">
      <c r="C231" s="123"/>
    </row>
    <row r="232" spans="3:3" x14ac:dyDescent="0.3">
      <c r="C232" s="123"/>
    </row>
    <row r="233" spans="3:3" x14ac:dyDescent="0.3">
      <c r="C233" s="123"/>
    </row>
    <row r="234" spans="3:3" x14ac:dyDescent="0.3">
      <c r="C234" s="123"/>
    </row>
    <row r="235" spans="3:3" x14ac:dyDescent="0.3">
      <c r="C235" s="123"/>
    </row>
    <row r="236" spans="3:3" x14ac:dyDescent="0.3">
      <c r="C236" s="123"/>
    </row>
    <row r="237" spans="3:3" x14ac:dyDescent="0.3">
      <c r="C237" s="123"/>
    </row>
    <row r="238" spans="3:3" x14ac:dyDescent="0.3">
      <c r="C238" s="123"/>
    </row>
    <row r="239" spans="3:3" x14ac:dyDescent="0.3">
      <c r="C239" s="123"/>
    </row>
    <row r="240" spans="3:3" x14ac:dyDescent="0.3">
      <c r="C240" s="123"/>
    </row>
    <row r="241" spans="3:3" x14ac:dyDescent="0.3">
      <c r="C241" s="123"/>
    </row>
    <row r="242" spans="3:3" x14ac:dyDescent="0.3">
      <c r="C242" s="123"/>
    </row>
    <row r="243" spans="3:3" x14ac:dyDescent="0.3">
      <c r="C243" s="123"/>
    </row>
    <row r="244" spans="3:3" x14ac:dyDescent="0.3">
      <c r="C244" s="123"/>
    </row>
    <row r="245" spans="3:3" x14ac:dyDescent="0.3">
      <c r="C245" s="123"/>
    </row>
    <row r="246" spans="3:3" x14ac:dyDescent="0.3">
      <c r="C246" s="123"/>
    </row>
    <row r="247" spans="3:3" x14ac:dyDescent="0.3">
      <c r="C247" s="123"/>
    </row>
    <row r="248" spans="3:3" x14ac:dyDescent="0.3">
      <c r="C248" s="123"/>
    </row>
    <row r="249" spans="3:3" x14ac:dyDescent="0.3">
      <c r="C249" s="123"/>
    </row>
    <row r="250" spans="3:3" x14ac:dyDescent="0.3">
      <c r="C250" s="123"/>
    </row>
    <row r="251" spans="3:3" x14ac:dyDescent="0.3">
      <c r="C251" s="123"/>
    </row>
    <row r="252" spans="3:3" x14ac:dyDescent="0.3">
      <c r="C252" s="123"/>
    </row>
    <row r="253" spans="3:3" x14ac:dyDescent="0.3">
      <c r="C253" s="123"/>
    </row>
    <row r="254" spans="3:3" x14ac:dyDescent="0.3">
      <c r="C254" s="123"/>
    </row>
    <row r="255" spans="3:3" x14ac:dyDescent="0.3">
      <c r="C255" s="123"/>
    </row>
    <row r="256" spans="3:3" x14ac:dyDescent="0.3">
      <c r="C256" s="123"/>
    </row>
    <row r="257" spans="3:3" x14ac:dyDescent="0.3">
      <c r="C257" s="123"/>
    </row>
    <row r="258" spans="3:3" x14ac:dyDescent="0.3">
      <c r="C258" s="123"/>
    </row>
    <row r="259" spans="3:3" x14ac:dyDescent="0.3">
      <c r="C259" s="123"/>
    </row>
    <row r="260" spans="3:3" x14ac:dyDescent="0.3">
      <c r="C260" s="123"/>
    </row>
    <row r="261" spans="3:3" x14ac:dyDescent="0.3">
      <c r="C261" s="123"/>
    </row>
    <row r="262" spans="3:3" x14ac:dyDescent="0.3">
      <c r="C262" s="123"/>
    </row>
    <row r="263" spans="3:3" x14ac:dyDescent="0.3">
      <c r="C263" s="123"/>
    </row>
    <row r="264" spans="3:3" x14ac:dyDescent="0.3">
      <c r="C264" s="123"/>
    </row>
    <row r="265" spans="3:3" x14ac:dyDescent="0.3">
      <c r="C265" s="123"/>
    </row>
    <row r="266" spans="3:3" x14ac:dyDescent="0.3">
      <c r="C266" s="123"/>
    </row>
    <row r="267" spans="3:3" x14ac:dyDescent="0.3">
      <c r="C267" s="123"/>
    </row>
    <row r="268" spans="3:3" x14ac:dyDescent="0.3">
      <c r="C268" s="123"/>
    </row>
    <row r="269" spans="3:3" x14ac:dyDescent="0.3">
      <c r="C269" s="123"/>
    </row>
    <row r="270" spans="3:3" x14ac:dyDescent="0.3">
      <c r="C270" s="123"/>
    </row>
    <row r="271" spans="3:3" x14ac:dyDescent="0.3">
      <c r="C271" s="123"/>
    </row>
    <row r="272" spans="3:3" x14ac:dyDescent="0.3">
      <c r="C272" s="123"/>
    </row>
    <row r="273" spans="3:3" x14ac:dyDescent="0.3">
      <c r="C273" s="123"/>
    </row>
    <row r="274" spans="3:3" x14ac:dyDescent="0.3">
      <c r="C274" s="123"/>
    </row>
    <row r="275" spans="3:3" x14ac:dyDescent="0.3">
      <c r="C275" s="123"/>
    </row>
    <row r="276" spans="3:3" x14ac:dyDescent="0.3">
      <c r="C276" s="123"/>
    </row>
    <row r="277" spans="3:3" x14ac:dyDescent="0.3">
      <c r="C277" s="123"/>
    </row>
    <row r="278" spans="3:3" x14ac:dyDescent="0.3">
      <c r="C278" s="123"/>
    </row>
    <row r="279" spans="3:3" x14ac:dyDescent="0.3">
      <c r="C279" s="123"/>
    </row>
    <row r="280" spans="3:3" x14ac:dyDescent="0.3">
      <c r="C280" s="123"/>
    </row>
    <row r="281" spans="3:3" x14ac:dyDescent="0.3">
      <c r="C281" s="123"/>
    </row>
    <row r="282" spans="3:3" x14ac:dyDescent="0.3">
      <c r="C282" s="123"/>
    </row>
    <row r="283" spans="3:3" x14ac:dyDescent="0.3">
      <c r="C283" s="123"/>
    </row>
    <row r="284" spans="3:3" x14ac:dyDescent="0.3">
      <c r="C284" s="123"/>
    </row>
    <row r="285" spans="3:3" x14ac:dyDescent="0.3">
      <c r="C285" s="123"/>
    </row>
    <row r="286" spans="3:3" x14ac:dyDescent="0.3">
      <c r="C286" s="123"/>
    </row>
    <row r="287" spans="3:3" x14ac:dyDescent="0.3">
      <c r="C287" s="123"/>
    </row>
    <row r="288" spans="3:3" x14ac:dyDescent="0.3">
      <c r="C288" s="123"/>
    </row>
    <row r="289" spans="3:3" x14ac:dyDescent="0.3">
      <c r="C289" s="123"/>
    </row>
    <row r="290" spans="3:3" x14ac:dyDescent="0.3">
      <c r="C290" s="123"/>
    </row>
    <row r="291" spans="3:3" x14ac:dyDescent="0.3">
      <c r="C291" s="123"/>
    </row>
    <row r="292" spans="3:3" x14ac:dyDescent="0.3">
      <c r="C292" s="123"/>
    </row>
    <row r="293" spans="3:3" x14ac:dyDescent="0.3">
      <c r="C293" s="123"/>
    </row>
    <row r="294" spans="3:3" x14ac:dyDescent="0.3">
      <c r="C294" s="123"/>
    </row>
    <row r="295" spans="3:3" x14ac:dyDescent="0.3">
      <c r="C295" s="123"/>
    </row>
    <row r="296" spans="3:3" x14ac:dyDescent="0.3">
      <c r="C296" s="123"/>
    </row>
    <row r="297" spans="3:3" x14ac:dyDescent="0.3">
      <c r="C297" s="123"/>
    </row>
    <row r="298" spans="3:3" x14ac:dyDescent="0.3">
      <c r="C298" s="123"/>
    </row>
    <row r="299" spans="3:3" x14ac:dyDescent="0.3">
      <c r="C299" s="123"/>
    </row>
    <row r="300" spans="3:3" x14ac:dyDescent="0.3">
      <c r="C300" s="123"/>
    </row>
    <row r="301" spans="3:3" x14ac:dyDescent="0.3">
      <c r="C301" s="123"/>
    </row>
    <row r="302" spans="3:3" x14ac:dyDescent="0.3">
      <c r="C302" s="123"/>
    </row>
    <row r="303" spans="3:3" x14ac:dyDescent="0.3">
      <c r="C303" s="123"/>
    </row>
    <row r="304" spans="3:3" x14ac:dyDescent="0.3">
      <c r="C304" s="123"/>
    </row>
    <row r="305" spans="3:3" x14ac:dyDescent="0.3">
      <c r="C305" s="123"/>
    </row>
    <row r="306" spans="3:3" x14ac:dyDescent="0.3">
      <c r="C306" s="123"/>
    </row>
    <row r="307" spans="3:3" x14ac:dyDescent="0.3">
      <c r="C307" s="123"/>
    </row>
    <row r="308" spans="3:3" x14ac:dyDescent="0.3">
      <c r="C308" s="123"/>
    </row>
    <row r="309" spans="3:3" x14ac:dyDescent="0.3">
      <c r="C309" s="123"/>
    </row>
    <row r="310" spans="3:3" x14ac:dyDescent="0.3">
      <c r="C310" s="123"/>
    </row>
    <row r="311" spans="3:3" x14ac:dyDescent="0.3">
      <c r="C311" s="123"/>
    </row>
    <row r="312" spans="3:3" x14ac:dyDescent="0.3">
      <c r="C312" s="123"/>
    </row>
    <row r="313" spans="3:3" x14ac:dyDescent="0.3">
      <c r="C313" s="123"/>
    </row>
    <row r="314" spans="3:3" x14ac:dyDescent="0.3">
      <c r="C314" s="123"/>
    </row>
    <row r="315" spans="3:3" x14ac:dyDescent="0.3">
      <c r="C315" s="123"/>
    </row>
    <row r="316" spans="3:3" x14ac:dyDescent="0.3">
      <c r="C316" s="123"/>
    </row>
    <row r="317" spans="3:3" x14ac:dyDescent="0.3">
      <c r="C317" s="123"/>
    </row>
    <row r="318" spans="3:3" x14ac:dyDescent="0.3">
      <c r="C318" s="123"/>
    </row>
    <row r="319" spans="3:3" x14ac:dyDescent="0.3">
      <c r="C319" s="123"/>
    </row>
    <row r="320" spans="3:3" x14ac:dyDescent="0.3">
      <c r="C320" s="123"/>
    </row>
    <row r="321" spans="3:3" x14ac:dyDescent="0.3">
      <c r="C321" s="123"/>
    </row>
    <row r="322" spans="3:3" x14ac:dyDescent="0.3">
      <c r="C322" s="123"/>
    </row>
    <row r="323" spans="3:3" x14ac:dyDescent="0.3">
      <c r="C323" s="123"/>
    </row>
    <row r="324" spans="3:3" x14ac:dyDescent="0.3">
      <c r="C324" s="123"/>
    </row>
    <row r="325" spans="3:3" x14ac:dyDescent="0.3">
      <c r="C325" s="123"/>
    </row>
    <row r="326" spans="3:3" x14ac:dyDescent="0.3">
      <c r="C326" s="123"/>
    </row>
    <row r="327" spans="3:3" x14ac:dyDescent="0.3">
      <c r="C327" s="123"/>
    </row>
    <row r="328" spans="3:3" x14ac:dyDescent="0.3">
      <c r="C328" s="123"/>
    </row>
    <row r="329" spans="3:3" x14ac:dyDescent="0.3">
      <c r="C329" s="123"/>
    </row>
    <row r="330" spans="3:3" x14ac:dyDescent="0.3">
      <c r="C330" s="123"/>
    </row>
    <row r="331" spans="3:3" x14ac:dyDescent="0.3">
      <c r="C331" s="123"/>
    </row>
    <row r="332" spans="3:3" x14ac:dyDescent="0.3">
      <c r="C332" s="123"/>
    </row>
    <row r="333" spans="3:3" x14ac:dyDescent="0.3">
      <c r="C333" s="123"/>
    </row>
    <row r="334" spans="3:3" x14ac:dyDescent="0.3">
      <c r="C334" s="123"/>
    </row>
    <row r="335" spans="3:3" x14ac:dyDescent="0.3">
      <c r="C335" s="123"/>
    </row>
    <row r="336" spans="3:3" x14ac:dyDescent="0.3">
      <c r="C336" s="123"/>
    </row>
    <row r="337" spans="3:3" x14ac:dyDescent="0.3">
      <c r="C337" s="123"/>
    </row>
    <row r="338" spans="3:3" x14ac:dyDescent="0.3">
      <c r="C338" s="123"/>
    </row>
    <row r="339" spans="3:3" x14ac:dyDescent="0.3">
      <c r="C339" s="123"/>
    </row>
    <row r="340" spans="3:3" x14ac:dyDescent="0.3">
      <c r="C340" s="123"/>
    </row>
    <row r="341" spans="3:3" x14ac:dyDescent="0.3">
      <c r="C341" s="123"/>
    </row>
    <row r="342" spans="3:3" x14ac:dyDescent="0.3">
      <c r="C342" s="123"/>
    </row>
    <row r="343" spans="3:3" x14ac:dyDescent="0.3">
      <c r="C343" s="123"/>
    </row>
    <row r="344" spans="3:3" x14ac:dyDescent="0.3">
      <c r="C344" s="123"/>
    </row>
    <row r="345" spans="3:3" x14ac:dyDescent="0.3">
      <c r="C345" s="123"/>
    </row>
    <row r="346" spans="3:3" x14ac:dyDescent="0.3">
      <c r="C346" s="123"/>
    </row>
    <row r="347" spans="3:3" x14ac:dyDescent="0.3">
      <c r="C347" s="123"/>
    </row>
    <row r="348" spans="3:3" x14ac:dyDescent="0.3">
      <c r="C348" s="123"/>
    </row>
    <row r="349" spans="3:3" x14ac:dyDescent="0.3">
      <c r="C349" s="123"/>
    </row>
    <row r="350" spans="3:3" x14ac:dyDescent="0.3">
      <c r="C350" s="123"/>
    </row>
    <row r="351" spans="3:3" x14ac:dyDescent="0.3">
      <c r="C351" s="123"/>
    </row>
    <row r="352" spans="3:3" x14ac:dyDescent="0.3">
      <c r="C352" s="123"/>
    </row>
    <row r="353" spans="3:3" x14ac:dyDescent="0.3">
      <c r="C353" s="123"/>
    </row>
    <row r="354" spans="3:3" x14ac:dyDescent="0.3">
      <c r="C354" s="123"/>
    </row>
    <row r="355" spans="3:3" x14ac:dyDescent="0.3">
      <c r="C355" s="123"/>
    </row>
    <row r="356" spans="3:3" x14ac:dyDescent="0.3">
      <c r="C356" s="123"/>
    </row>
    <row r="357" spans="3:3" x14ac:dyDescent="0.3">
      <c r="C357" s="123"/>
    </row>
    <row r="358" spans="3:3" x14ac:dyDescent="0.3">
      <c r="C358" s="123"/>
    </row>
    <row r="359" spans="3:3" x14ac:dyDescent="0.3">
      <c r="C359" s="123"/>
    </row>
    <row r="360" spans="3:3" x14ac:dyDescent="0.3">
      <c r="C360" s="123"/>
    </row>
    <row r="361" spans="3:3" x14ac:dyDescent="0.3">
      <c r="C361" s="123"/>
    </row>
    <row r="362" spans="3:3" x14ac:dyDescent="0.3">
      <c r="C362" s="123"/>
    </row>
    <row r="363" spans="3:3" x14ac:dyDescent="0.3">
      <c r="C363" s="123"/>
    </row>
    <row r="364" spans="3:3" x14ac:dyDescent="0.3">
      <c r="C364" s="123"/>
    </row>
    <row r="365" spans="3:3" x14ac:dyDescent="0.3">
      <c r="C365" s="123"/>
    </row>
    <row r="366" spans="3:3" x14ac:dyDescent="0.3">
      <c r="C366" s="123"/>
    </row>
    <row r="367" spans="3:3" x14ac:dyDescent="0.3">
      <c r="C367" s="123"/>
    </row>
    <row r="368" spans="3:3" x14ac:dyDescent="0.3">
      <c r="C368" s="123"/>
    </row>
    <row r="369" spans="3:3" x14ac:dyDescent="0.3">
      <c r="C369" s="123"/>
    </row>
    <row r="370" spans="3:3" x14ac:dyDescent="0.3">
      <c r="C370" s="123"/>
    </row>
    <row r="371" spans="3:3" x14ac:dyDescent="0.3">
      <c r="C371" s="123"/>
    </row>
    <row r="372" spans="3:3" x14ac:dyDescent="0.3">
      <c r="C372" s="123"/>
    </row>
    <row r="373" spans="3:3" x14ac:dyDescent="0.3">
      <c r="C373" s="123"/>
    </row>
    <row r="374" spans="3:3" x14ac:dyDescent="0.3">
      <c r="C374" s="123"/>
    </row>
    <row r="375" spans="3:3" x14ac:dyDescent="0.3">
      <c r="C375" s="123"/>
    </row>
    <row r="376" spans="3:3" x14ac:dyDescent="0.3">
      <c r="C376" s="123"/>
    </row>
    <row r="377" spans="3:3" x14ac:dyDescent="0.3">
      <c r="C377" s="123"/>
    </row>
    <row r="378" spans="3:3" x14ac:dyDescent="0.3">
      <c r="C378" s="123"/>
    </row>
    <row r="379" spans="3:3" x14ac:dyDescent="0.3">
      <c r="C379" s="123"/>
    </row>
    <row r="380" spans="3:3" x14ac:dyDescent="0.3">
      <c r="C380" s="123"/>
    </row>
    <row r="381" spans="3:3" x14ac:dyDescent="0.3">
      <c r="C381" s="123"/>
    </row>
    <row r="382" spans="3:3" x14ac:dyDescent="0.3">
      <c r="C382" s="123"/>
    </row>
    <row r="383" spans="3:3" x14ac:dyDescent="0.3">
      <c r="C383" s="123"/>
    </row>
    <row r="384" spans="3:3" x14ac:dyDescent="0.3">
      <c r="C384" s="123"/>
    </row>
    <row r="385" spans="3:3" x14ac:dyDescent="0.3">
      <c r="C385" s="123"/>
    </row>
    <row r="386" spans="3:3" x14ac:dyDescent="0.3">
      <c r="C386" s="123"/>
    </row>
    <row r="387" spans="3:3" x14ac:dyDescent="0.3">
      <c r="C387" s="123"/>
    </row>
    <row r="388" spans="3:3" x14ac:dyDescent="0.3">
      <c r="C388" s="123"/>
    </row>
    <row r="389" spans="3:3" x14ac:dyDescent="0.3">
      <c r="C389" s="123"/>
    </row>
    <row r="390" spans="3:3" x14ac:dyDescent="0.3">
      <c r="C390" s="123"/>
    </row>
    <row r="391" spans="3:3" x14ac:dyDescent="0.3">
      <c r="C391" s="123"/>
    </row>
    <row r="392" spans="3:3" x14ac:dyDescent="0.3">
      <c r="C392" s="123"/>
    </row>
    <row r="393" spans="3:3" x14ac:dyDescent="0.3">
      <c r="C393" s="123"/>
    </row>
    <row r="394" spans="3:3" x14ac:dyDescent="0.3">
      <c r="C394" s="123"/>
    </row>
    <row r="395" spans="3:3" x14ac:dyDescent="0.3">
      <c r="C395" s="123"/>
    </row>
    <row r="396" spans="3:3" x14ac:dyDescent="0.3">
      <c r="C396" s="123"/>
    </row>
    <row r="397" spans="3:3" x14ac:dyDescent="0.3">
      <c r="C397" s="123"/>
    </row>
    <row r="398" spans="3:3" x14ac:dyDescent="0.3">
      <c r="C398" s="123"/>
    </row>
    <row r="399" spans="3:3" x14ac:dyDescent="0.3">
      <c r="C399" s="123"/>
    </row>
    <row r="400" spans="3:3" x14ac:dyDescent="0.3">
      <c r="C400" s="123"/>
    </row>
    <row r="401" spans="3:3" x14ac:dyDescent="0.3">
      <c r="C401" s="123"/>
    </row>
    <row r="402" spans="3:3" x14ac:dyDescent="0.3">
      <c r="C402" s="123"/>
    </row>
    <row r="403" spans="3:3" x14ac:dyDescent="0.3">
      <c r="C403" s="123"/>
    </row>
    <row r="404" spans="3:3" x14ac:dyDescent="0.3">
      <c r="C404" s="123"/>
    </row>
    <row r="405" spans="3:3" x14ac:dyDescent="0.3">
      <c r="C405" s="123"/>
    </row>
    <row r="406" spans="3:3" x14ac:dyDescent="0.3">
      <c r="C406" s="123"/>
    </row>
    <row r="407" spans="3:3" x14ac:dyDescent="0.3">
      <c r="C407" s="123"/>
    </row>
    <row r="408" spans="3:3" x14ac:dyDescent="0.3">
      <c r="C408" s="123"/>
    </row>
    <row r="409" spans="3:3" x14ac:dyDescent="0.3">
      <c r="C409" s="123"/>
    </row>
    <row r="410" spans="3:3" x14ac:dyDescent="0.3">
      <c r="C410" s="123"/>
    </row>
    <row r="411" spans="3:3" x14ac:dyDescent="0.3">
      <c r="C411" s="123"/>
    </row>
    <row r="412" spans="3:3" x14ac:dyDescent="0.3">
      <c r="C412" s="123"/>
    </row>
    <row r="413" spans="3:3" x14ac:dyDescent="0.3">
      <c r="C413" s="123"/>
    </row>
    <row r="414" spans="3:3" x14ac:dyDescent="0.3">
      <c r="C414" s="123"/>
    </row>
    <row r="415" spans="3:3" x14ac:dyDescent="0.3">
      <c r="C415" s="123"/>
    </row>
    <row r="416" spans="3:3" x14ac:dyDescent="0.3">
      <c r="C416" s="123"/>
    </row>
    <row r="417" spans="3:3" x14ac:dyDescent="0.3">
      <c r="C417" s="123"/>
    </row>
    <row r="418" spans="3:3" x14ac:dyDescent="0.3">
      <c r="C418" s="123"/>
    </row>
    <row r="419" spans="3:3" x14ac:dyDescent="0.3">
      <c r="C419" s="123"/>
    </row>
    <row r="420" spans="3:3" x14ac:dyDescent="0.3">
      <c r="C420" s="123"/>
    </row>
    <row r="421" spans="3:3" x14ac:dyDescent="0.3">
      <c r="C421" s="123"/>
    </row>
    <row r="422" spans="3:3" x14ac:dyDescent="0.3">
      <c r="C422" s="123"/>
    </row>
    <row r="423" spans="3:3" x14ac:dyDescent="0.3">
      <c r="C423" s="123"/>
    </row>
    <row r="424" spans="3:3" x14ac:dyDescent="0.3">
      <c r="C424" s="123"/>
    </row>
    <row r="425" spans="3:3" x14ac:dyDescent="0.3">
      <c r="C425" s="123"/>
    </row>
    <row r="426" spans="3:3" x14ac:dyDescent="0.3">
      <c r="C426" s="123"/>
    </row>
    <row r="427" spans="3:3" x14ac:dyDescent="0.3">
      <c r="C427" s="123"/>
    </row>
    <row r="428" spans="3:3" x14ac:dyDescent="0.3">
      <c r="C428" s="123"/>
    </row>
    <row r="429" spans="3:3" x14ac:dyDescent="0.3">
      <c r="C429" s="123"/>
    </row>
    <row r="430" spans="3:3" x14ac:dyDescent="0.3">
      <c r="C430" s="123"/>
    </row>
    <row r="431" spans="3:3" x14ac:dyDescent="0.3">
      <c r="C431" s="123"/>
    </row>
    <row r="432" spans="3:3" x14ac:dyDescent="0.3">
      <c r="C432" s="123"/>
    </row>
    <row r="433" spans="3:3" x14ac:dyDescent="0.3">
      <c r="C433" s="123"/>
    </row>
    <row r="434" spans="3:3" x14ac:dyDescent="0.3">
      <c r="C434" s="123"/>
    </row>
    <row r="435" spans="3:3" x14ac:dyDescent="0.3">
      <c r="C435" s="123"/>
    </row>
    <row r="436" spans="3:3" x14ac:dyDescent="0.3">
      <c r="C436" s="123"/>
    </row>
    <row r="437" spans="3:3" x14ac:dyDescent="0.3">
      <c r="C437" s="123"/>
    </row>
    <row r="438" spans="3:3" x14ac:dyDescent="0.3">
      <c r="C438" s="123"/>
    </row>
    <row r="439" spans="3:3" x14ac:dyDescent="0.3">
      <c r="C439" s="123"/>
    </row>
    <row r="440" spans="3:3" x14ac:dyDescent="0.3">
      <c r="C440" s="123"/>
    </row>
    <row r="441" spans="3:3" x14ac:dyDescent="0.3">
      <c r="C441" s="123"/>
    </row>
    <row r="442" spans="3:3" x14ac:dyDescent="0.3">
      <c r="C442" s="123"/>
    </row>
    <row r="443" spans="3:3" x14ac:dyDescent="0.3">
      <c r="C443" s="123"/>
    </row>
    <row r="444" spans="3:3" x14ac:dyDescent="0.3">
      <c r="C444" s="123"/>
    </row>
    <row r="445" spans="3:3" x14ac:dyDescent="0.3">
      <c r="C445" s="123"/>
    </row>
    <row r="446" spans="3:3" x14ac:dyDescent="0.3">
      <c r="C446" s="123"/>
    </row>
    <row r="447" spans="3:3" x14ac:dyDescent="0.3">
      <c r="C447" s="123"/>
    </row>
    <row r="448" spans="3:3" x14ac:dyDescent="0.3">
      <c r="C448" s="123"/>
    </row>
    <row r="449" spans="3:3" x14ac:dyDescent="0.3">
      <c r="C449" s="123"/>
    </row>
    <row r="450" spans="3:3" x14ac:dyDescent="0.3">
      <c r="C450" s="123"/>
    </row>
    <row r="451" spans="3:3" x14ac:dyDescent="0.3">
      <c r="C451" s="123"/>
    </row>
    <row r="452" spans="3:3" x14ac:dyDescent="0.3">
      <c r="C452" s="1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Cómo Vamos Julio</vt:lpstr>
      <vt:lpstr>Comp. Marcas</vt:lpstr>
      <vt:lpstr>Comp. Canales</vt:lpstr>
      <vt:lpstr>CST x Marca</vt:lpstr>
      <vt:lpstr>Critico x Marca</vt:lpstr>
      <vt:lpstr>Detalle Critico</vt:lpstr>
      <vt:lpstr>Sin Reposición &lt; Oct</vt:lpstr>
      <vt:lpstr>Sobrestock x SKU Padre</vt:lpstr>
      <vt:lpstr>Sobrestock c-Llegada</vt:lpstr>
      <vt:lpstr>Tránsitos por Embarque</vt:lpstr>
      <vt:lpstr>Nuevos en Tránsito</vt:lpstr>
      <vt:lpstr>TD REPORTES UNID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Caballero Blanco</cp:lastModifiedBy>
  <dcterms:created xsi:type="dcterms:W3CDTF">2026-07-13T21:16:43Z</dcterms:created>
  <dcterms:modified xsi:type="dcterms:W3CDTF">2026-07-13T21:20:13Z</dcterms:modified>
</cp:coreProperties>
</file>