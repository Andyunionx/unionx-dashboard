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i unidad\TRABAJO\RESPALDO\OPERACIONES\UNION X - IA\data\planillas\"/>
    </mc:Choice>
  </mc:AlternateContent>
  <xr:revisionPtr revIDLastSave="0" documentId="11_23DB29F4767E644A1E92CC5CEF4A8CCB000AD357" xr6:coauthVersionLast="47" xr6:coauthVersionMax="47" xr10:uidLastSave="{00000000-0000-0000-0000-000000000000}"/>
  <bookViews>
    <workbookView xWindow="-108" yWindow="-108" windowWidth="23256" windowHeight="12456" tabRatio="778" activeTab="6" xr2:uid="{00000000-000D-0000-FFFF-FFFF00000000}"/>
  </bookViews>
  <sheets>
    <sheet name="Fechas Cargas" sheetId="1" r:id="rId1"/>
    <sheet name="Summary" sheetId="2" r:id="rId2"/>
    <sheet name="Detail_SZ" sheetId="3" r:id="rId3"/>
    <sheet name="Detail_NB" sheetId="4" r:id="rId4"/>
    <sheet name="Late_Arrivals" sheetId="5" r:id="rId5"/>
    <sheet name="Pend_Confirmation" sheetId="6" r:id="rId6"/>
    <sheet name="Missing" sheetId="7" r:id="rId7"/>
    <sheet name="SKU_Classification" sheetId="8" r:id="rId8"/>
    <sheet name="Refs_Embarqu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9" l="1"/>
  <c r="I11" i="9" s="1"/>
  <c r="K2" i="6" s="1"/>
  <c r="G11" i="9"/>
  <c r="G10" i="9"/>
  <c r="H10" i="9" s="1"/>
  <c r="H9" i="9"/>
  <c r="I9" i="9" s="1"/>
  <c r="G9" i="9"/>
  <c r="G8" i="9"/>
  <c r="H8" i="9" s="1"/>
  <c r="G7" i="9"/>
  <c r="L7" i="5" s="1"/>
  <c r="I6" i="9"/>
  <c r="H6" i="9"/>
  <c r="G6" i="9"/>
  <c r="G5" i="9"/>
  <c r="H5" i="9" s="1"/>
  <c r="J2" i="6"/>
  <c r="I2" i="6"/>
  <c r="H2" i="6"/>
  <c r="L13" i="5"/>
  <c r="K13" i="5"/>
  <c r="L12" i="5"/>
  <c r="K12" i="5"/>
  <c r="L11" i="5"/>
  <c r="K11" i="5"/>
  <c r="L10" i="5"/>
  <c r="K10" i="5"/>
  <c r="L9" i="5"/>
  <c r="K9" i="5"/>
  <c r="K8" i="5"/>
  <c r="K7" i="5"/>
  <c r="L6" i="5"/>
  <c r="K6" i="5"/>
  <c r="L5" i="5"/>
  <c r="K5" i="5"/>
  <c r="L4" i="5"/>
  <c r="K4" i="5"/>
  <c r="L3" i="5"/>
  <c r="K3" i="5"/>
  <c r="K2" i="5"/>
  <c r="P3" i="4"/>
  <c r="O3" i="4"/>
  <c r="P2" i="4"/>
  <c r="O2" i="4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P33" i="3"/>
  <c r="O33" i="3"/>
  <c r="P32" i="3"/>
  <c r="O32" i="3"/>
  <c r="P31" i="3"/>
  <c r="O31" i="3"/>
  <c r="P30" i="3"/>
  <c r="O30" i="3"/>
  <c r="P29" i="3"/>
  <c r="O29" i="3"/>
  <c r="P28" i="3"/>
  <c r="O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R20" i="3"/>
  <c r="Q20" i="3"/>
  <c r="P20" i="3"/>
  <c r="O20" i="3"/>
  <c r="R19" i="3"/>
  <c r="Q19" i="3"/>
  <c r="P19" i="3"/>
  <c r="O19" i="3"/>
  <c r="R18" i="3"/>
  <c r="Q18" i="3"/>
  <c r="P18" i="3"/>
  <c r="O18" i="3"/>
  <c r="R17" i="3"/>
  <c r="Q17" i="3"/>
  <c r="P17" i="3"/>
  <c r="O17" i="3"/>
  <c r="R16" i="3"/>
  <c r="Q16" i="3"/>
  <c r="P16" i="3"/>
  <c r="O16" i="3"/>
  <c r="R15" i="3"/>
  <c r="Q15" i="3"/>
  <c r="P15" i="3"/>
  <c r="O15" i="3"/>
  <c r="P14" i="3"/>
  <c r="O14" i="3"/>
  <c r="P13" i="3"/>
  <c r="O13" i="3"/>
  <c r="R12" i="3"/>
  <c r="Q12" i="3"/>
  <c r="P12" i="3"/>
  <c r="O12" i="3"/>
  <c r="R11" i="3"/>
  <c r="Q11" i="3"/>
  <c r="P11" i="3"/>
  <c r="O11" i="3"/>
  <c r="P10" i="3"/>
  <c r="O10" i="3"/>
  <c r="P9" i="3"/>
  <c r="O9" i="3"/>
  <c r="P8" i="3"/>
  <c r="O8" i="3"/>
  <c r="P7" i="3"/>
  <c r="O7" i="3"/>
  <c r="P6" i="3"/>
  <c r="O6" i="3"/>
  <c r="R5" i="3"/>
  <c r="Q5" i="3"/>
  <c r="P5" i="3"/>
  <c r="O5" i="3"/>
  <c r="R4" i="3"/>
  <c r="Q4" i="3"/>
  <c r="P4" i="3"/>
  <c r="O4" i="3"/>
  <c r="R3" i="3"/>
  <c r="Q3" i="3"/>
  <c r="P3" i="3"/>
  <c r="O3" i="3"/>
  <c r="R2" i="3"/>
  <c r="Q2" i="3"/>
  <c r="P2" i="3"/>
  <c r="O2" i="3"/>
  <c r="I5" i="9" l="1"/>
  <c r="M11" i="5"/>
  <c r="Q8" i="3"/>
  <c r="Q31" i="3"/>
  <c r="Q10" i="3"/>
  <c r="Q6" i="3"/>
  <c r="Q9" i="3"/>
  <c r="Q7" i="3"/>
  <c r="M3" i="5"/>
  <c r="Q32" i="3"/>
  <c r="M10" i="5"/>
  <c r="I8" i="9"/>
  <c r="M13" i="5"/>
  <c r="M9" i="5"/>
  <c r="M12" i="5"/>
  <c r="Q30" i="3"/>
  <c r="Q22" i="3"/>
  <c r="Q14" i="3"/>
  <c r="Q33" i="3"/>
  <c r="Q25" i="3"/>
  <c r="Q13" i="3"/>
  <c r="Q29" i="3"/>
  <c r="Q21" i="3"/>
  <c r="Q23" i="3"/>
  <c r="I10" i="9"/>
  <c r="M6" i="5"/>
  <c r="M5" i="5"/>
  <c r="Q3" i="4"/>
  <c r="Q2" i="4"/>
  <c r="L8" i="5"/>
  <c r="H7" i="9"/>
  <c r="L2" i="5"/>
  <c r="N6" i="5" l="1"/>
  <c r="N5" i="5"/>
  <c r="R3" i="4"/>
  <c r="R2" i="4"/>
  <c r="N3" i="5"/>
  <c r="R32" i="3"/>
  <c r="N10" i="5"/>
  <c r="N13" i="5"/>
  <c r="N9" i="5"/>
  <c r="R30" i="3"/>
  <c r="R22" i="3"/>
  <c r="R14" i="3"/>
  <c r="N12" i="5"/>
  <c r="R33" i="3"/>
  <c r="R25" i="3"/>
  <c r="R21" i="3"/>
  <c r="R13" i="3"/>
  <c r="R29" i="3"/>
  <c r="R23" i="3"/>
  <c r="M7" i="5"/>
  <c r="Q28" i="3"/>
  <c r="Q24" i="3"/>
  <c r="M2" i="5"/>
  <c r="I7" i="9"/>
  <c r="M8" i="5"/>
  <c r="M4" i="5"/>
  <c r="Q26" i="3"/>
  <c r="Q27" i="3"/>
  <c r="N11" i="5"/>
  <c r="R8" i="3"/>
  <c r="R31" i="3"/>
  <c r="R10" i="3"/>
  <c r="R6" i="3"/>
  <c r="R9" i="3"/>
  <c r="R7" i="3"/>
  <c r="N7" i="5" l="1"/>
  <c r="R28" i="3"/>
  <c r="R24" i="3"/>
  <c r="N2" i="5"/>
  <c r="R26" i="3"/>
  <c r="N8" i="5"/>
  <c r="N4" i="5"/>
  <c r="R27" i="3"/>
</calcChain>
</file>

<file path=xl/sharedStrings.xml><?xml version="1.0" encoding="utf-8"?>
<sst xmlns="http://schemas.openxmlformats.org/spreadsheetml/2006/main" count="1130" uniqueCount="288">
  <si>
    <t>Container</t>
  </si>
  <si>
    <t>CRD</t>
  </si>
  <si>
    <t>ETA</t>
  </si>
  <si>
    <t>Order No</t>
  </si>
  <si>
    <t>Brand</t>
  </si>
  <si>
    <t>SKU</t>
  </si>
  <si>
    <t>Description</t>
  </si>
  <si>
    <t>Units</t>
  </si>
  <si>
    <t>CBM</t>
  </si>
  <si>
    <t>USD Value</t>
  </si>
  <si>
    <t>Need to pay?</t>
  </si>
  <si>
    <t>Late?</t>
  </si>
  <si>
    <t>Cantidad cargada</t>
  </si>
  <si>
    <t>Embarque (Steven)</t>
  </si>
  <si>
    <t>ETD</t>
  </si>
  <si>
    <t>ETA Puerto</t>
  </si>
  <si>
    <t>ETA Bodega</t>
  </si>
  <si>
    <t>SZ-01</t>
  </si>
  <si>
    <t>2026-06-30</t>
  </si>
  <si>
    <t>2026-08-31</t>
  </si>
  <si>
    <t>518</t>
  </si>
  <si>
    <t>Simplit</t>
  </si>
  <si>
    <t>SIMCUPGL-30</t>
  </si>
  <si>
    <t>Set de Cuchillería 30 pcs Cubiertos Acero Inoxidable Puglia</t>
  </si>
  <si>
    <t>SZ-03-08,40HQ</t>
  </si>
  <si>
    <t>407</t>
  </si>
  <si>
    <t>SIMJULZOPO-30</t>
  </si>
  <si>
    <t>Juego de Loza 30 pcs Cerámica Oporto Simplit</t>
  </si>
  <si>
    <t>SIMJULZSIE-30</t>
  </si>
  <si>
    <t>Juego Loza Cerámica 30 pcs Siena 6 personas Simplit</t>
  </si>
  <si>
    <t>528</t>
  </si>
  <si>
    <t>Levo</t>
  </si>
  <si>
    <t>LVPANTOTPUB-43</t>
  </si>
  <si>
    <t>Pantalla Totem Publicitario 43" Touch Android Wifi Usb LEVO</t>
  </si>
  <si>
    <t>Lhotse</t>
  </si>
  <si>
    <t>LHBIGMU-PPN</t>
  </si>
  <si>
    <t>Vaso Termico Tumbler Acero Inox Antiderrame 1180ml Lilac Lhotse</t>
  </si>
  <si>
    <t>SZ-04,40HQ</t>
  </si>
  <si>
    <t>LHBIGMU-BKN</t>
  </si>
  <si>
    <t>Vaso Termico Tumbler Acero Inox Antiderrame 1180ml Black Lhotse</t>
  </si>
  <si>
    <t>Set 6 Vasos Corto Vintage Charlotte 200ml Simplit</t>
  </si>
  <si>
    <t>Set 6 Vasos Largo Vintage Charlotte 350ml Simplit</t>
  </si>
  <si>
    <t>Set 6 Vaso Copa Cerveza Collins 420ml Simplit</t>
  </si>
  <si>
    <t>1019</t>
  </si>
  <si>
    <t>SIMBOWSIE-4</t>
  </si>
  <si>
    <t>Set 4 Bowls Cerámica 8,5cm Siena Simplit</t>
  </si>
  <si>
    <t>SIMJULZAMA-24</t>
  </si>
  <si>
    <t>Juego Loza Cerámica 24 pcs Amalfi Simplit</t>
  </si>
  <si>
    <t>Cafetera Italiana Negra Granito 12 Tazas Simplit</t>
  </si>
  <si>
    <t>SZ-02(623)</t>
  </si>
  <si>
    <t>Especiero Condimentos Giratorio Metálico 16 Frascos Simplit</t>
  </si>
  <si>
    <t>1222</t>
  </si>
  <si>
    <t>SIMTAZSIE-4</t>
  </si>
  <si>
    <t>Set 4 Tazas Cerámica 330ml Siena Simplit</t>
  </si>
  <si>
    <t>Espumador de Leche 4 en 1 Negro Simplit</t>
  </si>
  <si>
    <t>Espumador de Leche 4 en 1 Blanco Simplit</t>
  </si>
  <si>
    <t>Cámara HD Auto D3 Frontal, Interior y Trasera LEVO</t>
  </si>
  <si>
    <t>Set 12 Utensilios De Cocina Silicona Calipso Simplit</t>
  </si>
  <si>
    <t>Bolso Deportivo Lhotse Duffel 30 Lts Bag Negro</t>
  </si>
  <si>
    <t>Pick-up Pad Lhotse Porta 5 Bicicletas</t>
  </si>
  <si>
    <t>SZ-02</t>
  </si>
  <si>
    <t>SIMVASLARGINE</t>
  </si>
  <si>
    <t>Set 6 Vasos Largos 460ml Vidrio Ginebra Simplit</t>
  </si>
  <si>
    <t>Xroad</t>
  </si>
  <si>
    <t>Carpa Funda Cubre Auto Impermeable Premium con Felpa Xroad</t>
  </si>
  <si>
    <t>SZ-03</t>
  </si>
  <si>
    <t>2026-07-15</t>
  </si>
  <si>
    <t>2026-09-15</t>
  </si>
  <si>
    <t>Cafetera Prensa Francesa Negra 600 ml Simplit</t>
  </si>
  <si>
    <t>LATE</t>
  </si>
  <si>
    <t>SZ-01(623)</t>
  </si>
  <si>
    <t>SIMOREXBAS-WD</t>
  </si>
  <si>
    <t>Organizador Cubiertos Expandible Madera Acasia Basel Simplit</t>
  </si>
  <si>
    <t>T-Care</t>
  </si>
  <si>
    <t>TCRANEBL</t>
  </si>
  <si>
    <t>Afeitadora Rasuradora Corporal Electrica NeoBlade 3.1 T-Care</t>
  </si>
  <si>
    <t>SIMJULZBRU-30</t>
  </si>
  <si>
    <t>Juego de Loza 30 pcs Cerámica Bruselas 6 personas Simplit</t>
  </si>
  <si>
    <t>SZ-04</t>
  </si>
  <si>
    <t>2026-07-31</t>
  </si>
  <si>
    <t>2026-10-01</t>
  </si>
  <si>
    <t>SIMPLSIE-4</t>
  </si>
  <si>
    <t>Set 4 Platos Fondo Cerámica 26,7cm Siena Simplit</t>
  </si>
  <si>
    <t>LHMOBROBK</t>
  </si>
  <si>
    <t>Mochila Viaje Impermeable Porta Notebook 17.3" 40L Broadpeak Black Lhotse</t>
  </si>
  <si>
    <t>SIMCUHOL-5</t>
  </si>
  <si>
    <t>Set Cuchillos Holz 5 pcs Acero Inoxidable + Taco Simplit</t>
  </si>
  <si>
    <t>SIMCUMAR-BK</t>
  </si>
  <si>
    <t>Set Cuchillos 5 pcs Paris Acero Inoxidable Simplit</t>
  </si>
  <si>
    <t>MISSING→OHNSO</t>
  </si>
  <si>
    <t>1659990828178</t>
  </si>
  <si>
    <t>Control Joystick Inalámbrico doble Shock P4 Negro LEVO</t>
  </si>
  <si>
    <t>66436804863605</t>
  </si>
  <si>
    <t>Control Joystick Inalámbrico doble Shock P4 Rojo LEVO</t>
  </si>
  <si>
    <t>LHMOBI001-BK</t>
  </si>
  <si>
    <t>Mochila Outdoor con Bolsa de Agua HydroRoad Black Lhotse</t>
  </si>
  <si>
    <t>SMVABOR4</t>
  </si>
  <si>
    <t>Set 4 Vasos Vidrio Borosilicato 550 ml Simplit</t>
  </si>
  <si>
    <t>SIMDESSOM</t>
  </si>
  <si>
    <t>Descorchador Abridor Vino Sommelier Simplit</t>
  </si>
  <si>
    <t>1628018206370</t>
  </si>
  <si>
    <t>Juego De 4 Cachos Eco Cuero Negro Simplit</t>
  </si>
  <si>
    <t>XRCARRTRACT-CL</t>
  </si>
  <si>
    <t>Carro de Transporte con Techo 150 KG Negro Xroad</t>
  </si>
  <si>
    <t>XRCOBSUV-BS</t>
  </si>
  <si>
    <t>Carpa Funda Cubre SUV Impermeable Premium con Felpa Xroad</t>
  </si>
  <si>
    <t>XRPARTBAT-GR</t>
  </si>
  <si>
    <t>Partidor de Batería Portátil con Compresor de Aire 12V Xroad</t>
  </si>
  <si>
    <t>XRHYDLAV-OR</t>
  </si>
  <si>
    <t>Hidrolavadora Eléctrica HydroX 1800W 120 Bar Xroad</t>
  </si>
  <si>
    <t>XRCARINF34-CL</t>
  </si>
  <si>
    <t>Carpa Inflable 3-4 Personas 3 Estaciones Beige Xroad</t>
  </si>
  <si>
    <t>RESUMEN DE FECHAS DE CARGA — Shipping Plan September V.02 vs Plan B Steven (Jun 30th)</t>
  </si>
  <si>
    <t>Generado: 30-06-2026  |  Tránsito Shenzhen 52d, Ningbo 45d  |  CRD→ETD 7d  |  ETA Puerto→Bodega 7d</t>
  </si>
  <si>
    <t>Embarque</t>
  </si>
  <si>
    <t>Puerto</t>
  </si>
  <si>
    <t>SKUs</t>
  </si>
  <si>
    <t>Qty total</t>
  </si>
  <si>
    <t>IMP OP 350-26 40HQ</t>
  </si>
  <si>
    <t>NB</t>
  </si>
  <si>
    <t>SZ</t>
  </si>
  <si>
    <t>NB-01</t>
  </si>
  <si>
    <t>SHIPPING PLAN — September Arrival (Rest Items)</t>
  </si>
  <si>
    <t>Demand: Transit SEP 26  |  40HQ Freight: USD 6,250  |  Arrival Deadline: Aug 31, 2026  |  Source: Shipping Plan-Jun.18th (3.Rest items) + manual inclusion AeroFlow Beige Dryer (specs HD4 base)</t>
  </si>
  <si>
    <t>CLASSIFICATION</t>
  </si>
  <si>
    <t>Category</t>
  </si>
  <si>
    <t>% Demand</t>
  </si>
  <si>
    <t>Action</t>
  </si>
  <si>
    <t>✅ SHIP</t>
  </si>
  <si>
    <t>63.0%</t>
  </si>
  <si>
    <t>Include in plan</t>
  </si>
  <si>
    <t>⏳ PEND. CONFIRMATION</t>
  </si>
  <si>
    <t>3.3%</t>
  </si>
  <si>
    <t>Wait for supplier OK</t>
  </si>
  <si>
    <t>⚠️ MISSING (not in Rest items)</t>
  </si>
  <si>
    <t>33.7%</t>
  </si>
  <si>
    <t>Manage production / other source</t>
  </si>
  <si>
    <t>TOTAL DEMAND</t>
  </si>
  <si>
    <t>100%</t>
  </si>
  <si>
    <t>CHECK = 0 (balances)</t>
  </si>
  <si>
    <t>WITHIN 'SHIP' — deadline compliance Aug 31</t>
  </si>
  <si>
    <t>Sub-category</t>
  </si>
  <si>
    <t>Detail</t>
  </si>
  <si>
    <t>🟢 Arrives on time (ETA ≤ Aug 31)</t>
  </si>
  <si>
    <t>Container SZ-01</t>
  </si>
  <si>
    <t>🔴 Arrives late (ETA &gt; Aug 31)</t>
  </si>
  <si>
    <t>Containers SZ-02, SZ-03, NB-01 — supplier CRD later than deadline</t>
  </si>
  <si>
    <t>CONTAINERS</t>
  </si>
  <si>
    <t>Cont#</t>
  </si>
  <si>
    <t>Occup%</t>
  </si>
  <si>
    <t>Freight%</t>
  </si>
  <si>
    <t>Arrives Aug 31?</t>
  </si>
  <si>
    <t>96.9%</t>
  </si>
  <si>
    <t>12.5%</t>
  </si>
  <si>
    <t>YES</t>
  </si>
  <si>
    <t>9.9%</t>
  </si>
  <si>
    <t>64.9%</t>
  </si>
  <si>
    <t>99.9%</t>
  </si>
  <si>
    <t>19.6%</t>
  </si>
  <si>
    <t>NO — late</t>
  </si>
  <si>
    <t>44.0%</t>
  </si>
  <si>
    <t>24.5%</t>
  </si>
  <si>
    <t>2026-07-20</t>
  </si>
  <si>
    <t>2026-09-10</t>
  </si>
  <si>
    <t>57.8%</t>
  </si>
  <si>
    <t>7.6%</t>
  </si>
  <si>
    <t>PLAN AJUSTADO (Steven Plan B-Jun.30th)</t>
  </si>
  <si>
    <t>Embarque Steven</t>
  </si>
  <si>
    <t>Origen</t>
  </si>
  <si>
    <t>SKUs UnionX V02</t>
  </si>
  <si>
    <t>Uds UnionX V02</t>
  </si>
  <si>
    <t>¿A tiempo (≤31-ago-26)?</t>
  </si>
  <si>
    <t>NO</t>
  </si>
  <si>
    <t>NB-02</t>
  </si>
  <si>
    <t>IMP OP 351-26 40HQ</t>
  </si>
  <si>
    <t>TOTAL</t>
  </si>
  <si>
    <t>STOCK NO ASIGNADO (Rest items)</t>
  </si>
  <si>
    <t>Rest items</t>
  </si>
  <si>
    <t>TCMULTSTY5N1</t>
  </si>
  <si>
    <t>Secador de pelo Multistyler T-Care 5 en 1</t>
  </si>
  <si>
    <t>MANUAL</t>
  </si>
  <si>
    <t>TCMULTSTY5N1-BG</t>
  </si>
  <si>
    <t>Secador de pelo Multistyler 5 en 1 AeroFlow Beige</t>
  </si>
  <si>
    <t>Bandú</t>
  </si>
  <si>
    <t>BDCOCPQMD</t>
  </si>
  <si>
    <t>Cocina de Juguete Infantil Niños Madera Rosada con Acc Bandú</t>
  </si>
  <si>
    <t>BDSETDOC</t>
  </si>
  <si>
    <t>Set Juego de Roles Doctor Niños Madera 12 pcs Bandú</t>
  </si>
  <si>
    <t>BDCOCMEDI</t>
  </si>
  <si>
    <t>Cocina de Juguete Infantil Niños Madera 11 Accesorios Bandú</t>
  </si>
  <si>
    <t>BDCOCGRND</t>
  </si>
  <si>
    <t>Cocina de Juguete Infantil Niños Madera Accesorios Bandú</t>
  </si>
  <si>
    <t>BDPZMG2E1</t>
  </si>
  <si>
    <t>Pizarra Madera Infantil Magnética 2 en 1 Didáctica Bandú</t>
  </si>
  <si>
    <t>BDTOCMD-WH</t>
  </si>
  <si>
    <t>Tocador Infantil Para Niñas Espejo Maquillaje Madera Bandú</t>
  </si>
  <si>
    <t>BDJUETRE</t>
  </si>
  <si>
    <t>Pista de Autos y Tren de Madera Juego Didactico 70pcs Bandú</t>
  </si>
  <si>
    <t>BDCASMUÑEC-WD</t>
  </si>
  <si>
    <t>Casa de Muñecas de Madera Juguete Infantil Bandú</t>
  </si>
  <si>
    <t>BDMESHERRA</t>
  </si>
  <si>
    <t>Juego de Construcción Herramientas Madera para Niños Bandú</t>
  </si>
  <si>
    <t>BDGMNMVBB</t>
  </si>
  <si>
    <t>Gimnasio Móvil de Madera Bebé Infantil Bandú</t>
  </si>
  <si>
    <t>BDGIMPIK</t>
  </si>
  <si>
    <t>Gimnasio Infantil Juego Pikler Parque 8 en 1 Bandú</t>
  </si>
  <si>
    <t>LHSHNUCO-NY</t>
  </si>
  <si>
    <t>Shaker Vaso Proteina Acero Inox NutriCore 500ml Blue Lhotse</t>
  </si>
  <si>
    <t>LHSHNUCO-BG</t>
  </si>
  <si>
    <t>Shaker Vaso Proteina Acero Inox NutriCore 500ml Beige Lhotse</t>
  </si>
  <si>
    <t>67327712330533</t>
  </si>
  <si>
    <t>Set de 7 Contenedores Herméticos Plástico Negro Simplit</t>
  </si>
  <si>
    <t>SMBATSAV9-CR</t>
  </si>
  <si>
    <t>Batería de Cocina Antiadherente Savannah 9 Piezas</t>
  </si>
  <si>
    <t>1660858702400</t>
  </si>
  <si>
    <t>Set 2 Molinillos de Sal y Pimienta Vidrio Simplit</t>
  </si>
  <si>
    <t>SIMDECROU</t>
  </si>
  <si>
    <t>Decantador Aireador Vino Rouge 1500ml</t>
  </si>
  <si>
    <t>XRCOOLPORT-GR</t>
  </si>
  <si>
    <t>Cooler Eléctrico Portátil 30L 12V Gris Xroad</t>
  </si>
  <si>
    <t>XRCOOLPORT40-GR</t>
  </si>
  <si>
    <t>Cooler Eléctrico Portátil 40L 12V Gris Xroad</t>
  </si>
  <si>
    <t>XRCOBMOT-BS</t>
  </si>
  <si>
    <t>Carpa Funda Cubre Moto Impermeable Premium con Felpa Xroad</t>
  </si>
  <si>
    <t>XRPISUNIS3-BK</t>
  </si>
  <si>
    <t>Alfombra Piso de Goma para auto Universal 3 piezas Xroad</t>
  </si>
  <si>
    <t>XRCOOLPORTF40-GR</t>
  </si>
  <si>
    <t>Cooler Freezer Eléctrico Portátil 40L 12V Gris Xroad</t>
  </si>
  <si>
    <t>1650302269777</t>
  </si>
  <si>
    <t>Toldo Camping Lateral Para Auto Techo Xroad</t>
  </si>
  <si>
    <t>LHSHNUCO-BK</t>
  </si>
  <si>
    <t>Shaker Vaso Proteina Acero Inox NutriCore Negro</t>
  </si>
  <si>
    <t>Port</t>
  </si>
  <si>
    <t>Days past Aug 31</t>
  </si>
  <si>
    <t>2026-07-05</t>
  </si>
  <si>
    <t>2026-09-05</t>
  </si>
  <si>
    <t>+5</t>
  </si>
  <si>
    <t>2026-07-10</t>
  </si>
  <si>
    <t>+10</t>
  </si>
  <si>
    <t>+15</t>
  </si>
  <si>
    <t>2026-09-20</t>
  </si>
  <si>
    <t>+20</t>
  </si>
  <si>
    <t>2026-07-24</t>
  </si>
  <si>
    <t>2026-09-24</t>
  </si>
  <si>
    <t>+24</t>
  </si>
  <si>
    <t>+31</t>
  </si>
  <si>
    <t>Units Pend.</t>
  </si>
  <si>
    <t>Note</t>
  </si>
  <si>
    <t>SMBATOXBG</t>
  </si>
  <si>
    <t>Batería de Cocina Antiadherente Oxford Granito 15 pcs Beige</t>
  </si>
  <si>
    <t>Supplier status: new model / pre-sample / to be confirmed</t>
  </si>
  <si>
    <t>Missing Units</t>
  </si>
  <si>
    <t>Comments</t>
  </si>
  <si>
    <t>LHSWVIBBK</t>
  </si>
  <si>
    <t>Reloj Smartwatch Lhotse Vibe 05 GPS Black 45mm</t>
  </si>
  <si>
    <t>CHECK STEVEN</t>
  </si>
  <si>
    <t>SIMJULZSIEBL-30</t>
  </si>
  <si>
    <t>Juego Loza Cerámica 30 pcs Siena Blanca 6 personas Simplit</t>
  </si>
  <si>
    <t>CRD 14-08</t>
  </si>
  <si>
    <t>SIMBACOHA-55</t>
  </si>
  <si>
    <t>Basurero Cocina Handy 55lts Táctil Acero Inox Simplit</t>
  </si>
  <si>
    <t>ETA AUGUST</t>
  </si>
  <si>
    <t>SIMPLAMA-4</t>
  </si>
  <si>
    <t>Set 4 Platos Fondo Cerámica 27,4 cm Amalfi Simplit</t>
  </si>
  <si>
    <t>CANCELLED</t>
  </si>
  <si>
    <t>Bowl Cortador Rallador de Verduras Multifuncional Simplit</t>
  </si>
  <si>
    <t>UMA</t>
  </si>
  <si>
    <t>MTVTUMBPR590</t>
  </si>
  <si>
    <t>Vaso Termico Tumbler Mug Barbie Print 590ml Acero Inox UMA</t>
  </si>
  <si>
    <t>BATCH 617</t>
  </si>
  <si>
    <t>XRCOOLPOR50-BK</t>
  </si>
  <si>
    <t>Cooler Portátil 50L con Ruedas Negro Xroad</t>
  </si>
  <si>
    <t>Funda Cubre Asiento de Auto Impermeable Mascotas Negra Xroad</t>
  </si>
  <si>
    <t>XRTOLLAT270-BG</t>
  </si>
  <si>
    <t>Toldo Camping Lateral Para Auto Techo 270° Xroad</t>
  </si>
  <si>
    <t>BATCH 615</t>
  </si>
  <si>
    <t>Demand</t>
  </si>
  <si>
    <t>Ship</t>
  </si>
  <si>
    <t>Pend</t>
  </si>
  <si>
    <t>Missing</t>
  </si>
  <si>
    <t>SHIP</t>
  </si>
  <si>
    <t>MISSING</t>
  </si>
  <si>
    <t>PEND</t>
  </si>
  <si>
    <t>TABLA DE REFERENCIA — Embarques Steven Plan B</t>
  </si>
  <si>
    <t>Modificar CRD o Tránsito acá → toda la planilla se recalcula.</t>
  </si>
  <si>
    <t>Tránsito (días)</t>
  </si>
  <si>
    <t>CRD→ETD (días)</t>
  </si>
  <si>
    <t>ETA Pto→Bod (días)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</si>
</sst>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1" x14ac:knownFonts="1">
    <font>
      <sz val="11"/>
      <color theme="1"/>
      <name val="Calibri"/>
      <family val="2"/>
      <scheme val="minor"/>
    </font>
    <font>
      <b/>
      <sz val="14"/>
      <color rgb="FF1A2B5E"/>
      <name val="Calibri"/>
      <family val="2"/>
    </font>
    <font>
      <i/>
      <sz val="9"/>
      <color rgb="FF666666"/>
      <name val="Calibri"/>
      <family val="2"/>
    </font>
    <font>
      <b/>
      <sz val="11"/>
      <color rgb="FF1A2B5E"/>
      <name val="Calibri"/>
      <family val="2"/>
    </font>
    <font>
      <b/>
      <sz val="10"/>
      <color rgb="FFFFFFFF"/>
      <name val="Calibri"/>
      <family val="2"/>
    </font>
    <font>
      <b/>
      <sz val="11"/>
      <color rgb="FF2E7D32"/>
      <name val="Calibri"/>
      <family val="2"/>
    </font>
    <font>
      <b/>
      <sz val="11"/>
      <color rgb="FFE68A00"/>
      <name val="Calibri"/>
      <family val="2"/>
    </font>
    <font>
      <b/>
      <sz val="11"/>
      <color rgb="FFC0392B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</font>
    <font>
      <sz val="10"/>
      <name val="Calibri"/>
    </font>
    <font>
      <b/>
      <sz val="12"/>
      <color rgb="FF1F3864"/>
      <name val="Calibri"/>
    </font>
    <font>
      <b/>
      <sz val="11"/>
      <name val="Calibri"/>
    </font>
    <font>
      <b/>
      <sz val="11"/>
      <color rgb="FFC65911"/>
      <name val="Calibri"/>
    </font>
    <font>
      <i/>
      <sz val="10"/>
      <color rgb="FF7F7F7F"/>
      <name val="Calibri"/>
    </font>
    <font>
      <b/>
      <sz val="11"/>
      <name val="Calibri"/>
    </font>
    <font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A2B5E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E6B8B8"/>
      </patternFill>
    </fill>
    <fill>
      <patternFill patternType="solid">
        <fgColor rgb="FF9DC3E6"/>
      </patternFill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08080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3" borderId="1" xfId="0" applyFont="1" applyFill="1" applyBorder="1"/>
    <xf numFmtId="0" fontId="0" fillId="3" borderId="1" xfId="0" applyFill="1" applyBorder="1"/>
    <xf numFmtId="0" fontId="5" fillId="0" borderId="1" xfId="0" applyFont="1" applyBorder="1"/>
    <xf numFmtId="0" fontId="0" fillId="0" borderId="1" xfId="0" applyBorder="1"/>
    <xf numFmtId="0" fontId="7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right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164" fontId="14" fillId="0" borderId="4" xfId="0" applyNumberFormat="1" applyFont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right" vertical="center"/>
    </xf>
    <xf numFmtId="0" fontId="16" fillId="6" borderId="4" xfId="0" applyFont="1" applyFill="1" applyBorder="1" applyAlignment="1">
      <alignment horizontal="center" vertical="center" wrapText="1"/>
    </xf>
    <xf numFmtId="0" fontId="14" fillId="0" borderId="4" xfId="0" applyFont="1" applyBorder="1"/>
    <xf numFmtId="0" fontId="0" fillId="0" borderId="4" xfId="0" applyBorder="1"/>
    <xf numFmtId="164" fontId="14" fillId="2" borderId="4" xfId="0" applyNumberFormat="1" applyFont="1" applyFill="1" applyBorder="1" applyAlignment="1">
      <alignment horizontal="center" vertical="center" wrapText="1"/>
    </xf>
    <xf numFmtId="0" fontId="17" fillId="0" borderId="0" xfId="0" applyFont="1"/>
    <xf numFmtId="3" fontId="10" fillId="7" borderId="3" xfId="0" applyNumberFormat="1" applyFont="1" applyFill="1" applyBorder="1" applyAlignment="1">
      <alignment horizontal="right" vertical="center"/>
    </xf>
    <xf numFmtId="3" fontId="10" fillId="8" borderId="3" xfId="0" applyNumberFormat="1" applyFont="1" applyFill="1" applyBorder="1" applyAlignment="1">
      <alignment horizontal="right" vertical="center"/>
    </xf>
    <xf numFmtId="3" fontId="0" fillId="9" borderId="1" xfId="0" applyNumberFormat="1" applyFill="1" applyBorder="1" applyAlignment="1">
      <alignment horizontal="right" vertical="center"/>
    </xf>
    <xf numFmtId="164" fontId="20" fillId="0" borderId="5" xfId="0" applyNumberFormat="1" applyFont="1" applyBorder="1" applyAlignment="1">
      <alignment horizontal="center" vertical="center" wrapText="1"/>
    </xf>
    <xf numFmtId="0" fontId="20" fillId="10" borderId="5" xfId="0" applyFont="1" applyFill="1" applyBorder="1" applyAlignment="1">
      <alignment horizontal="left" vertical="center" wrapText="1"/>
    </xf>
    <xf numFmtId="0" fontId="20" fillId="10" borderId="5" xfId="0" applyFont="1" applyFill="1" applyBorder="1" applyAlignment="1">
      <alignment horizontal="center" vertical="center" wrapText="1"/>
    </xf>
    <xf numFmtId="164" fontId="20" fillId="10" borderId="5" xfId="0" applyNumberFormat="1" applyFont="1" applyFill="1" applyBorder="1" applyAlignment="1">
      <alignment horizontal="center" vertical="center" wrapText="1"/>
    </xf>
    <xf numFmtId="3" fontId="20" fillId="10" borderId="5" xfId="0" applyNumberFormat="1" applyFont="1" applyFill="1" applyBorder="1" applyAlignment="1">
      <alignment horizontal="right" vertical="center"/>
    </xf>
    <xf numFmtId="0" fontId="19" fillId="11" borderId="5" xfId="0" applyFont="1" applyFill="1" applyBorder="1" applyAlignment="1">
      <alignment horizontal="center" vertical="center" wrapText="1"/>
    </xf>
    <xf numFmtId="3" fontId="20" fillId="8" borderId="5" xfId="0" applyNumberFormat="1" applyFont="1" applyFill="1" applyBorder="1" applyAlignment="1">
      <alignment horizontal="right" vertical="center"/>
    </xf>
    <xf numFmtId="0" fontId="20" fillId="0" borderId="5" xfId="0" applyFont="1" applyBorder="1" applyAlignment="1">
      <alignment horizontal="center" vertical="center" wrapText="1"/>
    </xf>
    <xf numFmtId="3" fontId="0" fillId="9" borderId="5" xfId="0" applyNumberFormat="1" applyFill="1" applyBorder="1"/>
    <xf numFmtId="0" fontId="0" fillId="0" borderId="5" xfId="0" applyBorder="1"/>
    <xf numFmtId="0" fontId="20" fillId="0" borderId="5" xfId="0" applyFont="1" applyBorder="1" applyAlignment="1">
      <alignment horizontal="left" vertical="center" wrapText="1"/>
    </xf>
    <xf numFmtId="3" fontId="20" fillId="0" borderId="5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0" fontId="20" fillId="5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/>
    <xf numFmtId="0" fontId="11" fillId="4" borderId="0" xfId="0" applyFont="1" applyFill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15" fillId="0" borderId="0" xfId="0" applyFont="1"/>
    <xf numFmtId="0" fontId="16" fillId="3" borderId="4" xfId="0" applyFont="1" applyFill="1" applyBorder="1"/>
    <xf numFmtId="0" fontId="0" fillId="0" borderId="6" xfId="0" applyBorder="1"/>
    <xf numFmtId="0" fontId="0" fillId="0" borderId="7" xfId="0" applyBorder="1"/>
    <xf numFmtId="0" fontId="18" fillId="0" borderId="0" xfId="0" applyFont="1"/>
  </cellXfs>
  <cellStyles count="1">
    <cellStyle name="Normal" xfId="0" builtinId="0"/>
  </cellStyles>
  <dxfs count="20">
    <dxf>
      <fill>
        <patternFill patternType="solid">
          <fgColor rgb="FFD9D9D9"/>
        </patternFill>
      </fill>
    </dxf>
    <dxf>
      <fill>
        <patternFill patternType="solid">
          <fgColor rgb="FFF08080"/>
        </patternFill>
      </fill>
    </dxf>
    <dxf>
      <fill>
        <patternFill patternType="solid">
          <fgColor rgb="FF9DC3E6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E6B8B8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E6B8B8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08080"/>
        </patternFill>
      </fill>
    </dxf>
    <dxf>
      <fill>
        <patternFill patternType="solid">
          <fgColor rgb="FF9DC3E6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08080"/>
        </patternFill>
      </fill>
    </dxf>
    <dxf>
      <fill>
        <patternFill patternType="solid">
          <fgColor rgb="FF9DC3E6"/>
        </patternFill>
      </fill>
    </dxf>
    <dxf>
      <fill>
        <patternFill patternType="solid">
          <f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workbookViewId="0"/>
  </sheetViews>
  <sheetFormatPr baseColWidth="10" defaultColWidth="8.88671875" defaultRowHeight="14.4" x14ac:dyDescent="0.3"/>
  <cols>
    <col min="1" max="1" width="22" customWidth="1"/>
    <col min="2" max="2" width="8" customWidth="1"/>
    <col min="3" max="3" width="7" customWidth="1"/>
    <col min="4" max="4" width="10" customWidth="1"/>
    <col min="5" max="8" width="13" customWidth="1"/>
  </cols>
  <sheetData>
    <row r="1" spans="1:8" ht="28.05" customHeight="1" x14ac:dyDescent="0.3">
      <c r="A1" s="51" t="s">
        <v>112</v>
      </c>
      <c r="B1" s="50"/>
      <c r="C1" s="50"/>
      <c r="D1" s="50"/>
      <c r="E1" s="50"/>
      <c r="F1" s="50"/>
      <c r="G1" s="50"/>
      <c r="H1" s="50"/>
    </row>
    <row r="2" spans="1:8" x14ac:dyDescent="0.3">
      <c r="A2" s="49" t="s">
        <v>113</v>
      </c>
      <c r="B2" s="50"/>
      <c r="C2" s="50"/>
      <c r="D2" s="50"/>
      <c r="E2" s="50"/>
      <c r="F2" s="50"/>
      <c r="G2" s="50"/>
      <c r="H2" s="50"/>
    </row>
    <row r="4" spans="1:8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7" t="s">
        <v>1</v>
      </c>
      <c r="F4" s="17" t="s">
        <v>14</v>
      </c>
      <c r="G4" s="17" t="s">
        <v>15</v>
      </c>
      <c r="H4" s="17" t="s">
        <v>16</v>
      </c>
    </row>
    <row r="5" spans="1:8" x14ac:dyDescent="0.3">
      <c r="A5" s="18" t="s">
        <v>118</v>
      </c>
      <c r="B5" s="19" t="s">
        <v>119</v>
      </c>
      <c r="C5" s="20">
        <v>16</v>
      </c>
      <c r="D5" s="20">
        <v>14750</v>
      </c>
      <c r="E5" s="21">
        <v>46203</v>
      </c>
      <c r="F5" s="21">
        <v>46210</v>
      </c>
      <c r="G5" s="21">
        <v>46255</v>
      </c>
      <c r="H5" s="21">
        <v>46262</v>
      </c>
    </row>
    <row r="6" spans="1:8" x14ac:dyDescent="0.3">
      <c r="A6" s="18" t="s">
        <v>37</v>
      </c>
      <c r="B6" s="19" t="s">
        <v>120</v>
      </c>
      <c r="C6" s="20">
        <v>36</v>
      </c>
      <c r="D6" s="20">
        <v>8450</v>
      </c>
      <c r="E6" s="21">
        <v>46204</v>
      </c>
      <c r="F6" s="21">
        <v>46211</v>
      </c>
      <c r="G6" s="21">
        <v>46263</v>
      </c>
      <c r="H6" s="21">
        <v>46270</v>
      </c>
    </row>
    <row r="7" spans="1:8" x14ac:dyDescent="0.3">
      <c r="A7" s="18" t="s">
        <v>24</v>
      </c>
      <c r="B7" s="19" t="s">
        <v>120</v>
      </c>
      <c r="C7" s="20">
        <v>17</v>
      </c>
      <c r="D7" s="20">
        <v>6056</v>
      </c>
      <c r="E7" s="21">
        <v>46208</v>
      </c>
      <c r="F7" s="21">
        <v>46215</v>
      </c>
      <c r="G7" s="21">
        <v>46267</v>
      </c>
      <c r="H7" s="21">
        <v>46274</v>
      </c>
    </row>
    <row r="8" spans="1:8" x14ac:dyDescent="0.3">
      <c r="A8" s="18" t="s">
        <v>121</v>
      </c>
      <c r="B8" s="19" t="s">
        <v>119</v>
      </c>
      <c r="C8" s="20">
        <v>3</v>
      </c>
      <c r="D8" s="20">
        <v>3006</v>
      </c>
      <c r="E8" s="21">
        <v>46223</v>
      </c>
      <c r="F8" s="21">
        <v>46230</v>
      </c>
      <c r="G8" s="21">
        <v>46275</v>
      </c>
      <c r="H8" s="21">
        <v>46282</v>
      </c>
    </row>
    <row r="9" spans="1:8" x14ac:dyDescent="0.3">
      <c r="A9" s="18" t="s">
        <v>70</v>
      </c>
      <c r="B9" s="19" t="s">
        <v>120</v>
      </c>
      <c r="C9" s="20">
        <v>5</v>
      </c>
      <c r="D9" s="20">
        <v>2050</v>
      </c>
      <c r="E9" s="21">
        <v>46218</v>
      </c>
      <c r="F9" s="21">
        <v>46225</v>
      </c>
      <c r="G9" s="21">
        <v>46277</v>
      </c>
      <c r="H9" s="21">
        <v>46284</v>
      </c>
    </row>
    <row r="10" spans="1:8" x14ac:dyDescent="0.3">
      <c r="A10" s="18" t="s">
        <v>49</v>
      </c>
      <c r="B10" s="19" t="s">
        <v>120</v>
      </c>
      <c r="C10" s="20">
        <v>13</v>
      </c>
      <c r="D10" s="20">
        <v>3708</v>
      </c>
      <c r="E10" s="21">
        <v>46244</v>
      </c>
      <c r="F10" s="21">
        <v>46251</v>
      </c>
      <c r="G10" s="21">
        <v>46303</v>
      </c>
      <c r="H10" s="21">
        <v>46310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topLeftCell="A7" workbookViewId="0">
      <selection activeCell="O8" sqref="O8"/>
    </sheetView>
  </sheetViews>
  <sheetFormatPr baseColWidth="10" defaultColWidth="8.88671875" defaultRowHeight="14.4" x14ac:dyDescent="0.3"/>
  <cols>
    <col min="1" max="1" width="26" customWidth="1"/>
    <col min="2" max="2" width="9" customWidth="1"/>
    <col min="3" max="6" width="12" customWidth="1"/>
    <col min="7" max="7" width="8" customWidth="1"/>
    <col min="8" max="8" width="12" customWidth="1"/>
    <col min="9" max="9" width="13" customWidth="1"/>
    <col min="10" max="10" width="22" customWidth="1"/>
  </cols>
  <sheetData>
    <row r="1" spans="1:6" ht="18" customHeight="1" x14ac:dyDescent="0.35">
      <c r="A1" s="53" t="s">
        <v>122</v>
      </c>
      <c r="B1" s="50"/>
      <c r="C1" s="50"/>
      <c r="D1" s="50"/>
      <c r="E1" s="50"/>
      <c r="F1" s="50"/>
    </row>
    <row r="2" spans="1:6" x14ac:dyDescent="0.3">
      <c r="A2" s="52" t="s">
        <v>123</v>
      </c>
      <c r="B2" s="50"/>
      <c r="C2" s="50"/>
      <c r="D2" s="50"/>
      <c r="E2" s="50"/>
      <c r="F2" s="50"/>
    </row>
    <row r="4" spans="1:6" x14ac:dyDescent="0.3">
      <c r="A4" s="1" t="s">
        <v>124</v>
      </c>
    </row>
    <row r="5" spans="1:6" x14ac:dyDescent="0.3">
      <c r="A5" s="2" t="s">
        <v>125</v>
      </c>
      <c r="B5" s="2" t="s">
        <v>7</v>
      </c>
      <c r="C5" s="2" t="s">
        <v>126</v>
      </c>
      <c r="D5" s="2" t="s">
        <v>127</v>
      </c>
    </row>
    <row r="6" spans="1:6" ht="28.8" customHeight="1" x14ac:dyDescent="0.3">
      <c r="A6" s="3" t="s">
        <v>128</v>
      </c>
      <c r="B6" s="4">
        <v>11300</v>
      </c>
      <c r="C6" s="4" t="s">
        <v>129</v>
      </c>
      <c r="D6" s="4" t="s">
        <v>130</v>
      </c>
    </row>
    <row r="7" spans="1:6" ht="43.2" customHeight="1" x14ac:dyDescent="0.3">
      <c r="A7" s="5" t="s">
        <v>131</v>
      </c>
      <c r="B7" s="4">
        <v>600</v>
      </c>
      <c r="C7" s="4" t="s">
        <v>132</v>
      </c>
      <c r="D7" s="4" t="s">
        <v>133</v>
      </c>
    </row>
    <row r="8" spans="1:6" ht="57.6" customHeight="1" x14ac:dyDescent="0.3">
      <c r="A8" s="6" t="s">
        <v>134</v>
      </c>
      <c r="B8" s="4">
        <v>6050</v>
      </c>
      <c r="C8" s="4" t="s">
        <v>135</v>
      </c>
      <c r="D8" s="4" t="s">
        <v>136</v>
      </c>
    </row>
    <row r="9" spans="1:6" x14ac:dyDescent="0.3">
      <c r="A9" s="7" t="s">
        <v>137</v>
      </c>
      <c r="B9" s="7">
        <v>17950</v>
      </c>
      <c r="C9" s="7" t="s">
        <v>138</v>
      </c>
      <c r="D9" s="8" t="s">
        <v>139</v>
      </c>
    </row>
    <row r="11" spans="1:6" x14ac:dyDescent="0.3">
      <c r="A11" s="1" t="s">
        <v>140</v>
      </c>
    </row>
    <row r="12" spans="1:6" x14ac:dyDescent="0.3">
      <c r="A12" s="2" t="s">
        <v>141</v>
      </c>
      <c r="B12" s="2" t="s">
        <v>7</v>
      </c>
      <c r="C12" s="2" t="s">
        <v>142</v>
      </c>
    </row>
    <row r="13" spans="1:6" x14ac:dyDescent="0.3">
      <c r="A13" s="9" t="s">
        <v>143</v>
      </c>
      <c r="B13" s="10">
        <v>4950</v>
      </c>
      <c r="C13" s="10" t="s">
        <v>144</v>
      </c>
    </row>
    <row r="14" spans="1:6" x14ac:dyDescent="0.3">
      <c r="A14" s="11" t="s">
        <v>145</v>
      </c>
      <c r="B14" s="10">
        <v>6350</v>
      </c>
      <c r="C14" s="10" t="s">
        <v>146</v>
      </c>
    </row>
    <row r="16" spans="1:6" x14ac:dyDescent="0.3">
      <c r="A16" s="1" t="s">
        <v>147</v>
      </c>
    </row>
    <row r="17" spans="1:10" x14ac:dyDescent="0.3">
      <c r="A17" s="2" t="s">
        <v>148</v>
      </c>
      <c r="B17" s="2" t="s">
        <v>1</v>
      </c>
      <c r="C17" s="2" t="s">
        <v>2</v>
      </c>
      <c r="D17" s="2" t="s">
        <v>8</v>
      </c>
      <c r="E17" s="2" t="s">
        <v>149</v>
      </c>
      <c r="F17" s="2" t="s">
        <v>9</v>
      </c>
      <c r="G17" s="2" t="s">
        <v>150</v>
      </c>
      <c r="H17" s="2" t="s">
        <v>116</v>
      </c>
      <c r="I17" s="2" t="s">
        <v>7</v>
      </c>
      <c r="J17" s="2" t="s">
        <v>151</v>
      </c>
    </row>
    <row r="18" spans="1:10" ht="28.8" customHeight="1" x14ac:dyDescent="0.3">
      <c r="A18" s="4" t="s">
        <v>17</v>
      </c>
      <c r="B18" s="4" t="s">
        <v>18</v>
      </c>
      <c r="C18" s="4" t="s">
        <v>19</v>
      </c>
      <c r="D18" s="4">
        <v>65.900000000000006</v>
      </c>
      <c r="E18" s="4" t="s">
        <v>152</v>
      </c>
      <c r="F18" s="4">
        <v>41710</v>
      </c>
      <c r="G18" s="4" t="s">
        <v>153</v>
      </c>
      <c r="H18" s="4">
        <v>20</v>
      </c>
      <c r="I18" s="4">
        <v>4200</v>
      </c>
      <c r="J18" s="12" t="s">
        <v>154</v>
      </c>
    </row>
    <row r="19" spans="1:10" ht="28.8" customHeight="1" x14ac:dyDescent="0.3">
      <c r="A19" s="4" t="s">
        <v>60</v>
      </c>
      <c r="B19" s="4" t="s">
        <v>18</v>
      </c>
      <c r="C19" s="4" t="s">
        <v>19</v>
      </c>
      <c r="D19" s="4">
        <v>6.7</v>
      </c>
      <c r="E19" s="4" t="s">
        <v>155</v>
      </c>
      <c r="F19" s="4">
        <v>3225</v>
      </c>
      <c r="G19" s="4" t="s">
        <v>156</v>
      </c>
      <c r="H19" s="4">
        <v>2</v>
      </c>
      <c r="I19" s="4">
        <v>750</v>
      </c>
      <c r="J19" s="12" t="s">
        <v>154</v>
      </c>
    </row>
    <row r="20" spans="1:10" ht="28.8" customHeight="1" x14ac:dyDescent="0.3">
      <c r="A20" s="4" t="s">
        <v>65</v>
      </c>
      <c r="B20" s="4" t="s">
        <v>66</v>
      </c>
      <c r="C20" s="4" t="s">
        <v>67</v>
      </c>
      <c r="D20" s="4">
        <v>67.900000000000006</v>
      </c>
      <c r="E20" s="4" t="s">
        <v>157</v>
      </c>
      <c r="F20" s="4">
        <v>24434</v>
      </c>
      <c r="G20" s="4" t="s">
        <v>158</v>
      </c>
      <c r="H20" s="4">
        <v>5</v>
      </c>
      <c r="I20" s="4">
        <v>1850</v>
      </c>
      <c r="J20" s="13" t="s">
        <v>159</v>
      </c>
    </row>
    <row r="21" spans="1:10" ht="28.8" customHeight="1" x14ac:dyDescent="0.3">
      <c r="A21" s="4" t="s">
        <v>78</v>
      </c>
      <c r="B21" s="4" t="s">
        <v>79</v>
      </c>
      <c r="C21" s="4" t="s">
        <v>80</v>
      </c>
      <c r="D21" s="4">
        <v>29.9</v>
      </c>
      <c r="E21" s="4" t="s">
        <v>160</v>
      </c>
      <c r="F21" s="4">
        <v>18350</v>
      </c>
      <c r="G21" s="4" t="s">
        <v>161</v>
      </c>
      <c r="H21" s="4">
        <v>5</v>
      </c>
      <c r="I21" s="4">
        <v>1500</v>
      </c>
      <c r="J21" s="13" t="s">
        <v>159</v>
      </c>
    </row>
    <row r="22" spans="1:10" ht="28.8" customHeight="1" x14ac:dyDescent="0.3">
      <c r="A22" s="4" t="s">
        <v>121</v>
      </c>
      <c r="B22" s="4" t="s">
        <v>162</v>
      </c>
      <c r="C22" s="4" t="s">
        <v>163</v>
      </c>
      <c r="D22" s="4">
        <v>39.299999999999997</v>
      </c>
      <c r="E22" s="4" t="s">
        <v>164</v>
      </c>
      <c r="F22" s="4">
        <v>72000</v>
      </c>
      <c r="G22" s="4" t="s">
        <v>165</v>
      </c>
      <c r="H22" s="4">
        <v>2</v>
      </c>
      <c r="I22" s="4">
        <v>3000</v>
      </c>
      <c r="J22" s="13" t="s">
        <v>159</v>
      </c>
    </row>
    <row r="24" spans="1:10" ht="15.6" customHeight="1" x14ac:dyDescent="0.3">
      <c r="A24" s="54" t="s">
        <v>166</v>
      </c>
      <c r="B24" s="50"/>
      <c r="C24" s="50"/>
      <c r="D24" s="50"/>
      <c r="E24" s="50"/>
      <c r="F24" s="50"/>
      <c r="G24" s="50"/>
      <c r="H24" s="50"/>
      <c r="I24" s="50"/>
      <c r="J24" s="50"/>
    </row>
    <row r="25" spans="1:10" ht="28.8" customHeight="1" x14ac:dyDescent="0.3">
      <c r="A25" s="22" t="s">
        <v>167</v>
      </c>
      <c r="B25" s="22" t="s">
        <v>168</v>
      </c>
      <c r="C25" s="22" t="s">
        <v>1</v>
      </c>
      <c r="D25" s="22" t="s">
        <v>14</v>
      </c>
      <c r="E25" s="22" t="s">
        <v>15</v>
      </c>
      <c r="F25" s="22" t="s">
        <v>16</v>
      </c>
      <c r="G25" s="22" t="s">
        <v>169</v>
      </c>
      <c r="H25" s="22" t="s">
        <v>170</v>
      </c>
      <c r="I25" s="22"/>
      <c r="J25" s="22" t="s">
        <v>171</v>
      </c>
    </row>
    <row r="26" spans="1:10" x14ac:dyDescent="0.3">
      <c r="A26" s="23" t="s">
        <v>37</v>
      </c>
      <c r="B26" s="24" t="s">
        <v>120</v>
      </c>
      <c r="C26" s="25">
        <v>46202</v>
      </c>
      <c r="D26" s="25">
        <v>46209</v>
      </c>
      <c r="E26" s="25">
        <v>46261</v>
      </c>
      <c r="F26" s="25">
        <v>46268</v>
      </c>
      <c r="G26" s="26">
        <f>COUNTIFS(Detail_SZ!N:N,A26)+COUNTIFS(Detail_NB!N:N,A26)+COUNTIFS(Late_Arrivals!J:J,A26)+COUNTIFS(Pend_Confirmation!G:G,A26)+COUNTIFS(Missing!G:G,A26)</f>
        <v>10</v>
      </c>
      <c r="H26" s="26">
        <f>SUMIFS(Detail_SZ!M:M,Detail_SZ!N:N,A26)+SUMIFS(Detail_NB!M:M,Detail_NB!N:N,A26)+SUMIFS(Late_Arrivals!I:I,Late_Arrivals!J:J,A26)+SUMIFS(Pend_Confirmation!F:F,Pend_Confirmation!G:G,A26)+SUMIFS(Missing!F:F,Missing!G:G,A26)</f>
        <v>1870</v>
      </c>
      <c r="I26" s="26">
        <v>1300</v>
      </c>
      <c r="J26" s="27" t="s">
        <v>172</v>
      </c>
    </row>
    <row r="27" spans="1:10" x14ac:dyDescent="0.3">
      <c r="A27" s="23" t="s">
        <v>24</v>
      </c>
      <c r="B27" s="24" t="s">
        <v>120</v>
      </c>
      <c r="C27" s="25">
        <v>46208</v>
      </c>
      <c r="D27" s="25">
        <v>46215</v>
      </c>
      <c r="E27" s="25">
        <v>46267</v>
      </c>
      <c r="F27" s="25">
        <v>46274</v>
      </c>
      <c r="G27" s="26">
        <f>COUNTIFS(Detail_SZ!N:N,A27)+COUNTIFS(Detail_NB!N:N,A27)+COUNTIFS(Late_Arrivals!J:J,A27)+COUNTIFS(Pend_Confirmation!G:G,A27)+COUNTIFS(Missing!G:G,A27)</f>
        <v>15</v>
      </c>
      <c r="H27" s="26">
        <f>SUMIFS(Detail_SZ!M:M,Detail_SZ!N:N,A27)+SUMIFS(Detail_NB!M:M,Detail_NB!N:N,A27)+SUMIFS(Late_Arrivals!I:I,Late_Arrivals!J:J,A27)+SUMIFS(Pend_Confirmation!F:F,Pend_Confirmation!G:G,A27)+SUMIFS(Missing!F:F,Missing!G:G,A27)</f>
        <v>3202</v>
      </c>
      <c r="I27" s="26">
        <v>2952</v>
      </c>
      <c r="J27" s="27" t="s">
        <v>172</v>
      </c>
    </row>
    <row r="28" spans="1:10" x14ac:dyDescent="0.3">
      <c r="A28" s="23" t="s">
        <v>70</v>
      </c>
      <c r="B28" s="24" t="s">
        <v>120</v>
      </c>
      <c r="C28" s="25">
        <v>46218</v>
      </c>
      <c r="D28" s="25">
        <v>46225</v>
      </c>
      <c r="E28" s="25">
        <v>46277</v>
      </c>
      <c r="F28" s="25">
        <v>46284</v>
      </c>
      <c r="G28" s="26">
        <f>COUNTIFS(Detail_SZ!N:N,A28)+COUNTIFS(Detail_NB!N:N,A28)+COUNTIFS(Late_Arrivals!J:J,A28)+COUNTIFS(Pend_Confirmation!G:G,A28)+COUNTIFS(Missing!G:G,A28)</f>
        <v>9</v>
      </c>
      <c r="H28" s="26">
        <f>SUMIFS(Detail_SZ!M:M,Detail_SZ!N:N,A28)+SUMIFS(Detail_NB!M:M,Detail_NB!N:N,A28)+SUMIFS(Late_Arrivals!I:I,Late_Arrivals!J:J,A28)+SUMIFS(Pend_Confirmation!F:F,Pend_Confirmation!G:G,A28)+SUMIFS(Missing!F:F,Missing!G:G,A28)</f>
        <v>3400</v>
      </c>
      <c r="I28" s="26">
        <v>1550</v>
      </c>
      <c r="J28" s="27" t="s">
        <v>172</v>
      </c>
    </row>
    <row r="29" spans="1:10" x14ac:dyDescent="0.3">
      <c r="A29" s="23" t="s">
        <v>49</v>
      </c>
      <c r="B29" s="24" t="s">
        <v>120</v>
      </c>
      <c r="C29" s="25">
        <v>46244</v>
      </c>
      <c r="D29" s="25">
        <v>46251</v>
      </c>
      <c r="E29" s="25">
        <v>46303</v>
      </c>
      <c r="F29" s="25">
        <v>46310</v>
      </c>
      <c r="G29" s="26">
        <f>COUNTIFS(Detail_SZ!N:N,A29)+COUNTIFS(Detail_NB!N:N,A29)+COUNTIFS(Late_Arrivals!J:J,A29)+COUNTIFS(Pend_Confirmation!G:G,A29)+COUNTIFS(Missing!G:G,A29)</f>
        <v>19</v>
      </c>
      <c r="H29" s="26">
        <f>SUMIFS(Detail_SZ!M:M,Detail_SZ!N:N,A29)+SUMIFS(Detail_NB!M:M,Detail_NB!N:N,A29)+SUMIFS(Late_Arrivals!I:I,Late_Arrivals!J:J,A29)+SUMIFS(Pend_Confirmation!F:F,Pend_Confirmation!G:G,A29)+SUMIFS(Missing!F:F,Missing!G:G,A29)</f>
        <v>4686</v>
      </c>
      <c r="I29" s="26">
        <v>2758</v>
      </c>
      <c r="J29" s="27" t="s">
        <v>172</v>
      </c>
    </row>
    <row r="30" spans="1:10" x14ac:dyDescent="0.3">
      <c r="A30" s="23" t="s">
        <v>118</v>
      </c>
      <c r="B30" s="24" t="s">
        <v>120</v>
      </c>
      <c r="C30" s="25"/>
      <c r="D30" s="25"/>
      <c r="E30" s="25"/>
      <c r="F30" s="25"/>
      <c r="G30" s="26">
        <f>COUNTIFS(Detail_SZ!N:N,A30)+COUNTIFS(Detail_NB!N:N,A30)+COUNTIFS(Late_Arrivals!J:J,A30)+COUNTIFS(Pend_Confirmation!G:G,A30)+COUNTIFS(Missing!G:G,A30)</f>
        <v>2</v>
      </c>
      <c r="H30" s="26">
        <f>SUMIFS(Detail_SZ!M:M,Detail_SZ!N:N,A30)+SUMIFS(Detail_NB!M:M,Detail_NB!N:N,A30)+SUMIFS(Late_Arrivals!I:I,Late_Arrivals!J:J,A30)+SUMIFS(Pend_Confirmation!F:F,Pend_Confirmation!G:G,A30)+SUMIFS(Missing!F:F,Missing!G:G,A30)</f>
        <v>300</v>
      </c>
      <c r="I30" s="26">
        <v>0</v>
      </c>
      <c r="J30" s="27" t="s">
        <v>172</v>
      </c>
    </row>
    <row r="31" spans="1:10" x14ac:dyDescent="0.3">
      <c r="A31" s="23" t="s">
        <v>121</v>
      </c>
      <c r="B31" s="24" t="s">
        <v>119</v>
      </c>
      <c r="C31" s="25">
        <v>46223</v>
      </c>
      <c r="D31" s="25">
        <v>46230</v>
      </c>
      <c r="E31" s="25">
        <v>46275</v>
      </c>
      <c r="F31" s="25">
        <v>46282</v>
      </c>
      <c r="G31" s="26">
        <f>COUNTIFS(Detail_SZ!N:N,A31)+COUNTIFS(Detail_NB!N:N,A31)+COUNTIFS(Late_Arrivals!J:J,A31)+COUNTIFS(Pend_Confirmation!G:G,A31)+COUNTIFS(Missing!G:G,A31)</f>
        <v>7</v>
      </c>
      <c r="H31" s="26">
        <f>SUMIFS(Detail_SZ!M:M,Detail_SZ!N:N,A31)+SUMIFS(Detail_NB!M:M,Detail_NB!N:N,A31)+SUMIFS(Late_Arrivals!I:I,Late_Arrivals!J:J,A31)+SUMIFS(Pend_Confirmation!F:F,Pend_Confirmation!G:G,A31)+SUMIFS(Missing!F:F,Missing!G:G,A31)</f>
        <v>8014</v>
      </c>
      <c r="I31" s="26">
        <v>3006</v>
      </c>
      <c r="J31" s="27" t="s">
        <v>172</v>
      </c>
    </row>
    <row r="32" spans="1:10" x14ac:dyDescent="0.3">
      <c r="A32" s="36" t="s">
        <v>173</v>
      </c>
      <c r="B32" s="37" t="s">
        <v>119</v>
      </c>
      <c r="C32" s="38">
        <v>46249</v>
      </c>
      <c r="D32" s="38">
        <v>46256</v>
      </c>
      <c r="E32" s="38">
        <v>46301</v>
      </c>
      <c r="F32" s="38">
        <v>46308</v>
      </c>
      <c r="G32" s="39">
        <f>COUNTIFS(Detail_SZ!N:N,A32)+COUNTIFS(Detail_NB!N:N,A32)+COUNTIFS(Late_Arrivals!J:J,A32)+COUNTIFS(Pend_Confirmation!G:G,A32)+COUNTIFS(Missing!G:G,A32)</f>
        <v>13</v>
      </c>
      <c r="H32" s="39">
        <f>SUMIFS(Detail_SZ!M:M,Detail_SZ!N:N,A32)+SUMIFS(Detail_NB!M:M,Detail_NB!N:N,A32)+SUMIFS(Late_Arrivals!I:I,Late_Arrivals!J:J,A32)+SUMIFS(Pend_Confirmation!F:F,Pend_Confirmation!G:G,A32)+SUMIFS(Missing!F:F,Missing!G:G,A32)</f>
        <v>1155</v>
      </c>
      <c r="I32" s="37"/>
      <c r="J32" s="40" t="s">
        <v>172</v>
      </c>
    </row>
    <row r="33" spans="1:10" x14ac:dyDescent="0.3">
      <c r="A33" s="36" t="s">
        <v>174</v>
      </c>
      <c r="B33" s="37" t="s">
        <v>120</v>
      </c>
      <c r="C33" s="38">
        <v>46213</v>
      </c>
      <c r="D33" s="38">
        <v>46220</v>
      </c>
      <c r="E33" s="38">
        <v>46272</v>
      </c>
      <c r="F33" s="38">
        <v>46279</v>
      </c>
      <c r="G33" s="39">
        <f>COUNTIFS(Detail_SZ!N:N,A33)+COUNTIFS(Detail_NB!N:N,A33)+COUNTIFS(Late_Arrivals!J:J,A33)+COUNTIFS(Pend_Confirmation!G:G,A33)+COUNTIFS(Missing!G:G,A33)</f>
        <v>6</v>
      </c>
      <c r="H33" s="39">
        <f>SUMIFS(Detail_SZ!M:M,Detail_SZ!N:N,A33)+SUMIFS(Detail_NB!M:M,Detail_NB!N:N,A33)+SUMIFS(Late_Arrivals!I:I,Late_Arrivals!J:J,A33)+SUMIFS(Pend_Confirmation!F:F,Pend_Confirmation!G:G,A33)+SUMIFS(Missing!F:F,Missing!G:G,A33)</f>
        <v>725</v>
      </c>
      <c r="I33" s="37"/>
      <c r="J33" s="40" t="s">
        <v>172</v>
      </c>
    </row>
    <row r="34" spans="1:10" x14ac:dyDescent="0.3">
      <c r="A34" s="55" t="s">
        <v>175</v>
      </c>
      <c r="B34" s="56"/>
      <c r="C34" s="56"/>
      <c r="D34" s="56"/>
      <c r="E34" s="56"/>
      <c r="F34" s="56"/>
      <c r="G34" s="56"/>
      <c r="H34" s="56"/>
      <c r="I34" s="56"/>
      <c r="J34" s="57"/>
    </row>
    <row r="36" spans="1:10" x14ac:dyDescent="0.3">
      <c r="A36" s="31" t="s">
        <v>176</v>
      </c>
    </row>
    <row r="37" spans="1:10" x14ac:dyDescent="0.3">
      <c r="A37" s="28" t="s">
        <v>177</v>
      </c>
      <c r="B37" s="29"/>
      <c r="C37" s="29"/>
      <c r="D37" s="29"/>
      <c r="E37" s="29"/>
      <c r="F37" s="29"/>
      <c r="G37" s="26">
        <v>29</v>
      </c>
      <c r="H37" s="26">
        <v>10057</v>
      </c>
      <c r="I37" s="29"/>
      <c r="J37" s="29"/>
    </row>
  </sheetData>
  <mergeCells count="4">
    <mergeCell ref="A2:F2"/>
    <mergeCell ref="A1:F1"/>
    <mergeCell ref="A24:J24"/>
    <mergeCell ref="A34:J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7"/>
  <sheetViews>
    <sheetView topLeftCell="C1" workbookViewId="0">
      <pane ySplit="1" topLeftCell="A5" activePane="bottomLeft" state="frozen"/>
      <selection activeCell="F27" sqref="F27"/>
      <selection pane="bottomLeft" activeCell="O8" sqref="O8"/>
    </sheetView>
  </sheetViews>
  <sheetFormatPr baseColWidth="10" defaultColWidth="8.88671875" defaultRowHeight="14.4" x14ac:dyDescent="0.3"/>
  <cols>
    <col min="1" max="1" width="10" customWidth="1"/>
    <col min="2" max="3" width="12" customWidth="1"/>
    <col min="4" max="4" width="10" customWidth="1"/>
    <col min="5" max="5" width="9" customWidth="1"/>
    <col min="6" max="6" width="16" customWidth="1"/>
    <col min="7" max="7" width="46" customWidth="1"/>
    <col min="8" max="8" width="8" customWidth="1"/>
    <col min="9" max="9" width="9" customWidth="1"/>
    <col min="10" max="11" width="11" customWidth="1"/>
    <col min="12" max="12" width="9" customWidth="1"/>
    <col min="13" max="18" width="16" customWidth="1"/>
  </cols>
  <sheetData>
    <row r="1" spans="1:18" ht="27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7" t="s">
        <v>12</v>
      </c>
      <c r="N1" s="17" t="s">
        <v>13</v>
      </c>
      <c r="O1" s="17" t="s">
        <v>1</v>
      </c>
      <c r="P1" s="17" t="s">
        <v>14</v>
      </c>
      <c r="Q1" s="17" t="s">
        <v>15</v>
      </c>
      <c r="R1" s="17" t="s">
        <v>16</v>
      </c>
    </row>
    <row r="2" spans="1:18" ht="28.8" customHeight="1" x14ac:dyDescent="0.3">
      <c r="A2" s="4" t="s">
        <v>17</v>
      </c>
      <c r="B2" s="4" t="s">
        <v>18</v>
      </c>
      <c r="C2" s="4" t="s">
        <v>19</v>
      </c>
      <c r="D2" s="4" t="s">
        <v>20</v>
      </c>
      <c r="E2" s="14" t="s">
        <v>21</v>
      </c>
      <c r="F2" s="14" t="s">
        <v>22</v>
      </c>
      <c r="G2" s="14" t="s">
        <v>23</v>
      </c>
      <c r="H2" s="4">
        <v>250</v>
      </c>
      <c r="I2" s="4">
        <v>0.753</v>
      </c>
      <c r="J2" s="4">
        <v>1860</v>
      </c>
      <c r="K2" s="4"/>
      <c r="L2" s="4"/>
      <c r="M2" s="32">
        <v>500</v>
      </c>
      <c r="N2" s="19" t="s">
        <v>24</v>
      </c>
      <c r="O2" s="25">
        <f>IFERROR(INDEX(Refs_Embarques!$F$5:$F$11,MATCH(N2,Refs_Embarques!$A$5:$A$11,0)),"")</f>
        <v>46208</v>
      </c>
      <c r="P2" s="25">
        <f>IFERROR(INDEX(Refs_Embarques!$G$5:$G$11,MATCH(N2,Refs_Embarques!$A$5:$A$11,0)),"")</f>
        <v>46215</v>
      </c>
      <c r="Q2" s="25">
        <f>IFERROR(INDEX(Refs_Embarques!$H$5:$H$11,MATCH(N2,Refs_Embarques!$A$5:$A$11,0)),"")</f>
        <v>46267</v>
      </c>
      <c r="R2" s="25">
        <f>IFERROR(INDEX(Refs_Embarques!$I$5:$I$11,MATCH(N2,Refs_Embarques!$A$5:$A$11,0)),"")</f>
        <v>46274</v>
      </c>
    </row>
    <row r="3" spans="1:18" x14ac:dyDescent="0.3">
      <c r="A3" s="4" t="s">
        <v>17</v>
      </c>
      <c r="B3" s="4" t="s">
        <v>18</v>
      </c>
      <c r="C3" s="4" t="s">
        <v>19</v>
      </c>
      <c r="D3" s="4" t="s">
        <v>25</v>
      </c>
      <c r="E3" s="14" t="s">
        <v>21</v>
      </c>
      <c r="F3" s="14" t="s">
        <v>26</v>
      </c>
      <c r="G3" s="14" t="s">
        <v>27</v>
      </c>
      <c r="H3" s="4">
        <v>300</v>
      </c>
      <c r="I3" s="4">
        <v>17.376999999999999</v>
      </c>
      <c r="J3" s="4">
        <v>5880</v>
      </c>
      <c r="K3" s="4"/>
      <c r="L3" s="4"/>
      <c r="M3" s="33">
        <v>300</v>
      </c>
      <c r="N3" s="19" t="s">
        <v>24</v>
      </c>
      <c r="O3" s="25">
        <f>IFERROR(INDEX(Refs_Embarques!$F$5:$F$11,MATCH(N3,Refs_Embarques!$A$5:$A$11,0)),"")</f>
        <v>46208</v>
      </c>
      <c r="P3" s="25">
        <f>IFERROR(INDEX(Refs_Embarques!$G$5:$G$11,MATCH(N3,Refs_Embarques!$A$5:$A$11,0)),"")</f>
        <v>46215</v>
      </c>
      <c r="Q3" s="25">
        <f>IFERROR(INDEX(Refs_Embarques!$H$5:$H$11,MATCH(N3,Refs_Embarques!$A$5:$A$11,0)),"")</f>
        <v>46267</v>
      </c>
      <c r="R3" s="25">
        <f>IFERROR(INDEX(Refs_Embarques!$I$5:$I$11,MATCH(N3,Refs_Embarques!$A$5:$A$11,0)),"")</f>
        <v>46274</v>
      </c>
    </row>
    <row r="4" spans="1:18" x14ac:dyDescent="0.3">
      <c r="A4" s="4" t="s">
        <v>17</v>
      </c>
      <c r="B4" s="4" t="s">
        <v>18</v>
      </c>
      <c r="C4" s="4" t="s">
        <v>19</v>
      </c>
      <c r="D4" s="4" t="s">
        <v>25</v>
      </c>
      <c r="E4" s="14" t="s">
        <v>21</v>
      </c>
      <c r="F4" s="14" t="s">
        <v>28</v>
      </c>
      <c r="G4" s="14" t="s">
        <v>29</v>
      </c>
      <c r="H4" s="4">
        <v>300</v>
      </c>
      <c r="I4" s="4">
        <v>15.175000000000001</v>
      </c>
      <c r="J4" s="4">
        <v>4740</v>
      </c>
      <c r="K4" s="4"/>
      <c r="L4" s="4"/>
      <c r="M4" s="33">
        <v>300</v>
      </c>
      <c r="N4" s="19" t="s">
        <v>24</v>
      </c>
      <c r="O4" s="25">
        <f>IFERROR(INDEX(Refs_Embarques!$F$5:$F$11,MATCH(N4,Refs_Embarques!$A$5:$A$11,0)),"")</f>
        <v>46208</v>
      </c>
      <c r="P4" s="25">
        <f>IFERROR(INDEX(Refs_Embarques!$G$5:$G$11,MATCH(N4,Refs_Embarques!$A$5:$A$11,0)),"")</f>
        <v>46215</v>
      </c>
      <c r="Q4" s="25">
        <f>IFERROR(INDEX(Refs_Embarques!$H$5:$H$11,MATCH(N4,Refs_Embarques!$A$5:$A$11,0)),"")</f>
        <v>46267</v>
      </c>
      <c r="R4" s="25">
        <f>IFERROR(INDEX(Refs_Embarques!$I$5:$I$11,MATCH(N4,Refs_Embarques!$A$5:$A$11,0)),"")</f>
        <v>46274</v>
      </c>
    </row>
    <row r="5" spans="1:18" ht="28.8" customHeight="1" x14ac:dyDescent="0.3">
      <c r="A5" s="4" t="s">
        <v>17</v>
      </c>
      <c r="B5" s="4" t="s">
        <v>18</v>
      </c>
      <c r="C5" s="4" t="s">
        <v>19</v>
      </c>
      <c r="D5" s="4" t="s">
        <v>30</v>
      </c>
      <c r="E5" s="14" t="s">
        <v>31</v>
      </c>
      <c r="F5" s="14" t="s">
        <v>32</v>
      </c>
      <c r="G5" s="14" t="s">
        <v>33</v>
      </c>
      <c r="H5" s="4">
        <v>8</v>
      </c>
      <c r="I5" s="4">
        <v>1.635</v>
      </c>
      <c r="J5" s="4">
        <v>3040</v>
      </c>
      <c r="K5" s="4"/>
      <c r="L5" s="4"/>
      <c r="M5" s="33">
        <v>8</v>
      </c>
      <c r="N5" s="19" t="s">
        <v>24</v>
      </c>
      <c r="O5" s="25">
        <f>IFERROR(INDEX(Refs_Embarques!$F$5:$F$11,MATCH(N5,Refs_Embarques!$A$5:$A$11,0)),"")</f>
        <v>46208</v>
      </c>
      <c r="P5" s="25">
        <f>IFERROR(INDEX(Refs_Embarques!$G$5:$G$11,MATCH(N5,Refs_Embarques!$A$5:$A$11,0)),"")</f>
        <v>46215</v>
      </c>
      <c r="Q5" s="25">
        <f>IFERROR(INDEX(Refs_Embarques!$H$5:$H$11,MATCH(N5,Refs_Embarques!$A$5:$A$11,0)),"")</f>
        <v>46267</v>
      </c>
      <c r="R5" s="25">
        <f>IFERROR(INDEX(Refs_Embarques!$I$5:$I$11,MATCH(N5,Refs_Embarques!$A$5:$A$11,0)),"")</f>
        <v>46274</v>
      </c>
    </row>
    <row r="6" spans="1:18" ht="28.8" customHeight="1" x14ac:dyDescent="0.3">
      <c r="A6" s="4" t="s">
        <v>17</v>
      </c>
      <c r="B6" s="4" t="s">
        <v>18</v>
      </c>
      <c r="C6" s="4" t="s">
        <v>19</v>
      </c>
      <c r="D6" s="4" t="s">
        <v>30</v>
      </c>
      <c r="E6" s="14" t="s">
        <v>34</v>
      </c>
      <c r="F6" s="14" t="s">
        <v>35</v>
      </c>
      <c r="G6" s="14" t="s">
        <v>36</v>
      </c>
      <c r="H6" s="4">
        <v>100</v>
      </c>
      <c r="I6" s="4">
        <v>0.53700000000000003</v>
      </c>
      <c r="J6" s="4">
        <v>330</v>
      </c>
      <c r="K6" s="4"/>
      <c r="L6" s="4"/>
      <c r="M6" s="33">
        <v>100</v>
      </c>
      <c r="N6" s="19" t="s">
        <v>37</v>
      </c>
      <c r="O6" s="25">
        <f>IFERROR(INDEX(Refs_Embarques!$F$5:$F$11,MATCH(N6,Refs_Embarques!$A$5:$A$11,0)),"")</f>
        <v>46204</v>
      </c>
      <c r="P6" s="25">
        <f>IFERROR(INDEX(Refs_Embarques!$G$5:$G$11,MATCH(N6,Refs_Embarques!$A$5:$A$11,0)),"")</f>
        <v>46211</v>
      </c>
      <c r="Q6" s="25">
        <f>IFERROR(INDEX(Refs_Embarques!$H$5:$H$11,MATCH(N6,Refs_Embarques!$A$5:$A$11,0)),"")</f>
        <v>46263</v>
      </c>
      <c r="R6" s="25">
        <f>IFERROR(INDEX(Refs_Embarques!$I$5:$I$11,MATCH(N6,Refs_Embarques!$A$5:$A$11,0)),"")</f>
        <v>46270</v>
      </c>
    </row>
    <row r="7" spans="1:18" ht="28.8" customHeight="1" x14ac:dyDescent="0.3">
      <c r="A7" s="4" t="s">
        <v>17</v>
      </c>
      <c r="B7" s="4" t="s">
        <v>18</v>
      </c>
      <c r="C7" s="4" t="s">
        <v>19</v>
      </c>
      <c r="D7" s="4" t="s">
        <v>30</v>
      </c>
      <c r="E7" s="14" t="s">
        <v>34</v>
      </c>
      <c r="F7" s="14" t="s">
        <v>38</v>
      </c>
      <c r="G7" s="14" t="s">
        <v>39</v>
      </c>
      <c r="H7" s="4">
        <v>100</v>
      </c>
      <c r="I7" s="4">
        <v>0.53700000000000003</v>
      </c>
      <c r="J7" s="4">
        <v>360</v>
      </c>
      <c r="K7" s="4"/>
      <c r="L7" s="4"/>
      <c r="M7" s="33">
        <v>100</v>
      </c>
      <c r="N7" s="19" t="s">
        <v>37</v>
      </c>
      <c r="O7" s="25">
        <f>IFERROR(INDEX(Refs_Embarques!$F$5:$F$11,MATCH(N7,Refs_Embarques!$A$5:$A$11,0)),"")</f>
        <v>46204</v>
      </c>
      <c r="P7" s="25">
        <f>IFERROR(INDEX(Refs_Embarques!$G$5:$G$11,MATCH(N7,Refs_Embarques!$A$5:$A$11,0)),"")</f>
        <v>46211</v>
      </c>
      <c r="Q7" s="25">
        <f>IFERROR(INDEX(Refs_Embarques!$H$5:$H$11,MATCH(N7,Refs_Embarques!$A$5:$A$11,0)),"")</f>
        <v>46263</v>
      </c>
      <c r="R7" s="25">
        <f>IFERROR(INDEX(Refs_Embarques!$I$5:$I$11,MATCH(N7,Refs_Embarques!$A$5:$A$11,0)),"")</f>
        <v>46270</v>
      </c>
    </row>
    <row r="8" spans="1:18" x14ac:dyDescent="0.3">
      <c r="A8" s="4" t="s">
        <v>17</v>
      </c>
      <c r="B8" s="4" t="s">
        <v>18</v>
      </c>
      <c r="C8" s="4" t="s">
        <v>19</v>
      </c>
      <c r="D8" s="4" t="s">
        <v>30</v>
      </c>
      <c r="E8" s="14" t="s">
        <v>21</v>
      </c>
      <c r="F8" s="16">
        <v>67933856404072</v>
      </c>
      <c r="G8" s="14" t="s">
        <v>40</v>
      </c>
      <c r="H8" s="4">
        <v>300</v>
      </c>
      <c r="I8" s="4">
        <v>1.081</v>
      </c>
      <c r="J8" s="4">
        <v>945</v>
      </c>
      <c r="K8" s="4"/>
      <c r="L8" s="4"/>
      <c r="M8" s="33">
        <v>300</v>
      </c>
      <c r="N8" s="19" t="s">
        <v>37</v>
      </c>
      <c r="O8" s="25">
        <f>IFERROR(INDEX(Refs_Embarques!$F$5:$F$11,MATCH(N8,Refs_Embarques!$A$5:$A$11,0)),"")</f>
        <v>46204</v>
      </c>
      <c r="P8" s="25">
        <f>IFERROR(INDEX(Refs_Embarques!$G$5:$G$11,MATCH(N8,Refs_Embarques!$A$5:$A$11,0)),"")</f>
        <v>46211</v>
      </c>
      <c r="Q8" s="25">
        <f>IFERROR(INDEX(Refs_Embarques!$H$5:$H$11,MATCH(N8,Refs_Embarques!$A$5:$A$11,0)),"")</f>
        <v>46263</v>
      </c>
      <c r="R8" s="25">
        <f>IFERROR(INDEX(Refs_Embarques!$I$5:$I$11,MATCH(N8,Refs_Embarques!$A$5:$A$11,0)),"")</f>
        <v>46270</v>
      </c>
    </row>
    <row r="9" spans="1:18" x14ac:dyDescent="0.3">
      <c r="A9" s="4" t="s">
        <v>17</v>
      </c>
      <c r="B9" s="4" t="s">
        <v>18</v>
      </c>
      <c r="C9" s="4" t="s">
        <v>19</v>
      </c>
      <c r="D9" s="4" t="s">
        <v>30</v>
      </c>
      <c r="E9" s="14" t="s">
        <v>21</v>
      </c>
      <c r="F9" s="16">
        <v>67933857637909</v>
      </c>
      <c r="G9" s="14" t="s">
        <v>41</v>
      </c>
      <c r="H9" s="4">
        <v>300</v>
      </c>
      <c r="I9" s="4">
        <v>1.6220000000000001</v>
      </c>
      <c r="J9" s="4">
        <v>1110</v>
      </c>
      <c r="K9" s="4"/>
      <c r="L9" s="4"/>
      <c r="M9" s="33">
        <v>300</v>
      </c>
      <c r="N9" s="19" t="s">
        <v>37</v>
      </c>
      <c r="O9" s="25">
        <f>IFERROR(INDEX(Refs_Embarques!$F$5:$F$11,MATCH(N9,Refs_Embarques!$A$5:$A$11,0)),"")</f>
        <v>46204</v>
      </c>
      <c r="P9" s="25">
        <f>IFERROR(INDEX(Refs_Embarques!$G$5:$G$11,MATCH(N9,Refs_Embarques!$A$5:$A$11,0)),"")</f>
        <v>46211</v>
      </c>
      <c r="Q9" s="25">
        <f>IFERROR(INDEX(Refs_Embarques!$H$5:$H$11,MATCH(N9,Refs_Embarques!$A$5:$A$11,0)),"")</f>
        <v>46263</v>
      </c>
      <c r="R9" s="25">
        <f>IFERROR(INDEX(Refs_Embarques!$I$5:$I$11,MATCH(N9,Refs_Embarques!$A$5:$A$11,0)),"")</f>
        <v>46270</v>
      </c>
    </row>
    <row r="10" spans="1:18" x14ac:dyDescent="0.3">
      <c r="A10" s="4" t="s">
        <v>17</v>
      </c>
      <c r="B10" s="4" t="s">
        <v>18</v>
      </c>
      <c r="C10" s="4" t="s">
        <v>19</v>
      </c>
      <c r="D10" s="4" t="s">
        <v>30</v>
      </c>
      <c r="E10" s="14" t="s">
        <v>21</v>
      </c>
      <c r="F10" s="16">
        <v>67933863068841</v>
      </c>
      <c r="G10" s="14" t="s">
        <v>42</v>
      </c>
      <c r="H10" s="4">
        <v>200</v>
      </c>
      <c r="I10" s="4">
        <v>1.8480000000000001</v>
      </c>
      <c r="J10" s="4">
        <v>790</v>
      </c>
      <c r="K10" s="4"/>
      <c r="L10" s="4"/>
      <c r="M10" s="33">
        <v>200</v>
      </c>
      <c r="N10" s="19" t="s">
        <v>37</v>
      </c>
      <c r="O10" s="25">
        <f>IFERROR(INDEX(Refs_Embarques!$F$5:$F$11,MATCH(N10,Refs_Embarques!$A$5:$A$11,0)),"")</f>
        <v>46204</v>
      </c>
      <c r="P10" s="25">
        <f>IFERROR(INDEX(Refs_Embarques!$G$5:$G$11,MATCH(N10,Refs_Embarques!$A$5:$A$11,0)),"")</f>
        <v>46211</v>
      </c>
      <c r="Q10" s="25">
        <f>IFERROR(INDEX(Refs_Embarques!$H$5:$H$11,MATCH(N10,Refs_Embarques!$A$5:$A$11,0)),"")</f>
        <v>46263</v>
      </c>
      <c r="R10" s="25">
        <f>IFERROR(INDEX(Refs_Embarques!$I$5:$I$11,MATCH(N10,Refs_Embarques!$A$5:$A$11,0)),"")</f>
        <v>46270</v>
      </c>
    </row>
    <row r="11" spans="1:18" x14ac:dyDescent="0.3">
      <c r="A11" s="4" t="s">
        <v>17</v>
      </c>
      <c r="B11" s="4" t="s">
        <v>18</v>
      </c>
      <c r="C11" s="4" t="s">
        <v>19</v>
      </c>
      <c r="D11" s="4" t="s">
        <v>43</v>
      </c>
      <c r="E11" s="14" t="s">
        <v>21</v>
      </c>
      <c r="F11" s="16" t="s">
        <v>44</v>
      </c>
      <c r="G11" s="14" t="s">
        <v>45</v>
      </c>
      <c r="H11" s="4">
        <v>100</v>
      </c>
      <c r="I11" s="4">
        <v>0.59799999999999998</v>
      </c>
      <c r="J11" s="4">
        <v>206</v>
      </c>
      <c r="K11" s="4"/>
      <c r="L11" s="4"/>
      <c r="M11" s="32">
        <v>102</v>
      </c>
      <c r="N11" s="19" t="s">
        <v>24</v>
      </c>
      <c r="O11" s="25">
        <f>IFERROR(INDEX(Refs_Embarques!$F$5:$F$11,MATCH(N11,Refs_Embarques!$A$5:$A$11,0)),"")</f>
        <v>46208</v>
      </c>
      <c r="P11" s="25">
        <f>IFERROR(INDEX(Refs_Embarques!$G$5:$G$11,MATCH(N11,Refs_Embarques!$A$5:$A$11,0)),"")</f>
        <v>46215</v>
      </c>
      <c r="Q11" s="25">
        <f>IFERROR(INDEX(Refs_Embarques!$H$5:$H$11,MATCH(N11,Refs_Embarques!$A$5:$A$11,0)),"")</f>
        <v>46267</v>
      </c>
      <c r="R11" s="25">
        <f>IFERROR(INDEX(Refs_Embarques!$I$5:$I$11,MATCH(N11,Refs_Embarques!$A$5:$A$11,0)),"")</f>
        <v>46274</v>
      </c>
    </row>
    <row r="12" spans="1:18" x14ac:dyDescent="0.3">
      <c r="A12" s="4" t="s">
        <v>17</v>
      </c>
      <c r="B12" s="4" t="s">
        <v>18</v>
      </c>
      <c r="C12" s="4" t="s">
        <v>19</v>
      </c>
      <c r="D12" s="4" t="s">
        <v>43</v>
      </c>
      <c r="E12" s="14" t="s">
        <v>21</v>
      </c>
      <c r="F12" s="16" t="s">
        <v>46</v>
      </c>
      <c r="G12" s="14" t="s">
        <v>47</v>
      </c>
      <c r="H12" s="4">
        <v>250</v>
      </c>
      <c r="I12" s="4">
        <v>10.64</v>
      </c>
      <c r="J12" s="4">
        <v>3088</v>
      </c>
      <c r="K12" s="4"/>
      <c r="L12" s="4"/>
      <c r="M12" s="33">
        <v>250</v>
      </c>
      <c r="N12" s="19" t="s">
        <v>24</v>
      </c>
      <c r="O12" s="25">
        <f>IFERROR(INDEX(Refs_Embarques!$F$5:$F$11,MATCH(N12,Refs_Embarques!$A$5:$A$11,0)),"")</f>
        <v>46208</v>
      </c>
      <c r="P12" s="25">
        <f>IFERROR(INDEX(Refs_Embarques!$G$5:$G$11,MATCH(N12,Refs_Embarques!$A$5:$A$11,0)),"")</f>
        <v>46215</v>
      </c>
      <c r="Q12" s="25">
        <f>IFERROR(INDEX(Refs_Embarques!$H$5:$H$11,MATCH(N12,Refs_Embarques!$A$5:$A$11,0)),"")</f>
        <v>46267</v>
      </c>
      <c r="R12" s="25">
        <f>IFERROR(INDEX(Refs_Embarques!$I$5:$I$11,MATCH(N12,Refs_Embarques!$A$5:$A$11,0)),"")</f>
        <v>46274</v>
      </c>
    </row>
    <row r="13" spans="1:18" x14ac:dyDescent="0.3">
      <c r="A13" s="4" t="s">
        <v>17</v>
      </c>
      <c r="B13" s="4" t="s">
        <v>18</v>
      </c>
      <c r="C13" s="4" t="s">
        <v>19</v>
      </c>
      <c r="D13" s="4" t="s">
        <v>30</v>
      </c>
      <c r="E13" s="14" t="s">
        <v>21</v>
      </c>
      <c r="F13" s="16">
        <v>1652825295706</v>
      </c>
      <c r="G13" s="14" t="s">
        <v>48</v>
      </c>
      <c r="H13" s="4">
        <v>200</v>
      </c>
      <c r="I13" s="4">
        <v>1.34</v>
      </c>
      <c r="J13" s="4">
        <v>1120</v>
      </c>
      <c r="K13" s="4"/>
      <c r="L13" s="4"/>
      <c r="M13" s="33">
        <v>200</v>
      </c>
      <c r="N13" s="19" t="s">
        <v>49</v>
      </c>
      <c r="O13" s="25">
        <f>IFERROR(INDEX(Refs_Embarques!$F$5:$F$11,MATCH(N13,Refs_Embarques!$A$5:$A$11,0)),"")</f>
        <v>46244</v>
      </c>
      <c r="P13" s="25">
        <f>IFERROR(INDEX(Refs_Embarques!$G$5:$G$11,MATCH(N13,Refs_Embarques!$A$5:$A$11,0)),"")</f>
        <v>46251</v>
      </c>
      <c r="Q13" s="25">
        <f>IFERROR(INDEX(Refs_Embarques!$H$5:$H$11,MATCH(N13,Refs_Embarques!$A$5:$A$11,0)),"")</f>
        <v>46303</v>
      </c>
      <c r="R13" s="25">
        <f>IFERROR(INDEX(Refs_Embarques!$I$5:$I$11,MATCH(N13,Refs_Embarques!$A$5:$A$11,0)),"")</f>
        <v>46310</v>
      </c>
    </row>
    <row r="14" spans="1:18" ht="28.8" customHeight="1" x14ac:dyDescent="0.3">
      <c r="A14" s="4" t="s">
        <v>17</v>
      </c>
      <c r="B14" s="4" t="s">
        <v>18</v>
      </c>
      <c r="C14" s="4" t="s">
        <v>19</v>
      </c>
      <c r="D14" s="4" t="s">
        <v>30</v>
      </c>
      <c r="E14" s="14" t="s">
        <v>21</v>
      </c>
      <c r="F14" s="16">
        <v>1627418180602</v>
      </c>
      <c r="G14" s="14" t="s">
        <v>50</v>
      </c>
      <c r="H14" s="4">
        <v>200</v>
      </c>
      <c r="I14" s="4">
        <v>2.48</v>
      </c>
      <c r="J14" s="4">
        <v>1070</v>
      </c>
      <c r="K14" s="4"/>
      <c r="L14" s="4"/>
      <c r="M14" s="33">
        <v>200</v>
      </c>
      <c r="N14" s="19" t="s">
        <v>49</v>
      </c>
      <c r="O14" s="25">
        <f>IFERROR(INDEX(Refs_Embarques!$F$5:$F$11,MATCH(N14,Refs_Embarques!$A$5:$A$11,0)),"")</f>
        <v>46244</v>
      </c>
      <c r="P14" s="25">
        <f>IFERROR(INDEX(Refs_Embarques!$G$5:$G$11,MATCH(N14,Refs_Embarques!$A$5:$A$11,0)),"")</f>
        <v>46251</v>
      </c>
      <c r="Q14" s="25">
        <f>IFERROR(INDEX(Refs_Embarques!$H$5:$H$11,MATCH(N14,Refs_Embarques!$A$5:$A$11,0)),"")</f>
        <v>46303</v>
      </c>
      <c r="R14" s="25">
        <f>IFERROR(INDEX(Refs_Embarques!$I$5:$I$11,MATCH(N14,Refs_Embarques!$A$5:$A$11,0)),"")</f>
        <v>46310</v>
      </c>
    </row>
    <row r="15" spans="1:18" x14ac:dyDescent="0.3">
      <c r="A15" s="4" t="s">
        <v>17</v>
      </c>
      <c r="B15" s="4" t="s">
        <v>18</v>
      </c>
      <c r="C15" s="4" t="s">
        <v>19</v>
      </c>
      <c r="D15" s="4" t="s">
        <v>51</v>
      </c>
      <c r="E15" s="14" t="s">
        <v>21</v>
      </c>
      <c r="F15" s="16" t="s">
        <v>52</v>
      </c>
      <c r="G15" s="14" t="s">
        <v>53</v>
      </c>
      <c r="H15" s="4">
        <v>192</v>
      </c>
      <c r="I15" s="4">
        <v>0.77800000000000002</v>
      </c>
      <c r="J15" s="4">
        <v>192</v>
      </c>
      <c r="K15" s="4"/>
      <c r="L15" s="4"/>
      <c r="M15" s="33">
        <v>192</v>
      </c>
      <c r="N15" s="19" t="s">
        <v>24</v>
      </c>
      <c r="O15" s="25">
        <f>IFERROR(INDEX(Refs_Embarques!$F$5:$F$11,MATCH(N15,Refs_Embarques!$A$5:$A$11,0)),"")</f>
        <v>46208</v>
      </c>
      <c r="P15" s="25">
        <f>IFERROR(INDEX(Refs_Embarques!$G$5:$G$11,MATCH(N15,Refs_Embarques!$A$5:$A$11,0)),"")</f>
        <v>46215</v>
      </c>
      <c r="Q15" s="25">
        <f>IFERROR(INDEX(Refs_Embarques!$H$5:$H$11,MATCH(N15,Refs_Embarques!$A$5:$A$11,0)),"")</f>
        <v>46267</v>
      </c>
      <c r="R15" s="25">
        <f>IFERROR(INDEX(Refs_Embarques!$I$5:$I$11,MATCH(N15,Refs_Embarques!$A$5:$A$11,0)),"")</f>
        <v>46274</v>
      </c>
    </row>
    <row r="16" spans="1:18" x14ac:dyDescent="0.3">
      <c r="A16" s="4" t="s">
        <v>17</v>
      </c>
      <c r="B16" s="4" t="s">
        <v>18</v>
      </c>
      <c r="C16" s="4" t="s">
        <v>19</v>
      </c>
      <c r="D16" s="4" t="s">
        <v>30</v>
      </c>
      <c r="E16" s="14" t="s">
        <v>21</v>
      </c>
      <c r="F16" s="16">
        <v>1660859171584</v>
      </c>
      <c r="G16" s="14" t="s">
        <v>54</v>
      </c>
      <c r="H16" s="4">
        <v>400</v>
      </c>
      <c r="I16" s="4">
        <v>2.31</v>
      </c>
      <c r="J16" s="4">
        <v>5740</v>
      </c>
      <c r="K16" s="4"/>
      <c r="L16" s="4"/>
      <c r="M16" s="33">
        <v>400</v>
      </c>
      <c r="N16" s="19" t="s">
        <v>24</v>
      </c>
      <c r="O16" s="25">
        <f>IFERROR(INDEX(Refs_Embarques!$F$5:$F$11,MATCH(N16,Refs_Embarques!$A$5:$A$11,0)),"")</f>
        <v>46208</v>
      </c>
      <c r="P16" s="25">
        <f>IFERROR(INDEX(Refs_Embarques!$G$5:$G$11,MATCH(N16,Refs_Embarques!$A$5:$A$11,0)),"")</f>
        <v>46215</v>
      </c>
      <c r="Q16" s="25">
        <f>IFERROR(INDEX(Refs_Embarques!$H$5:$H$11,MATCH(N16,Refs_Embarques!$A$5:$A$11,0)),"")</f>
        <v>46267</v>
      </c>
      <c r="R16" s="25">
        <f>IFERROR(INDEX(Refs_Embarques!$I$5:$I$11,MATCH(N16,Refs_Embarques!$A$5:$A$11,0)),"")</f>
        <v>46274</v>
      </c>
    </row>
    <row r="17" spans="1:22" x14ac:dyDescent="0.3">
      <c r="A17" s="4" t="s">
        <v>17</v>
      </c>
      <c r="B17" s="4" t="s">
        <v>18</v>
      </c>
      <c r="C17" s="4" t="s">
        <v>19</v>
      </c>
      <c r="D17" s="4" t="s">
        <v>30</v>
      </c>
      <c r="E17" s="14" t="s">
        <v>21</v>
      </c>
      <c r="F17" s="16">
        <v>68432930518995</v>
      </c>
      <c r="G17" s="14" t="s">
        <v>55</v>
      </c>
      <c r="H17" s="4">
        <v>200</v>
      </c>
      <c r="I17" s="4">
        <v>1.155</v>
      </c>
      <c r="J17" s="4">
        <v>2870</v>
      </c>
      <c r="K17" s="4"/>
      <c r="L17" s="4"/>
      <c r="M17" s="33">
        <v>200</v>
      </c>
      <c r="N17" s="19" t="s">
        <v>24</v>
      </c>
      <c r="O17" s="25">
        <f>IFERROR(INDEX(Refs_Embarques!$F$5:$F$11,MATCH(N17,Refs_Embarques!$A$5:$A$11,0)),"")</f>
        <v>46208</v>
      </c>
      <c r="P17" s="25">
        <f>IFERROR(INDEX(Refs_Embarques!$G$5:$G$11,MATCH(N17,Refs_Embarques!$A$5:$A$11,0)),"")</f>
        <v>46215</v>
      </c>
      <c r="Q17" s="25">
        <f>IFERROR(INDEX(Refs_Embarques!$H$5:$H$11,MATCH(N17,Refs_Embarques!$A$5:$A$11,0)),"")</f>
        <v>46267</v>
      </c>
      <c r="R17" s="25">
        <f>IFERROR(INDEX(Refs_Embarques!$I$5:$I$11,MATCH(N17,Refs_Embarques!$A$5:$A$11,0)),"")</f>
        <v>46274</v>
      </c>
    </row>
    <row r="18" spans="1:22" x14ac:dyDescent="0.3">
      <c r="A18" s="4" t="s">
        <v>17</v>
      </c>
      <c r="B18" s="4" t="s">
        <v>18</v>
      </c>
      <c r="C18" s="4" t="s">
        <v>19</v>
      </c>
      <c r="D18" s="4" t="s">
        <v>30</v>
      </c>
      <c r="E18" s="14" t="s">
        <v>31</v>
      </c>
      <c r="F18" s="16">
        <v>67327559384453</v>
      </c>
      <c r="G18" s="14" t="s">
        <v>56</v>
      </c>
      <c r="H18" s="4">
        <v>100</v>
      </c>
      <c r="I18" s="4">
        <v>0.188</v>
      </c>
      <c r="J18" s="4">
        <v>1340</v>
      </c>
      <c r="K18" s="4"/>
      <c r="L18" s="4"/>
      <c r="M18" s="33">
        <v>100</v>
      </c>
      <c r="N18" s="19" t="s">
        <v>24</v>
      </c>
      <c r="O18" s="25">
        <f>IFERROR(INDEX(Refs_Embarques!$F$5:$F$11,MATCH(N18,Refs_Embarques!$A$5:$A$11,0)),"")</f>
        <v>46208</v>
      </c>
      <c r="P18" s="25">
        <f>IFERROR(INDEX(Refs_Embarques!$G$5:$G$11,MATCH(N18,Refs_Embarques!$A$5:$A$11,0)),"")</f>
        <v>46215</v>
      </c>
      <c r="Q18" s="25">
        <f>IFERROR(INDEX(Refs_Embarques!$H$5:$H$11,MATCH(N18,Refs_Embarques!$A$5:$A$11,0)),"")</f>
        <v>46267</v>
      </c>
      <c r="R18" s="25">
        <f>IFERROR(INDEX(Refs_Embarques!$I$5:$I$11,MATCH(N18,Refs_Embarques!$A$5:$A$11,0)),"")</f>
        <v>46274</v>
      </c>
    </row>
    <row r="19" spans="1:22" x14ac:dyDescent="0.3">
      <c r="A19" s="4" t="s">
        <v>17</v>
      </c>
      <c r="B19" s="4" t="s">
        <v>18</v>
      </c>
      <c r="C19" s="4" t="s">
        <v>19</v>
      </c>
      <c r="D19" s="4" t="s">
        <v>30</v>
      </c>
      <c r="E19" s="14" t="s">
        <v>21</v>
      </c>
      <c r="F19" s="16">
        <v>1629726091782</v>
      </c>
      <c r="G19" s="14" t="s">
        <v>57</v>
      </c>
      <c r="H19" s="4">
        <v>300</v>
      </c>
      <c r="I19" s="4">
        <v>1.7809999999999999</v>
      </c>
      <c r="J19" s="4">
        <v>1530</v>
      </c>
      <c r="K19" s="4"/>
      <c r="L19" s="4"/>
      <c r="M19" s="33">
        <v>300</v>
      </c>
      <c r="N19" s="19" t="s">
        <v>24</v>
      </c>
      <c r="O19" s="25">
        <f>IFERROR(INDEX(Refs_Embarques!$F$5:$F$11,MATCH(N19,Refs_Embarques!$A$5:$A$11,0)),"")</f>
        <v>46208</v>
      </c>
      <c r="P19" s="25">
        <f>IFERROR(INDEX(Refs_Embarques!$G$5:$G$11,MATCH(N19,Refs_Embarques!$A$5:$A$11,0)),"")</f>
        <v>46215</v>
      </c>
      <c r="Q19" s="25">
        <f>IFERROR(INDEX(Refs_Embarques!$H$5:$H$11,MATCH(N19,Refs_Embarques!$A$5:$A$11,0)),"")</f>
        <v>46267</v>
      </c>
      <c r="R19" s="25">
        <f>IFERROR(INDEX(Refs_Embarques!$I$5:$I$11,MATCH(N19,Refs_Embarques!$A$5:$A$11,0)),"")</f>
        <v>46274</v>
      </c>
    </row>
    <row r="20" spans="1:22" x14ac:dyDescent="0.3">
      <c r="A20" s="4" t="s">
        <v>17</v>
      </c>
      <c r="B20" s="4" t="s">
        <v>18</v>
      </c>
      <c r="C20" s="4" t="s">
        <v>19</v>
      </c>
      <c r="D20" s="4" t="s">
        <v>30</v>
      </c>
      <c r="E20" s="14" t="s">
        <v>34</v>
      </c>
      <c r="F20" s="16">
        <v>1623703861303</v>
      </c>
      <c r="G20" s="14" t="s">
        <v>58</v>
      </c>
      <c r="H20" s="4">
        <v>300</v>
      </c>
      <c r="I20" s="4">
        <v>1.548</v>
      </c>
      <c r="J20" s="4">
        <v>2850</v>
      </c>
      <c r="K20" s="4"/>
      <c r="L20" s="4"/>
      <c r="M20" s="33">
        <v>300</v>
      </c>
      <c r="N20" s="19" t="s">
        <v>24</v>
      </c>
      <c r="O20" s="25">
        <f>IFERROR(INDEX(Refs_Embarques!$F$5:$F$11,MATCH(N20,Refs_Embarques!$A$5:$A$11,0)),"")</f>
        <v>46208</v>
      </c>
      <c r="P20" s="25">
        <f>IFERROR(INDEX(Refs_Embarques!$G$5:$G$11,MATCH(N20,Refs_Embarques!$A$5:$A$11,0)),"")</f>
        <v>46215</v>
      </c>
      <c r="Q20" s="25">
        <f>IFERROR(INDEX(Refs_Embarques!$H$5:$H$11,MATCH(N20,Refs_Embarques!$A$5:$A$11,0)),"")</f>
        <v>46267</v>
      </c>
      <c r="R20" s="25">
        <f>IFERROR(INDEX(Refs_Embarques!$I$5:$I$11,MATCH(N20,Refs_Embarques!$A$5:$A$11,0)),"")</f>
        <v>46274</v>
      </c>
    </row>
    <row r="21" spans="1:22" x14ac:dyDescent="0.3">
      <c r="A21" s="4" t="s">
        <v>17</v>
      </c>
      <c r="B21" s="4" t="s">
        <v>18</v>
      </c>
      <c r="C21" s="4" t="s">
        <v>19</v>
      </c>
      <c r="D21" s="4" t="s">
        <v>30</v>
      </c>
      <c r="E21" s="14" t="s">
        <v>34</v>
      </c>
      <c r="F21" s="16">
        <v>1571423280815</v>
      </c>
      <c r="G21" s="14" t="s">
        <v>59</v>
      </c>
      <c r="H21" s="4">
        <v>100</v>
      </c>
      <c r="I21" s="4">
        <v>2.52</v>
      </c>
      <c r="J21" s="4">
        <v>2650</v>
      </c>
      <c r="K21" s="4"/>
      <c r="L21" s="4"/>
      <c r="M21" s="33">
        <v>100</v>
      </c>
      <c r="N21" s="19" t="s">
        <v>49</v>
      </c>
      <c r="O21" s="25">
        <f>IFERROR(INDEX(Refs_Embarques!$F$5:$F$11,MATCH(N21,Refs_Embarques!$A$5:$A$11,0)),"")</f>
        <v>46244</v>
      </c>
      <c r="P21" s="25">
        <f>IFERROR(INDEX(Refs_Embarques!$G$5:$G$11,MATCH(N21,Refs_Embarques!$A$5:$A$11,0)),"")</f>
        <v>46251</v>
      </c>
      <c r="Q21" s="25">
        <f>IFERROR(INDEX(Refs_Embarques!$H$5:$H$11,MATCH(N21,Refs_Embarques!$A$5:$A$11,0)),"")</f>
        <v>46303</v>
      </c>
      <c r="R21" s="25">
        <f>IFERROR(INDEX(Refs_Embarques!$I$5:$I$11,MATCH(N21,Refs_Embarques!$A$5:$A$11,0)),"")</f>
        <v>46310</v>
      </c>
    </row>
    <row r="22" spans="1:22" x14ac:dyDescent="0.3">
      <c r="A22" s="4" t="s">
        <v>60</v>
      </c>
      <c r="B22" s="4" t="s">
        <v>18</v>
      </c>
      <c r="C22" s="4" t="s">
        <v>19</v>
      </c>
      <c r="D22" s="4" t="s">
        <v>30</v>
      </c>
      <c r="E22" s="14" t="s">
        <v>21</v>
      </c>
      <c r="F22" s="14" t="s">
        <v>61</v>
      </c>
      <c r="G22" s="14" t="s">
        <v>62</v>
      </c>
      <c r="H22" s="4">
        <v>300</v>
      </c>
      <c r="I22" s="4">
        <v>2.1989999999999998</v>
      </c>
      <c r="J22" s="4">
        <v>1155</v>
      </c>
      <c r="K22" s="4"/>
      <c r="L22" s="4"/>
      <c r="M22" s="33">
        <v>300</v>
      </c>
      <c r="N22" s="19" t="s">
        <v>49</v>
      </c>
      <c r="O22" s="25">
        <f>IFERROR(INDEX(Refs_Embarques!$F$5:$F$11,MATCH(N22,Refs_Embarques!$A$5:$A$11,0)),"")</f>
        <v>46244</v>
      </c>
      <c r="P22" s="25">
        <f>IFERROR(INDEX(Refs_Embarques!$G$5:$G$11,MATCH(N22,Refs_Embarques!$A$5:$A$11,0)),"")</f>
        <v>46251</v>
      </c>
      <c r="Q22" s="25">
        <f>IFERROR(INDEX(Refs_Embarques!$H$5:$H$11,MATCH(N22,Refs_Embarques!$A$5:$A$11,0)),"")</f>
        <v>46303</v>
      </c>
      <c r="R22" s="25">
        <f>IFERROR(INDEX(Refs_Embarques!$I$5:$I$11,MATCH(N22,Refs_Embarques!$A$5:$A$11,0)),"")</f>
        <v>46310</v>
      </c>
    </row>
    <row r="23" spans="1:22" ht="28.8" customHeight="1" x14ac:dyDescent="0.3">
      <c r="A23" s="4" t="s">
        <v>60</v>
      </c>
      <c r="B23" s="4" t="s">
        <v>18</v>
      </c>
      <c r="C23" s="4" t="s">
        <v>19</v>
      </c>
      <c r="D23" s="4" t="s">
        <v>30</v>
      </c>
      <c r="E23" s="14" t="s">
        <v>63</v>
      </c>
      <c r="F23" s="14">
        <v>1660859424566</v>
      </c>
      <c r="G23" s="14" t="s">
        <v>64</v>
      </c>
      <c r="H23" s="4">
        <v>450</v>
      </c>
      <c r="I23" s="4">
        <v>4.5350000000000001</v>
      </c>
      <c r="J23" s="4">
        <v>2070</v>
      </c>
      <c r="K23" s="4"/>
      <c r="L23" s="4"/>
      <c r="M23" s="33">
        <v>450</v>
      </c>
      <c r="N23" s="19" t="s">
        <v>49</v>
      </c>
      <c r="O23" s="25">
        <f>IFERROR(INDEX(Refs_Embarques!$F$5:$F$11,MATCH(N23,Refs_Embarques!$A$5:$A$11,0)),"")</f>
        <v>46244</v>
      </c>
      <c r="P23" s="25">
        <f>IFERROR(INDEX(Refs_Embarques!$G$5:$G$11,MATCH(N23,Refs_Embarques!$A$5:$A$11,0)),"")</f>
        <v>46251</v>
      </c>
      <c r="Q23" s="25">
        <f>IFERROR(INDEX(Refs_Embarques!$H$5:$H$11,MATCH(N23,Refs_Embarques!$A$5:$A$11,0)),"")</f>
        <v>46303</v>
      </c>
      <c r="R23" s="25">
        <f>IFERROR(INDEX(Refs_Embarques!$I$5:$I$11,MATCH(N23,Refs_Embarques!$A$5:$A$11,0)),"")</f>
        <v>46310</v>
      </c>
    </row>
    <row r="24" spans="1:22" x14ac:dyDescent="0.3">
      <c r="A24" s="4" t="s">
        <v>65</v>
      </c>
      <c r="B24" s="4" t="s">
        <v>66</v>
      </c>
      <c r="C24" s="4" t="s">
        <v>67</v>
      </c>
      <c r="D24" s="4" t="s">
        <v>30</v>
      </c>
      <c r="E24" s="14" t="s">
        <v>21</v>
      </c>
      <c r="F24" s="14">
        <v>1630369674271</v>
      </c>
      <c r="G24" s="14" t="s">
        <v>68</v>
      </c>
      <c r="H24" s="4">
        <v>150</v>
      </c>
      <c r="I24" s="4">
        <v>0.49199999999999999</v>
      </c>
      <c r="J24" s="4">
        <v>442</v>
      </c>
      <c r="K24" s="4"/>
      <c r="L24" s="2" t="s">
        <v>69</v>
      </c>
      <c r="M24" s="33">
        <v>150</v>
      </c>
      <c r="N24" s="19" t="s">
        <v>70</v>
      </c>
      <c r="O24" s="30">
        <f>IFERROR(INDEX(Refs_Embarques!$F$5:$F$11,MATCH(N24,Refs_Embarques!$A$5:$A$11,0)),"")</f>
        <v>46218</v>
      </c>
      <c r="P24" s="30">
        <f>IFERROR(INDEX(Refs_Embarques!$G$5:$G$11,MATCH(N24,Refs_Embarques!$A$5:$A$11,0)),"")</f>
        <v>46225</v>
      </c>
      <c r="Q24" s="30">
        <f>IFERROR(INDEX(Refs_Embarques!$H$5:$H$11,MATCH(N24,Refs_Embarques!$A$5:$A$11,0)),"")</f>
        <v>46277</v>
      </c>
      <c r="R24" s="30">
        <f>IFERROR(INDEX(Refs_Embarques!$I$5:$I$11,MATCH(N24,Refs_Embarques!$A$5:$A$11,0)),"")</f>
        <v>46284</v>
      </c>
      <c r="S24" s="2"/>
      <c r="T24" s="2"/>
      <c r="U24" s="2"/>
      <c r="V24" s="2"/>
    </row>
    <row r="25" spans="1:22" ht="28.8" customHeight="1" x14ac:dyDescent="0.3">
      <c r="A25" s="4" t="s">
        <v>65</v>
      </c>
      <c r="B25" s="4" t="s">
        <v>66</v>
      </c>
      <c r="C25" s="4" t="s">
        <v>67</v>
      </c>
      <c r="D25" s="4" t="s">
        <v>30</v>
      </c>
      <c r="E25" s="14" t="s">
        <v>21</v>
      </c>
      <c r="F25" s="14" t="s">
        <v>71</v>
      </c>
      <c r="G25" s="14" t="s">
        <v>72</v>
      </c>
      <c r="H25" s="4">
        <v>300</v>
      </c>
      <c r="I25" s="4">
        <v>2.5990000000000002</v>
      </c>
      <c r="J25" s="4">
        <v>1530</v>
      </c>
      <c r="K25" s="4"/>
      <c r="L25" s="4" t="s">
        <v>69</v>
      </c>
      <c r="M25" s="33">
        <v>300</v>
      </c>
      <c r="N25" s="19" t="s">
        <v>49</v>
      </c>
      <c r="O25" s="25">
        <f>IFERROR(INDEX(Refs_Embarques!$F$5:$F$11,MATCH(N25,Refs_Embarques!$A$5:$A$11,0)),"")</f>
        <v>46244</v>
      </c>
      <c r="P25" s="25">
        <f>IFERROR(INDEX(Refs_Embarques!$G$5:$G$11,MATCH(N25,Refs_Embarques!$A$5:$A$11,0)),"")</f>
        <v>46251</v>
      </c>
      <c r="Q25" s="25">
        <f>IFERROR(INDEX(Refs_Embarques!$H$5:$H$11,MATCH(N25,Refs_Embarques!$A$5:$A$11,0)),"")</f>
        <v>46303</v>
      </c>
      <c r="R25" s="25">
        <f>IFERROR(INDEX(Refs_Embarques!$I$5:$I$11,MATCH(N25,Refs_Embarques!$A$5:$A$11,0)),"")</f>
        <v>46310</v>
      </c>
      <c r="S25" s="4"/>
      <c r="T25" s="4"/>
      <c r="U25" s="4"/>
      <c r="V25" s="4"/>
    </row>
    <row r="26" spans="1:22" ht="28.8" customHeight="1" x14ac:dyDescent="0.3">
      <c r="A26" s="4" t="s">
        <v>65</v>
      </c>
      <c r="B26" s="4" t="s">
        <v>66</v>
      </c>
      <c r="C26" s="4" t="s">
        <v>67</v>
      </c>
      <c r="D26" s="4" t="s">
        <v>30</v>
      </c>
      <c r="E26" s="14" t="s">
        <v>73</v>
      </c>
      <c r="F26" s="14" t="s">
        <v>74</v>
      </c>
      <c r="G26" s="14" t="s">
        <v>75</v>
      </c>
      <c r="H26" s="4">
        <v>200</v>
      </c>
      <c r="I26" s="4">
        <v>0.39100000000000001</v>
      </c>
      <c r="J26" s="4">
        <v>2100</v>
      </c>
      <c r="K26" s="4"/>
      <c r="L26" s="4" t="s">
        <v>69</v>
      </c>
      <c r="M26" s="33">
        <v>200</v>
      </c>
      <c r="N26" s="19" t="s">
        <v>70</v>
      </c>
      <c r="O26" s="25">
        <f>IFERROR(INDEX(Refs_Embarques!$F$5:$F$11,MATCH(N26,Refs_Embarques!$A$5:$A$11,0)),"")</f>
        <v>46218</v>
      </c>
      <c r="P26" s="25">
        <f>IFERROR(INDEX(Refs_Embarques!$G$5:$G$11,MATCH(N26,Refs_Embarques!$A$5:$A$11,0)),"")</f>
        <v>46225</v>
      </c>
      <c r="Q26" s="25">
        <f>IFERROR(INDEX(Refs_Embarques!$H$5:$H$11,MATCH(N26,Refs_Embarques!$A$5:$A$11,0)),"")</f>
        <v>46277</v>
      </c>
      <c r="R26" s="25">
        <f>IFERROR(INDEX(Refs_Embarques!$I$5:$I$11,MATCH(N26,Refs_Embarques!$A$5:$A$11,0)),"")</f>
        <v>46284</v>
      </c>
      <c r="S26" s="4"/>
      <c r="T26" s="4"/>
      <c r="U26" s="4"/>
      <c r="V26" s="4"/>
    </row>
    <row r="27" spans="1:22" x14ac:dyDescent="0.3">
      <c r="A27" s="4" t="s">
        <v>65</v>
      </c>
      <c r="B27" s="4" t="s">
        <v>66</v>
      </c>
      <c r="C27" s="4" t="s">
        <v>67</v>
      </c>
      <c r="D27" s="4" t="s">
        <v>20</v>
      </c>
      <c r="E27" s="14" t="s">
        <v>21</v>
      </c>
      <c r="F27" s="14" t="s">
        <v>28</v>
      </c>
      <c r="G27" s="14" t="s">
        <v>29</v>
      </c>
      <c r="H27" s="4">
        <v>900</v>
      </c>
      <c r="I27" s="4">
        <v>45.524000000000001</v>
      </c>
      <c r="J27" s="4">
        <v>14220</v>
      </c>
      <c r="K27" s="4"/>
      <c r="L27" s="4" t="s">
        <v>69</v>
      </c>
      <c r="M27" s="33">
        <v>900</v>
      </c>
      <c r="N27" s="19" t="s">
        <v>70</v>
      </c>
      <c r="O27" s="25">
        <f>IFERROR(INDEX(Refs_Embarques!$F$5:$F$11,MATCH(N27,Refs_Embarques!$A$5:$A$11,0)),"")</f>
        <v>46218</v>
      </c>
      <c r="P27" s="25">
        <f>IFERROR(INDEX(Refs_Embarques!$G$5:$G$11,MATCH(N27,Refs_Embarques!$A$5:$A$11,0)),"")</f>
        <v>46225</v>
      </c>
      <c r="Q27" s="25">
        <f>IFERROR(INDEX(Refs_Embarques!$H$5:$H$11,MATCH(N27,Refs_Embarques!$A$5:$A$11,0)),"")</f>
        <v>46277</v>
      </c>
      <c r="R27" s="25">
        <f>IFERROR(INDEX(Refs_Embarques!$I$5:$I$11,MATCH(N27,Refs_Embarques!$A$5:$A$11,0)),"")</f>
        <v>46284</v>
      </c>
      <c r="S27" s="4"/>
      <c r="T27" s="4"/>
      <c r="U27" s="4"/>
      <c r="V27" s="4"/>
    </row>
    <row r="28" spans="1:22" ht="28.8" customHeight="1" x14ac:dyDescent="0.3">
      <c r="A28" s="4" t="s">
        <v>65</v>
      </c>
      <c r="B28" s="4" t="s">
        <v>66</v>
      </c>
      <c r="C28" s="4" t="s">
        <v>67</v>
      </c>
      <c r="D28" s="4" t="s">
        <v>20</v>
      </c>
      <c r="E28" s="14" t="s">
        <v>21</v>
      </c>
      <c r="F28" s="14" t="s">
        <v>76</v>
      </c>
      <c r="G28" s="14" t="s">
        <v>77</v>
      </c>
      <c r="H28" s="4">
        <v>300</v>
      </c>
      <c r="I28" s="4">
        <v>18.895</v>
      </c>
      <c r="J28" s="4">
        <v>6141</v>
      </c>
      <c r="K28" s="4"/>
      <c r="L28" s="4" t="s">
        <v>69</v>
      </c>
      <c r="M28" s="33">
        <v>300</v>
      </c>
      <c r="N28" s="19" t="s">
        <v>70</v>
      </c>
      <c r="O28" s="25">
        <f>IFERROR(INDEX(Refs_Embarques!$F$5:$F$11,MATCH(N28,Refs_Embarques!$A$5:$A$11,0)),"")</f>
        <v>46218</v>
      </c>
      <c r="P28" s="25">
        <f>IFERROR(INDEX(Refs_Embarques!$G$5:$G$11,MATCH(N28,Refs_Embarques!$A$5:$A$11,0)),"")</f>
        <v>46225</v>
      </c>
      <c r="Q28" s="25">
        <f>IFERROR(INDEX(Refs_Embarques!$H$5:$H$11,MATCH(N28,Refs_Embarques!$A$5:$A$11,0)),"")</f>
        <v>46277</v>
      </c>
      <c r="R28" s="25">
        <f>IFERROR(INDEX(Refs_Embarques!$I$5:$I$11,MATCH(N28,Refs_Embarques!$A$5:$A$11,0)),"")</f>
        <v>46284</v>
      </c>
      <c r="S28" s="4"/>
      <c r="T28" s="4"/>
      <c r="U28" s="4"/>
      <c r="V28" s="4"/>
    </row>
    <row r="29" spans="1:22" x14ac:dyDescent="0.3">
      <c r="A29" s="4" t="s">
        <v>78</v>
      </c>
      <c r="B29" s="4" t="s">
        <v>79</v>
      </c>
      <c r="C29" s="4" t="s">
        <v>80</v>
      </c>
      <c r="D29" s="4" t="s">
        <v>20</v>
      </c>
      <c r="E29" s="14" t="s">
        <v>21</v>
      </c>
      <c r="F29" s="14" t="s">
        <v>26</v>
      </c>
      <c r="G29" s="14" t="s">
        <v>27</v>
      </c>
      <c r="H29" s="4">
        <v>400</v>
      </c>
      <c r="I29" s="4">
        <v>23.169</v>
      </c>
      <c r="J29" s="4">
        <v>7840</v>
      </c>
      <c r="K29" s="4"/>
      <c r="L29" s="4" t="s">
        <v>69</v>
      </c>
      <c r="M29" s="33">
        <v>400</v>
      </c>
      <c r="N29" s="19" t="s">
        <v>49</v>
      </c>
      <c r="O29" s="25">
        <f>IFERROR(INDEX(Refs_Embarques!$F$5:$F$11,MATCH(N29,Refs_Embarques!$A$5:$A$11,0)),"")</f>
        <v>46244</v>
      </c>
      <c r="P29" s="25">
        <f>IFERROR(INDEX(Refs_Embarques!$G$5:$G$11,MATCH(N29,Refs_Embarques!$A$5:$A$11,0)),"")</f>
        <v>46251</v>
      </c>
      <c r="Q29" s="25">
        <f>IFERROR(INDEX(Refs_Embarques!$H$5:$H$11,MATCH(N29,Refs_Embarques!$A$5:$A$11,0)),"")</f>
        <v>46303</v>
      </c>
      <c r="R29" s="25">
        <f>IFERROR(INDEX(Refs_Embarques!$I$5:$I$11,MATCH(N29,Refs_Embarques!$A$5:$A$11,0)),"")</f>
        <v>46310</v>
      </c>
      <c r="S29" s="4"/>
      <c r="T29" s="4"/>
      <c r="U29" s="4"/>
      <c r="V29" s="4"/>
    </row>
    <row r="30" spans="1:22" x14ac:dyDescent="0.3">
      <c r="A30" s="4" t="s">
        <v>78</v>
      </c>
      <c r="B30" s="4" t="s">
        <v>79</v>
      </c>
      <c r="C30" s="4" t="s">
        <v>80</v>
      </c>
      <c r="D30" s="4" t="s">
        <v>20</v>
      </c>
      <c r="E30" s="14" t="s">
        <v>21</v>
      </c>
      <c r="F30" s="14" t="s">
        <v>81</v>
      </c>
      <c r="G30" s="14" t="s">
        <v>82</v>
      </c>
      <c r="H30" s="4">
        <v>200</v>
      </c>
      <c r="I30" s="4">
        <v>1.5669999999999999</v>
      </c>
      <c r="J30" s="4">
        <v>690</v>
      </c>
      <c r="K30" s="4"/>
      <c r="L30" s="4" t="s">
        <v>69</v>
      </c>
      <c r="M30" s="32">
        <v>204</v>
      </c>
      <c r="N30" s="19" t="s">
        <v>49</v>
      </c>
      <c r="O30" s="25">
        <f>IFERROR(INDEX(Refs_Embarques!$F$5:$F$11,MATCH(N30,Refs_Embarques!$A$5:$A$11,0)),"")</f>
        <v>46244</v>
      </c>
      <c r="P30" s="25">
        <f>IFERROR(INDEX(Refs_Embarques!$G$5:$G$11,MATCH(N30,Refs_Embarques!$A$5:$A$11,0)),"")</f>
        <v>46251</v>
      </c>
      <c r="Q30" s="25">
        <f>IFERROR(INDEX(Refs_Embarques!$H$5:$H$11,MATCH(N30,Refs_Embarques!$A$5:$A$11,0)),"")</f>
        <v>46303</v>
      </c>
      <c r="R30" s="25">
        <f>IFERROR(INDEX(Refs_Embarques!$I$5:$I$11,MATCH(N30,Refs_Embarques!$A$5:$A$11,0)),"")</f>
        <v>46310</v>
      </c>
      <c r="S30" s="4"/>
      <c r="T30" s="4"/>
      <c r="U30" s="4"/>
      <c r="V30" s="4"/>
    </row>
    <row r="31" spans="1:22" ht="28.8" customHeight="1" x14ac:dyDescent="0.3">
      <c r="A31" s="4" t="s">
        <v>78</v>
      </c>
      <c r="B31" s="4" t="s">
        <v>79</v>
      </c>
      <c r="C31" s="4" t="s">
        <v>80</v>
      </c>
      <c r="D31" s="4" t="s">
        <v>20</v>
      </c>
      <c r="E31" s="14" t="s">
        <v>34</v>
      </c>
      <c r="F31" s="14" t="s">
        <v>83</v>
      </c>
      <c r="G31" s="14" t="s">
        <v>84</v>
      </c>
      <c r="H31" s="4">
        <v>300</v>
      </c>
      <c r="I31" s="4">
        <v>3.492</v>
      </c>
      <c r="J31" s="4">
        <v>6000</v>
      </c>
      <c r="K31" s="4"/>
      <c r="L31" s="4" t="s">
        <v>69</v>
      </c>
      <c r="M31" s="33">
        <v>300</v>
      </c>
      <c r="N31" s="19" t="s">
        <v>37</v>
      </c>
      <c r="O31" s="25">
        <f>IFERROR(INDEX(Refs_Embarques!$F$5:$F$11,MATCH(N31,Refs_Embarques!$A$5:$A$11,0)),"")</f>
        <v>46204</v>
      </c>
      <c r="P31" s="25">
        <f>IFERROR(INDEX(Refs_Embarques!$G$5:$G$11,MATCH(N31,Refs_Embarques!$A$5:$A$11,0)),"")</f>
        <v>46211</v>
      </c>
      <c r="Q31" s="25">
        <f>IFERROR(INDEX(Refs_Embarques!$H$5:$H$11,MATCH(N31,Refs_Embarques!$A$5:$A$11,0)),"")</f>
        <v>46263</v>
      </c>
      <c r="R31" s="25">
        <f>IFERROR(INDEX(Refs_Embarques!$I$5:$I$11,MATCH(N31,Refs_Embarques!$A$5:$A$11,0)),"")</f>
        <v>46270</v>
      </c>
      <c r="S31" s="4"/>
      <c r="T31" s="4"/>
      <c r="U31" s="4"/>
      <c r="V31" s="4"/>
    </row>
    <row r="32" spans="1:22" ht="28.8" customHeight="1" x14ac:dyDescent="0.3">
      <c r="A32" s="4" t="s">
        <v>78</v>
      </c>
      <c r="B32" s="4" t="s">
        <v>79</v>
      </c>
      <c r="C32" s="4" t="s">
        <v>80</v>
      </c>
      <c r="D32" s="4" t="s">
        <v>20</v>
      </c>
      <c r="E32" s="14" t="s">
        <v>21</v>
      </c>
      <c r="F32" s="14" t="s">
        <v>85</v>
      </c>
      <c r="G32" s="14" t="s">
        <v>86</v>
      </c>
      <c r="H32" s="4">
        <v>100</v>
      </c>
      <c r="I32" s="4">
        <v>1.0329999999999999</v>
      </c>
      <c r="J32" s="4">
        <v>2435</v>
      </c>
      <c r="K32" s="4"/>
      <c r="L32" s="4" t="s">
        <v>69</v>
      </c>
      <c r="M32" s="33">
        <v>100</v>
      </c>
      <c r="N32" s="19" t="s">
        <v>49</v>
      </c>
      <c r="O32" s="25">
        <f>IFERROR(INDEX(Refs_Embarques!$F$5:$F$11,MATCH(N32,Refs_Embarques!$A$5:$A$11,0)),"")</f>
        <v>46244</v>
      </c>
      <c r="P32" s="25">
        <f>IFERROR(INDEX(Refs_Embarques!$G$5:$G$11,MATCH(N32,Refs_Embarques!$A$5:$A$11,0)),"")</f>
        <v>46251</v>
      </c>
      <c r="Q32" s="25">
        <f>IFERROR(INDEX(Refs_Embarques!$H$5:$H$11,MATCH(N32,Refs_Embarques!$A$5:$A$11,0)),"")</f>
        <v>46303</v>
      </c>
      <c r="R32" s="25">
        <f>IFERROR(INDEX(Refs_Embarques!$I$5:$I$11,MATCH(N32,Refs_Embarques!$A$5:$A$11,0)),"")</f>
        <v>46310</v>
      </c>
      <c r="S32" s="4"/>
      <c r="T32" s="4"/>
      <c r="U32" s="4"/>
      <c r="V32" s="4"/>
    </row>
    <row r="33" spans="1:22" x14ac:dyDescent="0.3">
      <c r="A33" s="4" t="s">
        <v>78</v>
      </c>
      <c r="B33" s="4" t="s">
        <v>79</v>
      </c>
      <c r="C33" s="4" t="s">
        <v>80</v>
      </c>
      <c r="D33" s="4" t="s">
        <v>20</v>
      </c>
      <c r="E33" s="14" t="s">
        <v>21</v>
      </c>
      <c r="F33" s="14" t="s">
        <v>87</v>
      </c>
      <c r="G33" s="14" t="s">
        <v>88</v>
      </c>
      <c r="H33" s="4">
        <v>500</v>
      </c>
      <c r="I33" s="4">
        <v>0.627</v>
      </c>
      <c r="J33" s="4">
        <v>1385</v>
      </c>
      <c r="K33" s="4"/>
      <c r="L33" s="4" t="s">
        <v>69</v>
      </c>
      <c r="M33" s="32">
        <v>504</v>
      </c>
      <c r="N33" s="19" t="s">
        <v>49</v>
      </c>
      <c r="O33" s="25">
        <f>IFERROR(INDEX(Refs_Embarques!$F$5:$F$11,MATCH(N33,Refs_Embarques!$A$5:$A$11,0)),"")</f>
        <v>46244</v>
      </c>
      <c r="P33" s="25">
        <f>IFERROR(INDEX(Refs_Embarques!$G$5:$G$11,MATCH(N33,Refs_Embarques!$A$5:$A$11,0)),"")</f>
        <v>46251</v>
      </c>
      <c r="Q33" s="25">
        <f>IFERROR(INDEX(Refs_Embarques!$H$5:$H$11,MATCH(N33,Refs_Embarques!$A$5:$A$11,0)),"")</f>
        <v>46303</v>
      </c>
      <c r="R33" s="25">
        <f>IFERROR(INDEX(Refs_Embarques!$I$5:$I$11,MATCH(N33,Refs_Embarques!$A$5:$A$11,0)),"")</f>
        <v>46310</v>
      </c>
      <c r="S33" s="4"/>
      <c r="T33" s="4"/>
      <c r="U33" s="4"/>
      <c r="V33" s="4"/>
    </row>
    <row r="34" spans="1:22" ht="27.6" x14ac:dyDescent="0.3">
      <c r="A34" s="37" t="s">
        <v>24</v>
      </c>
      <c r="B34" s="42"/>
      <c r="C34" s="35">
        <v>46274</v>
      </c>
      <c r="D34" s="42" t="s">
        <v>89</v>
      </c>
      <c r="E34" s="45" t="s">
        <v>31</v>
      </c>
      <c r="F34" s="37" t="s">
        <v>90</v>
      </c>
      <c r="G34" s="45" t="s">
        <v>91</v>
      </c>
      <c r="H34" s="46">
        <v>50</v>
      </c>
      <c r="I34" s="47">
        <v>7.9000000000000001E-2</v>
      </c>
      <c r="J34" s="46">
        <v>397.5</v>
      </c>
      <c r="K34" s="42"/>
      <c r="L34" s="42"/>
      <c r="M34" s="41">
        <v>50</v>
      </c>
      <c r="N34" s="42" t="s">
        <v>24</v>
      </c>
      <c r="O34" s="35">
        <v>46208</v>
      </c>
      <c r="P34" s="35">
        <v>46215</v>
      </c>
      <c r="Q34" s="35">
        <v>46267</v>
      </c>
      <c r="R34" s="35">
        <v>46274</v>
      </c>
      <c r="S34" s="4"/>
      <c r="T34" s="4"/>
      <c r="U34" s="4"/>
      <c r="V34" s="4"/>
    </row>
    <row r="35" spans="1:22" ht="27.6" x14ac:dyDescent="0.3">
      <c r="A35" s="37" t="s">
        <v>24</v>
      </c>
      <c r="B35" s="42"/>
      <c r="C35" s="35">
        <v>46274</v>
      </c>
      <c r="D35" s="42" t="s">
        <v>89</v>
      </c>
      <c r="E35" s="45" t="s">
        <v>31</v>
      </c>
      <c r="F35" s="37" t="s">
        <v>92</v>
      </c>
      <c r="G35" s="45" t="s">
        <v>93</v>
      </c>
      <c r="H35" s="46">
        <v>50</v>
      </c>
      <c r="I35" s="47">
        <v>7.9000000000000001E-2</v>
      </c>
      <c r="J35" s="46">
        <v>400</v>
      </c>
      <c r="K35" s="42"/>
      <c r="L35" s="42"/>
      <c r="M35" s="41">
        <v>50</v>
      </c>
      <c r="N35" s="42" t="s">
        <v>24</v>
      </c>
      <c r="O35" s="35">
        <v>46208</v>
      </c>
      <c r="P35" s="35">
        <v>46215</v>
      </c>
      <c r="Q35" s="35">
        <v>46267</v>
      </c>
      <c r="R35" s="35">
        <v>46274</v>
      </c>
      <c r="S35" s="4"/>
      <c r="T35" s="4"/>
      <c r="U35" s="4"/>
      <c r="V35" s="4"/>
    </row>
    <row r="36" spans="1:22" ht="27.6" x14ac:dyDescent="0.3">
      <c r="A36" s="37" t="s">
        <v>70</v>
      </c>
      <c r="B36" s="42"/>
      <c r="C36" s="35">
        <v>46284</v>
      </c>
      <c r="D36" s="42" t="s">
        <v>89</v>
      </c>
      <c r="E36" s="45" t="s">
        <v>34</v>
      </c>
      <c r="F36" s="37" t="s">
        <v>94</v>
      </c>
      <c r="G36" s="45" t="s">
        <v>95</v>
      </c>
      <c r="H36" s="46">
        <v>300</v>
      </c>
      <c r="I36" s="47">
        <v>1.181</v>
      </c>
      <c r="J36" s="46">
        <v>2850</v>
      </c>
      <c r="K36" s="42"/>
      <c r="L36" s="42"/>
      <c r="M36" s="41">
        <v>300</v>
      </c>
      <c r="N36" s="42" t="s">
        <v>70</v>
      </c>
      <c r="O36" s="35">
        <v>46218</v>
      </c>
      <c r="P36" s="35">
        <v>46225</v>
      </c>
      <c r="Q36" s="35">
        <v>46277</v>
      </c>
      <c r="R36" s="35">
        <v>46284</v>
      </c>
      <c r="S36" s="4"/>
      <c r="T36" s="4"/>
      <c r="U36" s="4"/>
      <c r="V36" s="4"/>
    </row>
    <row r="37" spans="1:22" ht="27.6" x14ac:dyDescent="0.3">
      <c r="A37" s="37" t="s">
        <v>49</v>
      </c>
      <c r="B37" s="42"/>
      <c r="C37" s="35">
        <v>46310</v>
      </c>
      <c r="D37" s="42" t="s">
        <v>89</v>
      </c>
      <c r="E37" s="45" t="s">
        <v>21</v>
      </c>
      <c r="F37" s="37" t="s">
        <v>96</v>
      </c>
      <c r="G37" s="45" t="s">
        <v>97</v>
      </c>
      <c r="H37" s="46">
        <v>100</v>
      </c>
      <c r="I37" s="47">
        <v>0.69599999999999995</v>
      </c>
      <c r="J37" s="46">
        <v>220</v>
      </c>
      <c r="K37" s="42"/>
      <c r="L37" s="42"/>
      <c r="M37" s="41">
        <v>100</v>
      </c>
      <c r="N37" s="42" t="s">
        <v>49</v>
      </c>
      <c r="O37" s="35">
        <v>46244</v>
      </c>
      <c r="P37" s="35">
        <v>46251</v>
      </c>
      <c r="Q37" s="35">
        <v>46303</v>
      </c>
      <c r="R37" s="35">
        <v>46310</v>
      </c>
      <c r="S37" s="4"/>
      <c r="T37" s="4"/>
      <c r="U37" s="4"/>
      <c r="V37" s="4"/>
    </row>
    <row r="38" spans="1:22" ht="27.6" x14ac:dyDescent="0.3">
      <c r="A38" s="37" t="s">
        <v>49</v>
      </c>
      <c r="B38" s="42"/>
      <c r="C38" s="35">
        <v>46310</v>
      </c>
      <c r="D38" s="42" t="s">
        <v>89</v>
      </c>
      <c r="E38" s="45" t="s">
        <v>21</v>
      </c>
      <c r="F38" s="37" t="s">
        <v>98</v>
      </c>
      <c r="G38" s="45" t="s">
        <v>99</v>
      </c>
      <c r="H38" s="46">
        <v>100</v>
      </c>
      <c r="I38" s="47">
        <v>1.2999999999999999E-2</v>
      </c>
      <c r="J38" s="46">
        <v>232</v>
      </c>
      <c r="K38" s="42"/>
      <c r="L38" s="42"/>
      <c r="M38" s="41">
        <v>100</v>
      </c>
      <c r="N38" s="42" t="s">
        <v>49</v>
      </c>
      <c r="O38" s="35">
        <v>46244</v>
      </c>
      <c r="P38" s="35">
        <v>46251</v>
      </c>
      <c r="Q38" s="35">
        <v>46303</v>
      </c>
      <c r="R38" s="35">
        <v>46310</v>
      </c>
      <c r="S38" s="4"/>
      <c r="T38" s="4"/>
      <c r="U38" s="4"/>
      <c r="V38" s="4"/>
    </row>
    <row r="39" spans="1:22" ht="27.6" x14ac:dyDescent="0.3">
      <c r="A39" s="37" t="s">
        <v>37</v>
      </c>
      <c r="B39" s="42"/>
      <c r="C39" s="35">
        <v>46270</v>
      </c>
      <c r="D39" s="42" t="s">
        <v>89</v>
      </c>
      <c r="E39" s="45" t="s">
        <v>21</v>
      </c>
      <c r="F39" s="37" t="s">
        <v>100</v>
      </c>
      <c r="G39" s="45" t="s">
        <v>101</v>
      </c>
      <c r="H39" s="46">
        <v>100</v>
      </c>
      <c r="I39" s="47">
        <v>0.26600000000000001</v>
      </c>
      <c r="J39" s="46">
        <v>360</v>
      </c>
      <c r="K39" s="42"/>
      <c r="L39" s="42"/>
      <c r="M39" s="41">
        <v>100</v>
      </c>
      <c r="N39" s="42" t="s">
        <v>37</v>
      </c>
      <c r="O39" s="35">
        <v>46204</v>
      </c>
      <c r="P39" s="35">
        <v>46211</v>
      </c>
      <c r="Q39" s="35">
        <v>46263</v>
      </c>
      <c r="R39" s="35">
        <v>46270</v>
      </c>
      <c r="S39" s="4"/>
      <c r="T39" s="4"/>
      <c r="U39" s="4"/>
      <c r="V39" s="4"/>
    </row>
    <row r="40" spans="1:22" ht="27.6" x14ac:dyDescent="0.3">
      <c r="A40" s="37" t="s">
        <v>49</v>
      </c>
      <c r="B40" s="42"/>
      <c r="C40" s="35">
        <v>46310</v>
      </c>
      <c r="D40" s="42" t="s">
        <v>89</v>
      </c>
      <c r="E40" s="45" t="s">
        <v>63</v>
      </c>
      <c r="F40" s="37" t="s">
        <v>102</v>
      </c>
      <c r="G40" s="45" t="s">
        <v>103</v>
      </c>
      <c r="H40" s="46">
        <v>200</v>
      </c>
      <c r="I40" s="47">
        <v>17.783000000000001</v>
      </c>
      <c r="J40" s="46">
        <v>4700</v>
      </c>
      <c r="K40" s="42"/>
      <c r="L40" s="42"/>
      <c r="M40" s="41">
        <v>200</v>
      </c>
      <c r="N40" s="42" t="s">
        <v>49</v>
      </c>
      <c r="O40" s="35">
        <v>46244</v>
      </c>
      <c r="P40" s="35">
        <v>46251</v>
      </c>
      <c r="Q40" s="35">
        <v>46303</v>
      </c>
      <c r="R40" s="35">
        <v>46310</v>
      </c>
      <c r="S40" s="4"/>
      <c r="T40" s="4"/>
      <c r="U40" s="4"/>
      <c r="V40" s="4"/>
    </row>
    <row r="41" spans="1:22" ht="27.6" x14ac:dyDescent="0.3">
      <c r="A41" s="37" t="s">
        <v>37</v>
      </c>
      <c r="B41" s="42"/>
      <c r="C41" s="35">
        <v>46270</v>
      </c>
      <c r="D41" s="42" t="s">
        <v>89</v>
      </c>
      <c r="E41" s="45" t="s">
        <v>63</v>
      </c>
      <c r="F41" s="37" t="s">
        <v>104</v>
      </c>
      <c r="G41" s="45" t="s">
        <v>105</v>
      </c>
      <c r="H41" s="46">
        <v>150</v>
      </c>
      <c r="I41" s="47">
        <v>2.3620000000000001</v>
      </c>
      <c r="J41" s="46">
        <v>690</v>
      </c>
      <c r="K41" s="42"/>
      <c r="L41" s="42"/>
      <c r="M41" s="41">
        <v>150</v>
      </c>
      <c r="N41" s="42" t="s">
        <v>37</v>
      </c>
      <c r="O41" s="35">
        <v>46204</v>
      </c>
      <c r="P41" s="35">
        <v>46211</v>
      </c>
      <c r="Q41" s="35">
        <v>46263</v>
      </c>
      <c r="R41" s="35">
        <v>46270</v>
      </c>
      <c r="S41" s="4"/>
      <c r="T41" s="4"/>
      <c r="U41" s="4"/>
      <c r="V41" s="4"/>
    </row>
    <row r="42" spans="1:22" ht="27.6" x14ac:dyDescent="0.3">
      <c r="A42" s="37" t="s">
        <v>24</v>
      </c>
      <c r="B42" s="42"/>
      <c r="C42" s="35">
        <v>46274</v>
      </c>
      <c r="D42" s="42" t="s">
        <v>89</v>
      </c>
      <c r="E42" s="45" t="s">
        <v>63</v>
      </c>
      <c r="F42" s="37" t="s">
        <v>106</v>
      </c>
      <c r="G42" s="45" t="s">
        <v>107</v>
      </c>
      <c r="H42" s="46">
        <v>150</v>
      </c>
      <c r="I42" s="47">
        <v>0.80500000000000005</v>
      </c>
      <c r="J42" s="46">
        <v>3900</v>
      </c>
      <c r="K42" s="42"/>
      <c r="L42" s="42"/>
      <c r="M42" s="41">
        <v>150</v>
      </c>
      <c r="N42" s="42" t="s">
        <v>24</v>
      </c>
      <c r="O42" s="35">
        <v>46208</v>
      </c>
      <c r="P42" s="35">
        <v>46215</v>
      </c>
      <c r="Q42" s="35">
        <v>46267</v>
      </c>
      <c r="R42" s="35">
        <v>46274</v>
      </c>
      <c r="S42" s="4"/>
      <c r="T42" s="4"/>
      <c r="U42" s="4"/>
      <c r="V42" s="4"/>
    </row>
    <row r="43" spans="1:22" ht="27.6" x14ac:dyDescent="0.3">
      <c r="A43" s="37" t="s">
        <v>37</v>
      </c>
      <c r="B43" s="42"/>
      <c r="C43" s="35">
        <v>46270</v>
      </c>
      <c r="D43" s="42" t="s">
        <v>89</v>
      </c>
      <c r="E43" s="45" t="s">
        <v>63</v>
      </c>
      <c r="F43" s="37" t="s">
        <v>108</v>
      </c>
      <c r="G43" s="45" t="s">
        <v>109</v>
      </c>
      <c r="H43" s="46">
        <v>20</v>
      </c>
      <c r="I43" s="47">
        <v>0.504</v>
      </c>
      <c r="J43" s="46">
        <v>580</v>
      </c>
      <c r="K43" s="42"/>
      <c r="L43" s="42"/>
      <c r="M43" s="41">
        <v>20</v>
      </c>
      <c r="N43" s="42" t="s">
        <v>37</v>
      </c>
      <c r="O43" s="35">
        <v>46204</v>
      </c>
      <c r="P43" s="35">
        <v>46211</v>
      </c>
      <c r="Q43" s="35">
        <v>46263</v>
      </c>
      <c r="R43" s="35">
        <v>46270</v>
      </c>
      <c r="S43" s="4"/>
      <c r="T43" s="4"/>
      <c r="U43" s="4"/>
      <c r="V43" s="4"/>
    </row>
    <row r="44" spans="1:22" ht="27.6" x14ac:dyDescent="0.3">
      <c r="A44" s="37" t="s">
        <v>49</v>
      </c>
      <c r="B44" s="42"/>
      <c r="C44" s="35">
        <v>46310</v>
      </c>
      <c r="D44" s="42" t="s">
        <v>89</v>
      </c>
      <c r="E44" s="45" t="s">
        <v>63</v>
      </c>
      <c r="F44" s="37" t="s">
        <v>110</v>
      </c>
      <c r="G44" s="45" t="s">
        <v>111</v>
      </c>
      <c r="H44" s="46">
        <v>20</v>
      </c>
      <c r="I44" s="47"/>
      <c r="J44" s="46">
        <v>2910</v>
      </c>
      <c r="K44" s="42"/>
      <c r="L44" s="42"/>
      <c r="M44" s="41">
        <v>20</v>
      </c>
      <c r="N44" s="42" t="s">
        <v>49</v>
      </c>
      <c r="O44" s="35">
        <v>46244</v>
      </c>
      <c r="P44" s="35">
        <v>46251</v>
      </c>
      <c r="Q44" s="35">
        <v>46303</v>
      </c>
      <c r="R44" s="35">
        <v>46310</v>
      </c>
      <c r="S44" s="4"/>
      <c r="T44" s="4"/>
      <c r="U44" s="4"/>
      <c r="V44" s="4"/>
    </row>
    <row r="45" spans="1:22" x14ac:dyDescent="0.3">
      <c r="L45" s="4"/>
      <c r="M45" s="34"/>
      <c r="N45" s="4"/>
      <c r="O45" s="4"/>
      <c r="P45" s="14"/>
      <c r="Q45" s="14"/>
      <c r="R45" s="14"/>
      <c r="S45" s="4"/>
      <c r="T45" s="4"/>
      <c r="U45" s="4"/>
      <c r="V45" s="4"/>
    </row>
    <row r="46" spans="1:22" x14ac:dyDescent="0.3">
      <c r="L46" s="4"/>
      <c r="M46" s="34"/>
      <c r="N46" s="4"/>
      <c r="O46" s="4"/>
      <c r="P46" s="14"/>
      <c r="Q46" s="14"/>
      <c r="R46" s="14"/>
      <c r="S46" s="4"/>
      <c r="T46" s="4"/>
      <c r="U46" s="4"/>
      <c r="V46" s="4"/>
    </row>
    <row r="47" spans="1:22" x14ac:dyDescent="0.3">
      <c r="L47" s="4"/>
      <c r="M47" s="34"/>
      <c r="N47" s="4"/>
      <c r="O47" s="4"/>
      <c r="P47" s="14"/>
      <c r="Q47" s="14"/>
      <c r="R47" s="14"/>
      <c r="S47" s="4"/>
      <c r="T47" s="4"/>
      <c r="U47" s="4"/>
      <c r="V47" s="13"/>
    </row>
  </sheetData>
  <conditionalFormatting sqref="M2:M47">
    <cfRule type="expression" dxfId="19" priority="5">
      <formula>AND(ISNUMBER(M2),M2=H2)</formula>
    </cfRule>
    <cfRule type="expression" dxfId="18" priority="6">
      <formula>AND(ISNUMBER(M2),M2&gt;H2)</formula>
    </cfRule>
    <cfRule type="expression" dxfId="17" priority="7">
      <formula>AND(ISNUMBER(M2),M2&lt;H2,M2&gt;0)</formula>
    </cfRule>
    <cfRule type="expression" dxfId="16" priority="8">
      <formula>OR(M2="",ISBLANK(M2))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"/>
  <sheetViews>
    <sheetView topLeftCell="D1" workbookViewId="0">
      <pane ySplit="1" topLeftCell="A2" activePane="bottomLeft" state="frozen"/>
      <selection pane="bottomLeft" activeCell="G12" sqref="G12"/>
    </sheetView>
  </sheetViews>
  <sheetFormatPr baseColWidth="10" defaultColWidth="8.88671875" defaultRowHeight="14.4" x14ac:dyDescent="0.3"/>
  <cols>
    <col min="1" max="1" width="10" customWidth="1"/>
    <col min="2" max="3" width="12" customWidth="1"/>
    <col min="4" max="4" width="10" customWidth="1"/>
    <col min="5" max="5" width="9" customWidth="1"/>
    <col min="6" max="6" width="16" customWidth="1"/>
    <col min="7" max="7" width="46" customWidth="1"/>
    <col min="8" max="8" width="8" customWidth="1"/>
    <col min="9" max="9" width="9" customWidth="1"/>
    <col min="10" max="11" width="11" customWidth="1"/>
    <col min="12" max="12" width="9" customWidth="1"/>
    <col min="13" max="18" width="16" customWidth="1"/>
  </cols>
  <sheetData>
    <row r="1" spans="1:18" ht="27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7" t="s">
        <v>12</v>
      </c>
      <c r="N1" s="17" t="s">
        <v>13</v>
      </c>
      <c r="O1" s="17" t="s">
        <v>1</v>
      </c>
      <c r="P1" s="17" t="s">
        <v>14</v>
      </c>
      <c r="Q1" s="17" t="s">
        <v>15</v>
      </c>
      <c r="R1" s="17" t="s">
        <v>16</v>
      </c>
    </row>
    <row r="2" spans="1:18" x14ac:dyDescent="0.3">
      <c r="A2" s="4" t="s">
        <v>121</v>
      </c>
      <c r="B2" s="4" t="s">
        <v>162</v>
      </c>
      <c r="C2" s="4" t="s">
        <v>163</v>
      </c>
      <c r="D2" s="4" t="s">
        <v>30</v>
      </c>
      <c r="E2" s="14" t="s">
        <v>73</v>
      </c>
      <c r="F2" s="14" t="s">
        <v>178</v>
      </c>
      <c r="G2" s="14" t="s">
        <v>179</v>
      </c>
      <c r="H2" s="4">
        <v>2000</v>
      </c>
      <c r="I2" s="4">
        <v>26.181999999999999</v>
      </c>
      <c r="J2" s="4">
        <v>48000</v>
      </c>
      <c r="K2" s="4"/>
      <c r="L2" s="13" t="s">
        <v>69</v>
      </c>
      <c r="M2" s="32">
        <v>2004</v>
      </c>
      <c r="N2" s="19" t="s">
        <v>121</v>
      </c>
      <c r="O2" s="25">
        <f>IFERROR(INDEX(Refs_Embarques!$F$5:$F$11,MATCH(N2,Refs_Embarques!$A$5:$A$11,0)),"")</f>
        <v>46223</v>
      </c>
      <c r="P2" s="25">
        <f>IFERROR(INDEX(Refs_Embarques!$G$5:$G$11,MATCH(N2,Refs_Embarques!$A$5:$A$11,0)),"")</f>
        <v>46230</v>
      </c>
      <c r="Q2" s="25">
        <f>IFERROR(INDEX(Refs_Embarques!$H$5:$H$11,MATCH(N2,Refs_Embarques!$A$5:$A$11,0)),"")</f>
        <v>46275</v>
      </c>
      <c r="R2" s="25">
        <f>IFERROR(INDEX(Refs_Embarques!$I$5:$I$11,MATCH(N2,Refs_Embarques!$A$5:$A$11,0)),"")</f>
        <v>46282</v>
      </c>
    </row>
    <row r="3" spans="1:18" ht="28.8" customHeight="1" x14ac:dyDescent="0.3">
      <c r="A3" s="4" t="s">
        <v>121</v>
      </c>
      <c r="B3" s="4" t="s">
        <v>162</v>
      </c>
      <c r="C3" s="4" t="s">
        <v>163</v>
      </c>
      <c r="D3" s="4" t="s">
        <v>180</v>
      </c>
      <c r="E3" s="14" t="s">
        <v>73</v>
      </c>
      <c r="F3" s="14" t="s">
        <v>181</v>
      </c>
      <c r="G3" s="14" t="s">
        <v>182</v>
      </c>
      <c r="H3" s="4">
        <v>1000</v>
      </c>
      <c r="I3" s="4">
        <v>13.092000000000001</v>
      </c>
      <c r="J3" s="4">
        <v>24000</v>
      </c>
      <c r="K3" s="4"/>
      <c r="L3" s="13" t="s">
        <v>69</v>
      </c>
      <c r="M3" s="32">
        <v>1002</v>
      </c>
      <c r="N3" s="19" t="s">
        <v>121</v>
      </c>
      <c r="O3" s="25">
        <f>IFERROR(INDEX(Refs_Embarques!$F$5:$F$11,MATCH(N3,Refs_Embarques!$A$5:$A$11,0)),"")</f>
        <v>46223</v>
      </c>
      <c r="P3" s="25">
        <f>IFERROR(INDEX(Refs_Embarques!$G$5:$G$11,MATCH(N3,Refs_Embarques!$A$5:$A$11,0)),"")</f>
        <v>46230</v>
      </c>
      <c r="Q3" s="25">
        <f>IFERROR(INDEX(Refs_Embarques!$H$5:$H$11,MATCH(N3,Refs_Embarques!$A$5:$A$11,0)),"")</f>
        <v>46275</v>
      </c>
      <c r="R3" s="25">
        <f>IFERROR(INDEX(Refs_Embarques!$I$5:$I$11,MATCH(N3,Refs_Embarques!$A$5:$A$11,0)),"")</f>
        <v>46282</v>
      </c>
    </row>
    <row r="4" spans="1:18" ht="27.6" x14ac:dyDescent="0.3">
      <c r="A4" s="37" t="s">
        <v>173</v>
      </c>
      <c r="B4" s="42"/>
      <c r="C4" s="35">
        <v>46308</v>
      </c>
      <c r="D4" s="42" t="s">
        <v>89</v>
      </c>
      <c r="E4" s="45" t="s">
        <v>183</v>
      </c>
      <c r="F4" s="37" t="s">
        <v>184</v>
      </c>
      <c r="G4" s="45" t="s">
        <v>185</v>
      </c>
      <c r="H4" s="46">
        <v>80</v>
      </c>
      <c r="I4" s="47">
        <v>2.843</v>
      </c>
      <c r="J4" s="46">
        <v>1918.4</v>
      </c>
      <c r="K4" s="42"/>
      <c r="L4" s="42"/>
      <c r="M4" s="41">
        <v>80</v>
      </c>
      <c r="N4" s="42" t="s">
        <v>173</v>
      </c>
      <c r="O4" s="35">
        <v>46249</v>
      </c>
      <c r="P4" s="35">
        <v>46256</v>
      </c>
      <c r="Q4" s="35">
        <v>46301</v>
      </c>
      <c r="R4" s="35">
        <v>46308</v>
      </c>
    </row>
    <row r="5" spans="1:18" ht="27.6" x14ac:dyDescent="0.3">
      <c r="A5" s="37" t="s">
        <v>173</v>
      </c>
      <c r="B5" s="42"/>
      <c r="C5" s="35">
        <v>46308</v>
      </c>
      <c r="D5" s="42" t="s">
        <v>89</v>
      </c>
      <c r="E5" s="45" t="s">
        <v>183</v>
      </c>
      <c r="F5" s="37" t="s">
        <v>186</v>
      </c>
      <c r="G5" s="45" t="s">
        <v>187</v>
      </c>
      <c r="H5" s="46">
        <v>80</v>
      </c>
      <c r="I5" s="47">
        <v>0.30199999999999999</v>
      </c>
      <c r="J5" s="46">
        <v>416</v>
      </c>
      <c r="K5" s="42"/>
      <c r="L5" s="42"/>
      <c r="M5" s="41">
        <v>80</v>
      </c>
      <c r="N5" s="42" t="s">
        <v>173</v>
      </c>
      <c r="O5" s="35">
        <v>46249</v>
      </c>
      <c r="P5" s="35">
        <v>46256</v>
      </c>
      <c r="Q5" s="35">
        <v>46301</v>
      </c>
      <c r="R5" s="35">
        <v>46308</v>
      </c>
    </row>
    <row r="6" spans="1:18" ht="27.6" x14ac:dyDescent="0.3">
      <c r="A6" s="37" t="s">
        <v>173</v>
      </c>
      <c r="B6" s="42"/>
      <c r="C6" s="35">
        <v>46308</v>
      </c>
      <c r="D6" s="42" t="s">
        <v>89</v>
      </c>
      <c r="E6" s="45" t="s">
        <v>183</v>
      </c>
      <c r="F6" s="37" t="s">
        <v>188</v>
      </c>
      <c r="G6" s="45" t="s">
        <v>189</v>
      </c>
      <c r="H6" s="46">
        <v>50</v>
      </c>
      <c r="I6" s="47">
        <v>2.1549999999999998</v>
      </c>
      <c r="J6" s="46">
        <v>1447.5</v>
      </c>
      <c r="K6" s="42"/>
      <c r="L6" s="42"/>
      <c r="M6" s="41">
        <v>50</v>
      </c>
      <c r="N6" s="42" t="s">
        <v>173</v>
      </c>
      <c r="O6" s="35">
        <v>46249</v>
      </c>
      <c r="P6" s="35">
        <v>46256</v>
      </c>
      <c r="Q6" s="35">
        <v>46301</v>
      </c>
      <c r="R6" s="35">
        <v>46308</v>
      </c>
    </row>
    <row r="7" spans="1:18" ht="27.6" x14ac:dyDescent="0.3">
      <c r="A7" s="37" t="s">
        <v>173</v>
      </c>
      <c r="B7" s="42"/>
      <c r="C7" s="35">
        <v>46308</v>
      </c>
      <c r="D7" s="42" t="s">
        <v>89</v>
      </c>
      <c r="E7" s="45" t="s">
        <v>183</v>
      </c>
      <c r="F7" s="37" t="s">
        <v>190</v>
      </c>
      <c r="G7" s="45" t="s">
        <v>191</v>
      </c>
      <c r="H7" s="46">
        <v>30</v>
      </c>
      <c r="I7" s="47">
        <v>1.538</v>
      </c>
      <c r="J7" s="46">
        <v>960.3</v>
      </c>
      <c r="K7" s="42"/>
      <c r="L7" s="42"/>
      <c r="M7" s="41">
        <v>30</v>
      </c>
      <c r="N7" s="42" t="s">
        <v>173</v>
      </c>
      <c r="O7" s="35">
        <v>46249</v>
      </c>
      <c r="P7" s="35">
        <v>46256</v>
      </c>
      <c r="Q7" s="35">
        <v>46301</v>
      </c>
      <c r="R7" s="35">
        <v>46308</v>
      </c>
    </row>
    <row r="8" spans="1:18" ht="27.6" x14ac:dyDescent="0.3">
      <c r="A8" s="37" t="s">
        <v>173</v>
      </c>
      <c r="B8" s="42"/>
      <c r="C8" s="35">
        <v>46308</v>
      </c>
      <c r="D8" s="42" t="s">
        <v>89</v>
      </c>
      <c r="E8" s="45" t="s">
        <v>183</v>
      </c>
      <c r="F8" s="37" t="s">
        <v>192</v>
      </c>
      <c r="G8" s="45" t="s">
        <v>193</v>
      </c>
      <c r="H8" s="46">
        <v>30</v>
      </c>
      <c r="I8" s="47">
        <v>0.33</v>
      </c>
      <c r="J8" s="46">
        <v>420</v>
      </c>
      <c r="K8" s="42"/>
      <c r="L8" s="42"/>
      <c r="M8" s="41">
        <v>30</v>
      </c>
      <c r="N8" s="42" t="s">
        <v>173</v>
      </c>
      <c r="O8" s="35">
        <v>46249</v>
      </c>
      <c r="P8" s="35">
        <v>46256</v>
      </c>
      <c r="Q8" s="35">
        <v>46301</v>
      </c>
      <c r="R8" s="35">
        <v>46308</v>
      </c>
    </row>
    <row r="9" spans="1:18" ht="27.6" x14ac:dyDescent="0.3">
      <c r="A9" s="37" t="s">
        <v>173</v>
      </c>
      <c r="B9" s="42"/>
      <c r="C9" s="35">
        <v>46308</v>
      </c>
      <c r="D9" s="42" t="s">
        <v>89</v>
      </c>
      <c r="E9" s="45" t="s">
        <v>183</v>
      </c>
      <c r="F9" s="37" t="s">
        <v>194</v>
      </c>
      <c r="G9" s="45" t="s">
        <v>195</v>
      </c>
      <c r="H9" s="46">
        <v>30</v>
      </c>
      <c r="I9" s="47">
        <v>1.847</v>
      </c>
      <c r="J9" s="46">
        <v>884.7</v>
      </c>
      <c r="K9" s="42"/>
      <c r="L9" s="42"/>
      <c r="M9" s="41">
        <v>30</v>
      </c>
      <c r="N9" s="42" t="s">
        <v>173</v>
      </c>
      <c r="O9" s="35">
        <v>46249</v>
      </c>
      <c r="P9" s="35">
        <v>46256</v>
      </c>
      <c r="Q9" s="35">
        <v>46301</v>
      </c>
      <c r="R9" s="35">
        <v>46308</v>
      </c>
    </row>
    <row r="10" spans="1:18" ht="27.6" x14ac:dyDescent="0.3">
      <c r="A10" s="37" t="s">
        <v>173</v>
      </c>
      <c r="B10" s="42"/>
      <c r="C10" s="35">
        <v>46308</v>
      </c>
      <c r="D10" s="42" t="s">
        <v>89</v>
      </c>
      <c r="E10" s="45" t="s">
        <v>183</v>
      </c>
      <c r="F10" s="37" t="s">
        <v>196</v>
      </c>
      <c r="G10" s="45" t="s">
        <v>197</v>
      </c>
      <c r="H10" s="46">
        <v>30</v>
      </c>
      <c r="I10" s="47">
        <v>0.35899999999999999</v>
      </c>
      <c r="J10" s="46">
        <v>470.1</v>
      </c>
      <c r="K10" s="42"/>
      <c r="L10" s="42"/>
      <c r="M10" s="41">
        <v>30</v>
      </c>
      <c r="N10" s="42" t="s">
        <v>173</v>
      </c>
      <c r="O10" s="35">
        <v>46249</v>
      </c>
      <c r="P10" s="35">
        <v>46256</v>
      </c>
      <c r="Q10" s="35">
        <v>46301</v>
      </c>
      <c r="R10" s="35">
        <v>46308</v>
      </c>
    </row>
    <row r="11" spans="1:18" ht="27.6" x14ac:dyDescent="0.3">
      <c r="A11" s="37" t="s">
        <v>173</v>
      </c>
      <c r="B11" s="42"/>
      <c r="C11" s="35">
        <v>46308</v>
      </c>
      <c r="D11" s="42" t="s">
        <v>89</v>
      </c>
      <c r="E11" s="45" t="s">
        <v>183</v>
      </c>
      <c r="F11" s="37" t="s">
        <v>198</v>
      </c>
      <c r="G11" s="45" t="s">
        <v>199</v>
      </c>
      <c r="H11" s="46">
        <v>15</v>
      </c>
      <c r="I11" s="47">
        <v>0.47199999999999998</v>
      </c>
      <c r="J11" s="46">
        <v>324.89999999999998</v>
      </c>
      <c r="K11" s="42"/>
      <c r="L11" s="42"/>
      <c r="M11" s="41">
        <v>15</v>
      </c>
      <c r="N11" s="42" t="s">
        <v>173</v>
      </c>
      <c r="O11" s="35">
        <v>46249</v>
      </c>
      <c r="P11" s="35">
        <v>46256</v>
      </c>
      <c r="Q11" s="35">
        <v>46301</v>
      </c>
      <c r="R11" s="35">
        <v>46308</v>
      </c>
    </row>
    <row r="12" spans="1:18" ht="27.6" x14ac:dyDescent="0.3">
      <c r="A12" s="37" t="s">
        <v>173</v>
      </c>
      <c r="B12" s="42"/>
      <c r="C12" s="35">
        <v>46308</v>
      </c>
      <c r="D12" s="42" t="s">
        <v>89</v>
      </c>
      <c r="E12" s="45" t="s">
        <v>183</v>
      </c>
      <c r="F12" s="37" t="s">
        <v>200</v>
      </c>
      <c r="G12" s="45" t="s">
        <v>201</v>
      </c>
      <c r="H12" s="46">
        <v>15</v>
      </c>
      <c r="I12" s="47">
        <v>0.317</v>
      </c>
      <c r="J12" s="46">
        <v>270</v>
      </c>
      <c r="K12" s="42"/>
      <c r="L12" s="42"/>
      <c r="M12" s="41">
        <v>15</v>
      </c>
      <c r="N12" s="42" t="s">
        <v>173</v>
      </c>
      <c r="O12" s="35">
        <v>46249</v>
      </c>
      <c r="P12" s="35">
        <v>46256</v>
      </c>
      <c r="Q12" s="35">
        <v>46301</v>
      </c>
      <c r="R12" s="35">
        <v>46308</v>
      </c>
    </row>
    <row r="13" spans="1:18" ht="27.6" x14ac:dyDescent="0.3">
      <c r="A13" s="37" t="s">
        <v>173</v>
      </c>
      <c r="B13" s="42"/>
      <c r="C13" s="35">
        <v>46308</v>
      </c>
      <c r="D13" s="42" t="s">
        <v>89</v>
      </c>
      <c r="E13" s="45" t="s">
        <v>183</v>
      </c>
      <c r="F13" s="37" t="s">
        <v>202</v>
      </c>
      <c r="G13" s="45" t="s">
        <v>203</v>
      </c>
      <c r="H13" s="46">
        <v>15</v>
      </c>
      <c r="I13" s="47">
        <v>0.104</v>
      </c>
      <c r="J13" s="46">
        <v>165</v>
      </c>
      <c r="K13" s="42"/>
      <c r="L13" s="42"/>
      <c r="M13" s="41">
        <v>15</v>
      </c>
      <c r="N13" s="42" t="s">
        <v>173</v>
      </c>
      <c r="O13" s="35">
        <v>46249</v>
      </c>
      <c r="P13" s="35">
        <v>46256</v>
      </c>
      <c r="Q13" s="35">
        <v>46301</v>
      </c>
      <c r="R13" s="35">
        <v>46308</v>
      </c>
    </row>
    <row r="14" spans="1:18" ht="41.4" x14ac:dyDescent="0.3">
      <c r="A14" s="37" t="s">
        <v>174</v>
      </c>
      <c r="B14" s="42"/>
      <c r="C14" s="35">
        <v>46279</v>
      </c>
      <c r="D14" s="42" t="s">
        <v>89</v>
      </c>
      <c r="E14" s="45" t="s">
        <v>183</v>
      </c>
      <c r="F14" s="37" t="s">
        <v>204</v>
      </c>
      <c r="G14" s="45" t="s">
        <v>205</v>
      </c>
      <c r="H14" s="46">
        <v>5</v>
      </c>
      <c r="I14" s="47">
        <v>0.372</v>
      </c>
      <c r="J14" s="46">
        <v>400</v>
      </c>
      <c r="K14" s="42"/>
      <c r="L14" s="42"/>
      <c r="M14" s="41">
        <v>5</v>
      </c>
      <c r="N14" s="42" t="s">
        <v>174</v>
      </c>
      <c r="O14" s="35">
        <v>46213</v>
      </c>
      <c r="P14" s="35">
        <v>46220</v>
      </c>
      <c r="Q14" s="35">
        <v>46272</v>
      </c>
      <c r="R14" s="35">
        <v>46279</v>
      </c>
    </row>
    <row r="15" spans="1:18" ht="27.6" x14ac:dyDescent="0.3">
      <c r="A15" s="37" t="s">
        <v>121</v>
      </c>
      <c r="B15" s="42"/>
      <c r="C15" s="35">
        <v>46282</v>
      </c>
      <c r="D15" s="42" t="s">
        <v>89</v>
      </c>
      <c r="E15" s="45" t="s">
        <v>34</v>
      </c>
      <c r="F15" s="48" t="s">
        <v>206</v>
      </c>
      <c r="G15" s="45" t="s">
        <v>207</v>
      </c>
      <c r="H15" s="46">
        <v>500</v>
      </c>
      <c r="I15" s="47"/>
      <c r="J15" s="46"/>
      <c r="K15" s="42"/>
      <c r="L15" s="42"/>
      <c r="M15" s="41">
        <v>500</v>
      </c>
      <c r="N15" s="42" t="s">
        <v>121</v>
      </c>
      <c r="O15" s="35">
        <v>46223</v>
      </c>
      <c r="P15" s="35">
        <v>46230</v>
      </c>
      <c r="Q15" s="35">
        <v>46275</v>
      </c>
      <c r="R15" s="35">
        <v>46282</v>
      </c>
    </row>
    <row r="16" spans="1:18" ht="27.6" x14ac:dyDescent="0.3">
      <c r="A16" s="37" t="s">
        <v>121</v>
      </c>
      <c r="B16" s="42"/>
      <c r="C16" s="35">
        <v>46282</v>
      </c>
      <c r="D16" s="42" t="s">
        <v>89</v>
      </c>
      <c r="E16" s="45" t="s">
        <v>34</v>
      </c>
      <c r="F16" s="48" t="s">
        <v>208</v>
      </c>
      <c r="G16" s="45" t="s">
        <v>209</v>
      </c>
      <c r="H16" s="46">
        <v>300</v>
      </c>
      <c r="I16" s="47"/>
      <c r="J16" s="46"/>
      <c r="K16" s="42"/>
      <c r="L16" s="42"/>
      <c r="M16" s="41">
        <v>300</v>
      </c>
      <c r="N16" s="42" t="s">
        <v>121</v>
      </c>
      <c r="O16" s="35">
        <v>46223</v>
      </c>
      <c r="P16" s="35">
        <v>46230</v>
      </c>
      <c r="Q16" s="35">
        <v>46275</v>
      </c>
      <c r="R16" s="35">
        <v>46282</v>
      </c>
    </row>
    <row r="17" spans="1:18" ht="27.6" x14ac:dyDescent="0.3">
      <c r="A17" s="37" t="s">
        <v>173</v>
      </c>
      <c r="B17" s="42"/>
      <c r="C17" s="35">
        <v>46308</v>
      </c>
      <c r="D17" s="42" t="s">
        <v>89</v>
      </c>
      <c r="E17" s="45" t="s">
        <v>21</v>
      </c>
      <c r="F17" s="37" t="s">
        <v>210</v>
      </c>
      <c r="G17" s="45" t="s">
        <v>211</v>
      </c>
      <c r="H17" s="46">
        <v>500</v>
      </c>
      <c r="I17" s="47">
        <v>7.9969999999999999</v>
      </c>
      <c r="J17" s="46">
        <v>3025</v>
      </c>
      <c r="K17" s="42"/>
      <c r="L17" s="42"/>
      <c r="M17" s="41">
        <v>500</v>
      </c>
      <c r="N17" s="42" t="s">
        <v>173</v>
      </c>
      <c r="O17" s="35">
        <v>46249</v>
      </c>
      <c r="P17" s="35">
        <v>46256</v>
      </c>
      <c r="Q17" s="35">
        <v>46301</v>
      </c>
      <c r="R17" s="35">
        <v>46308</v>
      </c>
    </row>
    <row r="18" spans="1:18" ht="41.4" x14ac:dyDescent="0.3">
      <c r="A18" s="37" t="s">
        <v>174</v>
      </c>
      <c r="B18" s="42"/>
      <c r="C18" s="35">
        <v>46279</v>
      </c>
      <c r="D18" s="42" t="s">
        <v>89</v>
      </c>
      <c r="E18" s="45" t="s">
        <v>21</v>
      </c>
      <c r="F18" s="37" t="s">
        <v>212</v>
      </c>
      <c r="G18" s="45" t="s">
        <v>213</v>
      </c>
      <c r="H18" s="46">
        <v>300</v>
      </c>
      <c r="I18" s="47">
        <v>13.541</v>
      </c>
      <c r="J18" s="46">
        <v>9690</v>
      </c>
      <c r="K18" s="42"/>
      <c r="L18" s="42"/>
      <c r="M18" s="41">
        <v>300</v>
      </c>
      <c r="N18" s="42" t="s">
        <v>174</v>
      </c>
      <c r="O18" s="35">
        <v>46213</v>
      </c>
      <c r="P18" s="35">
        <v>46220</v>
      </c>
      <c r="Q18" s="35">
        <v>46272</v>
      </c>
      <c r="R18" s="35">
        <v>46279</v>
      </c>
    </row>
    <row r="19" spans="1:18" ht="41.4" x14ac:dyDescent="0.3">
      <c r="A19" s="37" t="s">
        <v>174</v>
      </c>
      <c r="B19" s="42"/>
      <c r="C19" s="35">
        <v>46279</v>
      </c>
      <c r="D19" s="42" t="s">
        <v>89</v>
      </c>
      <c r="E19" s="45" t="s">
        <v>21</v>
      </c>
      <c r="F19" s="37" t="s">
        <v>214</v>
      </c>
      <c r="G19" s="45" t="s">
        <v>215</v>
      </c>
      <c r="H19" s="46">
        <v>100</v>
      </c>
      <c r="I19" s="47">
        <v>0.40300000000000002</v>
      </c>
      <c r="J19" s="46">
        <v>330</v>
      </c>
      <c r="K19" s="42"/>
      <c r="L19" s="42"/>
      <c r="M19" s="41">
        <v>100</v>
      </c>
      <c r="N19" s="42" t="s">
        <v>174</v>
      </c>
      <c r="O19" s="35">
        <v>46213</v>
      </c>
      <c r="P19" s="35">
        <v>46220</v>
      </c>
      <c r="Q19" s="35">
        <v>46272</v>
      </c>
      <c r="R19" s="35">
        <v>46279</v>
      </c>
    </row>
    <row r="20" spans="1:18" ht="41.4" x14ac:dyDescent="0.3">
      <c r="A20" s="37" t="s">
        <v>174</v>
      </c>
      <c r="B20" s="42"/>
      <c r="C20" s="35">
        <v>46279</v>
      </c>
      <c r="D20" s="42" t="s">
        <v>89</v>
      </c>
      <c r="E20" s="45" t="s">
        <v>21</v>
      </c>
      <c r="F20" s="37" t="s">
        <v>216</v>
      </c>
      <c r="G20" s="45" t="s">
        <v>217</v>
      </c>
      <c r="H20" s="46">
        <v>100</v>
      </c>
      <c r="I20" s="47">
        <v>1.4239999999999999</v>
      </c>
      <c r="J20" s="46">
        <v>526</v>
      </c>
      <c r="K20" s="42"/>
      <c r="L20" s="42"/>
      <c r="M20" s="41">
        <v>100</v>
      </c>
      <c r="N20" s="42" t="s">
        <v>174</v>
      </c>
      <c r="O20" s="35">
        <v>46213</v>
      </c>
      <c r="P20" s="35">
        <v>46220</v>
      </c>
      <c r="Q20" s="35">
        <v>46272</v>
      </c>
      <c r="R20" s="35">
        <v>46279</v>
      </c>
    </row>
    <row r="21" spans="1:18" ht="27.6" x14ac:dyDescent="0.3">
      <c r="A21" s="37" t="s">
        <v>173</v>
      </c>
      <c r="B21" s="42"/>
      <c r="C21" s="35">
        <v>46308</v>
      </c>
      <c r="D21" s="42" t="s">
        <v>89</v>
      </c>
      <c r="E21" s="45" t="s">
        <v>63</v>
      </c>
      <c r="F21" s="37" t="s">
        <v>218</v>
      </c>
      <c r="G21" s="45" t="s">
        <v>219</v>
      </c>
      <c r="H21" s="46">
        <v>250</v>
      </c>
      <c r="I21" s="47">
        <v>17.251000000000001</v>
      </c>
      <c r="J21" s="46">
        <v>6250</v>
      </c>
      <c r="K21" s="42"/>
      <c r="L21" s="42"/>
      <c r="M21" s="41">
        <v>250</v>
      </c>
      <c r="N21" s="42" t="s">
        <v>173</v>
      </c>
      <c r="O21" s="35">
        <v>46249</v>
      </c>
      <c r="P21" s="35">
        <v>46256</v>
      </c>
      <c r="Q21" s="35">
        <v>46301</v>
      </c>
      <c r="R21" s="35">
        <v>46308</v>
      </c>
    </row>
    <row r="22" spans="1:18" ht="41.4" x14ac:dyDescent="0.3">
      <c r="A22" s="37" t="s">
        <v>118</v>
      </c>
      <c r="B22" s="42"/>
      <c r="C22" s="35">
        <v>46269</v>
      </c>
      <c r="D22" s="42" t="s">
        <v>89</v>
      </c>
      <c r="E22" s="45" t="s">
        <v>63</v>
      </c>
      <c r="F22" s="37" t="s">
        <v>220</v>
      </c>
      <c r="G22" s="45" t="s">
        <v>221</v>
      </c>
      <c r="H22" s="46">
        <v>200</v>
      </c>
      <c r="I22" s="47"/>
      <c r="J22" s="46">
        <v>6492</v>
      </c>
      <c r="K22" s="42"/>
      <c r="L22" s="42"/>
      <c r="M22" s="41">
        <v>200</v>
      </c>
      <c r="N22" s="42" t="s">
        <v>118</v>
      </c>
      <c r="O22" s="35">
        <v>46203</v>
      </c>
      <c r="P22" s="35">
        <v>46210</v>
      </c>
      <c r="Q22" s="35">
        <v>46262</v>
      </c>
      <c r="R22" s="35">
        <v>46269</v>
      </c>
    </row>
    <row r="23" spans="1:18" ht="41.4" x14ac:dyDescent="0.3">
      <c r="A23" s="37" t="s">
        <v>174</v>
      </c>
      <c r="B23" s="42"/>
      <c r="C23" s="35">
        <v>46279</v>
      </c>
      <c r="D23" s="42" t="s">
        <v>89</v>
      </c>
      <c r="E23" s="45" t="s">
        <v>63</v>
      </c>
      <c r="F23" s="37" t="s">
        <v>222</v>
      </c>
      <c r="G23" s="45" t="s">
        <v>223</v>
      </c>
      <c r="H23" s="46">
        <v>120</v>
      </c>
      <c r="I23" s="47">
        <v>0.378</v>
      </c>
      <c r="J23" s="46">
        <v>552</v>
      </c>
      <c r="K23" s="42"/>
      <c r="L23" s="42"/>
      <c r="M23" s="41">
        <v>120</v>
      </c>
      <c r="N23" s="42" t="s">
        <v>174</v>
      </c>
      <c r="O23" s="35">
        <v>46213</v>
      </c>
      <c r="P23" s="35">
        <v>46220</v>
      </c>
      <c r="Q23" s="35">
        <v>46272</v>
      </c>
      <c r="R23" s="35">
        <v>46279</v>
      </c>
    </row>
    <row r="24" spans="1:18" ht="41.4" x14ac:dyDescent="0.3">
      <c r="A24" s="37" t="s">
        <v>174</v>
      </c>
      <c r="B24" s="42"/>
      <c r="C24" s="35">
        <v>46279</v>
      </c>
      <c r="D24" s="42" t="s">
        <v>89</v>
      </c>
      <c r="E24" s="45" t="s">
        <v>63</v>
      </c>
      <c r="F24" s="37" t="s">
        <v>224</v>
      </c>
      <c r="G24" s="45" t="s">
        <v>225</v>
      </c>
      <c r="H24" s="46">
        <v>100</v>
      </c>
      <c r="I24" s="47">
        <v>0.79</v>
      </c>
      <c r="J24" s="46">
        <v>300</v>
      </c>
      <c r="K24" s="42"/>
      <c r="L24" s="42"/>
      <c r="M24" s="41">
        <v>100</v>
      </c>
      <c r="N24" s="42" t="s">
        <v>174</v>
      </c>
      <c r="O24" s="35">
        <v>46213</v>
      </c>
      <c r="P24" s="35">
        <v>46220</v>
      </c>
      <c r="Q24" s="35">
        <v>46272</v>
      </c>
      <c r="R24" s="35">
        <v>46279</v>
      </c>
    </row>
    <row r="25" spans="1:18" ht="41.4" x14ac:dyDescent="0.3">
      <c r="A25" s="37" t="s">
        <v>118</v>
      </c>
      <c r="B25" s="42"/>
      <c r="C25" s="35">
        <v>46269</v>
      </c>
      <c r="D25" s="42" t="s">
        <v>89</v>
      </c>
      <c r="E25" s="45" t="s">
        <v>63</v>
      </c>
      <c r="F25" s="37" t="s">
        <v>226</v>
      </c>
      <c r="G25" s="45" t="s">
        <v>227</v>
      </c>
      <c r="H25" s="46">
        <v>100</v>
      </c>
      <c r="I25" s="47"/>
      <c r="J25" s="46">
        <v>7700</v>
      </c>
      <c r="K25" s="42"/>
      <c r="L25" s="42"/>
      <c r="M25" s="41">
        <v>100</v>
      </c>
      <c r="N25" s="42" t="s">
        <v>118</v>
      </c>
      <c r="O25" s="35">
        <v>46203</v>
      </c>
      <c r="P25" s="35">
        <v>46210</v>
      </c>
      <c r="Q25" s="35">
        <v>46262</v>
      </c>
      <c r="R25" s="35">
        <v>46269</v>
      </c>
    </row>
    <row r="26" spans="1:18" ht="27.6" x14ac:dyDescent="0.3">
      <c r="A26" s="37" t="s">
        <v>173</v>
      </c>
      <c r="B26" s="42"/>
      <c r="C26" s="35">
        <v>46308</v>
      </c>
      <c r="D26" s="42" t="s">
        <v>89</v>
      </c>
      <c r="E26" s="45" t="s">
        <v>63</v>
      </c>
      <c r="F26" s="37" t="s">
        <v>228</v>
      </c>
      <c r="G26" s="45" t="s">
        <v>229</v>
      </c>
      <c r="H26" s="46">
        <v>30</v>
      </c>
      <c r="I26" s="47">
        <v>0.96099999999999997</v>
      </c>
      <c r="J26" s="46">
        <v>1950</v>
      </c>
      <c r="K26" s="42"/>
      <c r="L26" s="42"/>
      <c r="M26" s="41">
        <v>30</v>
      </c>
      <c r="N26" s="42" t="s">
        <v>173</v>
      </c>
      <c r="O26" s="35">
        <v>46249</v>
      </c>
      <c r="P26" s="35">
        <v>46256</v>
      </c>
      <c r="Q26" s="35">
        <v>46301</v>
      </c>
      <c r="R26" s="35">
        <v>46308</v>
      </c>
    </row>
    <row r="27" spans="1:18" ht="27.6" x14ac:dyDescent="0.3">
      <c r="A27" s="37" t="s">
        <v>121</v>
      </c>
      <c r="B27" s="42"/>
      <c r="C27" s="35">
        <v>46282</v>
      </c>
      <c r="D27" s="42" t="s">
        <v>89</v>
      </c>
      <c r="E27" s="45" t="s">
        <v>34</v>
      </c>
      <c r="F27" s="48" t="s">
        <v>230</v>
      </c>
      <c r="G27" s="45" t="s">
        <v>231</v>
      </c>
      <c r="H27" s="46">
        <v>200</v>
      </c>
      <c r="I27" s="47">
        <v>0.56499999999999995</v>
      </c>
      <c r="J27" s="46">
        <v>796</v>
      </c>
      <c r="K27" s="42"/>
      <c r="L27" s="42"/>
      <c r="M27" s="41">
        <v>200</v>
      </c>
      <c r="N27" s="42" t="s">
        <v>121</v>
      </c>
      <c r="O27" s="35">
        <v>46223</v>
      </c>
      <c r="P27" s="35">
        <v>46230</v>
      </c>
      <c r="Q27" s="35">
        <v>46275</v>
      </c>
      <c r="R27" s="35">
        <v>46282</v>
      </c>
    </row>
  </sheetData>
  <conditionalFormatting sqref="M2:M27">
    <cfRule type="expression" dxfId="15" priority="5">
      <formula>AND(ISNUMBER(M2),M2=H2)</formula>
    </cfRule>
    <cfRule type="expression" dxfId="14" priority="6">
      <formula>AND(ISNUMBER(M2),M2&gt;H2)</formula>
    </cfRule>
    <cfRule type="expression" dxfId="13" priority="7">
      <formula>AND(ISNUMBER(M2),M2&lt;H2,M2&gt;0)</formula>
    </cfRule>
    <cfRule type="expression" dxfId="12" priority="8">
      <formula>OR(M2="",ISBLANK(M2))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3"/>
  <sheetViews>
    <sheetView workbookViewId="0">
      <pane ySplit="1" topLeftCell="A2" activePane="bottomLeft" state="frozen"/>
      <selection pane="bottomLeft" activeCell="C11" sqref="C11"/>
    </sheetView>
  </sheetViews>
  <sheetFormatPr baseColWidth="10" defaultColWidth="8.88671875" defaultRowHeight="14.4" x14ac:dyDescent="0.3"/>
  <cols>
    <col min="1" max="1" width="9" customWidth="1"/>
    <col min="2" max="2" width="16" customWidth="1"/>
    <col min="3" max="3" width="46" customWidth="1"/>
    <col min="4" max="5" width="8" customWidth="1"/>
    <col min="6" max="7" width="12" customWidth="1"/>
    <col min="8" max="8" width="16" customWidth="1"/>
    <col min="9" max="9" width="14" customWidth="1"/>
    <col min="10" max="10" width="22" customWidth="1"/>
    <col min="11" max="14" width="12" customWidth="1"/>
  </cols>
  <sheetData>
    <row r="1" spans="1:14" ht="28.8" customHeight="1" x14ac:dyDescent="0.3">
      <c r="A1" s="2" t="s">
        <v>4</v>
      </c>
      <c r="B1" s="2" t="s">
        <v>5</v>
      </c>
      <c r="C1" s="2" t="s">
        <v>6</v>
      </c>
      <c r="D1" s="2" t="s">
        <v>232</v>
      </c>
      <c r="E1" s="2" t="s">
        <v>7</v>
      </c>
      <c r="F1" s="2" t="s">
        <v>1</v>
      </c>
      <c r="G1" s="2" t="s">
        <v>2</v>
      </c>
      <c r="H1" s="2" t="s">
        <v>233</v>
      </c>
      <c r="I1" s="22" t="s">
        <v>12</v>
      </c>
      <c r="J1" s="22" t="s">
        <v>13</v>
      </c>
      <c r="K1" s="22" t="s">
        <v>1</v>
      </c>
      <c r="L1" s="22" t="s">
        <v>14</v>
      </c>
      <c r="M1" s="22" t="s">
        <v>15</v>
      </c>
      <c r="N1" s="22" t="s">
        <v>16</v>
      </c>
    </row>
    <row r="2" spans="1:14" x14ac:dyDescent="0.3">
      <c r="A2" s="14" t="s">
        <v>21</v>
      </c>
      <c r="B2" s="14">
        <v>1630369674271</v>
      </c>
      <c r="C2" s="14" t="s">
        <v>68</v>
      </c>
      <c r="D2" s="4" t="s">
        <v>120</v>
      </c>
      <c r="E2" s="4">
        <v>150</v>
      </c>
      <c r="F2" s="4" t="s">
        <v>234</v>
      </c>
      <c r="G2" s="4" t="s">
        <v>235</v>
      </c>
      <c r="H2" s="4" t="s">
        <v>236</v>
      </c>
      <c r="I2" s="26">
        <v>150</v>
      </c>
      <c r="J2" s="24" t="s">
        <v>70</v>
      </c>
      <c r="K2" s="25">
        <f>IFERROR(INDEX(Refs_Embarques!$F$5:$F$11,MATCH(J2,Refs_Embarques!$A$5:$A$11,0)),"")</f>
        <v>46218</v>
      </c>
      <c r="L2" s="25">
        <f>IFERROR(INDEX(Refs_Embarques!$G$5:$G$11,MATCH(J2,Refs_Embarques!$A$5:$A$11,0)),"")</f>
        <v>46225</v>
      </c>
      <c r="M2" s="25">
        <f>IFERROR(INDEX(Refs_Embarques!$H$5:$H$11,MATCH(J2,Refs_Embarques!$A$5:$A$11,0)),"")</f>
        <v>46277</v>
      </c>
      <c r="N2" s="25">
        <f>IFERROR(INDEX(Refs_Embarques!$I$5:$I$11,MATCH(J2,Refs_Embarques!$A$5:$A$11,0)),"")</f>
        <v>46284</v>
      </c>
    </row>
    <row r="3" spans="1:14" ht="28.8" customHeight="1" x14ac:dyDescent="0.3">
      <c r="A3" s="14" t="s">
        <v>21</v>
      </c>
      <c r="B3" s="14" t="s">
        <v>71</v>
      </c>
      <c r="C3" s="14" t="s">
        <v>72</v>
      </c>
      <c r="D3" s="4" t="s">
        <v>120</v>
      </c>
      <c r="E3" s="4">
        <v>300</v>
      </c>
      <c r="F3" s="4" t="s">
        <v>234</v>
      </c>
      <c r="G3" s="4" t="s">
        <v>235</v>
      </c>
      <c r="H3" s="4" t="s">
        <v>236</v>
      </c>
      <c r="I3" s="26">
        <v>300</v>
      </c>
      <c r="J3" s="24" t="s">
        <v>49</v>
      </c>
      <c r="K3" s="25">
        <f>IFERROR(INDEX(Refs_Embarques!$F$5:$F$11,MATCH(J3,Refs_Embarques!$A$5:$A$11,0)),"")</f>
        <v>46244</v>
      </c>
      <c r="L3" s="25">
        <f>IFERROR(INDEX(Refs_Embarques!$G$5:$G$11,MATCH(J3,Refs_Embarques!$A$5:$A$11,0)),"")</f>
        <v>46251</v>
      </c>
      <c r="M3" s="25">
        <f>IFERROR(INDEX(Refs_Embarques!$H$5:$H$11,MATCH(J3,Refs_Embarques!$A$5:$A$11,0)),"")</f>
        <v>46303</v>
      </c>
      <c r="N3" s="25">
        <f>IFERROR(INDEX(Refs_Embarques!$I$5:$I$11,MATCH(J3,Refs_Embarques!$A$5:$A$11,0)),"")</f>
        <v>46310</v>
      </c>
    </row>
    <row r="4" spans="1:14" ht="28.8" customHeight="1" x14ac:dyDescent="0.3">
      <c r="A4" s="14" t="s">
        <v>73</v>
      </c>
      <c r="B4" s="14" t="s">
        <v>74</v>
      </c>
      <c r="C4" s="14" t="s">
        <v>75</v>
      </c>
      <c r="D4" s="4" t="s">
        <v>120</v>
      </c>
      <c r="E4" s="4">
        <v>200</v>
      </c>
      <c r="F4" s="4" t="s">
        <v>237</v>
      </c>
      <c r="G4" s="4" t="s">
        <v>163</v>
      </c>
      <c r="H4" s="4" t="s">
        <v>238</v>
      </c>
      <c r="I4" s="26">
        <v>200</v>
      </c>
      <c r="J4" s="24" t="s">
        <v>70</v>
      </c>
      <c r="K4" s="25">
        <f>IFERROR(INDEX(Refs_Embarques!$F$5:$F$11,MATCH(J4,Refs_Embarques!$A$5:$A$11,0)),"")</f>
        <v>46218</v>
      </c>
      <c r="L4" s="25">
        <f>IFERROR(INDEX(Refs_Embarques!$G$5:$G$11,MATCH(J4,Refs_Embarques!$A$5:$A$11,0)),"")</f>
        <v>46225</v>
      </c>
      <c r="M4" s="25">
        <f>IFERROR(INDEX(Refs_Embarques!$H$5:$H$11,MATCH(J4,Refs_Embarques!$A$5:$A$11,0)),"")</f>
        <v>46277</v>
      </c>
      <c r="N4" s="25">
        <f>IFERROR(INDEX(Refs_Embarques!$I$5:$I$11,MATCH(J4,Refs_Embarques!$A$5:$A$11,0)),"")</f>
        <v>46284</v>
      </c>
    </row>
    <row r="5" spans="1:14" x14ac:dyDescent="0.3">
      <c r="A5" s="14" t="s">
        <v>73</v>
      </c>
      <c r="B5" s="14" t="s">
        <v>178</v>
      </c>
      <c r="C5" s="14" t="s">
        <v>179</v>
      </c>
      <c r="D5" s="4" t="s">
        <v>119</v>
      </c>
      <c r="E5" s="4">
        <v>2000</v>
      </c>
      <c r="F5" s="4" t="s">
        <v>162</v>
      </c>
      <c r="G5" s="4" t="s">
        <v>163</v>
      </c>
      <c r="H5" s="4" t="s">
        <v>238</v>
      </c>
      <c r="I5" s="26">
        <v>2004</v>
      </c>
      <c r="J5" s="24" t="s">
        <v>121</v>
      </c>
      <c r="K5" s="25">
        <f>IFERROR(INDEX(Refs_Embarques!$F$5:$F$11,MATCH(J5,Refs_Embarques!$A$5:$A$11,0)),"")</f>
        <v>46223</v>
      </c>
      <c r="L5" s="25">
        <f>IFERROR(INDEX(Refs_Embarques!$G$5:$G$11,MATCH(J5,Refs_Embarques!$A$5:$A$11,0)),"")</f>
        <v>46230</v>
      </c>
      <c r="M5" s="25">
        <f>IFERROR(INDEX(Refs_Embarques!$H$5:$H$11,MATCH(J5,Refs_Embarques!$A$5:$A$11,0)),"")</f>
        <v>46275</v>
      </c>
      <c r="N5" s="25">
        <f>IFERROR(INDEX(Refs_Embarques!$I$5:$I$11,MATCH(J5,Refs_Embarques!$A$5:$A$11,0)),"")</f>
        <v>46282</v>
      </c>
    </row>
    <row r="6" spans="1:14" ht="28.8" customHeight="1" x14ac:dyDescent="0.3">
      <c r="A6" s="14" t="s">
        <v>73</v>
      </c>
      <c r="B6" s="14" t="s">
        <v>181</v>
      </c>
      <c r="C6" s="14" t="s">
        <v>182</v>
      </c>
      <c r="D6" s="4" t="s">
        <v>119</v>
      </c>
      <c r="E6" s="4">
        <v>1000</v>
      </c>
      <c r="F6" s="4" t="s">
        <v>162</v>
      </c>
      <c r="G6" s="4" t="s">
        <v>163</v>
      </c>
      <c r="H6" s="4" t="s">
        <v>238</v>
      </c>
      <c r="I6" s="26">
        <v>2004</v>
      </c>
      <c r="J6" s="24" t="s">
        <v>121</v>
      </c>
      <c r="K6" s="25">
        <f>IFERROR(INDEX(Refs_Embarques!$F$5:$F$11,MATCH(J6,Refs_Embarques!$A$5:$A$11,0)),"")</f>
        <v>46223</v>
      </c>
      <c r="L6" s="25">
        <f>IFERROR(INDEX(Refs_Embarques!$G$5:$G$11,MATCH(J6,Refs_Embarques!$A$5:$A$11,0)),"")</f>
        <v>46230</v>
      </c>
      <c r="M6" s="25">
        <f>IFERROR(INDEX(Refs_Embarques!$H$5:$H$11,MATCH(J6,Refs_Embarques!$A$5:$A$11,0)),"")</f>
        <v>46275</v>
      </c>
      <c r="N6" s="25">
        <f>IFERROR(INDEX(Refs_Embarques!$I$5:$I$11,MATCH(J6,Refs_Embarques!$A$5:$A$11,0)),"")</f>
        <v>46282</v>
      </c>
    </row>
    <row r="7" spans="1:14" x14ac:dyDescent="0.3">
      <c r="A7" s="14" t="s">
        <v>21</v>
      </c>
      <c r="B7" s="14" t="s">
        <v>28</v>
      </c>
      <c r="C7" s="14" t="s">
        <v>29</v>
      </c>
      <c r="D7" s="4" t="s">
        <v>120</v>
      </c>
      <c r="E7" s="4">
        <v>900</v>
      </c>
      <c r="F7" s="4" t="s">
        <v>66</v>
      </c>
      <c r="G7" s="4" t="s">
        <v>67</v>
      </c>
      <c r="H7" s="4" t="s">
        <v>239</v>
      </c>
      <c r="I7" s="26">
        <v>900</v>
      </c>
      <c r="J7" s="24" t="s">
        <v>70</v>
      </c>
      <c r="K7" s="25">
        <f>IFERROR(INDEX(Refs_Embarques!$F$5:$F$11,MATCH(J7,Refs_Embarques!$A$5:$A$11,0)),"")</f>
        <v>46218</v>
      </c>
      <c r="L7" s="25">
        <f>IFERROR(INDEX(Refs_Embarques!$G$5:$G$11,MATCH(J7,Refs_Embarques!$A$5:$A$11,0)),"")</f>
        <v>46225</v>
      </c>
      <c r="M7" s="25">
        <f>IFERROR(INDEX(Refs_Embarques!$H$5:$H$11,MATCH(J7,Refs_Embarques!$A$5:$A$11,0)),"")</f>
        <v>46277</v>
      </c>
      <c r="N7" s="25">
        <f>IFERROR(INDEX(Refs_Embarques!$I$5:$I$11,MATCH(J7,Refs_Embarques!$A$5:$A$11,0)),"")</f>
        <v>46284</v>
      </c>
    </row>
    <row r="8" spans="1:14" ht="28.8" customHeight="1" x14ac:dyDescent="0.3">
      <c r="A8" s="14" t="s">
        <v>21</v>
      </c>
      <c r="B8" s="14" t="s">
        <v>76</v>
      </c>
      <c r="C8" s="14" t="s">
        <v>77</v>
      </c>
      <c r="D8" s="4" t="s">
        <v>120</v>
      </c>
      <c r="E8" s="4">
        <v>300</v>
      </c>
      <c r="F8" s="4" t="s">
        <v>66</v>
      </c>
      <c r="G8" s="4" t="s">
        <v>67</v>
      </c>
      <c r="H8" s="4" t="s">
        <v>239</v>
      </c>
      <c r="I8" s="26">
        <v>300</v>
      </c>
      <c r="J8" s="24" t="s">
        <v>70</v>
      </c>
      <c r="K8" s="25">
        <f>IFERROR(INDEX(Refs_Embarques!$F$5:$F$11,MATCH(J8,Refs_Embarques!$A$5:$A$11,0)),"")</f>
        <v>46218</v>
      </c>
      <c r="L8" s="25">
        <f>IFERROR(INDEX(Refs_Embarques!$G$5:$G$11,MATCH(J8,Refs_Embarques!$A$5:$A$11,0)),"")</f>
        <v>46225</v>
      </c>
      <c r="M8" s="25">
        <f>IFERROR(INDEX(Refs_Embarques!$H$5:$H$11,MATCH(J8,Refs_Embarques!$A$5:$A$11,0)),"")</f>
        <v>46277</v>
      </c>
      <c r="N8" s="25">
        <f>IFERROR(INDEX(Refs_Embarques!$I$5:$I$11,MATCH(J8,Refs_Embarques!$A$5:$A$11,0)),"")</f>
        <v>46284</v>
      </c>
    </row>
    <row r="9" spans="1:14" x14ac:dyDescent="0.3">
      <c r="A9" s="14" t="s">
        <v>21</v>
      </c>
      <c r="B9" s="14" t="s">
        <v>26</v>
      </c>
      <c r="C9" s="14" t="s">
        <v>27</v>
      </c>
      <c r="D9" s="4" t="s">
        <v>120</v>
      </c>
      <c r="E9" s="4">
        <v>400</v>
      </c>
      <c r="F9" s="4" t="s">
        <v>66</v>
      </c>
      <c r="G9" s="4" t="s">
        <v>67</v>
      </c>
      <c r="H9" s="4" t="s">
        <v>239</v>
      </c>
      <c r="I9" s="26">
        <v>400</v>
      </c>
      <c r="J9" s="24" t="s">
        <v>49</v>
      </c>
      <c r="K9" s="25">
        <f>IFERROR(INDEX(Refs_Embarques!$F$5:$F$11,MATCH(J9,Refs_Embarques!$A$5:$A$11,0)),"")</f>
        <v>46244</v>
      </c>
      <c r="L9" s="25">
        <f>IFERROR(INDEX(Refs_Embarques!$G$5:$G$11,MATCH(J9,Refs_Embarques!$A$5:$A$11,0)),"")</f>
        <v>46251</v>
      </c>
      <c r="M9" s="25">
        <f>IFERROR(INDEX(Refs_Embarques!$H$5:$H$11,MATCH(J9,Refs_Embarques!$A$5:$A$11,0)),"")</f>
        <v>46303</v>
      </c>
      <c r="N9" s="25">
        <f>IFERROR(INDEX(Refs_Embarques!$I$5:$I$11,MATCH(J9,Refs_Embarques!$A$5:$A$11,0)),"")</f>
        <v>46310</v>
      </c>
    </row>
    <row r="10" spans="1:14" x14ac:dyDescent="0.3">
      <c r="A10" s="14" t="s">
        <v>21</v>
      </c>
      <c r="B10" s="14" t="s">
        <v>81</v>
      </c>
      <c r="C10" s="14" t="s">
        <v>82</v>
      </c>
      <c r="D10" s="4" t="s">
        <v>120</v>
      </c>
      <c r="E10" s="4">
        <v>200</v>
      </c>
      <c r="F10" s="4" t="s">
        <v>66</v>
      </c>
      <c r="G10" s="4" t="s">
        <v>67</v>
      </c>
      <c r="H10" s="4" t="s">
        <v>239</v>
      </c>
      <c r="I10" s="26">
        <v>204</v>
      </c>
      <c r="J10" s="24" t="s">
        <v>49</v>
      </c>
      <c r="K10" s="25">
        <f>IFERROR(INDEX(Refs_Embarques!$F$5:$F$11,MATCH(J10,Refs_Embarques!$A$5:$A$11,0)),"")</f>
        <v>46244</v>
      </c>
      <c r="L10" s="25">
        <f>IFERROR(INDEX(Refs_Embarques!$G$5:$G$11,MATCH(J10,Refs_Embarques!$A$5:$A$11,0)),"")</f>
        <v>46251</v>
      </c>
      <c r="M10" s="25">
        <f>IFERROR(INDEX(Refs_Embarques!$H$5:$H$11,MATCH(J10,Refs_Embarques!$A$5:$A$11,0)),"")</f>
        <v>46303</v>
      </c>
      <c r="N10" s="25">
        <f>IFERROR(INDEX(Refs_Embarques!$I$5:$I$11,MATCH(J10,Refs_Embarques!$A$5:$A$11,0)),"")</f>
        <v>46310</v>
      </c>
    </row>
    <row r="11" spans="1:14" ht="28.8" customHeight="1" x14ac:dyDescent="0.3">
      <c r="A11" s="14" t="s">
        <v>34</v>
      </c>
      <c r="B11" s="14" t="s">
        <v>83</v>
      </c>
      <c r="C11" s="14" t="s">
        <v>84</v>
      </c>
      <c r="D11" s="4" t="s">
        <v>120</v>
      </c>
      <c r="E11" s="4">
        <v>300</v>
      </c>
      <c r="F11" s="4" t="s">
        <v>162</v>
      </c>
      <c r="G11" s="4" t="s">
        <v>240</v>
      </c>
      <c r="H11" s="4" t="s">
        <v>241</v>
      </c>
      <c r="I11" s="26">
        <v>300</v>
      </c>
      <c r="J11" s="24" t="s">
        <v>37</v>
      </c>
      <c r="K11" s="25">
        <f>IFERROR(INDEX(Refs_Embarques!$F$5:$F$11,MATCH(J11,Refs_Embarques!$A$5:$A$11,0)),"")</f>
        <v>46204</v>
      </c>
      <c r="L11" s="25">
        <f>IFERROR(INDEX(Refs_Embarques!$G$5:$G$11,MATCH(J11,Refs_Embarques!$A$5:$A$11,0)),"")</f>
        <v>46211</v>
      </c>
      <c r="M11" s="25">
        <f>IFERROR(INDEX(Refs_Embarques!$H$5:$H$11,MATCH(J11,Refs_Embarques!$A$5:$A$11,0)),"")</f>
        <v>46263</v>
      </c>
      <c r="N11" s="25">
        <f>IFERROR(INDEX(Refs_Embarques!$I$5:$I$11,MATCH(J11,Refs_Embarques!$A$5:$A$11,0)),"")</f>
        <v>46270</v>
      </c>
    </row>
    <row r="12" spans="1:14" ht="28.8" customHeight="1" x14ac:dyDescent="0.3">
      <c r="A12" s="14" t="s">
        <v>21</v>
      </c>
      <c r="B12" s="14" t="s">
        <v>85</v>
      </c>
      <c r="C12" s="14" t="s">
        <v>86</v>
      </c>
      <c r="D12" s="4" t="s">
        <v>120</v>
      </c>
      <c r="E12" s="4">
        <v>100</v>
      </c>
      <c r="F12" s="4" t="s">
        <v>242</v>
      </c>
      <c r="G12" s="4" t="s">
        <v>243</v>
      </c>
      <c r="H12" s="4" t="s">
        <v>244</v>
      </c>
      <c r="I12" s="26">
        <v>100</v>
      </c>
      <c r="J12" s="24" t="s">
        <v>49</v>
      </c>
      <c r="K12" s="25">
        <f>IFERROR(INDEX(Refs_Embarques!$F$5:$F$11,MATCH(J12,Refs_Embarques!$A$5:$A$11,0)),"")</f>
        <v>46244</v>
      </c>
      <c r="L12" s="25">
        <f>IFERROR(INDEX(Refs_Embarques!$G$5:$G$11,MATCH(J12,Refs_Embarques!$A$5:$A$11,0)),"")</f>
        <v>46251</v>
      </c>
      <c r="M12" s="25">
        <f>IFERROR(INDEX(Refs_Embarques!$H$5:$H$11,MATCH(J12,Refs_Embarques!$A$5:$A$11,0)),"")</f>
        <v>46303</v>
      </c>
      <c r="N12" s="25">
        <f>IFERROR(INDEX(Refs_Embarques!$I$5:$I$11,MATCH(J12,Refs_Embarques!$A$5:$A$11,0)),"")</f>
        <v>46310</v>
      </c>
    </row>
    <row r="13" spans="1:14" x14ac:dyDescent="0.3">
      <c r="A13" s="14" t="s">
        <v>21</v>
      </c>
      <c r="B13" s="14" t="s">
        <v>87</v>
      </c>
      <c r="C13" s="14" t="s">
        <v>88</v>
      </c>
      <c r="D13" s="4" t="s">
        <v>120</v>
      </c>
      <c r="E13" s="4">
        <v>500</v>
      </c>
      <c r="F13" s="4" t="s">
        <v>79</v>
      </c>
      <c r="G13" s="4" t="s">
        <v>80</v>
      </c>
      <c r="H13" s="4" t="s">
        <v>245</v>
      </c>
      <c r="I13" s="26">
        <v>504</v>
      </c>
      <c r="J13" s="24" t="s">
        <v>49</v>
      </c>
      <c r="K13" s="25">
        <f>IFERROR(INDEX(Refs_Embarques!$F$5:$F$11,MATCH(J13,Refs_Embarques!$A$5:$A$11,0)),"")</f>
        <v>46244</v>
      </c>
      <c r="L13" s="25">
        <f>IFERROR(INDEX(Refs_Embarques!$G$5:$G$11,MATCH(J13,Refs_Embarques!$A$5:$A$11,0)),"")</f>
        <v>46251</v>
      </c>
      <c r="M13" s="25">
        <f>IFERROR(INDEX(Refs_Embarques!$H$5:$H$11,MATCH(J13,Refs_Embarques!$A$5:$A$11,0)),"")</f>
        <v>46303</v>
      </c>
      <c r="N13" s="25">
        <f>IFERROR(INDEX(Refs_Embarques!$I$5:$I$11,MATCH(J13,Refs_Embarques!$A$5:$A$11,0)),"")</f>
        <v>46310</v>
      </c>
    </row>
  </sheetData>
  <conditionalFormatting sqref="I2:I13">
    <cfRule type="expression" dxfId="11" priority="5" stopIfTrue="1">
      <formula>AND(ISNUMBER(I2),I2=E2)</formula>
    </cfRule>
    <cfRule type="expression" dxfId="10" priority="6" stopIfTrue="1">
      <formula>AND(ISNUMBER(I2),I2&gt;E2)</formula>
    </cfRule>
    <cfRule type="expression" dxfId="9" priority="7" stopIfTrue="1">
      <formula>AND(ISNUMBER(I2),I2&lt;E2,I2&gt;0)</formula>
    </cfRule>
    <cfRule type="expression" dxfId="8" priority="8" stopIfTrue="1">
      <formula>OR(I2="",ISBLANK(I2))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16" customWidth="1"/>
    <col min="3" max="3" width="46" customWidth="1"/>
    <col min="4" max="4" width="10" customWidth="1"/>
    <col min="5" max="5" width="44" customWidth="1"/>
    <col min="6" max="6" width="14" customWidth="1"/>
    <col min="7" max="7" width="22" customWidth="1"/>
    <col min="8" max="11" width="12" customWidth="1"/>
  </cols>
  <sheetData>
    <row r="1" spans="1:11" ht="27.6" customHeight="1" x14ac:dyDescent="0.3">
      <c r="A1" s="2" t="s">
        <v>4</v>
      </c>
      <c r="B1" s="2" t="s">
        <v>5</v>
      </c>
      <c r="C1" s="2" t="s">
        <v>6</v>
      </c>
      <c r="D1" s="2" t="s">
        <v>246</v>
      </c>
      <c r="E1" s="2" t="s">
        <v>247</v>
      </c>
      <c r="F1" s="22" t="s">
        <v>12</v>
      </c>
      <c r="G1" s="22" t="s">
        <v>13</v>
      </c>
      <c r="H1" s="22" t="s">
        <v>1</v>
      </c>
      <c r="I1" s="22" t="s">
        <v>14</v>
      </c>
      <c r="J1" s="22" t="s">
        <v>15</v>
      </c>
      <c r="K1" s="22" t="s">
        <v>16</v>
      </c>
    </row>
    <row r="2" spans="1:11" ht="28.8" customHeight="1" x14ac:dyDescent="0.3">
      <c r="A2" s="14" t="s">
        <v>21</v>
      </c>
      <c r="B2" s="14" t="s">
        <v>248</v>
      </c>
      <c r="C2" s="14" t="s">
        <v>249</v>
      </c>
      <c r="D2" s="4">
        <v>600</v>
      </c>
      <c r="E2" s="14" t="s">
        <v>250</v>
      </c>
      <c r="F2" s="26">
        <v>600</v>
      </c>
      <c r="G2" s="24" t="s">
        <v>177</v>
      </c>
      <c r="H2" s="25">
        <f>IFERROR(INDEX(Refs_Embarques!$F$5:$F$11,MATCH(G2,Refs_Embarques!$A$5:$A$11,0)),"")</f>
        <v>46248</v>
      </c>
      <c r="I2" s="25">
        <f>IFERROR(INDEX(Refs_Embarques!$G$5:$G$11,MATCH(G2,Refs_Embarques!$A$5:$A$11,0)),"")</f>
        <v>46255</v>
      </c>
      <c r="J2" s="25">
        <f>IFERROR(INDEX(Refs_Embarques!$H$5:$H$11,MATCH(G2,Refs_Embarques!$A$5:$A$11,0)),"")</f>
        <v>46307</v>
      </c>
      <c r="K2" s="25">
        <f>IFERROR(INDEX(Refs_Embarques!$I$5:$I$11,MATCH(G2,Refs_Embarques!$A$5:$A$11,0)),"")</f>
        <v>46314</v>
      </c>
    </row>
  </sheetData>
  <conditionalFormatting sqref="F2">
    <cfRule type="expression" dxfId="7" priority="5" stopIfTrue="1">
      <formula>AND(ISNUMBER(F2),F2=D2)</formula>
    </cfRule>
    <cfRule type="expression" dxfId="6" priority="6" stopIfTrue="1">
      <formula>AND(ISNUMBER(F2),F2&gt;D2)</formula>
    </cfRule>
    <cfRule type="expression" dxfId="5" priority="7" stopIfTrue="1">
      <formula>AND(ISNUMBER(F2),F2&lt;D2,F2&gt;0)</formula>
    </cfRule>
    <cfRule type="expression" dxfId="4" priority="8" stopIfTrue="1">
      <formula>OR(F2="",ISBLANK(F2))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0"/>
  <sheetViews>
    <sheetView tabSelected="1" workbookViewId="0">
      <pane ySplit="1" topLeftCell="A2" activePane="bottomLeft" state="frozen"/>
      <selection pane="bottomLeft" activeCell="B15" sqref="B15"/>
    </sheetView>
  </sheetViews>
  <sheetFormatPr baseColWidth="10" defaultColWidth="8.88671875" defaultRowHeight="14.4" x14ac:dyDescent="0.3"/>
  <cols>
    <col min="1" max="1" width="10" customWidth="1"/>
    <col min="2" max="2" width="16" customWidth="1"/>
    <col min="3" max="3" width="50" customWidth="1"/>
    <col min="4" max="4" width="12" customWidth="1"/>
    <col min="5" max="5" width="13.21875" bestFit="1" customWidth="1"/>
    <col min="6" max="6" width="14" customWidth="1"/>
    <col min="7" max="7" width="22" customWidth="1"/>
    <col min="8" max="11" width="12" customWidth="1"/>
  </cols>
  <sheetData>
    <row r="1" spans="1:11" ht="28.8" customHeight="1" x14ac:dyDescent="0.3">
      <c r="A1" s="2" t="s">
        <v>4</v>
      </c>
      <c r="B1" s="2" t="s">
        <v>5</v>
      </c>
      <c r="C1" s="2" t="s">
        <v>6</v>
      </c>
      <c r="D1" s="2" t="s">
        <v>251</v>
      </c>
      <c r="E1" s="15" t="s">
        <v>252</v>
      </c>
      <c r="F1" s="22" t="s">
        <v>12</v>
      </c>
      <c r="G1" s="22" t="s">
        <v>13</v>
      </c>
      <c r="H1" s="22" t="s">
        <v>1</v>
      </c>
      <c r="I1" s="22" t="s">
        <v>14</v>
      </c>
      <c r="J1" s="22" t="s">
        <v>15</v>
      </c>
      <c r="K1" s="22" t="s">
        <v>16</v>
      </c>
    </row>
    <row r="2" spans="1:11" ht="28.8" customHeight="1" x14ac:dyDescent="0.3">
      <c r="A2" s="14" t="s">
        <v>34</v>
      </c>
      <c r="B2" s="14" t="s">
        <v>253</v>
      </c>
      <c r="C2" s="14" t="s">
        <v>254</v>
      </c>
      <c r="D2" s="4">
        <v>100</v>
      </c>
      <c r="E2" t="s">
        <v>255</v>
      </c>
      <c r="F2" s="43"/>
      <c r="G2" s="44"/>
      <c r="H2" s="44"/>
      <c r="I2" s="44"/>
      <c r="J2" s="44"/>
      <c r="K2" s="44"/>
    </row>
    <row r="3" spans="1:11" ht="28.8" x14ac:dyDescent="0.3">
      <c r="A3" s="14" t="s">
        <v>21</v>
      </c>
      <c r="B3" s="14" t="s">
        <v>256</v>
      </c>
      <c r="C3" s="14" t="s">
        <v>257</v>
      </c>
      <c r="D3" s="4">
        <v>500</v>
      </c>
      <c r="E3" t="s">
        <v>258</v>
      </c>
      <c r="F3" s="43"/>
      <c r="G3" s="44"/>
      <c r="H3" s="44"/>
      <c r="I3" s="44"/>
      <c r="J3" s="44"/>
      <c r="K3" s="44"/>
    </row>
    <row r="4" spans="1:11" ht="28.8" customHeight="1" x14ac:dyDescent="0.3">
      <c r="A4" s="14" t="s">
        <v>21</v>
      </c>
      <c r="B4" s="14" t="s">
        <v>259</v>
      </c>
      <c r="C4" s="14" t="s">
        <v>260</v>
      </c>
      <c r="D4" s="4">
        <v>150</v>
      </c>
      <c r="E4" t="s">
        <v>261</v>
      </c>
      <c r="F4" s="43"/>
      <c r="G4" s="44"/>
      <c r="H4" s="44"/>
      <c r="I4" s="44"/>
      <c r="J4" s="44"/>
      <c r="K4" s="44"/>
    </row>
    <row r="5" spans="1:11" x14ac:dyDescent="0.3">
      <c r="A5" s="14" t="s">
        <v>21</v>
      </c>
      <c r="B5" s="14" t="s">
        <v>262</v>
      </c>
      <c r="C5" s="14" t="s">
        <v>263</v>
      </c>
      <c r="D5" s="4">
        <v>150</v>
      </c>
      <c r="E5" t="s">
        <v>264</v>
      </c>
      <c r="F5" s="43"/>
      <c r="G5" s="44"/>
      <c r="H5" s="44"/>
      <c r="I5" s="44"/>
      <c r="J5" s="44"/>
      <c r="K5" s="44"/>
    </row>
    <row r="6" spans="1:11" x14ac:dyDescent="0.3">
      <c r="A6" s="14" t="s">
        <v>21</v>
      </c>
      <c r="B6" s="14">
        <v>1660858025311</v>
      </c>
      <c r="C6" s="14" t="s">
        <v>265</v>
      </c>
      <c r="D6" s="4">
        <v>120</v>
      </c>
      <c r="E6" t="s">
        <v>261</v>
      </c>
      <c r="F6" s="43"/>
      <c r="G6" s="44"/>
      <c r="H6" s="44"/>
      <c r="I6" s="44"/>
      <c r="J6" s="44"/>
      <c r="K6" s="44"/>
    </row>
    <row r="7" spans="1:11" ht="28.8" customHeight="1" x14ac:dyDescent="0.3">
      <c r="A7" s="14" t="s">
        <v>266</v>
      </c>
      <c r="B7" s="14" t="s">
        <v>267</v>
      </c>
      <c r="C7" s="14" t="s">
        <v>268</v>
      </c>
      <c r="D7" s="4">
        <v>500</v>
      </c>
      <c r="E7" t="s">
        <v>269</v>
      </c>
      <c r="F7" s="43"/>
      <c r="G7" s="44"/>
      <c r="H7" s="44"/>
      <c r="I7" s="44"/>
      <c r="J7" s="44"/>
      <c r="K7" s="44"/>
    </row>
    <row r="8" spans="1:11" ht="28.8" customHeight="1" x14ac:dyDescent="0.3">
      <c r="A8" s="14" t="s">
        <v>63</v>
      </c>
      <c r="B8" s="14" t="s">
        <v>270</v>
      </c>
      <c r="C8" s="14" t="s">
        <v>271</v>
      </c>
      <c r="D8" s="4">
        <v>200</v>
      </c>
      <c r="E8" t="s">
        <v>269</v>
      </c>
      <c r="F8" s="43"/>
      <c r="G8" s="44"/>
      <c r="H8" s="44"/>
      <c r="I8" s="44"/>
      <c r="J8" s="44"/>
      <c r="K8" s="44"/>
    </row>
    <row r="9" spans="1:11" ht="28.8" customHeight="1" x14ac:dyDescent="0.3">
      <c r="A9" s="14" t="s">
        <v>63</v>
      </c>
      <c r="B9" s="14">
        <v>1656603353038</v>
      </c>
      <c r="C9" s="14" t="s">
        <v>272</v>
      </c>
      <c r="D9" s="4">
        <v>100</v>
      </c>
      <c r="E9" t="s">
        <v>264</v>
      </c>
      <c r="F9" s="43"/>
      <c r="G9" s="44"/>
      <c r="H9" s="44"/>
      <c r="I9" s="44"/>
      <c r="J9" s="44"/>
      <c r="K9" s="44"/>
    </row>
    <row r="10" spans="1:11" ht="28.8" customHeight="1" x14ac:dyDescent="0.3">
      <c r="A10" s="14" t="s">
        <v>63</v>
      </c>
      <c r="B10" s="14" t="s">
        <v>273</v>
      </c>
      <c r="C10" s="14" t="s">
        <v>274</v>
      </c>
      <c r="D10" s="4">
        <v>10</v>
      </c>
      <c r="E10" t="s">
        <v>275</v>
      </c>
      <c r="F10" s="43"/>
      <c r="G10" s="44"/>
      <c r="H10" s="44"/>
      <c r="I10" s="44"/>
      <c r="J10" s="44"/>
      <c r="K10" s="44"/>
    </row>
    <row r="15" spans="1:11" ht="28.8" customHeight="1" x14ac:dyDescent="0.3"/>
    <row r="16" spans="1:11" ht="28.8" customHeight="1" x14ac:dyDescent="0.3"/>
    <row r="17" ht="28.8" customHeight="1" x14ac:dyDescent="0.3"/>
    <row r="20" ht="28.8" customHeight="1" x14ac:dyDescent="0.3"/>
    <row r="30" ht="28.8" customHeight="1" x14ac:dyDescent="0.3"/>
    <row r="32" ht="28.8" customHeight="1" x14ac:dyDescent="0.3"/>
    <row r="35" ht="28.8" customHeight="1" x14ac:dyDescent="0.3"/>
    <row r="36" ht="28.8" customHeight="1" x14ac:dyDescent="0.3"/>
    <row r="37" ht="28.8" customHeight="1" x14ac:dyDescent="0.3"/>
    <row r="38" ht="28.8" customHeight="1" x14ac:dyDescent="0.3"/>
    <row r="40" ht="28.8" customHeight="1" x14ac:dyDescent="0.3"/>
  </sheetData>
  <conditionalFormatting sqref="F2:F10">
    <cfRule type="expression" dxfId="3" priority="5">
      <formula>AND(ISNUMBER(F2),F2=D2)</formula>
    </cfRule>
    <cfRule type="expression" dxfId="2" priority="6">
      <formula>AND(ISNUMBER(F2),F2&gt;D2)</formula>
    </cfRule>
    <cfRule type="expression" dxfId="1" priority="7">
      <formula>AND(ISNUMBER(F2),F2&lt;D2,F2&gt;0)</formula>
    </cfRule>
    <cfRule type="expression" dxfId="0" priority="8">
      <formula>OR(F2="",ISBLANK(F2))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16" customWidth="1"/>
    <col min="3" max="3" width="46" customWidth="1"/>
    <col min="4" max="5" width="9" customWidth="1"/>
    <col min="6" max="6" width="7" customWidth="1"/>
    <col min="7" max="7" width="9" customWidth="1"/>
    <col min="8" max="8" width="11" customWidth="1"/>
  </cols>
  <sheetData>
    <row r="1" spans="1:8" x14ac:dyDescent="0.3">
      <c r="A1" s="2" t="s">
        <v>4</v>
      </c>
      <c r="B1" s="2" t="s">
        <v>5</v>
      </c>
      <c r="C1" s="2" t="s">
        <v>6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125</v>
      </c>
    </row>
    <row r="2" spans="1:8" x14ac:dyDescent="0.3">
      <c r="A2" s="14" t="s">
        <v>31</v>
      </c>
      <c r="B2" s="14">
        <v>67327559384453</v>
      </c>
      <c r="C2" s="14" t="s">
        <v>56</v>
      </c>
      <c r="D2" s="4">
        <v>100</v>
      </c>
      <c r="E2" s="4">
        <v>100</v>
      </c>
      <c r="F2" s="4">
        <v>0</v>
      </c>
      <c r="G2" s="4">
        <v>0</v>
      </c>
      <c r="H2" s="4" t="s">
        <v>280</v>
      </c>
    </row>
    <row r="3" spans="1:8" ht="28.8" customHeight="1" x14ac:dyDescent="0.3">
      <c r="A3" s="14" t="s">
        <v>31</v>
      </c>
      <c r="B3" s="14" t="s">
        <v>32</v>
      </c>
      <c r="C3" s="14" t="s">
        <v>33</v>
      </c>
      <c r="D3" s="4">
        <v>8</v>
      </c>
      <c r="E3" s="4">
        <v>8</v>
      </c>
      <c r="F3" s="4">
        <v>0</v>
      </c>
      <c r="G3" s="4">
        <v>0</v>
      </c>
      <c r="H3" s="4" t="s">
        <v>280</v>
      </c>
    </row>
    <row r="4" spans="1:8" x14ac:dyDescent="0.3">
      <c r="A4" s="14" t="s">
        <v>34</v>
      </c>
      <c r="B4" s="14">
        <v>1571423280815</v>
      </c>
      <c r="C4" s="14" t="s">
        <v>59</v>
      </c>
      <c r="D4" s="4">
        <v>100</v>
      </c>
      <c r="E4" s="4">
        <v>100</v>
      </c>
      <c r="F4" s="4">
        <v>0</v>
      </c>
      <c r="G4" s="4">
        <v>0</v>
      </c>
      <c r="H4" s="4" t="s">
        <v>280</v>
      </c>
    </row>
    <row r="5" spans="1:8" x14ac:dyDescent="0.3">
      <c r="A5" s="14" t="s">
        <v>34</v>
      </c>
      <c r="B5" s="14">
        <v>1623703861303</v>
      </c>
      <c r="C5" s="14" t="s">
        <v>58</v>
      </c>
      <c r="D5" s="4">
        <v>300</v>
      </c>
      <c r="E5" s="4">
        <v>300</v>
      </c>
      <c r="F5" s="4">
        <v>0</v>
      </c>
      <c r="G5" s="4">
        <v>0</v>
      </c>
      <c r="H5" s="4" t="s">
        <v>280</v>
      </c>
    </row>
    <row r="6" spans="1:8" ht="28.8" customHeight="1" x14ac:dyDescent="0.3">
      <c r="A6" s="14" t="s">
        <v>34</v>
      </c>
      <c r="B6" s="14" t="s">
        <v>83</v>
      </c>
      <c r="C6" s="14" t="s">
        <v>84</v>
      </c>
      <c r="D6" s="4">
        <v>300</v>
      </c>
      <c r="E6" s="4">
        <v>300</v>
      </c>
      <c r="F6" s="4">
        <v>0</v>
      </c>
      <c r="G6" s="4">
        <v>0</v>
      </c>
      <c r="H6" s="4" t="s">
        <v>280</v>
      </c>
    </row>
    <row r="7" spans="1:8" ht="28.8" customHeight="1" x14ac:dyDescent="0.3">
      <c r="A7" s="14" t="s">
        <v>34</v>
      </c>
      <c r="B7" s="14" t="s">
        <v>35</v>
      </c>
      <c r="C7" s="14" t="s">
        <v>36</v>
      </c>
      <c r="D7" s="4">
        <v>100</v>
      </c>
      <c r="E7" s="4">
        <v>100</v>
      </c>
      <c r="F7" s="4">
        <v>0</v>
      </c>
      <c r="G7" s="4">
        <v>0</v>
      </c>
      <c r="H7" s="4" t="s">
        <v>280</v>
      </c>
    </row>
    <row r="8" spans="1:8" ht="28.8" customHeight="1" x14ac:dyDescent="0.3">
      <c r="A8" s="14" t="s">
        <v>34</v>
      </c>
      <c r="B8" s="14" t="s">
        <v>38</v>
      </c>
      <c r="C8" s="14" t="s">
        <v>39</v>
      </c>
      <c r="D8" s="4">
        <v>100</v>
      </c>
      <c r="E8" s="4">
        <v>100</v>
      </c>
      <c r="F8" s="4">
        <v>0</v>
      </c>
      <c r="G8" s="4">
        <v>0</v>
      </c>
      <c r="H8" s="4" t="s">
        <v>280</v>
      </c>
    </row>
    <row r="9" spans="1:8" x14ac:dyDescent="0.3">
      <c r="A9" s="14" t="s">
        <v>21</v>
      </c>
      <c r="B9" s="14">
        <v>1629726091782</v>
      </c>
      <c r="C9" s="14" t="s">
        <v>57</v>
      </c>
      <c r="D9" s="4">
        <v>300</v>
      </c>
      <c r="E9" s="4">
        <v>300</v>
      </c>
      <c r="F9" s="4">
        <v>0</v>
      </c>
      <c r="G9" s="4">
        <v>0</v>
      </c>
      <c r="H9" s="4" t="s">
        <v>280</v>
      </c>
    </row>
    <row r="10" spans="1:8" ht="28.8" customHeight="1" x14ac:dyDescent="0.3">
      <c r="A10" s="14" t="s">
        <v>21</v>
      </c>
      <c r="B10" s="14" t="s">
        <v>22</v>
      </c>
      <c r="C10" s="14" t="s">
        <v>23</v>
      </c>
      <c r="D10" s="4">
        <v>250</v>
      </c>
      <c r="E10" s="4">
        <v>250</v>
      </c>
      <c r="F10" s="4">
        <v>0</v>
      </c>
      <c r="G10" s="4">
        <v>0</v>
      </c>
      <c r="H10" s="4" t="s">
        <v>280</v>
      </c>
    </row>
    <row r="11" spans="1:8" x14ac:dyDescent="0.3">
      <c r="A11" s="14" t="s">
        <v>21</v>
      </c>
      <c r="B11" s="14" t="s">
        <v>87</v>
      </c>
      <c r="C11" s="14" t="s">
        <v>88</v>
      </c>
      <c r="D11" s="4">
        <v>500</v>
      </c>
      <c r="E11" s="4">
        <v>500</v>
      </c>
      <c r="F11" s="4">
        <v>0</v>
      </c>
      <c r="G11" s="4">
        <v>0</v>
      </c>
      <c r="H11" s="4" t="s">
        <v>280</v>
      </c>
    </row>
    <row r="12" spans="1:8" ht="28.8" customHeight="1" x14ac:dyDescent="0.3">
      <c r="A12" s="14" t="s">
        <v>21</v>
      </c>
      <c r="B12" s="14" t="s">
        <v>85</v>
      </c>
      <c r="C12" s="14" t="s">
        <v>86</v>
      </c>
      <c r="D12" s="4">
        <v>100</v>
      </c>
      <c r="E12" s="4">
        <v>100</v>
      </c>
      <c r="F12" s="4">
        <v>0</v>
      </c>
      <c r="G12" s="4">
        <v>0</v>
      </c>
      <c r="H12" s="4" t="s">
        <v>280</v>
      </c>
    </row>
    <row r="13" spans="1:8" x14ac:dyDescent="0.3">
      <c r="A13" s="14" t="s">
        <v>21</v>
      </c>
      <c r="B13" s="14">
        <v>1630369674271</v>
      </c>
      <c r="C13" s="14" t="s">
        <v>68</v>
      </c>
      <c r="D13" s="4">
        <v>150</v>
      </c>
      <c r="E13" s="4">
        <v>150</v>
      </c>
      <c r="F13" s="4">
        <v>0</v>
      </c>
      <c r="G13" s="4">
        <v>0</v>
      </c>
      <c r="H13" s="4" t="s">
        <v>280</v>
      </c>
    </row>
    <row r="14" spans="1:8" x14ac:dyDescent="0.3">
      <c r="A14" s="14" t="s">
        <v>21</v>
      </c>
      <c r="B14" s="14">
        <v>1652825295706</v>
      </c>
      <c r="C14" s="14" t="s">
        <v>48</v>
      </c>
      <c r="D14" s="4">
        <v>200</v>
      </c>
      <c r="E14" s="4">
        <v>200</v>
      </c>
      <c r="F14" s="4">
        <v>0</v>
      </c>
      <c r="G14" s="4">
        <v>0</v>
      </c>
      <c r="H14" s="4" t="s">
        <v>280</v>
      </c>
    </row>
    <row r="15" spans="1:8" ht="28.8" customHeight="1" x14ac:dyDescent="0.3">
      <c r="A15" s="14" t="s">
        <v>21</v>
      </c>
      <c r="B15" s="14" t="s">
        <v>71</v>
      </c>
      <c r="C15" s="14" t="s">
        <v>72</v>
      </c>
      <c r="D15" s="4">
        <v>300</v>
      </c>
      <c r="E15" s="4">
        <v>300</v>
      </c>
      <c r="F15" s="4">
        <v>0</v>
      </c>
      <c r="G15" s="4">
        <v>0</v>
      </c>
      <c r="H15" s="4" t="s">
        <v>280</v>
      </c>
    </row>
    <row r="16" spans="1:8" ht="28.8" customHeight="1" x14ac:dyDescent="0.3">
      <c r="A16" s="14" t="s">
        <v>21</v>
      </c>
      <c r="B16" s="14">
        <v>1627418180602</v>
      </c>
      <c r="C16" s="14" t="s">
        <v>50</v>
      </c>
      <c r="D16" s="4">
        <v>200</v>
      </c>
      <c r="E16" s="4">
        <v>200</v>
      </c>
      <c r="F16" s="4">
        <v>0</v>
      </c>
      <c r="G16" s="4">
        <v>0</v>
      </c>
      <c r="H16" s="4" t="s">
        <v>280</v>
      </c>
    </row>
    <row r="17" spans="1:8" x14ac:dyDescent="0.3">
      <c r="A17" s="14" t="s">
        <v>21</v>
      </c>
      <c r="B17" s="14">
        <v>67933856404072</v>
      </c>
      <c r="C17" s="14" t="s">
        <v>40</v>
      </c>
      <c r="D17" s="4">
        <v>300</v>
      </c>
      <c r="E17" s="4">
        <v>300</v>
      </c>
      <c r="F17" s="4">
        <v>0</v>
      </c>
      <c r="G17" s="4">
        <v>0</v>
      </c>
      <c r="H17" s="4" t="s">
        <v>280</v>
      </c>
    </row>
    <row r="18" spans="1:8" x14ac:dyDescent="0.3">
      <c r="A18" s="14" t="s">
        <v>21</v>
      </c>
      <c r="B18" s="14">
        <v>67933857637909</v>
      </c>
      <c r="C18" s="14" t="s">
        <v>41</v>
      </c>
      <c r="D18" s="4">
        <v>300</v>
      </c>
      <c r="E18" s="4">
        <v>300</v>
      </c>
      <c r="F18" s="4">
        <v>0</v>
      </c>
      <c r="G18" s="4">
        <v>0</v>
      </c>
      <c r="H18" s="4" t="s">
        <v>280</v>
      </c>
    </row>
    <row r="19" spans="1:8" x14ac:dyDescent="0.3">
      <c r="A19" s="14" t="s">
        <v>21</v>
      </c>
      <c r="B19" s="14">
        <v>67933863068841</v>
      </c>
      <c r="C19" s="14" t="s">
        <v>42</v>
      </c>
      <c r="D19" s="4">
        <v>200</v>
      </c>
      <c r="E19" s="4">
        <v>200</v>
      </c>
      <c r="F19" s="4">
        <v>0</v>
      </c>
      <c r="G19" s="4">
        <v>0</v>
      </c>
      <c r="H19" s="4" t="s">
        <v>280</v>
      </c>
    </row>
    <row r="20" spans="1:8" x14ac:dyDescent="0.3">
      <c r="A20" s="14" t="s">
        <v>21</v>
      </c>
      <c r="B20" s="14" t="s">
        <v>61</v>
      </c>
      <c r="C20" s="14" t="s">
        <v>62</v>
      </c>
      <c r="D20" s="4">
        <v>300</v>
      </c>
      <c r="E20" s="4">
        <v>300</v>
      </c>
      <c r="F20" s="4">
        <v>0</v>
      </c>
      <c r="G20" s="4">
        <v>0</v>
      </c>
      <c r="H20" s="4" t="s">
        <v>280</v>
      </c>
    </row>
    <row r="21" spans="1:8" x14ac:dyDescent="0.3">
      <c r="A21" s="14" t="s">
        <v>21</v>
      </c>
      <c r="B21" s="14">
        <v>1660859171584</v>
      </c>
      <c r="C21" s="14" t="s">
        <v>54</v>
      </c>
      <c r="D21" s="4">
        <v>400</v>
      </c>
      <c r="E21" s="4">
        <v>400</v>
      </c>
      <c r="F21" s="4">
        <v>0</v>
      </c>
      <c r="G21" s="4">
        <v>0</v>
      </c>
      <c r="H21" s="4" t="s">
        <v>280</v>
      </c>
    </row>
    <row r="22" spans="1:8" x14ac:dyDescent="0.3">
      <c r="A22" s="14" t="s">
        <v>21</v>
      </c>
      <c r="B22" s="14">
        <v>68432930518995</v>
      </c>
      <c r="C22" s="14" t="s">
        <v>55</v>
      </c>
      <c r="D22" s="4">
        <v>200</v>
      </c>
      <c r="E22" s="4">
        <v>200</v>
      </c>
      <c r="F22" s="4">
        <v>0</v>
      </c>
      <c r="G22" s="4">
        <v>0</v>
      </c>
      <c r="H22" s="4" t="s">
        <v>280</v>
      </c>
    </row>
    <row r="23" spans="1:8" x14ac:dyDescent="0.3">
      <c r="A23" s="14" t="s">
        <v>21</v>
      </c>
      <c r="B23" s="14" t="s">
        <v>28</v>
      </c>
      <c r="C23" s="14" t="s">
        <v>29</v>
      </c>
      <c r="D23" s="4">
        <v>1200</v>
      </c>
      <c r="E23" s="4">
        <v>1200</v>
      </c>
      <c r="F23" s="4">
        <v>0</v>
      </c>
      <c r="G23" s="4">
        <v>0</v>
      </c>
      <c r="H23" s="4" t="s">
        <v>280</v>
      </c>
    </row>
    <row r="24" spans="1:8" x14ac:dyDescent="0.3">
      <c r="A24" s="14" t="s">
        <v>21</v>
      </c>
      <c r="B24" s="14" t="s">
        <v>46</v>
      </c>
      <c r="C24" s="14" t="s">
        <v>47</v>
      </c>
      <c r="D24" s="4">
        <v>250</v>
      </c>
      <c r="E24" s="4">
        <v>250</v>
      </c>
      <c r="F24" s="4">
        <v>0</v>
      </c>
      <c r="G24" s="4">
        <v>0</v>
      </c>
      <c r="H24" s="4" t="s">
        <v>280</v>
      </c>
    </row>
    <row r="25" spans="1:8" ht="28.8" customHeight="1" x14ac:dyDescent="0.3">
      <c r="A25" s="14" t="s">
        <v>21</v>
      </c>
      <c r="B25" s="14" t="s">
        <v>76</v>
      </c>
      <c r="C25" s="14" t="s">
        <v>77</v>
      </c>
      <c r="D25" s="4">
        <v>300</v>
      </c>
      <c r="E25" s="4">
        <v>300</v>
      </c>
      <c r="F25" s="4">
        <v>0</v>
      </c>
      <c r="G25" s="4">
        <v>0</v>
      </c>
      <c r="H25" s="4" t="s">
        <v>280</v>
      </c>
    </row>
    <row r="26" spans="1:8" x14ac:dyDescent="0.3">
      <c r="A26" s="14" t="s">
        <v>21</v>
      </c>
      <c r="B26" s="14" t="s">
        <v>26</v>
      </c>
      <c r="C26" s="14" t="s">
        <v>27</v>
      </c>
      <c r="D26" s="4">
        <v>700</v>
      </c>
      <c r="E26" s="4">
        <v>700</v>
      </c>
      <c r="F26" s="4">
        <v>0</v>
      </c>
      <c r="G26" s="4">
        <v>0</v>
      </c>
      <c r="H26" s="4" t="s">
        <v>280</v>
      </c>
    </row>
    <row r="27" spans="1:8" x14ac:dyDescent="0.3">
      <c r="A27" s="14" t="s">
        <v>21</v>
      </c>
      <c r="B27" s="14" t="s">
        <v>81</v>
      </c>
      <c r="C27" s="14" t="s">
        <v>82</v>
      </c>
      <c r="D27" s="4">
        <v>200</v>
      </c>
      <c r="E27" s="4">
        <v>200</v>
      </c>
      <c r="F27" s="4">
        <v>0</v>
      </c>
      <c r="G27" s="4">
        <v>0</v>
      </c>
      <c r="H27" s="4" t="s">
        <v>280</v>
      </c>
    </row>
    <row r="28" spans="1:8" x14ac:dyDescent="0.3">
      <c r="A28" s="14" t="s">
        <v>21</v>
      </c>
      <c r="B28" s="14" t="s">
        <v>44</v>
      </c>
      <c r="C28" s="14" t="s">
        <v>45</v>
      </c>
      <c r="D28" s="4">
        <v>100</v>
      </c>
      <c r="E28" s="4">
        <v>100</v>
      </c>
      <c r="F28" s="4">
        <v>0</v>
      </c>
      <c r="G28" s="4">
        <v>0</v>
      </c>
      <c r="H28" s="4" t="s">
        <v>280</v>
      </c>
    </row>
    <row r="29" spans="1:8" x14ac:dyDescent="0.3">
      <c r="A29" s="14" t="s">
        <v>21</v>
      </c>
      <c r="B29" s="14" t="s">
        <v>52</v>
      </c>
      <c r="C29" s="14" t="s">
        <v>53</v>
      </c>
      <c r="D29" s="4">
        <v>192</v>
      </c>
      <c r="E29" s="4">
        <v>192</v>
      </c>
      <c r="F29" s="4">
        <v>0</v>
      </c>
      <c r="G29" s="4">
        <v>0</v>
      </c>
      <c r="H29" s="4" t="s">
        <v>280</v>
      </c>
    </row>
    <row r="30" spans="1:8" ht="28.8" customHeight="1" x14ac:dyDescent="0.3">
      <c r="A30" s="14" t="s">
        <v>73</v>
      </c>
      <c r="B30" s="14" t="s">
        <v>74</v>
      </c>
      <c r="C30" s="14" t="s">
        <v>75</v>
      </c>
      <c r="D30" s="4">
        <v>200</v>
      </c>
      <c r="E30" s="4">
        <v>200</v>
      </c>
      <c r="F30" s="4">
        <v>0</v>
      </c>
      <c r="G30" s="4">
        <v>0</v>
      </c>
      <c r="H30" s="4" t="s">
        <v>280</v>
      </c>
    </row>
    <row r="31" spans="1:8" x14ac:dyDescent="0.3">
      <c r="A31" s="14" t="s">
        <v>73</v>
      </c>
      <c r="B31" s="14" t="s">
        <v>178</v>
      </c>
      <c r="C31" s="14" t="s">
        <v>179</v>
      </c>
      <c r="D31" s="4">
        <v>2000</v>
      </c>
      <c r="E31" s="4">
        <v>2000</v>
      </c>
      <c r="F31" s="4">
        <v>0</v>
      </c>
      <c r="G31" s="4">
        <v>0</v>
      </c>
      <c r="H31" s="4" t="s">
        <v>280</v>
      </c>
    </row>
    <row r="32" spans="1:8" ht="28.8" customHeight="1" x14ac:dyDescent="0.3">
      <c r="A32" s="14" t="s">
        <v>73</v>
      </c>
      <c r="B32" s="14" t="s">
        <v>181</v>
      </c>
      <c r="C32" s="14" t="s">
        <v>182</v>
      </c>
      <c r="D32" s="4">
        <v>1000</v>
      </c>
      <c r="E32" s="4">
        <v>1000</v>
      </c>
      <c r="F32" s="4">
        <v>0</v>
      </c>
      <c r="G32" s="4">
        <v>0</v>
      </c>
      <c r="H32" s="4" t="s">
        <v>280</v>
      </c>
    </row>
    <row r="33" spans="1:8" ht="28.8" customHeight="1" x14ac:dyDescent="0.3">
      <c r="A33" s="14" t="s">
        <v>63</v>
      </c>
      <c r="B33" s="14">
        <v>1660859424566</v>
      </c>
      <c r="C33" s="14" t="s">
        <v>64</v>
      </c>
      <c r="D33" s="4">
        <v>450</v>
      </c>
      <c r="E33" s="4">
        <v>450</v>
      </c>
      <c r="F33" s="4">
        <v>0</v>
      </c>
      <c r="G33" s="4">
        <v>0</v>
      </c>
      <c r="H33" s="4" t="s">
        <v>280</v>
      </c>
    </row>
    <row r="34" spans="1:8" ht="28.8" customHeight="1" x14ac:dyDescent="0.3">
      <c r="A34" s="14" t="s">
        <v>183</v>
      </c>
      <c r="B34" s="14" t="s">
        <v>190</v>
      </c>
      <c r="C34" s="14" t="s">
        <v>191</v>
      </c>
      <c r="D34" s="4">
        <v>30</v>
      </c>
      <c r="E34" s="4">
        <v>0</v>
      </c>
      <c r="F34" s="4">
        <v>0</v>
      </c>
      <c r="G34" s="4">
        <v>30</v>
      </c>
      <c r="H34" s="4" t="s">
        <v>281</v>
      </c>
    </row>
    <row r="35" spans="1:8" ht="28.8" customHeight="1" x14ac:dyDescent="0.3">
      <c r="A35" s="14" t="s">
        <v>183</v>
      </c>
      <c r="B35" s="14" t="s">
        <v>188</v>
      </c>
      <c r="C35" s="14" t="s">
        <v>189</v>
      </c>
      <c r="D35" s="4">
        <v>50</v>
      </c>
      <c r="E35" s="4">
        <v>0</v>
      </c>
      <c r="F35" s="4">
        <v>0</v>
      </c>
      <c r="G35" s="4">
        <v>50</v>
      </c>
      <c r="H35" s="4" t="s">
        <v>281</v>
      </c>
    </row>
    <row r="36" spans="1:8" ht="28.8" customHeight="1" x14ac:dyDescent="0.3">
      <c r="A36" s="14" t="s">
        <v>183</v>
      </c>
      <c r="B36" s="14" t="s">
        <v>184</v>
      </c>
      <c r="C36" s="14" t="s">
        <v>185</v>
      </c>
      <c r="D36" s="4">
        <v>80</v>
      </c>
      <c r="E36" s="4">
        <v>0</v>
      </c>
      <c r="F36" s="4">
        <v>0</v>
      </c>
      <c r="G36" s="4">
        <v>80</v>
      </c>
      <c r="H36" s="4" t="s">
        <v>281</v>
      </c>
    </row>
    <row r="37" spans="1:8" x14ac:dyDescent="0.3">
      <c r="A37" s="14" t="s">
        <v>183</v>
      </c>
      <c r="B37" s="14" t="s">
        <v>186</v>
      </c>
      <c r="C37" s="14" t="s">
        <v>187</v>
      </c>
      <c r="D37" s="4">
        <v>80</v>
      </c>
      <c r="E37" s="4">
        <v>0</v>
      </c>
      <c r="F37" s="4">
        <v>0</v>
      </c>
      <c r="G37" s="4">
        <v>80</v>
      </c>
      <c r="H37" s="4" t="s">
        <v>281</v>
      </c>
    </row>
    <row r="38" spans="1:8" ht="28.8" customHeight="1" x14ac:dyDescent="0.3">
      <c r="A38" s="14" t="s">
        <v>183</v>
      </c>
      <c r="B38" s="14" t="s">
        <v>192</v>
      </c>
      <c r="C38" s="14" t="s">
        <v>193</v>
      </c>
      <c r="D38" s="4">
        <v>30</v>
      </c>
      <c r="E38" s="4">
        <v>0</v>
      </c>
      <c r="F38" s="4">
        <v>0</v>
      </c>
      <c r="G38" s="4">
        <v>30</v>
      </c>
      <c r="H38" s="4" t="s">
        <v>281</v>
      </c>
    </row>
    <row r="39" spans="1:8" ht="28.8" customHeight="1" x14ac:dyDescent="0.3">
      <c r="A39" s="14" t="s">
        <v>183</v>
      </c>
      <c r="B39" s="14" t="s">
        <v>198</v>
      </c>
      <c r="C39" s="14" t="s">
        <v>199</v>
      </c>
      <c r="D39" s="4">
        <v>15</v>
      </c>
      <c r="E39" s="4">
        <v>0</v>
      </c>
      <c r="F39" s="4">
        <v>0</v>
      </c>
      <c r="G39" s="4">
        <v>15</v>
      </c>
      <c r="H39" s="4" t="s">
        <v>281</v>
      </c>
    </row>
    <row r="40" spans="1:8" ht="28.8" customHeight="1" x14ac:dyDescent="0.3">
      <c r="A40" s="14" t="s">
        <v>183</v>
      </c>
      <c r="B40" s="14" t="s">
        <v>194</v>
      </c>
      <c r="C40" s="14" t="s">
        <v>195</v>
      </c>
      <c r="D40" s="4">
        <v>30</v>
      </c>
      <c r="E40" s="4">
        <v>0</v>
      </c>
      <c r="F40" s="4">
        <v>0</v>
      </c>
      <c r="G40" s="4">
        <v>30</v>
      </c>
      <c r="H40" s="4" t="s">
        <v>281</v>
      </c>
    </row>
    <row r="41" spans="1:8" ht="28.8" customHeight="1" x14ac:dyDescent="0.3">
      <c r="A41" s="14" t="s">
        <v>183</v>
      </c>
      <c r="B41" s="14" t="s">
        <v>200</v>
      </c>
      <c r="C41" s="14" t="s">
        <v>201</v>
      </c>
      <c r="D41" s="4">
        <v>15</v>
      </c>
      <c r="E41" s="4">
        <v>0</v>
      </c>
      <c r="F41" s="4">
        <v>0</v>
      </c>
      <c r="G41" s="4">
        <v>15</v>
      </c>
      <c r="H41" s="4" t="s">
        <v>281</v>
      </c>
    </row>
    <row r="42" spans="1:8" ht="28.8" customHeight="1" x14ac:dyDescent="0.3">
      <c r="A42" s="14" t="s">
        <v>183</v>
      </c>
      <c r="B42" s="14" t="s">
        <v>196</v>
      </c>
      <c r="C42" s="14" t="s">
        <v>197</v>
      </c>
      <c r="D42" s="4">
        <v>30</v>
      </c>
      <c r="E42" s="4">
        <v>0</v>
      </c>
      <c r="F42" s="4">
        <v>0</v>
      </c>
      <c r="G42" s="4">
        <v>30</v>
      </c>
      <c r="H42" s="4" t="s">
        <v>281</v>
      </c>
    </row>
    <row r="43" spans="1:8" x14ac:dyDescent="0.3">
      <c r="A43" s="14" t="s">
        <v>183</v>
      </c>
      <c r="B43" s="14" t="s">
        <v>204</v>
      </c>
      <c r="C43" s="14" t="s">
        <v>205</v>
      </c>
      <c r="D43" s="4">
        <v>5</v>
      </c>
      <c r="E43" s="4">
        <v>0</v>
      </c>
      <c r="F43" s="4">
        <v>0</v>
      </c>
      <c r="G43" s="4">
        <v>5</v>
      </c>
      <c r="H43" s="4" t="s">
        <v>281</v>
      </c>
    </row>
    <row r="44" spans="1:8" x14ac:dyDescent="0.3">
      <c r="A44" s="14" t="s">
        <v>183</v>
      </c>
      <c r="B44" s="14" t="s">
        <v>202</v>
      </c>
      <c r="C44" s="14" t="s">
        <v>203</v>
      </c>
      <c r="D44" s="4">
        <v>15</v>
      </c>
      <c r="E44" s="4">
        <v>0</v>
      </c>
      <c r="F44" s="4">
        <v>0</v>
      </c>
      <c r="G44" s="4">
        <v>15</v>
      </c>
      <c r="H44" s="4" t="s">
        <v>281</v>
      </c>
    </row>
    <row r="45" spans="1:8" ht="28.8" customHeight="1" x14ac:dyDescent="0.3">
      <c r="A45" s="14" t="s">
        <v>31</v>
      </c>
      <c r="B45" s="14">
        <v>1659990828178</v>
      </c>
      <c r="C45" s="14" t="s">
        <v>91</v>
      </c>
      <c r="D45" s="4">
        <v>50</v>
      </c>
      <c r="E45" s="4">
        <v>0</v>
      </c>
      <c r="F45" s="4">
        <v>0</v>
      </c>
      <c r="G45" s="4">
        <v>50</v>
      </c>
      <c r="H45" s="4" t="s">
        <v>281</v>
      </c>
    </row>
    <row r="46" spans="1:8" ht="28.8" customHeight="1" x14ac:dyDescent="0.3">
      <c r="A46" s="14" t="s">
        <v>31</v>
      </c>
      <c r="B46" s="14">
        <v>66436804863605</v>
      </c>
      <c r="C46" s="14" t="s">
        <v>93</v>
      </c>
      <c r="D46" s="4">
        <v>50</v>
      </c>
      <c r="E46" s="4">
        <v>0</v>
      </c>
      <c r="F46" s="4">
        <v>0</v>
      </c>
      <c r="G46" s="4">
        <v>50</v>
      </c>
      <c r="H46" s="4" t="s">
        <v>281</v>
      </c>
    </row>
    <row r="47" spans="1:8" ht="28.8" customHeight="1" x14ac:dyDescent="0.3">
      <c r="A47" s="14" t="s">
        <v>34</v>
      </c>
      <c r="B47" s="14" t="s">
        <v>94</v>
      </c>
      <c r="C47" s="14" t="s">
        <v>95</v>
      </c>
      <c r="D47" s="4">
        <v>300</v>
      </c>
      <c r="E47" s="4">
        <v>0</v>
      </c>
      <c r="F47" s="4">
        <v>0</v>
      </c>
      <c r="G47" s="4">
        <v>300</v>
      </c>
      <c r="H47" s="4" t="s">
        <v>281</v>
      </c>
    </row>
    <row r="48" spans="1:8" ht="28.8" customHeight="1" x14ac:dyDescent="0.3">
      <c r="A48" s="14" t="s">
        <v>34</v>
      </c>
      <c r="B48" s="14" t="s">
        <v>208</v>
      </c>
      <c r="C48" s="14" t="s">
        <v>209</v>
      </c>
      <c r="D48" s="4">
        <v>300</v>
      </c>
      <c r="E48" s="4">
        <v>0</v>
      </c>
      <c r="F48" s="4">
        <v>0</v>
      </c>
      <c r="G48" s="4">
        <v>300</v>
      </c>
      <c r="H48" s="4" t="s">
        <v>281</v>
      </c>
    </row>
    <row r="49" spans="1:8" ht="28.8" customHeight="1" x14ac:dyDescent="0.3">
      <c r="A49" s="14" t="s">
        <v>34</v>
      </c>
      <c r="B49" s="14" t="s">
        <v>206</v>
      </c>
      <c r="C49" s="14" t="s">
        <v>207</v>
      </c>
      <c r="D49" s="4">
        <v>500</v>
      </c>
      <c r="E49" s="4">
        <v>0</v>
      </c>
      <c r="F49" s="4">
        <v>0</v>
      </c>
      <c r="G49" s="4">
        <v>500</v>
      </c>
      <c r="H49" s="4" t="s">
        <v>281</v>
      </c>
    </row>
    <row r="50" spans="1:8" x14ac:dyDescent="0.3">
      <c r="A50" s="14" t="s">
        <v>34</v>
      </c>
      <c r="B50" s="14" t="s">
        <v>253</v>
      </c>
      <c r="C50" s="14" t="s">
        <v>254</v>
      </c>
      <c r="D50" s="4">
        <v>100</v>
      </c>
      <c r="E50" s="4">
        <v>0</v>
      </c>
      <c r="F50" s="4">
        <v>0</v>
      </c>
      <c r="G50" s="4">
        <v>100</v>
      </c>
      <c r="H50" s="4" t="s">
        <v>281</v>
      </c>
    </row>
    <row r="51" spans="1:8" x14ac:dyDescent="0.3">
      <c r="A51" s="14" t="s">
        <v>21</v>
      </c>
      <c r="B51" s="14" t="s">
        <v>212</v>
      </c>
      <c r="C51" s="14" t="s">
        <v>213</v>
      </c>
      <c r="D51" s="4">
        <v>300</v>
      </c>
      <c r="E51" s="4">
        <v>0</v>
      </c>
      <c r="F51" s="4">
        <v>0</v>
      </c>
      <c r="G51" s="4">
        <v>300</v>
      </c>
      <c r="H51" s="4" t="s">
        <v>281</v>
      </c>
    </row>
    <row r="52" spans="1:8" ht="28.8" customHeight="1" x14ac:dyDescent="0.3">
      <c r="A52" s="14" t="s">
        <v>21</v>
      </c>
      <c r="B52" s="14">
        <v>1660858025311</v>
      </c>
      <c r="C52" s="14" t="s">
        <v>265</v>
      </c>
      <c r="D52" s="4">
        <v>120</v>
      </c>
      <c r="E52" s="4">
        <v>0</v>
      </c>
      <c r="F52" s="4">
        <v>0</v>
      </c>
      <c r="G52" s="4">
        <v>120</v>
      </c>
      <c r="H52" s="4" t="s">
        <v>281</v>
      </c>
    </row>
    <row r="53" spans="1:8" ht="28.8" customHeight="1" x14ac:dyDescent="0.3">
      <c r="A53" s="14" t="s">
        <v>21</v>
      </c>
      <c r="B53" s="14">
        <v>67327712330533</v>
      </c>
      <c r="C53" s="14" t="s">
        <v>211</v>
      </c>
      <c r="D53" s="4">
        <v>500</v>
      </c>
      <c r="E53" s="4">
        <v>0</v>
      </c>
      <c r="F53" s="4">
        <v>0</v>
      </c>
      <c r="G53" s="4">
        <v>500</v>
      </c>
      <c r="H53" s="4" t="s">
        <v>281</v>
      </c>
    </row>
    <row r="54" spans="1:8" x14ac:dyDescent="0.3">
      <c r="A54" s="14" t="s">
        <v>21</v>
      </c>
      <c r="B54" s="14">
        <v>1660858702400</v>
      </c>
      <c r="C54" s="14" t="s">
        <v>215</v>
      </c>
      <c r="D54" s="4">
        <v>100</v>
      </c>
      <c r="E54" s="4">
        <v>0</v>
      </c>
      <c r="F54" s="4">
        <v>0</v>
      </c>
      <c r="G54" s="4">
        <v>100</v>
      </c>
      <c r="H54" s="4" t="s">
        <v>281</v>
      </c>
    </row>
    <row r="55" spans="1:8" x14ac:dyDescent="0.3">
      <c r="A55" s="14" t="s">
        <v>21</v>
      </c>
      <c r="B55" s="14" t="s">
        <v>259</v>
      </c>
      <c r="C55" s="14" t="s">
        <v>260</v>
      </c>
      <c r="D55" s="4">
        <v>150</v>
      </c>
      <c r="E55" s="4">
        <v>0</v>
      </c>
      <c r="F55" s="4">
        <v>0</v>
      </c>
      <c r="G55" s="4">
        <v>150</v>
      </c>
      <c r="H55" s="4" t="s">
        <v>281</v>
      </c>
    </row>
    <row r="56" spans="1:8" x14ac:dyDescent="0.3">
      <c r="A56" s="14" t="s">
        <v>21</v>
      </c>
      <c r="B56" s="14" t="s">
        <v>96</v>
      </c>
      <c r="C56" s="14" t="s">
        <v>97</v>
      </c>
      <c r="D56" s="4">
        <v>100</v>
      </c>
      <c r="E56" s="4">
        <v>0</v>
      </c>
      <c r="F56" s="4">
        <v>0</v>
      </c>
      <c r="G56" s="4">
        <v>100</v>
      </c>
      <c r="H56" s="4" t="s">
        <v>281</v>
      </c>
    </row>
    <row r="57" spans="1:8" x14ac:dyDescent="0.3">
      <c r="A57" s="14" t="s">
        <v>21</v>
      </c>
      <c r="B57" s="14" t="s">
        <v>98</v>
      </c>
      <c r="C57" s="14" t="s">
        <v>99</v>
      </c>
      <c r="D57" s="4">
        <v>100</v>
      </c>
      <c r="E57" s="4">
        <v>0</v>
      </c>
      <c r="F57" s="4">
        <v>0</v>
      </c>
      <c r="G57" s="4">
        <v>100</v>
      </c>
      <c r="H57" s="4" t="s">
        <v>281</v>
      </c>
    </row>
    <row r="58" spans="1:8" x14ac:dyDescent="0.3">
      <c r="A58" s="14" t="s">
        <v>21</v>
      </c>
      <c r="B58" s="14" t="s">
        <v>216</v>
      </c>
      <c r="C58" s="14" t="s">
        <v>217</v>
      </c>
      <c r="D58" s="4">
        <v>100</v>
      </c>
      <c r="E58" s="4">
        <v>0</v>
      </c>
      <c r="F58" s="4">
        <v>0</v>
      </c>
      <c r="G58" s="4">
        <v>100</v>
      </c>
      <c r="H58" s="4" t="s">
        <v>281</v>
      </c>
    </row>
    <row r="59" spans="1:8" x14ac:dyDescent="0.3">
      <c r="A59" s="14" t="s">
        <v>21</v>
      </c>
      <c r="B59" s="14">
        <v>1628018206370</v>
      </c>
      <c r="C59" s="14" t="s">
        <v>101</v>
      </c>
      <c r="D59" s="4">
        <v>100</v>
      </c>
      <c r="E59" s="4">
        <v>0</v>
      </c>
      <c r="F59" s="4">
        <v>0</v>
      </c>
      <c r="G59" s="4">
        <v>100</v>
      </c>
      <c r="H59" s="4" t="s">
        <v>281</v>
      </c>
    </row>
    <row r="60" spans="1:8" ht="28.8" customHeight="1" x14ac:dyDescent="0.3">
      <c r="A60" s="14" t="s">
        <v>21</v>
      </c>
      <c r="B60" s="14" t="s">
        <v>256</v>
      </c>
      <c r="C60" s="14" t="s">
        <v>257</v>
      </c>
      <c r="D60" s="4">
        <v>500</v>
      </c>
      <c r="E60" s="4">
        <v>0</v>
      </c>
      <c r="F60" s="4">
        <v>0</v>
      </c>
      <c r="G60" s="4">
        <v>500</v>
      </c>
      <c r="H60" s="4" t="s">
        <v>281</v>
      </c>
    </row>
    <row r="61" spans="1:8" x14ac:dyDescent="0.3">
      <c r="A61" s="14" t="s">
        <v>21</v>
      </c>
      <c r="B61" s="14" t="s">
        <v>262</v>
      </c>
      <c r="C61" s="14" t="s">
        <v>263</v>
      </c>
      <c r="D61" s="4">
        <v>150</v>
      </c>
      <c r="E61" s="4">
        <v>0</v>
      </c>
      <c r="F61" s="4">
        <v>0</v>
      </c>
      <c r="G61" s="4">
        <v>150</v>
      </c>
      <c r="H61" s="4" t="s">
        <v>281</v>
      </c>
    </row>
    <row r="62" spans="1:8" ht="28.8" customHeight="1" x14ac:dyDescent="0.3">
      <c r="A62" s="14" t="s">
        <v>266</v>
      </c>
      <c r="B62" s="14" t="s">
        <v>267</v>
      </c>
      <c r="C62" s="14" t="s">
        <v>268</v>
      </c>
      <c r="D62" s="4">
        <v>500</v>
      </c>
      <c r="E62" s="4">
        <v>0</v>
      </c>
      <c r="F62" s="4">
        <v>0</v>
      </c>
      <c r="G62" s="4">
        <v>500</v>
      </c>
      <c r="H62" s="4" t="s">
        <v>281</v>
      </c>
    </row>
    <row r="63" spans="1:8" x14ac:dyDescent="0.3">
      <c r="A63" s="14" t="s">
        <v>63</v>
      </c>
      <c r="B63" s="14">
        <v>1650302269777</v>
      </c>
      <c r="C63" s="14" t="s">
        <v>229</v>
      </c>
      <c r="D63" s="4">
        <v>30</v>
      </c>
      <c r="E63" s="4">
        <v>0</v>
      </c>
      <c r="F63" s="4">
        <v>0</v>
      </c>
      <c r="G63" s="4">
        <v>30</v>
      </c>
      <c r="H63" s="4" t="s">
        <v>281</v>
      </c>
    </row>
    <row r="64" spans="1:8" x14ac:dyDescent="0.3">
      <c r="A64" s="14" t="s">
        <v>63</v>
      </c>
      <c r="B64" s="14" t="s">
        <v>273</v>
      </c>
      <c r="C64" s="14" t="s">
        <v>274</v>
      </c>
      <c r="D64" s="4">
        <v>10</v>
      </c>
      <c r="E64" s="4">
        <v>0</v>
      </c>
      <c r="F64" s="4">
        <v>0</v>
      </c>
      <c r="G64" s="4">
        <v>10</v>
      </c>
      <c r="H64" s="4" t="s">
        <v>281</v>
      </c>
    </row>
    <row r="65" spans="1:8" ht="28.8" customHeight="1" x14ac:dyDescent="0.3">
      <c r="A65" s="14" t="s">
        <v>63</v>
      </c>
      <c r="B65" s="14" t="s">
        <v>104</v>
      </c>
      <c r="C65" s="14" t="s">
        <v>105</v>
      </c>
      <c r="D65" s="4">
        <v>150</v>
      </c>
      <c r="E65" s="4">
        <v>0</v>
      </c>
      <c r="F65" s="4">
        <v>0</v>
      </c>
      <c r="G65" s="4">
        <v>150</v>
      </c>
      <c r="H65" s="4" t="s">
        <v>281</v>
      </c>
    </row>
    <row r="66" spans="1:8" ht="28.8" customHeight="1" x14ac:dyDescent="0.3">
      <c r="A66" s="14" t="s">
        <v>63</v>
      </c>
      <c r="B66" s="14" t="s">
        <v>222</v>
      </c>
      <c r="C66" s="14" t="s">
        <v>223</v>
      </c>
      <c r="D66" s="4">
        <v>120</v>
      </c>
      <c r="E66" s="4">
        <v>0</v>
      </c>
      <c r="F66" s="4">
        <v>0</v>
      </c>
      <c r="G66" s="4">
        <v>120</v>
      </c>
      <c r="H66" s="4" t="s">
        <v>281</v>
      </c>
    </row>
    <row r="67" spans="1:8" ht="28.8" customHeight="1" x14ac:dyDescent="0.3">
      <c r="A67" s="14" t="s">
        <v>63</v>
      </c>
      <c r="B67" s="14">
        <v>1656603353038</v>
      </c>
      <c r="C67" s="14" t="s">
        <v>272</v>
      </c>
      <c r="D67" s="4">
        <v>100</v>
      </c>
      <c r="E67" s="4">
        <v>0</v>
      </c>
      <c r="F67" s="4">
        <v>0</v>
      </c>
      <c r="G67" s="4">
        <v>100</v>
      </c>
      <c r="H67" s="4" t="s">
        <v>281</v>
      </c>
    </row>
    <row r="68" spans="1:8" ht="28.8" customHeight="1" x14ac:dyDescent="0.3">
      <c r="A68" s="14" t="s">
        <v>63</v>
      </c>
      <c r="B68" s="14" t="s">
        <v>224</v>
      </c>
      <c r="C68" s="14" t="s">
        <v>225</v>
      </c>
      <c r="D68" s="4">
        <v>100</v>
      </c>
      <c r="E68" s="4">
        <v>0</v>
      </c>
      <c r="F68" s="4">
        <v>0</v>
      </c>
      <c r="G68" s="4">
        <v>100</v>
      </c>
      <c r="H68" s="4" t="s">
        <v>281</v>
      </c>
    </row>
    <row r="69" spans="1:8" x14ac:dyDescent="0.3">
      <c r="A69" s="14" t="s">
        <v>63</v>
      </c>
      <c r="B69" s="14" t="s">
        <v>108</v>
      </c>
      <c r="C69" s="14" t="s">
        <v>109</v>
      </c>
      <c r="D69" s="4">
        <v>20</v>
      </c>
      <c r="E69" s="4">
        <v>0</v>
      </c>
      <c r="F69" s="4">
        <v>0</v>
      </c>
      <c r="G69" s="4">
        <v>20</v>
      </c>
      <c r="H69" s="4" t="s">
        <v>281</v>
      </c>
    </row>
    <row r="70" spans="1:8" ht="28.8" customHeight="1" x14ac:dyDescent="0.3">
      <c r="A70" s="14" t="s">
        <v>63</v>
      </c>
      <c r="B70" s="14" t="s">
        <v>106</v>
      </c>
      <c r="C70" s="14" t="s">
        <v>107</v>
      </c>
      <c r="D70" s="4">
        <v>150</v>
      </c>
      <c r="E70" s="4">
        <v>0</v>
      </c>
      <c r="F70" s="4">
        <v>0</v>
      </c>
      <c r="G70" s="4">
        <v>150</v>
      </c>
      <c r="H70" s="4" t="s">
        <v>281</v>
      </c>
    </row>
    <row r="71" spans="1:8" x14ac:dyDescent="0.3">
      <c r="A71" s="14" t="s">
        <v>63</v>
      </c>
      <c r="B71" s="14" t="s">
        <v>218</v>
      </c>
      <c r="C71" s="14" t="s">
        <v>219</v>
      </c>
      <c r="D71" s="4">
        <v>250</v>
      </c>
      <c r="E71" s="4">
        <v>0</v>
      </c>
      <c r="F71" s="4">
        <v>0</v>
      </c>
      <c r="G71" s="4">
        <v>250</v>
      </c>
      <c r="H71" s="4" t="s">
        <v>281</v>
      </c>
    </row>
    <row r="72" spans="1:8" ht="28.8" customHeight="1" x14ac:dyDescent="0.3">
      <c r="A72" s="14" t="s">
        <v>63</v>
      </c>
      <c r="B72" s="14" t="s">
        <v>220</v>
      </c>
      <c r="C72" s="14" t="s">
        <v>221</v>
      </c>
      <c r="D72" s="4">
        <v>200</v>
      </c>
      <c r="E72" s="4">
        <v>0</v>
      </c>
      <c r="F72" s="4">
        <v>0</v>
      </c>
      <c r="G72" s="4">
        <v>200</v>
      </c>
      <c r="H72" s="4" t="s">
        <v>281</v>
      </c>
    </row>
    <row r="73" spans="1:8" x14ac:dyDescent="0.3">
      <c r="A73" s="14" t="s">
        <v>63</v>
      </c>
      <c r="B73" s="14" t="s">
        <v>270</v>
      </c>
      <c r="C73" s="14" t="s">
        <v>271</v>
      </c>
      <c r="D73" s="4">
        <v>200</v>
      </c>
      <c r="E73" s="4">
        <v>0</v>
      </c>
      <c r="F73" s="4">
        <v>0</v>
      </c>
      <c r="G73" s="4">
        <v>200</v>
      </c>
      <c r="H73" s="4" t="s">
        <v>281</v>
      </c>
    </row>
    <row r="74" spans="1:8" ht="28.8" customHeight="1" x14ac:dyDescent="0.3">
      <c r="A74" s="14" t="s">
        <v>63</v>
      </c>
      <c r="B74" s="14" t="s">
        <v>226</v>
      </c>
      <c r="C74" s="14" t="s">
        <v>227</v>
      </c>
      <c r="D74" s="4">
        <v>100</v>
      </c>
      <c r="E74" s="4">
        <v>0</v>
      </c>
      <c r="F74" s="4">
        <v>0</v>
      </c>
      <c r="G74" s="4">
        <v>100</v>
      </c>
      <c r="H74" s="4" t="s">
        <v>281</v>
      </c>
    </row>
    <row r="75" spans="1:8" x14ac:dyDescent="0.3">
      <c r="A75" s="14" t="s">
        <v>63</v>
      </c>
      <c r="B75" s="14" t="s">
        <v>110</v>
      </c>
      <c r="C75" s="14" t="s">
        <v>111</v>
      </c>
      <c r="D75" s="4">
        <v>20</v>
      </c>
      <c r="E75" s="4">
        <v>0</v>
      </c>
      <c r="F75" s="4">
        <v>0</v>
      </c>
      <c r="G75" s="4">
        <v>20</v>
      </c>
      <c r="H75" s="4" t="s">
        <v>281</v>
      </c>
    </row>
    <row r="76" spans="1:8" x14ac:dyDescent="0.3">
      <c r="A76" s="14" t="s">
        <v>63</v>
      </c>
      <c r="B76" s="14" t="s">
        <v>102</v>
      </c>
      <c r="C76" s="14" t="s">
        <v>103</v>
      </c>
      <c r="D76" s="4">
        <v>200</v>
      </c>
      <c r="E76" s="4">
        <v>0</v>
      </c>
      <c r="F76" s="4">
        <v>0</v>
      </c>
      <c r="G76" s="4">
        <v>200</v>
      </c>
      <c r="H76" s="4" t="s">
        <v>281</v>
      </c>
    </row>
    <row r="77" spans="1:8" ht="28.8" customHeight="1" x14ac:dyDescent="0.3">
      <c r="A77" s="14" t="s">
        <v>21</v>
      </c>
      <c r="B77" s="14" t="s">
        <v>248</v>
      </c>
      <c r="C77" s="14" t="s">
        <v>249</v>
      </c>
      <c r="D77" s="4">
        <v>600</v>
      </c>
      <c r="E77" s="4">
        <v>0</v>
      </c>
      <c r="F77" s="4">
        <v>600</v>
      </c>
      <c r="G77" s="4">
        <v>0</v>
      </c>
      <c r="H77" s="4" t="s">
        <v>282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showGridLines="0" workbookViewId="0"/>
  </sheetViews>
  <sheetFormatPr baseColWidth="10" defaultColWidth="8.88671875" defaultRowHeight="14.4" x14ac:dyDescent="0.3"/>
  <cols>
    <col min="1" max="1" width="22" customWidth="1"/>
    <col min="2" max="2" width="8" customWidth="1"/>
    <col min="3" max="4" width="15" customWidth="1"/>
    <col min="5" max="5" width="18" customWidth="1"/>
    <col min="6" max="9" width="12" customWidth="1"/>
  </cols>
  <sheetData>
    <row r="1" spans="1:9" ht="15.6" customHeight="1" x14ac:dyDescent="0.3">
      <c r="A1" s="54" t="s">
        <v>283</v>
      </c>
      <c r="B1" s="50"/>
      <c r="C1" s="50"/>
      <c r="D1" s="50"/>
      <c r="E1" s="50"/>
      <c r="F1" s="50"/>
      <c r="G1" s="50"/>
      <c r="H1" s="50"/>
    </row>
    <row r="2" spans="1:9" x14ac:dyDescent="0.3">
      <c r="A2" s="58" t="s">
        <v>284</v>
      </c>
      <c r="B2" s="50"/>
      <c r="C2" s="50"/>
      <c r="D2" s="50"/>
      <c r="E2" s="50"/>
      <c r="F2" s="50"/>
      <c r="G2" s="50"/>
      <c r="H2" s="50"/>
    </row>
    <row r="4" spans="1:9" x14ac:dyDescent="0.3">
      <c r="A4" s="22" t="s">
        <v>114</v>
      </c>
      <c r="B4" s="22" t="s">
        <v>168</v>
      </c>
      <c r="C4" s="22" t="s">
        <v>285</v>
      </c>
      <c r="D4" s="22" t="s">
        <v>286</v>
      </c>
      <c r="E4" s="22" t="s">
        <v>287</v>
      </c>
      <c r="F4" s="22" t="s">
        <v>1</v>
      </c>
      <c r="G4" s="22" t="s">
        <v>14</v>
      </c>
      <c r="H4" s="22" t="s">
        <v>15</v>
      </c>
      <c r="I4" s="22" t="s">
        <v>16</v>
      </c>
    </row>
    <row r="5" spans="1:9" x14ac:dyDescent="0.3">
      <c r="A5" s="23" t="s">
        <v>37</v>
      </c>
      <c r="B5" s="24" t="s">
        <v>120</v>
      </c>
      <c r="C5" s="24">
        <v>52</v>
      </c>
      <c r="D5" s="24">
        <v>7</v>
      </c>
      <c r="E5" s="24">
        <v>7</v>
      </c>
      <c r="F5" s="25">
        <v>46204</v>
      </c>
      <c r="G5" s="25">
        <f t="shared" ref="G5:G11" si="0">F5+D5</f>
        <v>46211</v>
      </c>
      <c r="H5" s="25">
        <f t="shared" ref="H5:H11" si="1">G5+C5</f>
        <v>46263</v>
      </c>
      <c r="I5" s="25">
        <f t="shared" ref="I5:I11" si="2">H5+E5</f>
        <v>46270</v>
      </c>
    </row>
    <row r="6" spans="1:9" x14ac:dyDescent="0.3">
      <c r="A6" s="23" t="s">
        <v>24</v>
      </c>
      <c r="B6" s="24" t="s">
        <v>120</v>
      </c>
      <c r="C6" s="24">
        <v>52</v>
      </c>
      <c r="D6" s="24">
        <v>7</v>
      </c>
      <c r="E6" s="24">
        <v>7</v>
      </c>
      <c r="F6" s="25">
        <v>46208</v>
      </c>
      <c r="G6" s="25">
        <f t="shared" si="0"/>
        <v>46215</v>
      </c>
      <c r="H6" s="25">
        <f t="shared" si="1"/>
        <v>46267</v>
      </c>
      <c r="I6" s="25">
        <f t="shared" si="2"/>
        <v>46274</v>
      </c>
    </row>
    <row r="7" spans="1:9" x14ac:dyDescent="0.3">
      <c r="A7" s="23" t="s">
        <v>70</v>
      </c>
      <c r="B7" s="24" t="s">
        <v>120</v>
      </c>
      <c r="C7" s="24">
        <v>52</v>
      </c>
      <c r="D7" s="24">
        <v>7</v>
      </c>
      <c r="E7" s="24">
        <v>7</v>
      </c>
      <c r="F7" s="25">
        <v>46218</v>
      </c>
      <c r="G7" s="25">
        <f t="shared" si="0"/>
        <v>46225</v>
      </c>
      <c r="H7" s="25">
        <f t="shared" si="1"/>
        <v>46277</v>
      </c>
      <c r="I7" s="25">
        <f t="shared" si="2"/>
        <v>46284</v>
      </c>
    </row>
    <row r="8" spans="1:9" x14ac:dyDescent="0.3">
      <c r="A8" s="23" t="s">
        <v>49</v>
      </c>
      <c r="B8" s="24" t="s">
        <v>120</v>
      </c>
      <c r="C8" s="24">
        <v>52</v>
      </c>
      <c r="D8" s="24">
        <v>7</v>
      </c>
      <c r="E8" s="24">
        <v>7</v>
      </c>
      <c r="F8" s="25">
        <v>46244</v>
      </c>
      <c r="G8" s="25">
        <f t="shared" si="0"/>
        <v>46251</v>
      </c>
      <c r="H8" s="25">
        <f t="shared" si="1"/>
        <v>46303</v>
      </c>
      <c r="I8" s="25">
        <f t="shared" si="2"/>
        <v>46310</v>
      </c>
    </row>
    <row r="9" spans="1:9" x14ac:dyDescent="0.3">
      <c r="A9" s="23" t="s">
        <v>118</v>
      </c>
      <c r="B9" s="24" t="s">
        <v>119</v>
      </c>
      <c r="C9" s="24">
        <v>45</v>
      </c>
      <c r="D9" s="24">
        <v>7</v>
      </c>
      <c r="E9" s="24">
        <v>7</v>
      </c>
      <c r="F9" s="25">
        <v>46203</v>
      </c>
      <c r="G9" s="25">
        <f t="shared" si="0"/>
        <v>46210</v>
      </c>
      <c r="H9" s="25">
        <f t="shared" si="1"/>
        <v>46255</v>
      </c>
      <c r="I9" s="25">
        <f t="shared" si="2"/>
        <v>46262</v>
      </c>
    </row>
    <row r="10" spans="1:9" x14ac:dyDescent="0.3">
      <c r="A10" s="23" t="s">
        <v>121</v>
      </c>
      <c r="B10" s="24" t="s">
        <v>119</v>
      </c>
      <c r="C10" s="24">
        <v>45</v>
      </c>
      <c r="D10" s="24">
        <v>7</v>
      </c>
      <c r="E10" s="24">
        <v>7</v>
      </c>
      <c r="F10" s="25">
        <v>46223</v>
      </c>
      <c r="G10" s="25">
        <f t="shared" si="0"/>
        <v>46230</v>
      </c>
      <c r="H10" s="25">
        <f t="shared" si="1"/>
        <v>46275</v>
      </c>
      <c r="I10" s="25">
        <f t="shared" si="2"/>
        <v>46282</v>
      </c>
    </row>
    <row r="11" spans="1:9" x14ac:dyDescent="0.3">
      <c r="A11" s="23" t="s">
        <v>177</v>
      </c>
      <c r="B11" s="24" t="s">
        <v>120</v>
      </c>
      <c r="C11" s="24">
        <v>52</v>
      </c>
      <c r="D11" s="24">
        <v>7</v>
      </c>
      <c r="E11" s="24">
        <v>7</v>
      </c>
      <c r="F11" s="25">
        <v>46248</v>
      </c>
      <c r="G11" s="25">
        <f t="shared" si="0"/>
        <v>46255</v>
      </c>
      <c r="H11" s="25">
        <f t="shared" si="1"/>
        <v>46307</v>
      </c>
      <c r="I11" s="25">
        <f t="shared" si="2"/>
        <v>46314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Fechas Cargas</vt:lpstr>
      <vt:lpstr>Summary</vt:lpstr>
      <vt:lpstr>Detail_SZ</vt:lpstr>
      <vt:lpstr>Detail_NB</vt:lpstr>
      <vt:lpstr>Late_Arrivals</vt:lpstr>
      <vt:lpstr>Pend_Confirmation</vt:lpstr>
      <vt:lpstr>Missing</vt:lpstr>
      <vt:lpstr>SKU_Classification</vt:lpstr>
      <vt:lpstr>Refs_Embarques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2 Browne</cp:lastModifiedBy>
  <dcterms:created xsi:type="dcterms:W3CDTF">2026-06-22T22:32:51Z</dcterms:created>
  <dcterms:modified xsi:type="dcterms:W3CDTF">2026-07-03T03:50:01Z</dcterms:modified>
</cp:coreProperties>
</file>